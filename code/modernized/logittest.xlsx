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5" sheetId="1" state="visible" r:id="rId3"/>
    <sheet name="Chart1" sheetId="2" state="visible" r:id="rId4"/>
    <sheet name="ltest" sheetId="3" state="visible" r:id="rId5"/>
    <sheet name="Sheet3" sheetId="4" state="visible" r:id="rId6"/>
    <sheet name="Sheet4" sheetId="5" state="visible" r:id="rId7"/>
  </sheets>
  <definedNames>
    <definedName function="false" hidden="false" name="a0" vbProcedure="false">ltest!$B$3:$C$3</definedName>
    <definedName function="false" hidden="false" name="alpha0" vbProcedure="false">#REF!</definedName>
    <definedName function="false" hidden="false" name="alpha0high" vbProcedure="false">#REF!</definedName>
    <definedName function="false" hidden="false" name="alpha0low" vbProcedure="false">#REF!</definedName>
    <definedName function="false" hidden="false" name="alpha1" vbProcedure="false">#REF!</definedName>
    <definedName function="false" hidden="false" name="alpha2" vbProcedure="false">#REF!</definedName>
    <definedName function="false" hidden="false" name="alphanought" vbProcedure="false">ltest!$C$3</definedName>
    <definedName function="false" hidden="false" name="Day" vbProcedure="false">Sheet3!$A$7:$A$376</definedName>
    <definedName function="false" hidden="false" name="ETC_Users" vbProcedure="false">ltest!$F$7:$F$32</definedName>
    <definedName function="false" hidden="false" name="MAN_Users" vbProcedure="false">ltest!$G$7:$G$32</definedName>
    <definedName function="false" hidden="false" name="Newbies" vbProcedure="false">ltest!$I$7:$I$32</definedName>
    <definedName function="false" hidden="false" name="PETC" vbProcedure="false">Sheet3!$C$7:$C$32</definedName>
    <definedName function="false" hidden="false" name="price" vbProcedure="false">#REF!</definedName>
    <definedName function="false" hidden="false" name="PriceETC" vbProcedure="false">#REF!</definedName>
    <definedName function="false" hidden="false" name="PriceMAN" vbProcedure="false">#REF!</definedName>
    <definedName function="false" hidden="false" name="survive" vbProcedure="false">#REF!</definedName>
    <definedName function="false" hidden="false" name="Survivors" vbProcedure="false">ltest!$H$7:$H$32</definedName>
    <definedName function="false" hidden="false" name="time" vbProcedure="false">#REF!</definedName>
    <definedName function="false" hidden="false" name="TimeETC" vbProcedure="false">#REF!</definedName>
    <definedName function="false" hidden="false" name="TimeMAN" vbProcedure="false">#REF!</definedName>
    <definedName function="false" hidden="false" name="xpercent" vbProcedure="false">ltest!$F$1</definedName>
    <definedName function="false" hidden="false" name="Year" vbProcedure="false">ltest!$A$7:$A$32</definedName>
    <definedName function="false" hidden="false" localSheetId="2" name="alpha0" vbProcedure="false">ltest!$J$7:$J$32</definedName>
    <definedName function="false" hidden="false" localSheetId="2" name="alpha1" vbProcedure="false">ltest!$C$1</definedName>
    <definedName function="false" hidden="false" localSheetId="2" name="alpha2" vbProcedure="false">ltest!$C$2</definedName>
    <definedName function="false" hidden="false" localSheetId="2" name="PriceETC" vbProcedure="false">ltest!$C$7:$C$32</definedName>
    <definedName function="false" hidden="false" localSheetId="2" name="PriceMAN" vbProcedure="false">ltest!$E$7:$E$32</definedName>
    <definedName function="false" hidden="false" localSheetId="2" name="survive" vbProcedure="false">ltest!$C$4</definedName>
    <definedName function="false" hidden="false" localSheetId="2" name="TimeETC" vbProcedure="false">ltest!$B$7:$B$32</definedName>
    <definedName function="false" hidden="false" localSheetId="2" name="TimeMAN" vbProcedure="false">ltest!$D$7:$D$32</definedName>
    <definedName function="false" hidden="false" localSheetId="3" name="alpha0" vbProcedure="false">Sheet3!$J$7:$J$376</definedName>
    <definedName function="false" hidden="false" localSheetId="3" name="alpha1" vbProcedure="false">Sheet3!$C$1</definedName>
    <definedName function="false" hidden="false" localSheetId="3" name="alpha2" vbProcedure="false">Sheet3!$C$2</definedName>
    <definedName function="false" hidden="false" localSheetId="3" name="alphanought" vbProcedure="false">Sheet3!$C$3</definedName>
    <definedName function="false" hidden="false" localSheetId="3" name="ETC_Users" vbProcedure="false">Sheet3!$F$7:$F$376</definedName>
    <definedName function="false" hidden="false" localSheetId="3" name="MAN_Users" vbProcedure="false">Sheet3!$G$7:$G$376</definedName>
    <definedName function="false" hidden="false" localSheetId="3" name="Newbies" vbProcedure="false">Sheet3!$I$7:$I$376</definedName>
    <definedName function="false" hidden="false" localSheetId="3" name="PriceETC" vbProcedure="false">Sheet3!$C$7:$C$376</definedName>
    <definedName function="false" hidden="false" localSheetId="3" name="PriceMAN" vbProcedure="false">Sheet3!$E$7:$E$376</definedName>
    <definedName function="false" hidden="false" localSheetId="3" name="survive" vbProcedure="false">Sheet3!$C$4</definedName>
    <definedName function="false" hidden="false" localSheetId="3" name="Survivors" vbProcedure="false">Sheet3!$H$7:$H$376</definedName>
    <definedName function="false" hidden="false" localSheetId="3" name="TimeETC" vbProcedure="false">Sheet3!$B$7:$B$376</definedName>
    <definedName function="false" hidden="false" localSheetId="3" name="TimeMAN" vbProcedure="false">Sheet3!$D$7:$D$376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<sst xmlns="http://schemas.openxmlformats.org/spreadsheetml/2006/main" count="46" uniqueCount="30">
  <si>
    <t xml:space="preserve">C</t>
  </si>
  <si>
    <t xml:space="preserve">S ETC Users</t>
  </si>
  <si>
    <t xml:space="preserve">alpha1</t>
  </si>
  <si>
    <t xml:space="preserve">xpercent</t>
  </si>
  <si>
    <t xml:space="preserve">How Often is Re-evaluation (assume annual)</t>
  </si>
  <si>
    <t xml:space="preserve">alpha2</t>
  </si>
  <si>
    <t xml:space="preserve">ETC Share depends on frequency of decision</t>
  </si>
  <si>
    <t xml:space="preserve">alphanought</t>
  </si>
  <si>
    <t xml:space="preserve">survive</t>
  </si>
  <si>
    <t xml:space="preserve">ETCShares for</t>
  </si>
  <si>
    <t xml:space="preserve">average</t>
  </si>
  <si>
    <t xml:space="preserve">TimeETC</t>
  </si>
  <si>
    <t xml:space="preserve">PriceETC</t>
  </si>
  <si>
    <t xml:space="preserve">TimeMAN</t>
  </si>
  <si>
    <t xml:space="preserve">PriceMAN</t>
  </si>
  <si>
    <t xml:space="preserve">S MAN Users</t>
  </si>
  <si>
    <t xml:space="preserve">Survivors</t>
  </si>
  <si>
    <t xml:space="preserve">Newbies</t>
  </si>
  <si>
    <t xml:space="preserve">alpha0</t>
  </si>
  <si>
    <t xml:space="preserve">NetworkEffect</t>
  </si>
  <si>
    <t xml:space="preserve">LateAdopterEffect</t>
  </si>
  <si>
    <t xml:space="preserve">ETCSurv</t>
  </si>
  <si>
    <t xml:space="preserve">Year</t>
  </si>
  <si>
    <t xml:space="preserve">ETCShare@1</t>
  </si>
  <si>
    <t xml:space="preserve">ETCShare@alpha0=0</t>
  </si>
  <si>
    <t xml:space="preserve">ETCShare@NewbieShare</t>
  </si>
  <si>
    <t xml:space="preserve">Share of Population Which is</t>
  </si>
  <si>
    <t xml:space="preserve">Day</t>
  </si>
  <si>
    <t xml:space="preserve">ETC Users</t>
  </si>
  <si>
    <t xml:space="preserve">MAN Users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</si>
</sst>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Share ETC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S ETC Users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Sheet5!$A$2:$A$27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Sheet5!$B$2:$B$27</c:f>
              <c:numCache>
                <c:formatCode>General</c:formatCode>
                <c:ptCount val="26"/>
                <c:pt idx="0">
                  <c:v>0</c:v>
                </c:pt>
                <c:pt idx="1">
                  <c:v>0.289050497374996</c:v>
                </c:pt>
                <c:pt idx="2">
                  <c:v>0.461670755542497</c:v>
                </c:pt>
                <c:pt idx="3">
                  <c:v>0.675624370691782</c:v>
                </c:pt>
                <c:pt idx="4">
                  <c:v>0.820856206826506</c:v>
                </c:pt>
                <c:pt idx="5">
                  <c:v>0.911790615044101</c:v>
                </c:pt>
                <c:pt idx="6">
                  <c:v>0.950504504527301</c:v>
                </c:pt>
                <c:pt idx="7">
                  <c:v>0.965050001497078</c:v>
                </c:pt>
                <c:pt idx="8">
                  <c:v>0.969909158301099</c:v>
                </c:pt>
                <c:pt idx="9">
                  <c:v>0.971517337454963</c:v>
                </c:pt>
                <c:pt idx="10">
                  <c:v>0.972037515685118</c:v>
                </c:pt>
                <c:pt idx="11">
                  <c:v>0.972206502614806</c:v>
                </c:pt>
                <c:pt idx="12">
                  <c:v>0.972261084835044</c:v>
                </c:pt>
                <c:pt idx="13">
                  <c:v>0.972278758539336</c:v>
                </c:pt>
                <c:pt idx="14">
                  <c:v>0.97228447077681</c:v>
                </c:pt>
                <c:pt idx="15">
                  <c:v>0.97228631886669</c:v>
                </c:pt>
                <c:pt idx="16">
                  <c:v>0.97228691639555</c:v>
                </c:pt>
                <c:pt idx="17">
                  <c:v>0.972287109663797</c:v>
                </c:pt>
                <c:pt idx="18">
                  <c:v>0.972287172160897</c:v>
                </c:pt>
                <c:pt idx="19">
                  <c:v>0.972287192373433</c:v>
                </c:pt>
                <c:pt idx="20">
                  <c:v>0.972287198909917</c:v>
                </c:pt>
                <c:pt idx="21">
                  <c:v>0.972287201023846</c:v>
                </c:pt>
                <c:pt idx="22">
                  <c:v>0.972287201707478</c:v>
                </c:pt>
                <c:pt idx="23">
                  <c:v>0.972287201928565</c:v>
                </c:pt>
                <c:pt idx="24">
                  <c:v>0.972287202000064</c:v>
                </c:pt>
                <c:pt idx="25">
                  <c:v>0.972287202023187</c:v>
                </c:pt>
              </c:numCache>
            </c:numRef>
          </c:yVal>
          <c:smooth val="0"/>
        </c:ser>
        <c:axId val="52187897"/>
        <c:axId val="95901582"/>
      </c:scatterChart>
      <c:valAx>
        <c:axId val="521878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5901582"/>
        <c:crossesAt val="0"/>
        <c:crossBetween val="midCat"/>
      </c:valAx>
      <c:valAx>
        <c:axId val="9590158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218789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Comparison of Alternative Survivor Behaviors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ltest!$Q$6</c:f>
              <c:strCache>
                <c:ptCount val="1"/>
                <c:pt idx="0">
                  <c:v>ETCShare@1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ltest!$P$7:$P$32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ltest!$Q$7:$Q$32</c:f>
              <c:numCache>
                <c:formatCode>General</c:formatCode>
                <c:ptCount val="26"/>
                <c:pt idx="0">
                  <c:v>0</c:v>
                </c:pt>
                <c:pt idx="1">
                  <c:v>0.289050497374996</c:v>
                </c:pt>
                <c:pt idx="2">
                  <c:v>0.483259367575324</c:v>
                </c:pt>
                <c:pt idx="3">
                  <c:v>0.612380719480272</c:v>
                </c:pt>
                <c:pt idx="4">
                  <c:v>0.698304564629425</c:v>
                </c:pt>
                <c:pt idx="5">
                  <c:v>0.756476449979084</c:v>
                </c:pt>
                <c:pt idx="6">
                  <c:v>0.797299697264313</c:v>
                </c:pt>
                <c:pt idx="7">
                  <c:v>0.827439849018828</c:v>
                </c:pt>
                <c:pt idx="8">
                  <c:v>0.850954851202373</c:v>
                </c:pt>
                <c:pt idx="9">
                  <c:v>0.870200404485792</c:v>
                </c:pt>
                <c:pt idx="10">
                  <c:v>0.8864969503597</c:v>
                </c:pt>
                <c:pt idx="11">
                  <c:v>0.900579624571956</c:v>
                </c:pt>
                <c:pt idx="12">
                  <c:v>0.912875169683667</c:v>
                </c:pt>
                <c:pt idx="13">
                  <c:v>0.923656913939669</c:v>
                </c:pt>
                <c:pt idx="14">
                  <c:v>0.93312349894725</c:v>
                </c:pt>
                <c:pt idx="15">
                  <c:v>0.941435240025073</c:v>
                </c:pt>
                <c:pt idx="16">
                  <c:v>0.948729588126079</c:v>
                </c:pt>
                <c:pt idx="17">
                  <c:v>0.95512746237206</c:v>
                </c:pt>
                <c:pt idx="18">
                  <c:v>0.960736061571783</c:v>
                </c:pt>
                <c:pt idx="19">
                  <c:v>0.96565047445397</c:v>
                </c:pt>
                <c:pt idx="20">
                  <c:v>0.969954912711084</c:v>
                </c:pt>
                <c:pt idx="21">
                  <c:v>0.973723810409275</c:v>
                </c:pt>
                <c:pt idx="22">
                  <c:v>0.974172893016946</c:v>
                </c:pt>
                <c:pt idx="23">
                  <c:v>0.974226403407692</c:v>
                </c:pt>
                <c:pt idx="24">
                  <c:v>0.974232779432657</c:v>
                </c:pt>
                <c:pt idx="25">
                  <c:v>0.974233539167239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ltest!$R$6</c:f>
              <c:strCache>
                <c:ptCount val="1"/>
                <c:pt idx="0">
                  <c:v>ETCShare@alpha0=0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ltest!$P$7:$P$32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ltest!$R$7:$R$32</c:f>
              <c:numCache>
                <c:formatCode>General</c:formatCode>
                <c:ptCount val="26"/>
                <c:pt idx="0">
                  <c:v>0</c:v>
                </c:pt>
                <c:pt idx="1">
                  <c:v>0.289050497374996</c:v>
                </c:pt>
                <c:pt idx="2">
                  <c:v>0.44881758605069</c:v>
                </c:pt>
                <c:pt idx="3">
                  <c:v>0.540024671773959</c:v>
                </c:pt>
                <c:pt idx="4">
                  <c:v>0.596196936447593</c:v>
                </c:pt>
                <c:pt idx="5">
                  <c:v>0.634914428740726</c:v>
                </c:pt>
                <c:pt idx="6">
                  <c:v>0.664870790688951</c:v>
                </c:pt>
                <c:pt idx="7">
                  <c:v>0.69009588108575</c:v>
                </c:pt>
                <c:pt idx="8">
                  <c:v>0.7123397642741</c:v>
                </c:pt>
                <c:pt idx="9">
                  <c:v>0.732328847420783</c:v>
                </c:pt>
                <c:pt idx="10">
                  <c:v>0.750375861487705</c:v>
                </c:pt>
                <c:pt idx="11">
                  <c:v>0.766648490340081</c:v>
                </c:pt>
                <c:pt idx="12">
                  <c:v>0.78127390242488</c:v>
                </c:pt>
                <c:pt idx="13">
                  <c:v>0.794372626093574</c:v>
                </c:pt>
                <c:pt idx="14">
                  <c:v>0.806065853968711</c:v>
                </c:pt>
                <c:pt idx="15">
                  <c:v>0.816474529732818</c:v>
                </c:pt>
                <c:pt idx="16">
                  <c:v>0.825716813909104</c:v>
                </c:pt>
                <c:pt idx="17">
                  <c:v>0.833905868840611</c:v>
                </c:pt>
                <c:pt idx="18">
                  <c:v>0.841148331522242</c:v>
                </c:pt>
                <c:pt idx="19">
                  <c:v>0.847543410627867</c:v>
                </c:pt>
                <c:pt idx="20">
                  <c:v>0.853182465448399</c:v>
                </c:pt>
                <c:pt idx="21">
                  <c:v>0.858148935099512</c:v>
                </c:pt>
                <c:pt idx="22">
                  <c:v>0.858148935099512</c:v>
                </c:pt>
                <c:pt idx="23">
                  <c:v>0.858148935099512</c:v>
                </c:pt>
                <c:pt idx="24">
                  <c:v>0.858148935099512</c:v>
                </c:pt>
                <c:pt idx="25">
                  <c:v>0.858148935099512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ltest!$S$6</c:f>
              <c:strCache>
                <c:ptCount val="1"/>
                <c:pt idx="0">
                  <c:v>ETCShare@NewbieShare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ltest!$P$7:$P$32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xVal>
          <c:yVal>
            <c:numRef>
              <c:f>ltest!$S$7:$S$32</c:f>
              <c:numCache>
                <c:formatCode>0.00</c:formatCode>
                <c:ptCount val="26"/>
                <c:pt idx="0">
                  <c:v>0</c:v>
                </c:pt>
                <c:pt idx="1">
                  <c:v>0.289050497374996</c:v>
                </c:pt>
                <c:pt idx="2">
                  <c:v>0.317561697806935</c:v>
                </c:pt>
                <c:pt idx="3">
                  <c:v>0.347510537807256</c:v>
                </c:pt>
                <c:pt idx="4">
                  <c:v>0.378716404808932</c:v>
                </c:pt>
                <c:pt idx="5">
                  <c:v>0.410959565941335</c:v>
                </c:pt>
                <c:pt idx="6">
                  <c:v>0.44398610945538</c:v>
                </c:pt>
                <c:pt idx="7">
                  <c:v>0.4775151752082</c:v>
                </c:pt>
                <c:pt idx="8">
                  <c:v>0.511248101946855</c:v>
                </c:pt>
                <c:pt idx="9">
                  <c:v>0.54487889237358</c:v>
                </c:pt>
                <c:pt idx="10">
                  <c:v>0.578105232884309</c:v>
                </c:pt>
                <c:pt idx="11">
                  <c:v>0.610639233949222</c:v>
                </c:pt>
                <c:pt idx="12">
                  <c:v>0.642217092957438</c:v>
                </c:pt>
                <c:pt idx="13">
                  <c:v>0.672607017067761</c:v>
                </c:pt>
                <c:pt idx="14">
                  <c:v>0.701614953615401</c:v>
                </c:pt>
                <c:pt idx="15">
                  <c:v>0.729087922349306</c:v>
                </c:pt>
                <c:pt idx="16">
                  <c:v>0.754914986867628</c:v>
                </c:pt>
                <c:pt idx="17">
                  <c:v>0.779026107779812</c:v>
                </c:pt>
                <c:pt idx="18">
                  <c:v>0.801389265114557</c:v>
                </c:pt>
                <c:pt idx="19">
                  <c:v>0.822006314213754</c:v>
                </c:pt>
                <c:pt idx="20">
                  <c:v>0.840908052285718</c:v>
                </c:pt>
                <c:pt idx="21">
                  <c:v>0.858148935099512</c:v>
                </c:pt>
                <c:pt idx="22">
                  <c:v>0.858148935099512</c:v>
                </c:pt>
                <c:pt idx="23">
                  <c:v>0.858148935099512</c:v>
                </c:pt>
                <c:pt idx="24">
                  <c:v>0.858148935099512</c:v>
                </c:pt>
                <c:pt idx="25">
                  <c:v>0.858148935099512</c:v>
                </c:pt>
              </c:numCache>
            </c:numRef>
          </c:yVal>
          <c:smooth val="1"/>
        </c:ser>
        <c:axId val="83071735"/>
        <c:axId val="85775399"/>
      </c:scatterChart>
      <c:valAx>
        <c:axId val="830717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Years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775399"/>
        <c:crossesAt val="0"/>
        <c:crossBetween val="midCat"/>
      </c:valAx>
      <c:valAx>
        <c:axId val="8577539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ETC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071735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Sheet4!$A$1:$A$10</c:f>
              <c:numCache>
                <c:formatCode>General</c:formatCode>
                <c:ptCount val="10"/>
                <c:pt idx="0">
                  <c:v>0.001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Sheet4!$B$1:$B$10</c:f>
              <c:numCache>
                <c:formatCode>General</c:formatCode>
                <c:ptCount val="10"/>
                <c:pt idx="0">
                  <c:v>1000</c:v>
                </c:pt>
                <c:pt idx="1">
                  <c:v>10</c:v>
                </c:pt>
                <c:pt idx="2">
                  <c:v>5</c:v>
                </c:pt>
                <c:pt idx="3">
                  <c:v>3.33333333333333</c:v>
                </c:pt>
                <c:pt idx="4">
                  <c:v>2</c:v>
                </c:pt>
                <c:pt idx="5">
                  <c:v>1.66666666666667</c:v>
                </c:pt>
                <c:pt idx="6">
                  <c:v>1.42857142857143</c:v>
                </c:pt>
                <c:pt idx="7">
                  <c:v>1.25</c:v>
                </c:pt>
                <c:pt idx="8">
                  <c:v>1.11111111111111</c:v>
                </c:pt>
                <c:pt idx="9">
                  <c:v>1</c:v>
                </c:pt>
              </c:numCache>
            </c:numRef>
          </c:yVal>
          <c:smooth val="1"/>
        </c:ser>
        <c:axId val="79631966"/>
        <c:axId val="5416447"/>
      </c:scatterChart>
      <c:valAx>
        <c:axId val="796319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16447"/>
        <c:crossesAt val="1"/>
        <c:crossBetween val="midCat"/>
      </c:valAx>
      <c:valAx>
        <c:axId val="5416447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631966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528480</xdr:colOff>
      <xdr:row>8</xdr:row>
      <xdr:rowOff>19080</xdr:rowOff>
    </xdr:from>
    <xdr:to>
      <xdr:col>11</xdr:col>
      <xdr:colOff>319680</xdr:colOff>
      <xdr:row>24</xdr:row>
      <xdr:rowOff>37800</xdr:rowOff>
    </xdr:to>
    <xdr:graphicFrame>
      <xdr:nvGraphicFramePr>
        <xdr:cNvPr id="1" name="Chart 1"/>
        <xdr:cNvGraphicFramePr/>
      </xdr:nvGraphicFramePr>
      <xdr:xfrm>
        <a:off x="2442960" y="1314360"/>
        <a:ext cx="489672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528480</xdr:colOff>
      <xdr:row>8</xdr:row>
      <xdr:rowOff>19080</xdr:rowOff>
    </xdr:from>
    <xdr:to>
      <xdr:col>11</xdr:col>
      <xdr:colOff>319680</xdr:colOff>
      <xdr:row>24</xdr:row>
      <xdr:rowOff>37800</xdr:rowOff>
    </xdr:to>
    <xdr:graphicFrame>
      <xdr:nvGraphicFramePr>
        <xdr:cNvPr id="3" name="Chart 1"/>
        <xdr:cNvGraphicFramePr/>
      </xdr:nvGraphicFramePr>
      <xdr:xfrm>
        <a:off x="2442960" y="1314360"/>
        <a:ext cx="489672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1" t="n">
        <v>1</v>
      </c>
      <c r="B2" s="1" t="n">
        <v>0</v>
      </c>
    </row>
    <row r="3" customFormat="false" ht="12.75" hidden="false" customHeight="false" outlineLevel="0" collapsed="false">
      <c r="A3" s="1" t="n">
        <v>2</v>
      </c>
      <c r="B3" s="1" t="n">
        <v>0.289050497374996</v>
      </c>
    </row>
    <row r="4" customFormat="false" ht="12.75" hidden="false" customHeight="false" outlineLevel="0" collapsed="false">
      <c r="A4" s="1" t="n">
        <v>3</v>
      </c>
      <c r="B4" s="1" t="n">
        <v>0.461670755542497</v>
      </c>
    </row>
    <row r="5" customFormat="false" ht="12.75" hidden="false" customHeight="false" outlineLevel="0" collapsed="false">
      <c r="A5" s="1" t="n">
        <v>4</v>
      </c>
      <c r="B5" s="1" t="n">
        <v>0.675624370691782</v>
      </c>
    </row>
    <row r="6" customFormat="false" ht="12.75" hidden="false" customHeight="false" outlineLevel="0" collapsed="false">
      <c r="A6" s="1" t="n">
        <v>5</v>
      </c>
      <c r="B6" s="1" t="n">
        <v>0.820856206826506</v>
      </c>
    </row>
    <row r="7" customFormat="false" ht="12.75" hidden="false" customHeight="false" outlineLevel="0" collapsed="false">
      <c r="A7" s="1" t="n">
        <v>6</v>
      </c>
      <c r="B7" s="1" t="n">
        <v>0.911790615044101</v>
      </c>
    </row>
    <row r="8" customFormat="false" ht="12.75" hidden="false" customHeight="false" outlineLevel="0" collapsed="false">
      <c r="A8" s="1" t="n">
        <v>7</v>
      </c>
      <c r="B8" s="1" t="n">
        <v>0.950504504527301</v>
      </c>
    </row>
    <row r="9" customFormat="false" ht="12.75" hidden="false" customHeight="false" outlineLevel="0" collapsed="false">
      <c r="A9" s="1" t="n">
        <v>8</v>
      </c>
      <c r="B9" s="1" t="n">
        <v>0.965050001497078</v>
      </c>
    </row>
    <row r="10" customFormat="false" ht="12.75" hidden="false" customHeight="false" outlineLevel="0" collapsed="false">
      <c r="A10" s="1" t="n">
        <v>9</v>
      </c>
      <c r="B10" s="1" t="n">
        <v>0.969909158301099</v>
      </c>
    </row>
    <row r="11" customFormat="false" ht="12.75" hidden="false" customHeight="false" outlineLevel="0" collapsed="false">
      <c r="A11" s="1" t="n">
        <v>10</v>
      </c>
      <c r="B11" s="1" t="n">
        <v>0.971517337454963</v>
      </c>
    </row>
    <row r="12" customFormat="false" ht="12.75" hidden="false" customHeight="false" outlineLevel="0" collapsed="false">
      <c r="A12" s="1" t="n">
        <v>11</v>
      </c>
      <c r="B12" s="1" t="n">
        <v>0.972037515685118</v>
      </c>
    </row>
    <row r="13" customFormat="false" ht="12.75" hidden="false" customHeight="false" outlineLevel="0" collapsed="false">
      <c r="A13" s="1" t="n">
        <v>12</v>
      </c>
      <c r="B13" s="1" t="n">
        <v>0.972206502614806</v>
      </c>
    </row>
    <row r="14" customFormat="false" ht="12.75" hidden="false" customHeight="false" outlineLevel="0" collapsed="false">
      <c r="A14" s="1" t="n">
        <v>13</v>
      </c>
      <c r="B14" s="1" t="n">
        <v>0.972261084835044</v>
      </c>
    </row>
    <row r="15" customFormat="false" ht="12.75" hidden="false" customHeight="false" outlineLevel="0" collapsed="false">
      <c r="A15" s="1" t="n">
        <v>14</v>
      </c>
      <c r="B15" s="1" t="n">
        <v>0.972278758539336</v>
      </c>
    </row>
    <row r="16" customFormat="false" ht="12.75" hidden="false" customHeight="false" outlineLevel="0" collapsed="false">
      <c r="A16" s="1" t="n">
        <v>15</v>
      </c>
      <c r="B16" s="1" t="n">
        <v>0.97228447077681</v>
      </c>
    </row>
    <row r="17" customFormat="false" ht="12.75" hidden="false" customHeight="false" outlineLevel="0" collapsed="false">
      <c r="A17" s="1" t="n">
        <v>16</v>
      </c>
      <c r="B17" s="1" t="n">
        <v>0.97228631886669</v>
      </c>
    </row>
    <row r="18" customFormat="false" ht="12.75" hidden="false" customHeight="false" outlineLevel="0" collapsed="false">
      <c r="A18" s="1" t="n">
        <v>17</v>
      </c>
      <c r="B18" s="1" t="n">
        <v>0.97228691639555</v>
      </c>
    </row>
    <row r="19" customFormat="false" ht="12.75" hidden="false" customHeight="false" outlineLevel="0" collapsed="false">
      <c r="A19" s="1" t="n">
        <v>18</v>
      </c>
      <c r="B19" s="1" t="n">
        <v>0.972287109663797</v>
      </c>
    </row>
    <row r="20" customFormat="false" ht="12.75" hidden="false" customHeight="false" outlineLevel="0" collapsed="false">
      <c r="A20" s="1" t="n">
        <v>19</v>
      </c>
      <c r="B20" s="1" t="n">
        <v>0.972287172160897</v>
      </c>
    </row>
    <row r="21" customFormat="false" ht="12.75" hidden="false" customHeight="false" outlineLevel="0" collapsed="false">
      <c r="A21" s="1" t="n">
        <v>20</v>
      </c>
      <c r="B21" s="1" t="n">
        <v>0.972287192373433</v>
      </c>
    </row>
    <row r="22" customFormat="false" ht="12.75" hidden="false" customHeight="false" outlineLevel="0" collapsed="false">
      <c r="A22" s="1" t="n">
        <v>21</v>
      </c>
      <c r="B22" s="1" t="n">
        <v>0.972287198909917</v>
      </c>
    </row>
    <row r="23" customFormat="false" ht="12.75" hidden="false" customHeight="false" outlineLevel="0" collapsed="false">
      <c r="A23" s="1" t="n">
        <v>22</v>
      </c>
      <c r="B23" s="1" t="n">
        <v>0.972287201023846</v>
      </c>
    </row>
    <row r="24" customFormat="false" ht="12.75" hidden="false" customHeight="false" outlineLevel="0" collapsed="false">
      <c r="A24" s="1" t="n">
        <v>23</v>
      </c>
      <c r="B24" s="1" t="n">
        <v>0.972287201707478</v>
      </c>
    </row>
    <row r="25" customFormat="false" ht="12.75" hidden="false" customHeight="false" outlineLevel="0" collapsed="false">
      <c r="A25" s="1" t="n">
        <v>24</v>
      </c>
      <c r="B25" s="1" t="n">
        <v>0.972287201928565</v>
      </c>
    </row>
    <row r="26" customFormat="false" ht="12.75" hidden="false" customHeight="false" outlineLevel="0" collapsed="false">
      <c r="A26" s="1" t="n">
        <v>25</v>
      </c>
      <c r="B26" s="1" t="n">
        <v>0.972287202000064</v>
      </c>
    </row>
    <row r="27" customFormat="false" ht="12.75" hidden="false" customHeight="false" outlineLevel="0" collapsed="false">
      <c r="A27" s="1" t="n">
        <v>26</v>
      </c>
      <c r="B27" s="1" t="n">
        <v>0.972287202023187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E34" activeCellId="0" sqref="E34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" min="6" style="1" width="13.28"/>
    <col collapsed="false" customWidth="true" hidden="false" outlineLevel="0" max="7" min="7" style="1" width="11.99"/>
    <col collapsed="false" customWidth="true" hidden="false" outlineLevel="0" max="9" min="8" style="1" width="10.56"/>
  </cols>
  <sheetData>
    <row r="1" customFormat="false" ht="12.75" hidden="false" customHeight="false" outlineLevel="0" collapsed="false">
      <c r="B1" s="1" t="s">
        <v>2</v>
      </c>
      <c r="C1" s="1" t="n">
        <v>-0.03</v>
      </c>
      <c r="E1" s="1" t="s">
        <v>3</v>
      </c>
      <c r="F1" s="1" t="n">
        <v>0.4167</v>
      </c>
      <c r="Q1" s="1" t="s">
        <v>4</v>
      </c>
    </row>
    <row r="2" customFormat="false" ht="12.75" hidden="false" customHeight="false" outlineLevel="0" collapsed="false">
      <c r="B2" s="1" t="s">
        <v>5</v>
      </c>
      <c r="C2" s="1" t="n">
        <v>-0.14</v>
      </c>
      <c r="Q2" s="1" t="s">
        <v>6</v>
      </c>
    </row>
    <row r="3" customFormat="false" ht="12.75" hidden="false" customHeight="false" outlineLevel="0" collapsed="false">
      <c r="B3" s="1" t="s">
        <v>7</v>
      </c>
      <c r="C3" s="1" t="n">
        <v>-2.7</v>
      </c>
    </row>
    <row r="4" customFormat="false" ht="12.75" hidden="false" customHeight="false" outlineLevel="0" collapsed="false">
      <c r="B4" s="1" t="s">
        <v>8</v>
      </c>
      <c r="C4" s="1" t="n">
        <f aca="false">0.84</f>
        <v>0.84</v>
      </c>
    </row>
    <row r="5" customFormat="false" ht="12.75" hidden="false" customHeight="false" outlineLevel="0" collapsed="false">
      <c r="H5" s="1" t="s">
        <v>9</v>
      </c>
      <c r="J5" s="1" t="s">
        <v>10</v>
      </c>
    </row>
    <row r="6" customFormat="false" ht="12.75" hidden="false" customHeight="false" outlineLevel="0" collapsed="false">
      <c r="A6" s="1" t="s">
        <v>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21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</row>
    <row r="7" customFormat="false" ht="12.75" hidden="false" customHeight="false" outlineLevel="0" collapsed="false">
      <c r="A7" s="1" t="n">
        <v>1</v>
      </c>
      <c r="B7" s="1" t="n">
        <v>0</v>
      </c>
      <c r="C7" s="1" t="n">
        <v>2</v>
      </c>
      <c r="D7" s="1" t="n">
        <v>60</v>
      </c>
      <c r="E7" s="1" t="n">
        <v>2</v>
      </c>
      <c r="F7" s="2" t="n">
        <v>0</v>
      </c>
      <c r="G7" s="2" t="n">
        <v>1</v>
      </c>
      <c r="H7" s="2" t="n">
        <v>1</v>
      </c>
      <c r="I7" s="2" t="n">
        <f aca="false">EXP(alpha0+alpha1*TimeETC+alpha2*PriceETC)/(EXP(alpha1*TimeMAN+alpha2*PriceMAN)+EXP(alpha0+alpha1*TimeETC+alpha2*PriceETC))</f>
        <v>0.289050497374996</v>
      </c>
      <c r="J7" s="2" t="n">
        <f aca="false">alphanought*K7*L7</f>
        <v>-2.7</v>
      </c>
      <c r="K7" s="1" t="n">
        <v>1</v>
      </c>
      <c r="L7" s="2" t="n">
        <v>1</v>
      </c>
      <c r="M7" s="1" t="n">
        <v>1</v>
      </c>
      <c r="N7" s="2" t="n">
        <f aca="false">EXP(alpha1*TimeETC+alpha2*PriceETC)/(EXP(alpha1*TimeMAN+alpha2*PriceMAN)+EXP(alpha1*TimeETC+alpha2*PriceETC))</f>
        <v>0.858148935099512</v>
      </c>
      <c r="O7" s="2" t="n">
        <f aca="false">I7</f>
        <v>0.289050497374996</v>
      </c>
      <c r="P7" s="1" t="n">
        <v>1</v>
      </c>
      <c r="Q7" s="1" t="n">
        <v>0</v>
      </c>
      <c r="R7" s="1" t="n">
        <v>0</v>
      </c>
      <c r="S7" s="3" t="n">
        <v>0</v>
      </c>
    </row>
    <row r="8" customFormat="false" ht="12.75" hidden="false" customHeight="false" outlineLevel="0" collapsed="false">
      <c r="A8" s="1" t="n">
        <f aca="false">A7+1</f>
        <v>2</v>
      </c>
      <c r="B8" s="1" t="n">
        <v>0</v>
      </c>
      <c r="C8" s="1" t="n">
        <v>2</v>
      </c>
      <c r="D8" s="1" t="n">
        <v>60</v>
      </c>
      <c r="E8" s="1" t="n">
        <v>2</v>
      </c>
      <c r="F8" s="2" t="n">
        <f aca="false">F7*H7*survive+(G7+(1-survive)*F7)*I7</f>
        <v>0.289050497374996</v>
      </c>
      <c r="G8" s="2" t="n">
        <f aca="false">1-F8</f>
        <v>0.710949502625004</v>
      </c>
      <c r="H8" s="2" t="n">
        <v>1</v>
      </c>
      <c r="I8" s="2" t="n">
        <f aca="false">EXP(alpha0+alpha1*TimeETC+alpha2*PriceETC)/(EXP(alpha1*TimeMAN+alpha2*PriceMAN)+EXP(alpha0+alpha1*TimeETC+alpha2*PriceETC))</f>
        <v>0.289050497374996</v>
      </c>
      <c r="J8" s="2" t="n">
        <f aca="false">alphanought*K8*L8</f>
        <v>-2.7</v>
      </c>
      <c r="K8" s="2" t="n">
        <f aca="false">G7^2</f>
        <v>1</v>
      </c>
      <c r="L8" s="2" t="n">
        <f aca="false">(1/G7)^1</f>
        <v>1</v>
      </c>
      <c r="M8" s="1" t="n">
        <v>1</v>
      </c>
      <c r="N8" s="2" t="n">
        <f aca="false">EXP(alpha1*TimeETC+alpha2*PriceETC)/(EXP(alpha1*TimeMAN+alpha2*PriceMAN)+EXP(alpha1*TimeETC+alpha2*PriceETC))</f>
        <v>0.858148935099512</v>
      </c>
      <c r="O8" s="2" t="n">
        <f aca="false">I8</f>
        <v>0.289050497374996</v>
      </c>
      <c r="P8" s="1" t="n">
        <f aca="false">P7+1</f>
        <v>2</v>
      </c>
      <c r="Q8" s="1" t="n">
        <v>0.289050497374996</v>
      </c>
      <c r="R8" s="1" t="n">
        <v>0.289050497374996</v>
      </c>
      <c r="S8" s="3" t="n">
        <v>0.289050497374996</v>
      </c>
    </row>
    <row r="9" customFormat="false" ht="12.75" hidden="false" customHeight="false" outlineLevel="0" collapsed="false">
      <c r="A9" s="1" t="n">
        <f aca="false">A8+1</f>
        <v>3</v>
      </c>
      <c r="B9" s="1" t="n">
        <v>0</v>
      </c>
      <c r="C9" s="1" t="n">
        <v>2</v>
      </c>
      <c r="D9" s="1" t="n">
        <v>60</v>
      </c>
      <c r="E9" s="1" t="n">
        <v>2</v>
      </c>
      <c r="F9" s="2" t="n">
        <f aca="false">F8*H8*survive+(G8+(1-survive)*F8)*I8</f>
        <v>0.461670755542497</v>
      </c>
      <c r="G9" s="2" t="n">
        <f aca="false">1-F9</f>
        <v>0.538329244457503</v>
      </c>
      <c r="H9" s="2" t="n">
        <v>1</v>
      </c>
      <c r="I9" s="2" t="n">
        <f aca="false">EXP(alpha0+alpha1*TimeETC+alpha2*PriceETC)/(EXP(alpha1*TimeMAN+alpha2*PriceMAN)+EXP(alpha0+alpha1*TimeETC+alpha2*PriceETC))</f>
        <v>0.470144643614935</v>
      </c>
      <c r="J9" s="2" t="n">
        <f aca="false">alphanought*K9*L9</f>
        <v>-1.91956365708751</v>
      </c>
      <c r="K9" s="2" t="n">
        <f aca="false">G8^2</f>
        <v>0.505449195282741</v>
      </c>
      <c r="L9" s="2" t="n">
        <f aca="false">(1/G8)^1</f>
        <v>1.4065696597406</v>
      </c>
      <c r="M9" s="1" t="n">
        <v>1</v>
      </c>
      <c r="N9" s="2" t="n">
        <f aca="false">EXP(alpha1*TimeETC+alpha2*PriceETC)/(EXP(alpha1*TimeMAN+alpha2*PriceMAN)+EXP(alpha1*TimeETC+alpha2*PriceETC))</f>
        <v>0.858148935099512</v>
      </c>
      <c r="O9" s="2" t="n">
        <f aca="false">I9</f>
        <v>0.470144643614935</v>
      </c>
      <c r="P9" s="1" t="n">
        <f aca="false">P8+1</f>
        <v>3</v>
      </c>
      <c r="Q9" s="1" t="n">
        <v>0.483259367575324</v>
      </c>
      <c r="R9" s="1" t="n">
        <v>0.44881758605069</v>
      </c>
      <c r="S9" s="3" t="n">
        <v>0.317561697806935</v>
      </c>
    </row>
    <row r="10" customFormat="false" ht="12.75" hidden="false" customHeight="false" outlineLevel="0" collapsed="false">
      <c r="A10" s="1" t="n">
        <f aca="false">A9+1</f>
        <v>4</v>
      </c>
      <c r="B10" s="1" t="n">
        <v>0</v>
      </c>
      <c r="C10" s="1" t="n">
        <v>2</v>
      </c>
      <c r="D10" s="1" t="n">
        <v>60</v>
      </c>
      <c r="E10" s="1" t="n">
        <v>2</v>
      </c>
      <c r="F10" s="2" t="n">
        <f aca="false">F9*H9*survive+(G9+(1-survive)*F9)*I9</f>
        <v>0.675624370691782</v>
      </c>
      <c r="G10" s="2" t="n">
        <f aca="false">1-F10</f>
        <v>0.324375629308218</v>
      </c>
      <c r="H10" s="2" t="n">
        <v>1</v>
      </c>
      <c r="I10" s="2" t="n">
        <f aca="false">EXP(alpha0+alpha1*TimeETC+alpha2*PriceETC)/(EXP(alpha1*TimeMAN+alpha2*PriceMAN)+EXP(alpha0+alpha1*TimeETC+alpha2*PriceETC))</f>
        <v>0.585771260294002</v>
      </c>
      <c r="J10" s="2" t="n">
        <f aca="false">alphanought*K10*L10</f>
        <v>-1.45348896003526</v>
      </c>
      <c r="K10" s="2" t="n">
        <f aca="false">G9^2</f>
        <v>0.289798375438186</v>
      </c>
      <c r="L10" s="2" t="n">
        <f aca="false">(1/G9)^1</f>
        <v>1.8575992485932</v>
      </c>
      <c r="M10" s="1" t="n">
        <v>1</v>
      </c>
      <c r="N10" s="2" t="n">
        <f aca="false">EXP(alpha1*TimeETC+alpha2*PriceETC)/(EXP(alpha1*TimeMAN+alpha2*PriceMAN)+EXP(alpha1*TimeETC+alpha2*PriceETC))</f>
        <v>0.858148935099512</v>
      </c>
      <c r="O10" s="2" t="n">
        <f aca="false">I10</f>
        <v>0.585771260294002</v>
      </c>
      <c r="P10" s="1" t="n">
        <f aca="false">P9+1</f>
        <v>4</v>
      </c>
      <c r="Q10" s="1" t="n">
        <v>0.612380719480272</v>
      </c>
      <c r="R10" s="1" t="n">
        <v>0.540024671773959</v>
      </c>
      <c r="S10" s="3" t="n">
        <v>0.347510537807256</v>
      </c>
    </row>
    <row r="11" customFormat="false" ht="12.75" hidden="false" customHeight="false" outlineLevel="0" collapsed="false">
      <c r="A11" s="1" t="n">
        <f aca="false">A10+1</f>
        <v>5</v>
      </c>
      <c r="B11" s="1" t="n">
        <v>0</v>
      </c>
      <c r="C11" s="1" t="n">
        <v>2</v>
      </c>
      <c r="D11" s="1" t="n">
        <v>60</v>
      </c>
      <c r="E11" s="1" t="n">
        <v>2</v>
      </c>
      <c r="F11" s="2" t="n">
        <f aca="false">F10*H10*survive+(G10+(1-survive)*F10)*I10</f>
        <v>0.820856206826506</v>
      </c>
      <c r="G11" s="2" t="n">
        <f aca="false">1-F11</f>
        <v>0.179143793173494</v>
      </c>
      <c r="H11" s="2" t="n">
        <v>1</v>
      </c>
      <c r="I11" s="2" t="n">
        <f aca="false">EXP(alpha0+alpha1*TimeETC+alpha2*PriceETC)/(EXP(alpha1*TimeMAN+alpha2*PriceMAN)+EXP(alpha0+alpha1*TimeETC+alpha2*PriceETC))</f>
        <v>0.715894223224485</v>
      </c>
      <c r="J11" s="2" t="n">
        <f aca="false">alphanought*K11*L11</f>
        <v>-0.875814199132189</v>
      </c>
      <c r="K11" s="2" t="n">
        <f aca="false">G10^2</f>
        <v>0.105219548889102</v>
      </c>
      <c r="L11" s="2" t="n">
        <f aca="false">(1/G10)^1</f>
        <v>3.08284565684746</v>
      </c>
      <c r="M11" s="1" t="n">
        <v>1</v>
      </c>
      <c r="N11" s="2" t="n">
        <f aca="false">EXP(alpha1*TimeETC+alpha2*PriceETC)/(EXP(alpha1*TimeMAN+alpha2*PriceMAN)+EXP(alpha1*TimeETC+alpha2*PriceETC))</f>
        <v>0.858148935099512</v>
      </c>
      <c r="O11" s="2" t="n">
        <f aca="false">I11</f>
        <v>0.715894223224485</v>
      </c>
      <c r="P11" s="1" t="n">
        <f aca="false">P10+1</f>
        <v>5</v>
      </c>
      <c r="Q11" s="1" t="n">
        <v>0.698304564629425</v>
      </c>
      <c r="R11" s="1" t="n">
        <v>0.596196936447593</v>
      </c>
      <c r="S11" s="3" t="n">
        <v>0.378716404808932</v>
      </c>
    </row>
    <row r="12" customFormat="false" ht="12.75" hidden="false" customHeight="false" outlineLevel="0" collapsed="false">
      <c r="A12" s="1" t="n">
        <f aca="false">A11+1</f>
        <v>6</v>
      </c>
      <c r="B12" s="1" t="n">
        <v>0</v>
      </c>
      <c r="C12" s="1" t="n">
        <v>2</v>
      </c>
      <c r="D12" s="1" t="n">
        <v>60</v>
      </c>
      <c r="E12" s="1" t="n">
        <v>2</v>
      </c>
      <c r="F12" s="2" t="n">
        <f aca="false">F11*H11*survive+(G11+(1-survive)*F11)*I11</f>
        <v>0.911790615044101</v>
      </c>
      <c r="G12" s="2" t="n">
        <f aca="false">1-F12</f>
        <v>0.088209384955899</v>
      </c>
      <c r="H12" s="2" t="n">
        <v>1</v>
      </c>
      <c r="I12" s="2" t="n">
        <f aca="false">EXP(alpha0+alpha1*TimeETC+alpha2*PriceETC)/(EXP(alpha1*TimeMAN+alpha2*PriceMAN)+EXP(alpha0+alpha1*TimeETC+alpha2*PriceETC))</f>
        <v>0.788567424759203</v>
      </c>
      <c r="J12" s="2" t="n">
        <f aca="false">alphanought*K12*L12</f>
        <v>-0.483688241568433</v>
      </c>
      <c r="K12" s="2" t="n">
        <f aca="false">G11^2</f>
        <v>0.0320924986325875</v>
      </c>
      <c r="L12" s="2" t="n">
        <f aca="false">(1/G11)^1</f>
        <v>5.58210799428334</v>
      </c>
      <c r="M12" s="1" t="n">
        <v>1</v>
      </c>
      <c r="N12" s="2" t="n">
        <f aca="false">EXP(alpha1*TimeETC+alpha2*PriceETC)/(EXP(alpha1*TimeMAN+alpha2*PriceMAN)+EXP(alpha1*TimeETC+alpha2*PriceETC))</f>
        <v>0.858148935099512</v>
      </c>
      <c r="O12" s="2" t="n">
        <f aca="false">I12</f>
        <v>0.788567424759203</v>
      </c>
      <c r="P12" s="1" t="n">
        <f aca="false">P11+1</f>
        <v>6</v>
      </c>
      <c r="Q12" s="1" t="n">
        <v>0.756476449979084</v>
      </c>
      <c r="R12" s="1" t="n">
        <v>0.634914428740726</v>
      </c>
      <c r="S12" s="3" t="n">
        <v>0.410959565941335</v>
      </c>
    </row>
    <row r="13" customFormat="false" ht="12.75" hidden="false" customHeight="false" outlineLevel="0" collapsed="false">
      <c r="A13" s="1" t="n">
        <f aca="false">A12+1</f>
        <v>7</v>
      </c>
      <c r="B13" s="1" t="n">
        <v>0</v>
      </c>
      <c r="C13" s="1" t="n">
        <v>2</v>
      </c>
      <c r="D13" s="1" t="n">
        <v>60</v>
      </c>
      <c r="E13" s="1" t="n">
        <v>2</v>
      </c>
      <c r="F13" s="2" t="n">
        <f aca="false">F12*H12*survive+(G12+(1-survive)*F12)*I12</f>
        <v>0.950504504527301</v>
      </c>
      <c r="G13" s="2" t="n">
        <f aca="false">1-F13</f>
        <v>0.0494954954726987</v>
      </c>
      <c r="H13" s="2" t="n">
        <v>1</v>
      </c>
      <c r="I13" s="2" t="n">
        <f aca="false">EXP(alpha0+alpha1*TimeETC+alpha2*PriceETC)/(EXP(alpha1*TimeMAN+alpha2*PriceMAN)+EXP(alpha0+alpha1*TimeETC+alpha2*PriceETC))</f>
        <v>0.826616457227505</v>
      </c>
      <c r="J13" s="2" t="n">
        <f aca="false">alphanought*K13*L13</f>
        <v>-0.238165339380927</v>
      </c>
      <c r="K13" s="2" t="n">
        <f aca="false">G12^2</f>
        <v>0.00778089559429799</v>
      </c>
      <c r="L13" s="2" t="n">
        <f aca="false">(1/G12)^1</f>
        <v>11.3366621986987</v>
      </c>
      <c r="M13" s="1" t="n">
        <v>1</v>
      </c>
      <c r="N13" s="2" t="n">
        <f aca="false">EXP(alpha1*TimeETC+alpha2*PriceETC)/(EXP(alpha1*TimeMAN+alpha2*PriceMAN)+EXP(alpha1*TimeETC+alpha2*PriceETC))</f>
        <v>0.858148935099512</v>
      </c>
      <c r="O13" s="2" t="n">
        <f aca="false">I13</f>
        <v>0.826616457227505</v>
      </c>
      <c r="P13" s="1" t="n">
        <f aca="false">P12+1</f>
        <v>7</v>
      </c>
      <c r="Q13" s="1" t="n">
        <v>0.797299697264313</v>
      </c>
      <c r="R13" s="1" t="n">
        <v>0.664870790688951</v>
      </c>
      <c r="S13" s="3" t="n">
        <v>0.44398610945538</v>
      </c>
    </row>
    <row r="14" customFormat="false" ht="12.75" hidden="false" customHeight="false" outlineLevel="0" collapsed="false">
      <c r="A14" s="1" t="n">
        <f aca="false">A13+1</f>
        <v>8</v>
      </c>
      <c r="B14" s="1" t="n">
        <v>0</v>
      </c>
      <c r="C14" s="1" t="n">
        <v>2</v>
      </c>
      <c r="D14" s="1" t="n">
        <v>60</v>
      </c>
      <c r="E14" s="1" t="n">
        <v>2</v>
      </c>
      <c r="F14" s="2" t="n">
        <f aca="false">F13*H13*survive+(G13+(1-survive)*F13)*I13</f>
        <v>0.965050001497078</v>
      </c>
      <c r="G14" s="2" t="n">
        <f aca="false">1-F14</f>
        <v>0.0349499985029219</v>
      </c>
      <c r="H14" s="2" t="n">
        <v>1</v>
      </c>
      <c r="I14" s="2" t="n">
        <f aca="false">EXP(alpha0+alpha1*TimeETC+alpha2*PriceETC)/(EXP(alpha1*TimeMAN+alpha2*PriceMAN)+EXP(alpha0+alpha1*TimeETC+alpha2*PriceETC))</f>
        <v>0.841090200051029</v>
      </c>
      <c r="J14" s="2" t="n">
        <f aca="false">alphanought*K14*L14</f>
        <v>-0.133637837776287</v>
      </c>
      <c r="K14" s="2" t="n">
        <f aca="false">G13^2</f>
        <v>0.00244980407208794</v>
      </c>
      <c r="L14" s="2" t="n">
        <f aca="false">(1/G13)^1</f>
        <v>20.203858764311</v>
      </c>
      <c r="M14" s="1" t="n">
        <v>1</v>
      </c>
      <c r="N14" s="2" t="n">
        <f aca="false">EXP(alpha1*TimeETC+alpha2*PriceETC)/(EXP(alpha1*TimeMAN+alpha2*PriceMAN)+EXP(alpha1*TimeETC+alpha2*PriceETC))</f>
        <v>0.858148935099512</v>
      </c>
      <c r="O14" s="2" t="n">
        <f aca="false">I14</f>
        <v>0.841090200051029</v>
      </c>
      <c r="P14" s="1" t="n">
        <f aca="false">P13+1</f>
        <v>8</v>
      </c>
      <c r="Q14" s="1" t="n">
        <v>0.827439849018828</v>
      </c>
      <c r="R14" s="1" t="n">
        <v>0.69009588108575</v>
      </c>
      <c r="S14" s="3" t="n">
        <v>0.4775151752082</v>
      </c>
    </row>
    <row r="15" customFormat="false" ht="12.75" hidden="false" customHeight="false" outlineLevel="0" collapsed="false">
      <c r="A15" s="1" t="n">
        <f aca="false">A14+1</f>
        <v>9</v>
      </c>
      <c r="B15" s="1" t="n">
        <v>0</v>
      </c>
      <c r="C15" s="1" t="n">
        <v>2</v>
      </c>
      <c r="D15" s="1" t="n">
        <v>60</v>
      </c>
      <c r="E15" s="1" t="n">
        <v>2</v>
      </c>
      <c r="F15" s="2" t="n">
        <f aca="false">F14*H14*survive+(G14+(1-survive)*F14)*I14</f>
        <v>0.969909158301099</v>
      </c>
      <c r="G15" s="2" t="n">
        <f aca="false">1-F15</f>
        <v>0.030090841698901</v>
      </c>
      <c r="H15" s="2" t="n">
        <v>1</v>
      </c>
      <c r="I15" s="2" t="n">
        <f aca="false">EXP(alpha0+alpha1*TimeETC+alpha2*PriceETC)/(EXP(alpha1*TimeMAN+alpha2*PriceMAN)+EXP(alpha0+alpha1*TimeETC+alpha2*PriceETC))</f>
        <v>0.846269266685706</v>
      </c>
      <c r="J15" s="2" t="n">
        <f aca="false">alphanought*K15*L15</f>
        <v>-0.0943649959578892</v>
      </c>
      <c r="K15" s="2" t="n">
        <f aca="false">G14^2</f>
        <v>0.00122150239535424</v>
      </c>
      <c r="L15" s="2" t="n">
        <f aca="false">(1/G14)^1</f>
        <v>28.6123045160187</v>
      </c>
      <c r="M15" s="1" t="n">
        <v>1</v>
      </c>
      <c r="N15" s="2" t="n">
        <f aca="false">EXP(alpha1*TimeETC+alpha2*PriceETC)/(EXP(alpha1*TimeMAN+alpha2*PriceMAN)+EXP(alpha1*TimeETC+alpha2*PriceETC))</f>
        <v>0.858148935099512</v>
      </c>
      <c r="O15" s="2" t="n">
        <f aca="false">I15</f>
        <v>0.846269266685706</v>
      </c>
      <c r="P15" s="1" t="n">
        <f aca="false">P14+1</f>
        <v>9</v>
      </c>
      <c r="Q15" s="1" t="n">
        <v>0.850954851202373</v>
      </c>
      <c r="R15" s="1" t="n">
        <v>0.7123397642741</v>
      </c>
      <c r="S15" s="3" t="n">
        <v>0.511248101946855</v>
      </c>
    </row>
    <row r="16" customFormat="false" ht="12.75" hidden="false" customHeight="false" outlineLevel="0" collapsed="false">
      <c r="A16" s="1" t="n">
        <f aca="false">A15+1</f>
        <v>10</v>
      </c>
      <c r="B16" s="1" t="n">
        <v>0</v>
      </c>
      <c r="C16" s="1" t="n">
        <v>2</v>
      </c>
      <c r="D16" s="1" t="n">
        <v>60</v>
      </c>
      <c r="E16" s="1" t="n">
        <v>2</v>
      </c>
      <c r="F16" s="2" t="n">
        <f aca="false">F15*H15*survive+(G15+(1-survive)*F15)*I15</f>
        <v>0.971517337454963</v>
      </c>
      <c r="G16" s="2" t="n">
        <f aca="false">1-F16</f>
        <v>0.0284826625450368</v>
      </c>
      <c r="H16" s="2" t="n">
        <v>1</v>
      </c>
      <c r="I16" s="2" t="n">
        <f aca="false">EXP(alpha0+alpha1*TimeETC+alpha2*PriceETC)/(EXP(alpha1*TimeMAN+alpha2*PriceMAN)+EXP(alpha0+alpha1*TimeETC+alpha2*PriceETC))</f>
        <v>0.847968367827524</v>
      </c>
      <c r="J16" s="2" t="n">
        <f aca="false">alphanought*K16*L16</f>
        <v>-0.0812452725870326</v>
      </c>
      <c r="K16" s="2" t="n">
        <f aca="false">G15^2</f>
        <v>0.000905458754148318</v>
      </c>
      <c r="L16" s="2" t="n">
        <f aca="false">(1/G15)^1</f>
        <v>33.2327028272035</v>
      </c>
      <c r="M16" s="1" t="n">
        <v>1</v>
      </c>
      <c r="N16" s="2" t="n">
        <f aca="false">EXP(alpha1*TimeETC+alpha2*PriceETC)/(EXP(alpha1*TimeMAN+alpha2*PriceMAN)+EXP(alpha1*TimeETC+alpha2*PriceETC))</f>
        <v>0.858148935099512</v>
      </c>
      <c r="O16" s="2" t="n">
        <f aca="false">I16</f>
        <v>0.847968367827524</v>
      </c>
      <c r="P16" s="1" t="n">
        <f aca="false">P15+1</f>
        <v>10</v>
      </c>
      <c r="Q16" s="1" t="n">
        <v>0.870200404485792</v>
      </c>
      <c r="R16" s="1" t="n">
        <v>0.732328847420783</v>
      </c>
      <c r="S16" s="3" t="n">
        <v>0.54487889237358</v>
      </c>
    </row>
    <row r="17" customFormat="false" ht="12.75" hidden="false" customHeight="false" outlineLevel="0" collapsed="false">
      <c r="A17" s="1" t="n">
        <f aca="false">A16+1</f>
        <v>11</v>
      </c>
      <c r="B17" s="1" t="n">
        <v>0</v>
      </c>
      <c r="C17" s="1" t="n">
        <v>2</v>
      </c>
      <c r="D17" s="1" t="n">
        <v>60</v>
      </c>
      <c r="E17" s="1" t="n">
        <v>2</v>
      </c>
      <c r="F17" s="2" t="n">
        <f aca="false">F16*H16*survive+(G16+(1-survive)*F16)*I16</f>
        <v>0.972037515685118</v>
      </c>
      <c r="G17" s="2" t="n">
        <f aca="false">1-F17</f>
        <v>0.0279624843148816</v>
      </c>
      <c r="H17" s="2" t="n">
        <v>1</v>
      </c>
      <c r="I17" s="2" t="n">
        <f aca="false">EXP(alpha0+alpha1*TimeETC+alpha2*PriceETC)/(EXP(alpha1*TimeMAN+alpha2*PriceMAN)+EXP(alpha0+alpha1*TimeETC+alpha2*PriceETC))</f>
        <v>0.84852729527506</v>
      </c>
      <c r="J17" s="2" t="n">
        <f aca="false">alphanought*K17*L17</f>
        <v>-0.0769031888715995</v>
      </c>
      <c r="K17" s="2" t="n">
        <f aca="false">G16^2</f>
        <v>0.000811262065654445</v>
      </c>
      <c r="L17" s="2" t="n">
        <f aca="false">(1/G16)^1</f>
        <v>35.1090772647676</v>
      </c>
      <c r="M17" s="1" t="n">
        <v>1</v>
      </c>
      <c r="N17" s="2" t="n">
        <f aca="false">EXP(alpha1*TimeETC+alpha2*PriceETC)/(EXP(alpha1*TimeMAN+alpha2*PriceMAN)+EXP(alpha1*TimeETC+alpha2*PriceETC))</f>
        <v>0.858148935099512</v>
      </c>
      <c r="O17" s="2" t="n">
        <f aca="false">I17</f>
        <v>0.84852729527506</v>
      </c>
      <c r="P17" s="1" t="n">
        <f aca="false">P16+1</f>
        <v>11</v>
      </c>
      <c r="Q17" s="1" t="n">
        <v>0.8864969503597</v>
      </c>
      <c r="R17" s="1" t="n">
        <v>0.750375861487705</v>
      </c>
      <c r="S17" s="3" t="n">
        <v>0.578105232884309</v>
      </c>
    </row>
    <row r="18" customFormat="false" ht="12.75" hidden="false" customHeight="false" outlineLevel="0" collapsed="false">
      <c r="A18" s="1" t="n">
        <f aca="false">A17+1</f>
        <v>12</v>
      </c>
      <c r="B18" s="1" t="n">
        <v>0</v>
      </c>
      <c r="C18" s="1" t="n">
        <v>2</v>
      </c>
      <c r="D18" s="1" t="n">
        <v>60</v>
      </c>
      <c r="E18" s="1" t="n">
        <v>2</v>
      </c>
      <c r="F18" s="2" t="n">
        <f aca="false">F17*H17*survive+(G17+(1-survive)*F17)*I17</f>
        <v>0.972206502614806</v>
      </c>
      <c r="G18" s="2" t="n">
        <f aca="false">1-F18</f>
        <v>0.0277934973851937</v>
      </c>
      <c r="H18" s="2" t="n">
        <v>1</v>
      </c>
      <c r="I18" s="2" t="n">
        <f aca="false">EXP(alpha0+alpha1*TimeETC+alpha2*PriceETC)/(EXP(alpha1*TimeMAN+alpha2*PriceMAN)+EXP(alpha0+alpha1*TimeETC+alpha2*PriceETC))</f>
        <v>0.848707723105871</v>
      </c>
      <c r="J18" s="2" t="n">
        <f aca="false">alphanought*K18*L18</f>
        <v>-0.0754987076501803</v>
      </c>
      <c r="K18" s="2" t="n">
        <f aca="false">G17^2</f>
        <v>0.000781900529059998</v>
      </c>
      <c r="L18" s="2" t="n">
        <f aca="false">(1/G17)^1</f>
        <v>35.7622015533077</v>
      </c>
      <c r="M18" s="1" t="n">
        <v>1</v>
      </c>
      <c r="N18" s="2" t="n">
        <f aca="false">EXP(alpha1*TimeETC+alpha2*PriceETC)/(EXP(alpha1*TimeMAN+alpha2*PriceMAN)+EXP(alpha1*TimeETC+alpha2*PriceETC))</f>
        <v>0.858148935099512</v>
      </c>
      <c r="O18" s="2" t="n">
        <f aca="false">I18</f>
        <v>0.848707723105871</v>
      </c>
      <c r="P18" s="1" t="n">
        <f aca="false">P17+1</f>
        <v>12</v>
      </c>
      <c r="Q18" s="1" t="n">
        <v>0.900579624571956</v>
      </c>
      <c r="R18" s="1" t="n">
        <v>0.766648490340081</v>
      </c>
      <c r="S18" s="3" t="n">
        <v>0.610639233949222</v>
      </c>
    </row>
    <row r="19" customFormat="false" ht="12.75" hidden="false" customHeight="false" outlineLevel="0" collapsed="false">
      <c r="A19" s="1" t="n">
        <f aca="false">A18+1</f>
        <v>13</v>
      </c>
      <c r="B19" s="1" t="n">
        <v>0</v>
      </c>
      <c r="C19" s="1" t="n">
        <v>2</v>
      </c>
      <c r="D19" s="1" t="n">
        <v>60</v>
      </c>
      <c r="E19" s="1" t="n">
        <v>2</v>
      </c>
      <c r="F19" s="2" t="n">
        <f aca="false">F18*H18*survive+(G18+(1-survive)*F18)*I18</f>
        <v>0.972261084835044</v>
      </c>
      <c r="G19" s="2" t="n">
        <f aca="false">1-F19</f>
        <v>0.0277389151649565</v>
      </c>
      <c r="H19" s="2" t="n">
        <v>1</v>
      </c>
      <c r="I19" s="2" t="n">
        <f aca="false">EXP(alpha0+alpha1*TimeETC+alpha2*PriceETC)/(EXP(alpha1*TimeMAN+alpha2*PriceMAN)+EXP(alpha0+alpha1*TimeETC+alpha2*PriceETC))</f>
        <v>0.848766299508004</v>
      </c>
      <c r="J19" s="2" t="n">
        <f aca="false">alphanought*K19*L19</f>
        <v>-0.0750424429400229</v>
      </c>
      <c r="K19" s="2" t="n">
        <f aca="false">G18^2</f>
        <v>0.000772478496900767</v>
      </c>
      <c r="L19" s="2" t="n">
        <f aca="false">(1/G18)^1</f>
        <v>35.9796389112486</v>
      </c>
      <c r="M19" s="1" t="n">
        <v>1</v>
      </c>
      <c r="N19" s="2" t="n">
        <f aca="false">EXP(alpha1*TimeETC+alpha2*PriceETC)/(EXP(alpha1*TimeMAN+alpha2*PriceMAN)+EXP(alpha1*TimeETC+alpha2*PriceETC))</f>
        <v>0.858148935099512</v>
      </c>
      <c r="O19" s="2" t="n">
        <f aca="false">I19</f>
        <v>0.848766299508004</v>
      </c>
      <c r="P19" s="1" t="n">
        <f aca="false">P18+1</f>
        <v>13</v>
      </c>
      <c r="Q19" s="1" t="n">
        <v>0.912875169683667</v>
      </c>
      <c r="R19" s="1" t="n">
        <v>0.78127390242488</v>
      </c>
      <c r="S19" s="3" t="n">
        <v>0.642217092957438</v>
      </c>
    </row>
    <row r="20" customFormat="false" ht="12.75" hidden="false" customHeight="false" outlineLevel="0" collapsed="false">
      <c r="A20" s="1" t="n">
        <f aca="false">A19+1</f>
        <v>14</v>
      </c>
      <c r="B20" s="1" t="n">
        <v>0</v>
      </c>
      <c r="C20" s="1" t="n">
        <v>2</v>
      </c>
      <c r="D20" s="1" t="n">
        <v>60</v>
      </c>
      <c r="E20" s="1" t="n">
        <v>2</v>
      </c>
      <c r="F20" s="2" t="n">
        <f aca="false">F19*H19*survive+(G19+(1-survive)*F19)*I19</f>
        <v>0.972278758539336</v>
      </c>
      <c r="G20" s="2" t="n">
        <f aca="false">1-F20</f>
        <v>0.0277212414606645</v>
      </c>
      <c r="H20" s="2" t="n">
        <v>1</v>
      </c>
      <c r="I20" s="2" t="n">
        <f aca="false">EXP(alpha0+alpha1*TimeETC+alpha2*PriceETC)/(EXP(alpha1*TimeMAN+alpha2*PriceMAN)+EXP(alpha0+alpha1*TimeETC+alpha2*PriceETC))</f>
        <v>0.848785215509763</v>
      </c>
      <c r="J20" s="2" t="n">
        <f aca="false">alphanought*K20*L20</f>
        <v>-0.0748950709453826</v>
      </c>
      <c r="K20" s="2" t="n">
        <f aca="false">G19^2</f>
        <v>0.000769447414528655</v>
      </c>
      <c r="L20" s="2" t="n">
        <f aca="false">(1/G19)^1</f>
        <v>36.05043650962</v>
      </c>
      <c r="M20" s="1" t="n">
        <v>1</v>
      </c>
      <c r="N20" s="2" t="n">
        <f aca="false">EXP(alpha1*TimeETC+alpha2*PriceETC)/(EXP(alpha1*TimeMAN+alpha2*PriceMAN)+EXP(alpha1*TimeETC+alpha2*PriceETC))</f>
        <v>0.858148935099512</v>
      </c>
      <c r="O20" s="2" t="n">
        <f aca="false">I20</f>
        <v>0.848785215509763</v>
      </c>
      <c r="P20" s="1" t="n">
        <f aca="false">P19+1</f>
        <v>14</v>
      </c>
      <c r="Q20" s="1" t="n">
        <v>0.923656913939669</v>
      </c>
      <c r="R20" s="1" t="n">
        <v>0.794372626093574</v>
      </c>
      <c r="S20" s="3" t="n">
        <v>0.672607017067761</v>
      </c>
    </row>
    <row r="21" customFormat="false" ht="12.75" hidden="false" customHeight="false" outlineLevel="0" collapsed="false">
      <c r="A21" s="1" t="n">
        <f aca="false">A20+1</f>
        <v>15</v>
      </c>
      <c r="B21" s="1" t="n">
        <v>0</v>
      </c>
      <c r="C21" s="1" t="n">
        <v>2</v>
      </c>
      <c r="D21" s="1" t="n">
        <v>60</v>
      </c>
      <c r="E21" s="1" t="n">
        <v>2</v>
      </c>
      <c r="F21" s="2" t="n">
        <f aca="false">F20*H20*survive+(G20+(1-survive)*F20)*I20</f>
        <v>0.97228447077681</v>
      </c>
      <c r="G21" s="2" t="n">
        <f aca="false">1-F21</f>
        <v>0.0277155292231899</v>
      </c>
      <c r="H21" s="2" t="n">
        <v>1</v>
      </c>
      <c r="I21" s="2" t="n">
        <f aca="false">EXP(alpha0+alpha1*TimeETC+alpha2*PriceETC)/(EXP(alpha1*TimeMAN+alpha2*PriceMAN)+EXP(alpha0+alpha1*TimeETC+alpha2*PriceETC))</f>
        <v>0.848791340087922</v>
      </c>
      <c r="J21" s="2" t="n">
        <f aca="false">alphanought*K21*L21</f>
        <v>-0.0748473519437941</v>
      </c>
      <c r="K21" s="2" t="n">
        <f aca="false">G20^2</f>
        <v>0.000768467228120462</v>
      </c>
      <c r="L21" s="2" t="n">
        <f aca="false">(1/G20)^1</f>
        <v>36.0734205002675</v>
      </c>
      <c r="M21" s="1" t="n">
        <v>1</v>
      </c>
      <c r="N21" s="2" t="n">
        <f aca="false">EXP(alpha1*TimeETC+alpha2*PriceETC)/(EXP(alpha1*TimeMAN+alpha2*PriceMAN)+EXP(alpha1*TimeETC+alpha2*PriceETC))</f>
        <v>0.858148935099512</v>
      </c>
      <c r="O21" s="2" t="n">
        <f aca="false">I21</f>
        <v>0.848791340087922</v>
      </c>
      <c r="P21" s="1" t="n">
        <f aca="false">P20+1</f>
        <v>15</v>
      </c>
      <c r="Q21" s="1" t="n">
        <v>0.93312349894725</v>
      </c>
      <c r="R21" s="1" t="n">
        <v>0.806065853968711</v>
      </c>
      <c r="S21" s="3" t="n">
        <v>0.701614953615401</v>
      </c>
    </row>
    <row r="22" customFormat="false" ht="12.75" hidden="false" customHeight="false" outlineLevel="0" collapsed="false">
      <c r="A22" s="1" t="n">
        <f aca="false">A21+1</f>
        <v>16</v>
      </c>
      <c r="B22" s="1" t="n">
        <v>0</v>
      </c>
      <c r="C22" s="1" t="n">
        <v>2</v>
      </c>
      <c r="D22" s="1" t="n">
        <v>60</v>
      </c>
      <c r="E22" s="1" t="n">
        <v>2</v>
      </c>
      <c r="F22" s="2" t="n">
        <f aca="false">F21*H21*survive+(G21+(1-survive)*F21)*I21</f>
        <v>0.97228631886669</v>
      </c>
      <c r="G22" s="2" t="n">
        <f aca="false">1-F22</f>
        <v>0.0277136811333102</v>
      </c>
      <c r="H22" s="2" t="n">
        <v>1</v>
      </c>
      <c r="I22" s="2" t="n">
        <f aca="false">EXP(alpha0+alpha1*TimeETC+alpha2*PriceETC)/(EXP(alpha1*TimeMAN+alpha2*PriceMAN)+EXP(alpha0+alpha1*TimeETC+alpha2*PriceETC))</f>
        <v>0.848793319541342</v>
      </c>
      <c r="J22" s="2" t="n">
        <f aca="false">alphanought*K22*L22</f>
        <v>-0.0748319289026127</v>
      </c>
      <c r="K22" s="2" t="n">
        <f aca="false">G21^2</f>
        <v>0.000768150560121492</v>
      </c>
      <c r="L22" s="2" t="n">
        <f aca="false">(1/G21)^1</f>
        <v>36.0808553193092</v>
      </c>
      <c r="M22" s="1" t="n">
        <v>1</v>
      </c>
      <c r="N22" s="2" t="n">
        <f aca="false">EXP(alpha1*TimeETC+alpha2*PriceETC)/(EXP(alpha1*TimeMAN+alpha2*PriceMAN)+EXP(alpha1*TimeETC+alpha2*PriceETC))</f>
        <v>0.858148935099512</v>
      </c>
      <c r="O22" s="2" t="n">
        <f aca="false">I22</f>
        <v>0.848793319541342</v>
      </c>
      <c r="P22" s="1" t="n">
        <f aca="false">P21+1</f>
        <v>16</v>
      </c>
      <c r="Q22" s="1" t="n">
        <v>0.941435240025073</v>
      </c>
      <c r="R22" s="1" t="n">
        <v>0.816474529732818</v>
      </c>
      <c r="S22" s="3" t="n">
        <v>0.729087922349306</v>
      </c>
    </row>
    <row r="23" customFormat="false" ht="12.75" hidden="false" customHeight="false" outlineLevel="0" collapsed="false">
      <c r="A23" s="1" t="n">
        <f aca="false">A22+1</f>
        <v>17</v>
      </c>
      <c r="B23" s="1" t="n">
        <v>0</v>
      </c>
      <c r="C23" s="1" t="n">
        <v>2</v>
      </c>
      <c r="D23" s="1" t="n">
        <v>60</v>
      </c>
      <c r="E23" s="1" t="n">
        <v>2</v>
      </c>
      <c r="F23" s="2" t="n">
        <f aca="false">F22*H22*survive+(G22+(1-survive)*F22)*I22</f>
        <v>0.97228691639555</v>
      </c>
      <c r="G23" s="2" t="n">
        <f aca="false">1-F23</f>
        <v>0.0277130836044497</v>
      </c>
      <c r="H23" s="2" t="n">
        <v>1</v>
      </c>
      <c r="I23" s="2" t="n">
        <f aca="false">EXP(alpha0+alpha1*TimeETC+alpha2*PriceETC)/(EXP(alpha1*TimeMAN+alpha2*PriceMAN)+EXP(alpha0+alpha1*TimeETC+alpha2*PriceETC))</f>
        <v>0.848793959952705</v>
      </c>
      <c r="J23" s="2" t="n">
        <f aca="false">alphanought*K23*L23</f>
        <v>-0.0748269390599375</v>
      </c>
      <c r="K23" s="2" t="n">
        <f aca="false">G22^2</f>
        <v>0.000768048121958793</v>
      </c>
      <c r="L23" s="2" t="n">
        <f aca="false">(1/G22)^1</f>
        <v>36.0832613751213</v>
      </c>
      <c r="M23" s="1" t="n">
        <v>1</v>
      </c>
      <c r="N23" s="2" t="n">
        <f aca="false">EXP(alpha1*TimeETC+alpha2*PriceETC)/(EXP(alpha1*TimeMAN+alpha2*PriceMAN)+EXP(alpha1*TimeETC+alpha2*PriceETC))</f>
        <v>0.858148935099512</v>
      </c>
      <c r="O23" s="2" t="n">
        <f aca="false">I23</f>
        <v>0.848793959952705</v>
      </c>
      <c r="P23" s="1" t="n">
        <f aca="false">P22+1</f>
        <v>17</v>
      </c>
      <c r="Q23" s="1" t="n">
        <v>0.948729588126079</v>
      </c>
      <c r="R23" s="1" t="n">
        <v>0.825716813909104</v>
      </c>
      <c r="S23" s="3" t="n">
        <v>0.754914986867628</v>
      </c>
    </row>
    <row r="24" customFormat="false" ht="12.75" hidden="false" customHeight="false" outlineLevel="0" collapsed="false">
      <c r="A24" s="1" t="n">
        <f aca="false">A23+1</f>
        <v>18</v>
      </c>
      <c r="B24" s="1" t="n">
        <v>0</v>
      </c>
      <c r="C24" s="1" t="n">
        <v>2</v>
      </c>
      <c r="D24" s="1" t="n">
        <v>60</v>
      </c>
      <c r="E24" s="1" t="n">
        <v>2</v>
      </c>
      <c r="F24" s="2" t="n">
        <f aca="false">F23*H23*survive+(G23+(1-survive)*F23)*I23</f>
        <v>0.972287109663797</v>
      </c>
      <c r="G24" s="2" t="n">
        <f aca="false">1-F24</f>
        <v>0.0277128903362032</v>
      </c>
      <c r="H24" s="2" t="n">
        <v>1</v>
      </c>
      <c r="I24" s="2" t="n">
        <f aca="false">EXP(alpha0+alpha1*TimeETC+alpha2*PriceETC)/(EXP(alpha1*TimeMAN+alpha2*PriceMAN)+EXP(alpha0+alpha1*TimeETC+alpha2*PriceETC))</f>
        <v>0.848794167011569</v>
      </c>
      <c r="J24" s="2" t="n">
        <f aca="false">alphanought*K24*L24</f>
        <v>-0.0748253257320142</v>
      </c>
      <c r="K24" s="2" t="n">
        <f aca="false">G23^2</f>
        <v>0.000768015002867218</v>
      </c>
      <c r="L24" s="2" t="n">
        <f aca="false">(1/G23)^1</f>
        <v>36.0840393755186</v>
      </c>
      <c r="M24" s="1" t="n">
        <v>1</v>
      </c>
      <c r="N24" s="2" t="n">
        <f aca="false">EXP(alpha1*TimeETC+alpha2*PriceETC)/(EXP(alpha1*TimeMAN+alpha2*PriceMAN)+EXP(alpha1*TimeETC+alpha2*PriceETC))</f>
        <v>0.858148935099512</v>
      </c>
      <c r="O24" s="2" t="n">
        <f aca="false">I24</f>
        <v>0.848794167011569</v>
      </c>
      <c r="P24" s="1" t="n">
        <f aca="false">P23+1</f>
        <v>18</v>
      </c>
      <c r="Q24" s="1" t="n">
        <v>0.95512746237206</v>
      </c>
      <c r="R24" s="1" t="n">
        <v>0.833905868840611</v>
      </c>
      <c r="S24" s="3" t="n">
        <v>0.779026107779812</v>
      </c>
    </row>
    <row r="25" customFormat="false" ht="12.75" hidden="false" customHeight="false" outlineLevel="0" collapsed="false">
      <c r="A25" s="1" t="n">
        <f aca="false">A24+1</f>
        <v>19</v>
      </c>
      <c r="B25" s="1" t="n">
        <v>0</v>
      </c>
      <c r="C25" s="1" t="n">
        <v>2</v>
      </c>
      <c r="D25" s="1" t="n">
        <v>60</v>
      </c>
      <c r="E25" s="1" t="n">
        <v>2</v>
      </c>
      <c r="F25" s="2" t="n">
        <f aca="false">F24*H24*survive+(G24+(1-survive)*F24)*I24</f>
        <v>0.972287172160897</v>
      </c>
      <c r="G25" s="2" t="n">
        <f aca="false">1-F25</f>
        <v>0.0277128278391032</v>
      </c>
      <c r="H25" s="2" t="n">
        <v>1</v>
      </c>
      <c r="I25" s="2" t="n">
        <f aca="false">EXP(alpha0+alpha1*TimeETC+alpha2*PriceETC)/(EXP(alpha1*TimeMAN+alpha2*PriceMAN)+EXP(alpha0+alpha1*TimeETC+alpha2*PriceETC))</f>
        <v>0.848794233983855</v>
      </c>
      <c r="J25" s="2" t="n">
        <f aca="false">alphanought*K25*L25</f>
        <v>-0.0748248039077485</v>
      </c>
      <c r="K25" s="2" t="n">
        <f aca="false">G24^2</f>
        <v>0.000768004290786423</v>
      </c>
      <c r="L25" s="2" t="n">
        <f aca="false">(1/G24)^1</f>
        <v>36.0842910237203</v>
      </c>
      <c r="M25" s="1" t="n">
        <v>1</v>
      </c>
      <c r="N25" s="2" t="n">
        <f aca="false">EXP(alpha1*TimeETC+alpha2*PriceETC)/(EXP(alpha1*TimeMAN+alpha2*PriceMAN)+EXP(alpha1*TimeETC+alpha2*PriceETC))</f>
        <v>0.858148935099512</v>
      </c>
      <c r="O25" s="2" t="n">
        <f aca="false">I25</f>
        <v>0.848794233983855</v>
      </c>
      <c r="P25" s="1" t="n">
        <f aca="false">P24+1</f>
        <v>19</v>
      </c>
      <c r="Q25" s="1" t="n">
        <v>0.960736061571783</v>
      </c>
      <c r="R25" s="1" t="n">
        <v>0.841148331522242</v>
      </c>
      <c r="S25" s="3" t="n">
        <v>0.801389265114557</v>
      </c>
    </row>
    <row r="26" customFormat="false" ht="12.75" hidden="false" customHeight="false" outlineLevel="0" collapsed="false">
      <c r="A26" s="1" t="n">
        <f aca="false">A25+1</f>
        <v>20</v>
      </c>
      <c r="B26" s="1" t="n">
        <v>0</v>
      </c>
      <c r="C26" s="1" t="n">
        <v>2</v>
      </c>
      <c r="D26" s="1" t="n">
        <v>60</v>
      </c>
      <c r="E26" s="1" t="n">
        <v>2</v>
      </c>
      <c r="F26" s="2" t="n">
        <f aca="false">F25*H25*survive+(G25+(1-survive)*F25)*I25</f>
        <v>0.972287192373433</v>
      </c>
      <c r="G26" s="2" t="n">
        <f aca="false">1-F26</f>
        <v>0.0277128076265668</v>
      </c>
      <c r="H26" s="2" t="n">
        <v>1</v>
      </c>
      <c r="I26" s="2" t="n">
        <f aca="false">EXP(alpha0+alpha1*TimeETC+alpha2*PriceETC)/(EXP(alpha1*TimeMAN+alpha2*PriceMAN)+EXP(alpha0+alpha1*TimeETC+alpha2*PriceETC))</f>
        <v>0.848794255640659</v>
      </c>
      <c r="J26" s="2" t="n">
        <f aca="false">alphanought*K26*L26</f>
        <v>-0.0748246351655787</v>
      </c>
      <c r="K26" s="2" t="n">
        <f aca="false">G25^2</f>
        <v>0.000768000826839775</v>
      </c>
      <c r="L26" s="2" t="n">
        <f aca="false">(1/G25)^1</f>
        <v>36.0843723998814</v>
      </c>
      <c r="M26" s="1" t="n">
        <v>1</v>
      </c>
      <c r="N26" s="2" t="n">
        <f aca="false">EXP(alpha1*TimeETC+alpha2*PriceETC)/(EXP(alpha1*TimeMAN+alpha2*PriceMAN)+EXP(alpha1*TimeETC+alpha2*PriceETC))</f>
        <v>0.858148935099512</v>
      </c>
      <c r="O26" s="2" t="n">
        <f aca="false">I26</f>
        <v>0.848794255640659</v>
      </c>
      <c r="P26" s="1" t="n">
        <f aca="false">P25+1</f>
        <v>20</v>
      </c>
      <c r="Q26" s="1" t="n">
        <v>0.96565047445397</v>
      </c>
      <c r="R26" s="1" t="n">
        <v>0.847543410627867</v>
      </c>
      <c r="S26" s="3" t="n">
        <v>0.822006314213754</v>
      </c>
    </row>
    <row r="27" customFormat="false" ht="12.75" hidden="false" customHeight="false" outlineLevel="0" collapsed="false">
      <c r="A27" s="1" t="n">
        <f aca="false">A26+1</f>
        <v>21</v>
      </c>
      <c r="B27" s="1" t="n">
        <v>0</v>
      </c>
      <c r="C27" s="1" t="n">
        <v>2</v>
      </c>
      <c r="D27" s="1" t="n">
        <v>60</v>
      </c>
      <c r="E27" s="1" t="n">
        <v>2</v>
      </c>
      <c r="F27" s="2" t="n">
        <f aca="false">F26*H26*survive+(G26+(1-survive)*F26)*I26</f>
        <v>0.972287198909917</v>
      </c>
      <c r="G27" s="2" t="n">
        <f aca="false">1-F27</f>
        <v>0.0277128010900829</v>
      </c>
      <c r="H27" s="2" t="n">
        <v>1</v>
      </c>
      <c r="I27" s="2" t="n">
        <f aca="false">EXP(alpha0+alpha1*TimeETC+alpha2*PriceETC)/(EXP(alpha1*TimeMAN+alpha2*PriceMAN)+EXP(alpha0+alpha1*TimeETC+alpha2*PriceETC))</f>
        <v>0.848794262644807</v>
      </c>
      <c r="J27" s="2" t="n">
        <f aca="false">alphanought*K27*L27</f>
        <v>-0.0748245805917304</v>
      </c>
      <c r="K27" s="2" t="n">
        <f aca="false">G26^2</f>
        <v>0.000767999706547099</v>
      </c>
      <c r="L27" s="2" t="n">
        <f aca="false">(1/G26)^1</f>
        <v>36.084398718279</v>
      </c>
      <c r="M27" s="1" t="n">
        <v>1</v>
      </c>
      <c r="N27" s="2" t="n">
        <f aca="false">EXP(alpha1*TimeETC+alpha2*PriceETC)/(EXP(alpha1*TimeMAN+alpha2*PriceMAN)+EXP(alpha1*TimeETC+alpha2*PriceETC))</f>
        <v>0.858148935099512</v>
      </c>
      <c r="O27" s="2" t="n">
        <f aca="false">I27</f>
        <v>0.848794262644807</v>
      </c>
      <c r="P27" s="1" t="n">
        <f aca="false">P26+1</f>
        <v>21</v>
      </c>
      <c r="Q27" s="1" t="n">
        <v>0.969954912711084</v>
      </c>
      <c r="R27" s="1" t="n">
        <v>0.853182465448399</v>
      </c>
      <c r="S27" s="3" t="n">
        <v>0.840908052285718</v>
      </c>
    </row>
    <row r="28" customFormat="false" ht="12.75" hidden="false" customHeight="false" outlineLevel="0" collapsed="false">
      <c r="A28" s="1" t="n">
        <f aca="false">A27+1</f>
        <v>22</v>
      </c>
      <c r="B28" s="1" t="n">
        <v>0</v>
      </c>
      <c r="C28" s="1" t="n">
        <v>2</v>
      </c>
      <c r="D28" s="1" t="n">
        <v>60</v>
      </c>
      <c r="E28" s="1" t="n">
        <v>2</v>
      </c>
      <c r="F28" s="2" t="n">
        <f aca="false">F27*H27*survive+(G27+(1-survive)*F27)*I27</f>
        <v>0.972287201023846</v>
      </c>
      <c r="G28" s="2" t="n">
        <f aca="false">1-F28</f>
        <v>0.0277127989761541</v>
      </c>
      <c r="H28" s="2" t="n">
        <v>1</v>
      </c>
      <c r="I28" s="2" t="n">
        <f aca="false">EXP(alpha0+alpha1*TimeETC+alpha2*PriceETC)/(EXP(alpha1*TimeMAN+alpha2*PriceMAN)+EXP(alpha0+alpha1*TimeETC+alpha2*PriceETC))</f>
        <v>0.848794264909861</v>
      </c>
      <c r="J28" s="2" t="n">
        <f aca="false">alphanought*K28*L28</f>
        <v>-0.0748245629432238</v>
      </c>
      <c r="K28" s="2" t="n">
        <f aca="false">G27^2</f>
        <v>0.0007679993442585</v>
      </c>
      <c r="L28" s="2" t="n">
        <f aca="false">(1/G27)^1</f>
        <v>36.084407229331</v>
      </c>
      <c r="M28" s="1" t="n">
        <v>1</v>
      </c>
      <c r="N28" s="2" t="n">
        <f aca="false">EXP(alpha1*TimeETC+alpha2*PriceETC)/(EXP(alpha1*TimeMAN+alpha2*PriceMAN)+EXP(alpha1*TimeETC+alpha2*PriceETC))</f>
        <v>0.858148935099512</v>
      </c>
      <c r="O28" s="2" t="n">
        <f aca="false">I28</f>
        <v>0.848794264909861</v>
      </c>
      <c r="P28" s="1" t="n">
        <f aca="false">P27+1</f>
        <v>22</v>
      </c>
      <c r="Q28" s="1" t="n">
        <v>0.973723810409275</v>
      </c>
      <c r="R28" s="1" t="n">
        <v>0.858148935099512</v>
      </c>
      <c r="S28" s="3" t="n">
        <v>0.858148935099512</v>
      </c>
    </row>
    <row r="29" customFormat="false" ht="12.75" hidden="false" customHeight="false" outlineLevel="0" collapsed="false">
      <c r="A29" s="1" t="n">
        <f aca="false">A28+1</f>
        <v>23</v>
      </c>
      <c r="B29" s="1" t="n">
        <v>0</v>
      </c>
      <c r="C29" s="1" t="n">
        <v>2</v>
      </c>
      <c r="D29" s="1" t="n">
        <v>60</v>
      </c>
      <c r="E29" s="1" t="n">
        <v>2</v>
      </c>
      <c r="F29" s="2" t="n">
        <f aca="false">F28*H28*survive+(G28+(1-survive)*F28)*I28</f>
        <v>0.972287201707478</v>
      </c>
      <c r="G29" s="2" t="n">
        <f aca="false">1-F29</f>
        <v>0.0277127982925217</v>
      </c>
      <c r="H29" s="2" t="n">
        <v>1</v>
      </c>
      <c r="I29" s="2" t="n">
        <f aca="false">EXP(alpha0+alpha1*TimeETC+alpha2*PriceETC)/(EXP(alpha1*TimeMAN+alpha2*PriceMAN)+EXP(alpha0+alpha1*TimeETC+alpha2*PriceETC))</f>
        <v>0.84879426564239</v>
      </c>
      <c r="J29" s="2" t="n">
        <f aca="false">alphanought*K29*L29</f>
        <v>-0.074824557235616</v>
      </c>
      <c r="K29" s="2" t="n">
        <f aca="false">G28^2</f>
        <v>0.000767999227092727</v>
      </c>
      <c r="L29" s="2" t="n">
        <f aca="false">(1/G28)^1</f>
        <v>36.0844099818451</v>
      </c>
      <c r="M29" s="1" t="n">
        <v>1</v>
      </c>
      <c r="N29" s="2" t="n">
        <f aca="false">EXP(alpha1*TimeETC+alpha2*PriceETC)/(EXP(alpha1*TimeMAN+alpha2*PriceMAN)+EXP(alpha1*TimeETC+alpha2*PriceETC))</f>
        <v>0.858148935099512</v>
      </c>
      <c r="O29" s="2" t="n">
        <f aca="false">I29</f>
        <v>0.84879426564239</v>
      </c>
      <c r="P29" s="1" t="n">
        <f aca="false">P28+1</f>
        <v>23</v>
      </c>
      <c r="Q29" s="1" t="n">
        <v>0.974172893016946</v>
      </c>
      <c r="R29" s="1" t="n">
        <v>0.858148935099512</v>
      </c>
      <c r="S29" s="3" t="n">
        <v>0.858148935099512</v>
      </c>
    </row>
    <row r="30" customFormat="false" ht="12.75" hidden="false" customHeight="false" outlineLevel="0" collapsed="false">
      <c r="A30" s="1" t="n">
        <f aca="false">A29+1</f>
        <v>24</v>
      </c>
      <c r="B30" s="1" t="n">
        <v>0</v>
      </c>
      <c r="C30" s="1" t="n">
        <v>2</v>
      </c>
      <c r="D30" s="1" t="n">
        <v>60</v>
      </c>
      <c r="E30" s="1" t="n">
        <v>2</v>
      </c>
      <c r="F30" s="2" t="n">
        <f aca="false">F29*H29*survive+(G29+(1-survive)*F29)*I29</f>
        <v>0.972287201928565</v>
      </c>
      <c r="G30" s="2" t="n">
        <f aca="false">1-F30</f>
        <v>0.0277127980714347</v>
      </c>
      <c r="H30" s="2" t="n">
        <v>1</v>
      </c>
      <c r="I30" s="2" t="n">
        <f aca="false">EXP(alpha0+alpha1*TimeETC+alpha2*PriceETC)/(EXP(alpha1*TimeMAN+alpha2*PriceMAN)+EXP(alpha0+alpha1*TimeETC+alpha2*PriceETC))</f>
        <v>0.848794265879286</v>
      </c>
      <c r="J30" s="2" t="n">
        <f aca="false">alphanought*K30*L30</f>
        <v>-0.0748245553898086</v>
      </c>
      <c r="K30" s="2" t="n">
        <f aca="false">G29^2</f>
        <v>0.000767999189201994</v>
      </c>
      <c r="L30" s="2" t="n">
        <f aca="false">(1/G29)^1</f>
        <v>36.0844108719923</v>
      </c>
      <c r="M30" s="1" t="n">
        <v>1</v>
      </c>
      <c r="N30" s="2" t="n">
        <f aca="false">EXP(alpha1*TimeETC+alpha2*PriceETC)/(EXP(alpha1*TimeMAN+alpha2*PriceMAN)+EXP(alpha1*TimeETC+alpha2*PriceETC))</f>
        <v>0.858148935099512</v>
      </c>
      <c r="O30" s="2" t="n">
        <f aca="false">I30</f>
        <v>0.848794265879286</v>
      </c>
      <c r="P30" s="1" t="n">
        <f aca="false">P29+1</f>
        <v>24</v>
      </c>
      <c r="Q30" s="1" t="n">
        <v>0.974226403407692</v>
      </c>
      <c r="R30" s="1" t="n">
        <v>0.858148935099512</v>
      </c>
      <c r="S30" s="3" t="n">
        <v>0.858148935099512</v>
      </c>
    </row>
    <row r="31" customFormat="false" ht="12.75" hidden="false" customHeight="false" outlineLevel="0" collapsed="false">
      <c r="A31" s="1" t="n">
        <f aca="false">A30+1</f>
        <v>25</v>
      </c>
      <c r="B31" s="1" t="n">
        <v>0</v>
      </c>
      <c r="C31" s="1" t="n">
        <v>2</v>
      </c>
      <c r="D31" s="1" t="n">
        <v>60</v>
      </c>
      <c r="E31" s="1" t="n">
        <v>2</v>
      </c>
      <c r="F31" s="2" t="n">
        <f aca="false">F30*H30*survive+(G30+(1-survive)*F30)*I30</f>
        <v>0.972287202000064</v>
      </c>
      <c r="G31" s="2" t="n">
        <f aca="false">1-F31</f>
        <v>0.0277127979999359</v>
      </c>
      <c r="H31" s="2" t="n">
        <v>1</v>
      </c>
      <c r="I31" s="2" t="n">
        <f aca="false">EXP(alpha0+alpha1*TimeETC+alpha2*PriceETC)/(EXP(alpha1*TimeMAN+alpha2*PriceMAN)+EXP(alpha0+alpha1*TimeETC+alpha2*PriceETC))</f>
        <v>0.848794265955898</v>
      </c>
      <c r="J31" s="2" t="n">
        <f aca="false">alphanought*K31*L31</f>
        <v>-0.0748245547928736</v>
      </c>
      <c r="K31" s="2" t="n">
        <f aca="false">G30^2</f>
        <v>0.000767999176948113</v>
      </c>
      <c r="L31" s="2" t="n">
        <f aca="false">(1/G30)^1</f>
        <v>36.0844111598664</v>
      </c>
      <c r="M31" s="1" t="n">
        <v>1</v>
      </c>
      <c r="N31" s="2" t="n">
        <f aca="false">EXP(alpha1*TimeETC+alpha2*PriceETC)/(EXP(alpha1*TimeMAN+alpha2*PriceMAN)+EXP(alpha1*TimeETC+alpha2*PriceETC))</f>
        <v>0.858148935099512</v>
      </c>
      <c r="O31" s="2" t="n">
        <f aca="false">I31</f>
        <v>0.848794265955898</v>
      </c>
      <c r="P31" s="1" t="n">
        <f aca="false">P30+1</f>
        <v>25</v>
      </c>
      <c r="Q31" s="1" t="n">
        <v>0.974232779432657</v>
      </c>
      <c r="R31" s="1" t="n">
        <v>0.858148935099512</v>
      </c>
      <c r="S31" s="3" t="n">
        <v>0.858148935099512</v>
      </c>
    </row>
    <row r="32" customFormat="false" ht="12.75" hidden="false" customHeight="false" outlineLevel="0" collapsed="false">
      <c r="A32" s="1" t="n">
        <f aca="false">A31+1</f>
        <v>26</v>
      </c>
      <c r="B32" s="1" t="n">
        <v>0</v>
      </c>
      <c r="C32" s="1" t="n">
        <v>2</v>
      </c>
      <c r="D32" s="1" t="n">
        <v>60</v>
      </c>
      <c r="E32" s="1" t="n">
        <v>2</v>
      </c>
      <c r="F32" s="2" t="n">
        <f aca="false">F31*H31*survive+(G31+(1-survive)*F31)*I31</f>
        <v>0.972287202023187</v>
      </c>
      <c r="G32" s="2" t="n">
        <f aca="false">1-F32</f>
        <v>0.027712797976813</v>
      </c>
      <c r="H32" s="2" t="n">
        <v>1</v>
      </c>
      <c r="I32" s="2" t="n">
        <f aca="false">EXP(alpha0+alpha1*TimeETC+alpha2*PriceETC)/(EXP(alpha1*TimeMAN+alpha2*PriceMAN)+EXP(alpha0+alpha1*TimeETC+alpha2*PriceETC))</f>
        <v>0.848794265980674</v>
      </c>
      <c r="J32" s="2" t="n">
        <f aca="false">alphanought*K32*L32</f>
        <v>-0.0748245545998268</v>
      </c>
      <c r="K32" s="2" t="n">
        <f aca="false">G31^2</f>
        <v>0.000767999172985249</v>
      </c>
      <c r="L32" s="2" t="n">
        <f aca="false">(1/G31)^1</f>
        <v>36.0844112529639</v>
      </c>
      <c r="M32" s="1" t="n">
        <v>1</v>
      </c>
      <c r="N32" s="2" t="n">
        <f aca="false">EXP(alpha1*TimeETC+alpha2*PriceETC)/(EXP(alpha1*TimeMAN+alpha2*PriceMAN)+EXP(alpha1*TimeETC+alpha2*PriceETC))</f>
        <v>0.858148935099512</v>
      </c>
      <c r="O32" s="2" t="n">
        <f aca="false">I32</f>
        <v>0.848794265980674</v>
      </c>
      <c r="P32" s="1" t="n">
        <f aca="false">P31+1</f>
        <v>26</v>
      </c>
      <c r="Q32" s="1" t="n">
        <v>0.974233539167239</v>
      </c>
      <c r="R32" s="1" t="n">
        <v>0.858148935099512</v>
      </c>
      <c r="S32" s="3" t="n">
        <v>0.858148935099512</v>
      </c>
    </row>
    <row r="33" customFormat="false" ht="12.75" hidden="false" customHeight="false" outlineLevel="0" collapsed="false">
      <c r="F3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" min="6" style="1" width="13.28"/>
    <col collapsed="false" customWidth="true" hidden="false" outlineLevel="0" max="7" min="7" style="1" width="11.99"/>
    <col collapsed="false" customWidth="true" hidden="false" outlineLevel="0" max="9" min="8" style="1" width="10.56"/>
  </cols>
  <sheetData>
    <row r="1" customFormat="false" ht="12.75" hidden="false" customHeight="false" outlineLevel="0" collapsed="false">
      <c r="B1" s="1" t="s">
        <v>2</v>
      </c>
      <c r="C1" s="1" t="n">
        <v>-0.03</v>
      </c>
    </row>
    <row r="2" customFormat="false" ht="12.75" hidden="false" customHeight="false" outlineLevel="0" collapsed="false">
      <c r="B2" s="1" t="s">
        <v>5</v>
      </c>
      <c r="C2" s="1" t="n">
        <v>-0.14</v>
      </c>
    </row>
    <row r="3" customFormat="false" ht="12.75" hidden="false" customHeight="false" outlineLevel="0" collapsed="false">
      <c r="B3" s="1" t="s">
        <v>7</v>
      </c>
      <c r="C3" s="1" t="n">
        <v>-2.7</v>
      </c>
    </row>
    <row r="4" customFormat="false" ht="12.75" hidden="false" customHeight="false" outlineLevel="0" collapsed="false">
      <c r="B4" s="1" t="s">
        <v>8</v>
      </c>
      <c r="C4" s="1" t="n">
        <f aca="false">0.84^(1/365)</f>
        <v>0.999522433558447</v>
      </c>
    </row>
    <row r="5" customFormat="false" ht="12.75" hidden="false" customHeight="false" outlineLevel="0" collapsed="false">
      <c r="F5" s="1" t="s">
        <v>26</v>
      </c>
      <c r="H5" s="1" t="s">
        <v>9</v>
      </c>
    </row>
    <row r="6" customFormat="false" ht="12.75" hidden="false" customHeight="false" outlineLevel="0" collapsed="false">
      <c r="A6" s="1" t="s">
        <v>27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28</v>
      </c>
      <c r="G6" s="1" t="s">
        <v>29</v>
      </c>
      <c r="H6" s="1" t="s">
        <v>16</v>
      </c>
      <c r="I6" s="1" t="s">
        <v>17</v>
      </c>
      <c r="J6" s="1" t="s">
        <v>18</v>
      </c>
    </row>
    <row r="7" customFormat="false" ht="12.75" hidden="false" customHeight="false" outlineLevel="0" collapsed="false">
      <c r="A7" s="1" t="n">
        <v>1</v>
      </c>
      <c r="B7" s="1" t="n">
        <v>0</v>
      </c>
      <c r="C7" s="1" t="n">
        <v>2</v>
      </c>
      <c r="D7" s="1" t="n">
        <v>60</v>
      </c>
      <c r="E7" s="1" t="n">
        <v>2</v>
      </c>
      <c r="F7" s="3" t="n">
        <v>0</v>
      </c>
      <c r="G7" s="3" t="n">
        <v>1</v>
      </c>
      <c r="H7" s="2" t="n">
        <v>1</v>
      </c>
      <c r="I7" s="2" t="n">
        <f aca="false">EXP(alpha0+alpha1*TimeETC+alpha2*PriceETC)/(EXP(alpha1*TimeMAN+alpha2*PriceMAN)+EXP(alpha0+alpha1*TimeETC+alpha2*PriceETC))</f>
        <v>0.289050497374996</v>
      </c>
      <c r="J7" s="1" t="n">
        <f aca="false">alphanought</f>
        <v>-2.7</v>
      </c>
      <c r="K7" s="2" t="n">
        <f aca="false">EXP(alpha1*TimeETC+alpha2*PriceETC)/(EXP(alpha1*TimeMAN+alpha2*PriceMAN)+EXP(alpha1*TimeETC+alpha2*PriceETC))</f>
        <v>0.858148935099512</v>
      </c>
    </row>
    <row r="8" customFormat="false" ht="12.75" hidden="false" customHeight="false" outlineLevel="0" collapsed="false">
      <c r="A8" s="1" t="n">
        <f aca="false">A7+1</f>
        <v>2</v>
      </c>
      <c r="B8" s="1" t="n">
        <v>0</v>
      </c>
      <c r="C8" s="1" t="n">
        <v>2</v>
      </c>
      <c r="D8" s="1" t="n">
        <v>60</v>
      </c>
      <c r="E8" s="1" t="n">
        <v>2</v>
      </c>
      <c r="F8" s="3" t="n">
        <f aca="false">F7*H7*survive+(G7+(1-survive)*F7)*I7</f>
        <v>0.289050497374996</v>
      </c>
      <c r="G8" s="3" t="n">
        <f aca="false">1-F8</f>
        <v>0.710949502625004</v>
      </c>
      <c r="H8" s="2" t="n">
        <v>1</v>
      </c>
      <c r="I8" s="2" t="n">
        <f aca="false">EXP(alpha0+alpha1*TimeETC+alpha2*PriceETC)/(EXP(alpha1*TimeMAN+alpha2*PriceMAN)+EXP(alpha0+alpha1*TimeETC+alpha2*PriceETC))</f>
        <v>0.289050497374996</v>
      </c>
      <c r="J8" s="1" t="n">
        <f aca="false">alphanought</f>
        <v>-2.7</v>
      </c>
    </row>
    <row r="9" customFormat="false" ht="12.75" hidden="false" customHeight="false" outlineLevel="0" collapsed="false">
      <c r="A9" s="1" t="n">
        <f aca="false">A8+1</f>
        <v>3</v>
      </c>
      <c r="B9" s="1" t="n">
        <v>0</v>
      </c>
      <c r="C9" s="1" t="n">
        <v>2</v>
      </c>
      <c r="D9" s="1" t="n">
        <v>60</v>
      </c>
      <c r="E9" s="1" t="n">
        <v>2</v>
      </c>
      <c r="F9" s="3" t="n">
        <f aca="false">F8*H8*survive+(G8+(1-survive)*F8)*I8</f>
        <v>0.494452664666744</v>
      </c>
      <c r="G9" s="3" t="n">
        <f aca="false">1-F9</f>
        <v>0.505547335333256</v>
      </c>
      <c r="H9" s="2" t="n">
        <v>1</v>
      </c>
      <c r="I9" s="2" t="n">
        <f aca="false">EXP(alpha0+alpha1*TimeETC+alpha2*PriceETC)/(EXP(alpha1*TimeMAN+alpha2*PriceMAN)+EXP(alpha0+alpha1*TimeETC+alpha2*PriceETC))</f>
        <v>0.289050497374996</v>
      </c>
      <c r="J9" s="1" t="n">
        <f aca="false">alphanought</f>
        <v>-2.7</v>
      </c>
    </row>
    <row r="10" customFormat="false" ht="12.75" hidden="false" customHeight="false" outlineLevel="0" collapsed="false">
      <c r="A10" s="1" t="n">
        <f aca="false">A9+1</f>
        <v>4</v>
      </c>
      <c r="B10" s="1" t="n">
        <v>0</v>
      </c>
      <c r="C10" s="1" t="n">
        <v>2</v>
      </c>
      <c r="D10" s="1" t="n">
        <v>60</v>
      </c>
      <c r="E10" s="1" t="n">
        <v>2</v>
      </c>
      <c r="F10" s="3" t="n">
        <f aca="false">F9*H9*survive+(G9+(1-survive)*F9)*I9</f>
        <v>0.64041349404187</v>
      </c>
      <c r="G10" s="3" t="n">
        <f aca="false">1-F10</f>
        <v>0.35958650595813</v>
      </c>
      <c r="H10" s="2" t="n">
        <v>1</v>
      </c>
      <c r="I10" s="2" t="n">
        <f aca="false">EXP(alpha0+alpha1*TimeETC+alpha2*PriceETC)/(EXP(alpha1*TimeMAN+alpha2*PriceMAN)+EXP(alpha0+alpha1*TimeETC+alpha2*PriceETC))</f>
        <v>0.289050497374996</v>
      </c>
      <c r="J10" s="1" t="n">
        <f aca="false">alphanought</f>
        <v>-2.7</v>
      </c>
    </row>
    <row r="11" customFormat="false" ht="12.75" hidden="false" customHeight="false" outlineLevel="0" collapsed="false">
      <c r="A11" s="1" t="n">
        <f aca="false">A10+1</f>
        <v>5</v>
      </c>
      <c r="B11" s="1" t="n">
        <v>0</v>
      </c>
      <c r="C11" s="1" t="n">
        <v>2</v>
      </c>
      <c r="D11" s="1" t="n">
        <v>60</v>
      </c>
      <c r="E11" s="1" t="n">
        <v>2</v>
      </c>
      <c r="F11" s="3" t="n">
        <f aca="false">F10*H10*survive+(G10+(1-survive)*F10)*I10</f>
        <v>0.744134715647163</v>
      </c>
      <c r="G11" s="3" t="n">
        <f aca="false">1-F11</f>
        <v>0.255865284352837</v>
      </c>
      <c r="H11" s="2" t="n">
        <v>1</v>
      </c>
      <c r="I11" s="2" t="n">
        <f aca="false">EXP(alpha0+alpha1*TimeETC+alpha2*PriceETC)/(EXP(alpha1*TimeMAN+alpha2*PriceMAN)+EXP(alpha0+alpha1*TimeETC+alpha2*PriceETC))</f>
        <v>0.289050497374996</v>
      </c>
      <c r="J11" s="1" t="n">
        <f aca="false">alphanought</f>
        <v>-2.7</v>
      </c>
    </row>
    <row r="12" customFormat="false" ht="12.75" hidden="false" customHeight="false" outlineLevel="0" collapsed="false">
      <c r="A12" s="1" t="n">
        <f aca="false">A11+1</f>
        <v>6</v>
      </c>
      <c r="B12" s="1" t="n">
        <v>0</v>
      </c>
      <c r="C12" s="1" t="n">
        <v>2</v>
      </c>
      <c r="D12" s="1" t="n">
        <v>60</v>
      </c>
      <c r="E12" s="1" t="n">
        <v>2</v>
      </c>
      <c r="F12" s="3" t="n">
        <f aca="false">F11*H11*survive+(G11+(1-survive)*F11)*I11</f>
        <v>0.817840050546606</v>
      </c>
      <c r="G12" s="3" t="n">
        <f aca="false">1-F12</f>
        <v>0.182159949453394</v>
      </c>
      <c r="H12" s="2" t="n">
        <v>1</v>
      </c>
      <c r="I12" s="2" t="n">
        <f aca="false">EXP(alpha0+alpha1*TimeETC+alpha2*PriceETC)/(EXP(alpha1*TimeMAN+alpha2*PriceMAN)+EXP(alpha0+alpha1*TimeETC+alpha2*PriceETC))</f>
        <v>0.289050497374996</v>
      </c>
      <c r="J12" s="1" t="n">
        <f aca="false">alphanought</f>
        <v>-2.7</v>
      </c>
    </row>
    <row r="13" customFormat="false" ht="12.75" hidden="false" customHeight="false" outlineLevel="0" collapsed="false">
      <c r="A13" s="1" t="n">
        <f aca="false">A12+1</f>
        <v>7</v>
      </c>
      <c r="B13" s="1" t="n">
        <v>0</v>
      </c>
      <c r="C13" s="1" t="n">
        <v>2</v>
      </c>
      <c r="D13" s="1" t="n">
        <v>60</v>
      </c>
      <c r="E13" s="1" t="n">
        <v>2</v>
      </c>
      <c r="F13" s="3" t="n">
        <f aca="false">F12*H12*survive+(G12+(1-survive)*F12)*I12</f>
        <v>0.870215796884344</v>
      </c>
      <c r="G13" s="3" t="n">
        <f aca="false">1-F13</f>
        <v>0.129784203115656</v>
      </c>
      <c r="H13" s="2" t="n">
        <v>1</v>
      </c>
      <c r="I13" s="2" t="n">
        <f aca="false">EXP(alpha0+alpha1*TimeETC+alpha2*PriceETC)/(EXP(alpha1*TimeMAN+alpha2*PriceMAN)+EXP(alpha0+alpha1*TimeETC+alpha2*PriceETC))</f>
        <v>0.289050497374996</v>
      </c>
      <c r="J13" s="1" t="n">
        <f aca="false">alphanought</f>
        <v>-2.7</v>
      </c>
    </row>
    <row r="14" customFormat="false" ht="12.75" hidden="false" customHeight="false" outlineLevel="0" collapsed="false">
      <c r="A14" s="1" t="n">
        <f aca="false">A13+1</f>
        <v>8</v>
      </c>
      <c r="B14" s="1" t="n">
        <v>0</v>
      </c>
      <c r="C14" s="1" t="n">
        <v>2</v>
      </c>
      <c r="D14" s="1" t="n">
        <v>60</v>
      </c>
      <c r="E14" s="1" t="n">
        <v>2</v>
      </c>
      <c r="F14" s="3" t="n">
        <f aca="false">F13*H13*survive+(G13+(1-survive)*F13)*I13</f>
        <v>0.90743452478481</v>
      </c>
      <c r="G14" s="3" t="n">
        <f aca="false">1-F14</f>
        <v>0.0925654752151905</v>
      </c>
      <c r="H14" s="2" t="n">
        <v>1</v>
      </c>
      <c r="I14" s="2" t="n">
        <f aca="false">EXP(alpha0+alpha1*TimeETC+alpha2*PriceETC)/(EXP(alpha1*TimeMAN+alpha2*PriceMAN)+EXP(alpha0+alpha1*TimeETC+alpha2*PriceETC))</f>
        <v>0.289050497374996</v>
      </c>
      <c r="J14" s="1" t="n">
        <f aca="false">alphanought</f>
        <v>-2.7</v>
      </c>
    </row>
    <row r="15" customFormat="false" ht="12.75" hidden="false" customHeight="false" outlineLevel="0" collapsed="false">
      <c r="A15" s="1" t="n">
        <f aca="false">A14+1</f>
        <v>9</v>
      </c>
      <c r="B15" s="1" t="n">
        <v>0</v>
      </c>
      <c r="C15" s="1" t="n">
        <v>2</v>
      </c>
      <c r="D15" s="1" t="n">
        <v>60</v>
      </c>
      <c r="E15" s="1" t="n">
        <v>2</v>
      </c>
      <c r="F15" s="3" t="n">
        <f aca="false">F14*H14*survive+(G14+(1-survive)*F14)*I14</f>
        <v>0.933882524162162</v>
      </c>
      <c r="G15" s="3" t="n">
        <f aca="false">1-F15</f>
        <v>0.0661174758378376</v>
      </c>
      <c r="H15" s="2" t="n">
        <v>1</v>
      </c>
      <c r="I15" s="2" t="n">
        <f aca="false">EXP(alpha0+alpha1*TimeETC+alpha2*PriceETC)/(EXP(alpha1*TimeMAN+alpha2*PriceMAN)+EXP(alpha0+alpha1*TimeETC+alpha2*PriceETC))</f>
        <v>0.289050497374996</v>
      </c>
      <c r="J15" s="1" t="n">
        <f aca="false">alphanought</f>
        <v>-2.7</v>
      </c>
    </row>
    <row r="16" customFormat="false" ht="12.75" hidden="false" customHeight="false" outlineLevel="0" collapsed="false">
      <c r="A16" s="1" t="n">
        <f aca="false">A15+1</f>
        <v>10</v>
      </c>
      <c r="B16" s="1" t="n">
        <v>0</v>
      </c>
      <c r="C16" s="1" t="n">
        <v>2</v>
      </c>
      <c r="D16" s="1" t="n">
        <v>60</v>
      </c>
      <c r="E16" s="1" t="n">
        <v>2</v>
      </c>
      <c r="F16" s="3" t="n">
        <f aca="false">F15*H15*survive+(G15+(1-survive)*F15)*I15</f>
        <v>0.952676736391423</v>
      </c>
      <c r="G16" s="3" t="n">
        <f aca="false">1-F16</f>
        <v>0.0473232636085768</v>
      </c>
      <c r="H16" s="2" t="n">
        <v>1</v>
      </c>
      <c r="I16" s="2" t="n">
        <f aca="false">EXP(alpha0+alpha1*TimeETC+alpha2*PriceETC)/(EXP(alpha1*TimeMAN+alpha2*PriceMAN)+EXP(alpha0+alpha1*TimeETC+alpha2*PriceETC))</f>
        <v>0.289050497374996</v>
      </c>
      <c r="J16" s="1" t="n">
        <f aca="false">alphanought</f>
        <v>-2.7</v>
      </c>
    </row>
    <row r="17" customFormat="false" ht="12.75" hidden="false" customHeight="false" outlineLevel="0" collapsed="false">
      <c r="A17" s="1" t="n">
        <f aca="false">A16+1</f>
        <v>11</v>
      </c>
      <c r="B17" s="1" t="n">
        <v>0</v>
      </c>
      <c r="C17" s="1" t="n">
        <v>2</v>
      </c>
      <c r="D17" s="1" t="n">
        <v>60</v>
      </c>
      <c r="E17" s="1" t="n">
        <v>2</v>
      </c>
      <c r="F17" s="3" t="n">
        <f aca="false">F16*H16*survive+(G16+(1-survive)*F16)*I16</f>
        <v>0.966032091111409</v>
      </c>
      <c r="G17" s="3" t="n">
        <f aca="false">1-F17</f>
        <v>0.0339679088885914</v>
      </c>
      <c r="H17" s="2" t="n">
        <v>1</v>
      </c>
      <c r="I17" s="2" t="n">
        <f aca="false">EXP(alpha0+alpha1*TimeETC+alpha2*PriceETC)/(EXP(alpha1*TimeMAN+alpha2*PriceMAN)+EXP(alpha0+alpha1*TimeETC+alpha2*PriceETC))</f>
        <v>0.289050497374996</v>
      </c>
      <c r="J17" s="1" t="n">
        <f aca="false">alphanought</f>
        <v>-2.7</v>
      </c>
    </row>
    <row r="18" customFormat="false" ht="12.75" hidden="false" customHeight="false" outlineLevel="0" collapsed="false">
      <c r="A18" s="1" t="n">
        <f aca="false">A17+1</f>
        <v>12</v>
      </c>
      <c r="B18" s="1" t="n">
        <v>0</v>
      </c>
      <c r="C18" s="1" t="n">
        <v>2</v>
      </c>
      <c r="D18" s="1" t="n">
        <v>60</v>
      </c>
      <c r="E18" s="1" t="n">
        <v>2</v>
      </c>
      <c r="F18" s="3" t="n">
        <f aca="false">F17*H17*survive+(G17+(1-survive)*F17)*I17</f>
        <v>0.975522539421816</v>
      </c>
      <c r="G18" s="3" t="n">
        <f aca="false">1-F18</f>
        <v>0.0244774605781836</v>
      </c>
      <c r="H18" s="2" t="n">
        <v>1</v>
      </c>
      <c r="I18" s="2" t="n">
        <f aca="false">EXP(alpha0+alpha1*TimeETC+alpha2*PriceETC)/(EXP(alpha1*TimeMAN+alpha2*PriceMAN)+EXP(alpha0+alpha1*TimeETC+alpha2*PriceETC))</f>
        <v>0.289050497374996</v>
      </c>
      <c r="J18" s="1" t="n">
        <f aca="false">alphanought</f>
        <v>-2.7</v>
      </c>
    </row>
    <row r="19" customFormat="false" ht="12.75" hidden="false" customHeight="false" outlineLevel="0" collapsed="false">
      <c r="A19" s="1" t="n">
        <f aca="false">A18+1</f>
        <v>13</v>
      </c>
      <c r="B19" s="1" t="n">
        <v>0</v>
      </c>
      <c r="C19" s="1" t="n">
        <v>2</v>
      </c>
      <c r="D19" s="1" t="n">
        <v>60</v>
      </c>
      <c r="E19" s="1" t="n">
        <v>2</v>
      </c>
      <c r="F19" s="3" t="n">
        <f aca="false">F18*H18*survive+(G18+(1-survive)*F18)*I18</f>
        <v>0.982266546677404</v>
      </c>
      <c r="G19" s="3" t="n">
        <f aca="false">1-F19</f>
        <v>0.0177334533225964</v>
      </c>
      <c r="H19" s="2" t="n">
        <v>1</v>
      </c>
      <c r="I19" s="2" t="n">
        <f aca="false">EXP(alpha0+alpha1*TimeETC+alpha2*PriceETC)/(EXP(alpha1*TimeMAN+alpha2*PriceMAN)+EXP(alpha0+alpha1*TimeETC+alpha2*PriceETC))</f>
        <v>0.289050497374996</v>
      </c>
      <c r="J19" s="1" t="n">
        <f aca="false">alphanought</f>
        <v>-2.7</v>
      </c>
    </row>
    <row r="20" customFormat="false" ht="12.75" hidden="false" customHeight="false" outlineLevel="0" collapsed="false">
      <c r="A20" s="1" t="n">
        <f aca="false">A19+1</f>
        <v>14</v>
      </c>
      <c r="B20" s="1" t="n">
        <v>0</v>
      </c>
      <c r="C20" s="1" t="n">
        <v>2</v>
      </c>
      <c r="D20" s="1" t="n">
        <v>60</v>
      </c>
      <c r="E20" s="1" t="n">
        <v>2</v>
      </c>
      <c r="F20" s="3" t="n">
        <f aca="false">F19*H19*survive+(G19+(1-survive)*F19)*I19</f>
        <v>0.98705890551819</v>
      </c>
      <c r="G20" s="3" t="n">
        <f aca="false">1-F20</f>
        <v>0.0129410944818096</v>
      </c>
      <c r="H20" s="2" t="n">
        <v>1</v>
      </c>
      <c r="I20" s="2" t="n">
        <f aca="false">EXP(alpha0+alpha1*TimeETC+alpha2*PriceETC)/(EXP(alpha1*TimeMAN+alpha2*PriceMAN)+EXP(alpha0+alpha1*TimeETC+alpha2*PriceETC))</f>
        <v>0.289050497374996</v>
      </c>
      <c r="J20" s="1" t="n">
        <f aca="false">alphanought</f>
        <v>-2.7</v>
      </c>
    </row>
    <row r="21" customFormat="false" ht="12.75" hidden="false" customHeight="false" outlineLevel="0" collapsed="false">
      <c r="A21" s="1" t="n">
        <f aca="false">A20+1</f>
        <v>15</v>
      </c>
      <c r="B21" s="1" t="n">
        <v>0</v>
      </c>
      <c r="C21" s="1" t="n">
        <v>2</v>
      </c>
      <c r="D21" s="1" t="n">
        <v>60</v>
      </c>
      <c r="E21" s="1" t="n">
        <v>2</v>
      </c>
      <c r="F21" s="3" t="n">
        <f aca="false">F20*H20*survive+(G20+(1-survive)*F20)*I20</f>
        <v>0.990464403523822</v>
      </c>
      <c r="G21" s="3" t="n">
        <f aca="false">1-F21</f>
        <v>0.00953559647617797</v>
      </c>
      <c r="H21" s="2" t="n">
        <v>1</v>
      </c>
      <c r="I21" s="2" t="n">
        <f aca="false">EXP(alpha0+alpha1*TimeETC+alpha2*PriceETC)/(EXP(alpha1*TimeMAN+alpha2*PriceMAN)+EXP(alpha0+alpha1*TimeETC+alpha2*PriceETC))</f>
        <v>0.289050497374996</v>
      </c>
      <c r="J21" s="1" t="n">
        <f aca="false">alphanought</f>
        <v>-2.7</v>
      </c>
    </row>
    <row r="22" customFormat="false" ht="12.75" hidden="false" customHeight="false" outlineLevel="0" collapsed="false">
      <c r="A22" s="1" t="n">
        <f aca="false">A21+1</f>
        <v>16</v>
      </c>
      <c r="B22" s="1" t="n">
        <v>0</v>
      </c>
      <c r="C22" s="1" t="n">
        <v>2</v>
      </c>
      <c r="D22" s="1" t="n">
        <v>60</v>
      </c>
      <c r="E22" s="1" t="n">
        <v>2</v>
      </c>
      <c r="F22" s="3" t="n">
        <f aca="false">F21*H21*survive+(G21+(1-survive)*F21)*I21</f>
        <v>0.992884384383281</v>
      </c>
      <c r="G22" s="3" t="n">
        <f aca="false">1-F22</f>
        <v>0.00711561561671947</v>
      </c>
      <c r="H22" s="2" t="n">
        <v>1</v>
      </c>
      <c r="I22" s="2" t="n">
        <f aca="false">EXP(alpha0+alpha1*TimeETC+alpha2*PriceETC)/(EXP(alpha1*TimeMAN+alpha2*PriceMAN)+EXP(alpha0+alpha1*TimeETC+alpha2*PriceETC))</f>
        <v>0.289050497374996</v>
      </c>
      <c r="J22" s="1" t="n">
        <f aca="false">alphanought</f>
        <v>-2.7</v>
      </c>
    </row>
    <row r="23" customFormat="false" ht="12.75" hidden="false" customHeight="false" outlineLevel="0" collapsed="false">
      <c r="A23" s="1" t="n">
        <f aca="false">A22+1</f>
        <v>17</v>
      </c>
      <c r="B23" s="1" t="n">
        <v>0</v>
      </c>
      <c r="C23" s="1" t="n">
        <v>2</v>
      </c>
      <c r="D23" s="1" t="n">
        <v>60</v>
      </c>
      <c r="E23" s="1" t="n">
        <v>2</v>
      </c>
      <c r="F23" s="3" t="n">
        <f aca="false">F22*H22*survive+(G22+(1-survive)*F22)*I22</f>
        <v>0.994604046926163</v>
      </c>
      <c r="G23" s="3" t="n">
        <f aca="false">1-F23</f>
        <v>0.00539595307383689</v>
      </c>
      <c r="H23" s="2" t="n">
        <v>1</v>
      </c>
      <c r="I23" s="2" t="n">
        <f aca="false">EXP(alpha0+alpha1*TimeETC+alpha2*PriceETC)/(EXP(alpha1*TimeMAN+alpha2*PriceMAN)+EXP(alpha0+alpha1*TimeETC+alpha2*PriceETC))</f>
        <v>0.289050497374996</v>
      </c>
      <c r="J23" s="1" t="n">
        <f aca="false">alphanought</f>
        <v>-2.7</v>
      </c>
    </row>
    <row r="24" customFormat="false" ht="12.75" hidden="false" customHeight="false" outlineLevel="0" collapsed="false">
      <c r="A24" s="1" t="n">
        <f aca="false">A23+1</f>
        <v>18</v>
      </c>
      <c r="B24" s="1" t="n">
        <v>0</v>
      </c>
      <c r="C24" s="1" t="n">
        <v>2</v>
      </c>
      <c r="D24" s="1" t="n">
        <v>60</v>
      </c>
      <c r="E24" s="1" t="n">
        <v>2</v>
      </c>
      <c r="F24" s="3" t="n">
        <f aca="false">F23*H23*survive+(G23+(1-survive)*F23)*I23</f>
        <v>0.99582605628621</v>
      </c>
      <c r="G24" s="3" t="n">
        <f aca="false">1-F24</f>
        <v>0.00417394371378987</v>
      </c>
      <c r="H24" s="2" t="n">
        <v>1</v>
      </c>
      <c r="I24" s="2" t="n">
        <f aca="false">EXP(alpha0+alpha1*TimeETC+alpha2*PriceETC)/(EXP(alpha1*TimeMAN+alpha2*PriceMAN)+EXP(alpha0+alpha1*TimeETC+alpha2*PriceETC))</f>
        <v>0.289050497374996</v>
      </c>
      <c r="J24" s="1" t="n">
        <f aca="false">alphanought</f>
        <v>-2.7</v>
      </c>
    </row>
    <row r="25" customFormat="false" ht="12.75" hidden="false" customHeight="false" outlineLevel="0" collapsed="false">
      <c r="A25" s="1" t="n">
        <f aca="false">A24+1</f>
        <v>19</v>
      </c>
      <c r="B25" s="1" t="n">
        <v>0</v>
      </c>
      <c r="C25" s="1" t="n">
        <v>2</v>
      </c>
      <c r="D25" s="1" t="n">
        <v>60</v>
      </c>
      <c r="E25" s="1" t="n">
        <v>2</v>
      </c>
      <c r="F25" s="3" t="n">
        <f aca="false">F24*H24*survive+(G24+(1-survive)*F24)*I24</f>
        <v>0.996694428329448</v>
      </c>
      <c r="G25" s="3" t="n">
        <f aca="false">1-F25</f>
        <v>0.00330557167055201</v>
      </c>
      <c r="H25" s="2" t="n">
        <v>1</v>
      </c>
      <c r="I25" s="2" t="n">
        <f aca="false">EXP(alpha0+alpha1*TimeETC+alpha2*PriceETC)/(EXP(alpha1*TimeMAN+alpha2*PriceMAN)+EXP(alpha0+alpha1*TimeETC+alpha2*PriceETC))</f>
        <v>0.289050497374996</v>
      </c>
      <c r="J25" s="1" t="n">
        <f aca="false">alphanought</f>
        <v>-2.7</v>
      </c>
    </row>
    <row r="26" customFormat="false" ht="12.75" hidden="false" customHeight="false" outlineLevel="0" collapsed="false">
      <c r="A26" s="1" t="n">
        <f aca="false">A25+1</f>
        <v>20</v>
      </c>
      <c r="B26" s="1" t="n">
        <v>0</v>
      </c>
      <c r="C26" s="1" t="n">
        <v>2</v>
      </c>
      <c r="D26" s="1" t="n">
        <v>60</v>
      </c>
      <c r="E26" s="1" t="n">
        <v>2</v>
      </c>
      <c r="F26" s="3" t="n">
        <f aca="false">F25*H25*survive+(G25+(1-survive)*F25)*I25</f>
        <v>0.997311502167122</v>
      </c>
      <c r="G26" s="3" t="n">
        <f aca="false">1-F26</f>
        <v>0.0026884978328785</v>
      </c>
      <c r="H26" s="2" t="n">
        <v>1</v>
      </c>
      <c r="I26" s="2" t="n">
        <f aca="false">EXP(alpha0+alpha1*TimeETC+alpha2*PriceETC)/(EXP(alpha1*TimeMAN+alpha2*PriceMAN)+EXP(alpha0+alpha1*TimeETC+alpha2*PriceETC))</f>
        <v>0.289050497374996</v>
      </c>
      <c r="J26" s="1" t="n">
        <f aca="false">alphanought</f>
        <v>-2.7</v>
      </c>
    </row>
    <row r="27" customFormat="false" ht="12.75" hidden="false" customHeight="false" outlineLevel="0" collapsed="false">
      <c r="A27" s="1" t="n">
        <f aca="false">A26+1</f>
        <v>21</v>
      </c>
      <c r="B27" s="1" t="n">
        <v>0</v>
      </c>
      <c r="C27" s="1" t="n">
        <v>2</v>
      </c>
      <c r="D27" s="1" t="n">
        <v>60</v>
      </c>
      <c r="E27" s="1" t="n">
        <v>2</v>
      </c>
      <c r="F27" s="3" t="n">
        <f aca="false">F26*H26*survive+(G26+(1-survive)*F26)*I26</f>
        <v>0.997750000992719</v>
      </c>
      <c r="G27" s="3" t="n">
        <f aca="false">1-F27</f>
        <v>0.0022499990072814</v>
      </c>
      <c r="H27" s="2" t="n">
        <v>1</v>
      </c>
      <c r="I27" s="2" t="n">
        <f aca="false">EXP(alpha0+alpha1*TimeETC+alpha2*PriceETC)/(EXP(alpha1*TimeMAN+alpha2*PriceMAN)+EXP(alpha0+alpha1*TimeETC+alpha2*PriceETC))</f>
        <v>0.289050497374996</v>
      </c>
      <c r="J27" s="1" t="n">
        <f aca="false">alphanought</f>
        <v>-2.7</v>
      </c>
    </row>
    <row r="28" customFormat="false" ht="12.75" hidden="false" customHeight="false" outlineLevel="0" collapsed="false">
      <c r="A28" s="1" t="n">
        <f aca="false">A27+1</f>
        <v>22</v>
      </c>
      <c r="B28" s="1" t="n">
        <v>0</v>
      </c>
      <c r="C28" s="1" t="n">
        <v>2</v>
      </c>
      <c r="D28" s="1" t="n">
        <v>60</v>
      </c>
      <c r="E28" s="1" t="n">
        <v>2</v>
      </c>
      <c r="F28" s="3" t="n">
        <f aca="false">F27*H27*survive+(G27+(1-survive)*F27)*I27</f>
        <v>0.998061602633091</v>
      </c>
      <c r="G28" s="3" t="n">
        <f aca="false">1-F28</f>
        <v>0.00193839736690893</v>
      </c>
      <c r="H28" s="2" t="n">
        <v>1</v>
      </c>
      <c r="I28" s="2" t="n">
        <f aca="false">EXP(alpha0+alpha1*TimeETC+alpha2*PriceETC)/(EXP(alpha1*TimeMAN+alpha2*PriceMAN)+EXP(alpha0+alpha1*TimeETC+alpha2*PriceETC))</f>
        <v>0.289050497374996</v>
      </c>
      <c r="J28" s="1" t="n">
        <f aca="false">alphanought</f>
        <v>-2.7</v>
      </c>
    </row>
    <row r="29" customFormat="false" ht="12.75" hidden="false" customHeight="false" outlineLevel="0" collapsed="false">
      <c r="A29" s="1" t="n">
        <f aca="false">A28+1</f>
        <v>23</v>
      </c>
      <c r="B29" s="1" t="n">
        <v>0</v>
      </c>
      <c r="C29" s="1" t="n">
        <v>2</v>
      </c>
      <c r="D29" s="1" t="n">
        <v>60</v>
      </c>
      <c r="E29" s="1" t="n">
        <v>2</v>
      </c>
      <c r="F29" s="3" t="n">
        <f aca="false">F28*H28*survive+(G28+(1-survive)*F28)*I28</f>
        <v>0.99828302986759</v>
      </c>
      <c r="G29" s="3" t="n">
        <f aca="false">1-F29</f>
        <v>0.00171697013241034</v>
      </c>
      <c r="H29" s="2" t="n">
        <v>1</v>
      </c>
      <c r="I29" s="2" t="n">
        <f aca="false">EXP(alpha0+alpha1*TimeETC+alpha2*PriceETC)/(EXP(alpha1*TimeMAN+alpha2*PriceMAN)+EXP(alpha0+alpha1*TimeETC+alpha2*PriceETC))</f>
        <v>0.289050497374996</v>
      </c>
      <c r="J29" s="1" t="n">
        <f aca="false">alphanought</f>
        <v>-2.7</v>
      </c>
    </row>
    <row r="30" customFormat="false" ht="12.75" hidden="false" customHeight="false" outlineLevel="0" collapsed="false">
      <c r="A30" s="1" t="n">
        <f aca="false">A29+1</f>
        <v>24</v>
      </c>
      <c r="B30" s="1" t="n">
        <v>0</v>
      </c>
      <c r="C30" s="1" t="n">
        <v>2</v>
      </c>
      <c r="D30" s="1" t="n">
        <v>60</v>
      </c>
      <c r="E30" s="1" t="n">
        <v>2</v>
      </c>
      <c r="F30" s="3" t="n">
        <f aca="false">F29*H29*survive+(G29+(1-survive)*F29)*I29</f>
        <v>0.998440378269604</v>
      </c>
      <c r="G30" s="3" t="n">
        <f aca="false">1-F30</f>
        <v>0.00155962173039603</v>
      </c>
      <c r="H30" s="2" t="n">
        <v>1</v>
      </c>
      <c r="I30" s="2" t="n">
        <f aca="false">EXP(alpha0+alpha1*TimeETC+alpha2*PriceETC)/(EXP(alpha1*TimeMAN+alpha2*PriceMAN)+EXP(alpha0+alpha1*TimeETC+alpha2*PriceETC))</f>
        <v>0.289050497374996</v>
      </c>
      <c r="J30" s="1" t="n">
        <f aca="false">alphanought</f>
        <v>-2.7</v>
      </c>
    </row>
    <row r="31" customFormat="false" ht="12.75" hidden="false" customHeight="false" outlineLevel="0" collapsed="false">
      <c r="A31" s="1" t="n">
        <f aca="false">A30+1</f>
        <v>25</v>
      </c>
      <c r="B31" s="1" t="n">
        <v>0</v>
      </c>
      <c r="C31" s="1" t="n">
        <v>2</v>
      </c>
      <c r="D31" s="1" t="n">
        <v>60</v>
      </c>
      <c r="E31" s="1" t="n">
        <v>2</v>
      </c>
      <c r="F31" s="3" t="n">
        <f aca="false">F30*H30*survive+(G30+(1-survive)*F30)*I30</f>
        <v>0.998552191613941</v>
      </c>
      <c r="G31" s="3" t="n">
        <f aca="false">1-F31</f>
        <v>0.00144780838605951</v>
      </c>
      <c r="H31" s="2" t="n">
        <v>1</v>
      </c>
      <c r="I31" s="2" t="n">
        <f aca="false">EXP(alpha0+alpha1*TimeETC+alpha2*PriceETC)/(EXP(alpha1*TimeMAN+alpha2*PriceMAN)+EXP(alpha0+alpha1*TimeETC+alpha2*PriceETC))</f>
        <v>0.289050497374996</v>
      </c>
      <c r="J31" s="1" t="n">
        <f aca="false">alphanought</f>
        <v>-2.7</v>
      </c>
    </row>
    <row r="32" customFormat="false" ht="12.75" hidden="false" customHeight="false" outlineLevel="0" collapsed="false">
      <c r="A32" s="1" t="n">
        <f aca="false">A31+1</f>
        <v>26</v>
      </c>
      <c r="B32" s="1" t="n">
        <v>0</v>
      </c>
      <c r="C32" s="1" t="n">
        <v>2</v>
      </c>
      <c r="D32" s="1" t="n">
        <v>60</v>
      </c>
      <c r="E32" s="1" t="n">
        <v>2</v>
      </c>
      <c r="F32" s="3" t="n">
        <f aca="false">F31*H31*survive+(G31+(1-survive)*F31)*I31</f>
        <v>0.998631647291988</v>
      </c>
      <c r="G32" s="3" t="n">
        <f aca="false">1-F32</f>
        <v>0.00136835270801217</v>
      </c>
      <c r="H32" s="2" t="n">
        <v>1</v>
      </c>
      <c r="I32" s="2" t="n">
        <f aca="false">EXP(alpha0+alpha1*TimeETC+alpha2*PriceETC)/(EXP(alpha1*TimeMAN+alpha2*PriceMAN)+EXP(alpha0+alpha1*TimeETC+alpha2*PriceETC))</f>
        <v>0.289050497374996</v>
      </c>
      <c r="J32" s="1" t="n">
        <f aca="false">alphanought</f>
        <v>-2.7</v>
      </c>
    </row>
    <row r="33" customFormat="false" ht="12.75" hidden="false" customHeight="false" outlineLevel="0" collapsed="false">
      <c r="A33" s="1" t="n">
        <f aca="false">A32+1</f>
        <v>27</v>
      </c>
      <c r="B33" s="1" t="n">
        <v>0</v>
      </c>
      <c r="C33" s="1" t="n">
        <v>2</v>
      </c>
      <c r="D33" s="1" t="n">
        <v>60</v>
      </c>
      <c r="E33" s="1" t="n">
        <v>2</v>
      </c>
      <c r="F33" s="3" t="n">
        <f aca="false">F32*H32*survive+(G32+(1-survive)*F32)*I32</f>
        <v>0.998688109289538</v>
      </c>
      <c r="G33" s="3" t="n">
        <f aca="false">1-F33</f>
        <v>0.00131189071046234</v>
      </c>
      <c r="H33" s="2" t="n">
        <v>1</v>
      </c>
      <c r="I33" s="2" t="n">
        <f aca="false">EXP(alpha0+alpha1*TimeETC+alpha2*PriceETC)/(EXP(alpha1*TimeMAN+alpha2*PriceMAN)+EXP(alpha0+alpha1*TimeETC+alpha2*PriceETC))</f>
        <v>0.289050497374996</v>
      </c>
      <c r="J33" s="1" t="n">
        <f aca="false">alphanought</f>
        <v>-2.7</v>
      </c>
    </row>
    <row r="34" customFormat="false" ht="12.75" hidden="false" customHeight="false" outlineLevel="0" collapsed="false">
      <c r="A34" s="1" t="n">
        <f aca="false">A33+1</f>
        <v>28</v>
      </c>
      <c r="B34" s="1" t="n">
        <v>0</v>
      </c>
      <c r="C34" s="1" t="n">
        <v>2</v>
      </c>
      <c r="D34" s="1" t="n">
        <v>60</v>
      </c>
      <c r="E34" s="1" t="n">
        <v>2</v>
      </c>
      <c r="F34" s="3" t="n">
        <f aca="false">F33*H33*survive+(G33+(1-survive)*F33)*I33</f>
        <v>0.998728231748318</v>
      </c>
      <c r="G34" s="3" t="n">
        <f aca="false">1-F34</f>
        <v>0.00127176825168196</v>
      </c>
      <c r="H34" s="2" t="n">
        <v>1</v>
      </c>
      <c r="I34" s="2" t="n">
        <f aca="false">EXP(alpha0+alpha1*TimeETC+alpha2*PriceETC)/(EXP(alpha1*TimeMAN+alpha2*PriceMAN)+EXP(alpha0+alpha1*TimeETC+alpha2*PriceETC))</f>
        <v>0.289050497374996</v>
      </c>
      <c r="J34" s="1" t="n">
        <f aca="false">alphanought</f>
        <v>-2.7</v>
      </c>
    </row>
    <row r="35" customFormat="false" ht="12.75" hidden="false" customHeight="false" outlineLevel="0" collapsed="false">
      <c r="A35" s="1" t="n">
        <f aca="false">A34+1</f>
        <v>29</v>
      </c>
      <c r="B35" s="1" t="n">
        <v>0</v>
      </c>
      <c r="C35" s="1" t="n">
        <v>2</v>
      </c>
      <c r="D35" s="1" t="n">
        <v>60</v>
      </c>
      <c r="E35" s="1" t="n">
        <v>2</v>
      </c>
      <c r="F35" s="3" t="n">
        <f aca="false">F34*H34*survive+(G34+(1-survive)*F34)*I34</f>
        <v>0.998756743167829</v>
      </c>
      <c r="G35" s="3" t="n">
        <f aca="false">1-F35</f>
        <v>0.00124325683217086</v>
      </c>
      <c r="H35" s="2" t="n">
        <v>1</v>
      </c>
      <c r="I35" s="2" t="n">
        <f aca="false">EXP(alpha0+alpha1*TimeETC+alpha2*PriceETC)/(EXP(alpha1*TimeMAN+alpha2*PriceMAN)+EXP(alpha0+alpha1*TimeETC+alpha2*PriceETC))</f>
        <v>0.289050497374996</v>
      </c>
      <c r="J35" s="1" t="n">
        <f aca="false">alphanought</f>
        <v>-2.7</v>
      </c>
    </row>
    <row r="36" customFormat="false" ht="12.75" hidden="false" customHeight="false" outlineLevel="0" collapsed="false">
      <c r="A36" s="1" t="n">
        <f aca="false">A35+1</f>
        <v>30</v>
      </c>
      <c r="B36" s="1" t="n">
        <v>0</v>
      </c>
      <c r="C36" s="1" t="n">
        <v>2</v>
      </c>
      <c r="D36" s="1" t="n">
        <v>60</v>
      </c>
      <c r="E36" s="1" t="n">
        <v>2</v>
      </c>
      <c r="F36" s="3" t="n">
        <f aca="false">F35*H35*survive+(G35+(1-survive)*F35)*I35</f>
        <v>0.998777003666992</v>
      </c>
      <c r="G36" s="3" t="n">
        <f aca="false">1-F36</f>
        <v>0.00122299633300771</v>
      </c>
      <c r="H36" s="2" t="n">
        <v>1</v>
      </c>
      <c r="I36" s="2" t="n">
        <f aca="false">EXP(alpha0+alpha1*TimeETC+alpha2*PriceETC)/(EXP(alpha1*TimeMAN+alpha2*PriceMAN)+EXP(alpha0+alpha1*TimeETC+alpha2*PriceETC))</f>
        <v>0.289050497374996</v>
      </c>
      <c r="J36" s="1" t="n">
        <f aca="false">alphanought</f>
        <v>-2.7</v>
      </c>
    </row>
    <row r="37" customFormat="false" ht="12.75" hidden="false" customHeight="false" outlineLevel="0" collapsed="false">
      <c r="A37" s="1" t="n">
        <f aca="false">A36+1</f>
        <v>31</v>
      </c>
      <c r="B37" s="1" t="n">
        <v>0</v>
      </c>
      <c r="C37" s="1" t="n">
        <v>2</v>
      </c>
      <c r="D37" s="1" t="n">
        <v>60</v>
      </c>
      <c r="E37" s="1" t="n">
        <v>2</v>
      </c>
      <c r="F37" s="3" t="n">
        <f aca="false">F36*H36*survive+(G36+(1-survive)*F36)*I36</f>
        <v>0.998791400979837</v>
      </c>
      <c r="G37" s="3" t="n">
        <f aca="false">1-F37</f>
        <v>0.00120859902016346</v>
      </c>
      <c r="H37" s="2" t="n">
        <v>1</v>
      </c>
      <c r="I37" s="2" t="n">
        <f aca="false">EXP(alpha0+alpha1*TimeETC+alpha2*PriceETC)/(EXP(alpha1*TimeMAN+alpha2*PriceMAN)+EXP(alpha0+alpha1*TimeETC+alpha2*PriceETC))</f>
        <v>0.289050497374996</v>
      </c>
      <c r="J37" s="1" t="n">
        <f aca="false">alphanought</f>
        <v>-2.7</v>
      </c>
    </row>
    <row r="38" customFormat="false" ht="12.75" hidden="false" customHeight="false" outlineLevel="0" collapsed="false">
      <c r="A38" s="1" t="n">
        <f aca="false">A37+1</f>
        <v>32</v>
      </c>
      <c r="B38" s="1" t="n">
        <v>0</v>
      </c>
      <c r="C38" s="1" t="n">
        <v>2</v>
      </c>
      <c r="D38" s="1" t="n">
        <v>60</v>
      </c>
      <c r="E38" s="1" t="n">
        <v>2</v>
      </c>
      <c r="F38" s="3" t="n">
        <f aca="false">F37*H37*survive+(G37+(1-survive)*F37)*I37</f>
        <v>0.998801631853986</v>
      </c>
      <c r="G38" s="3" t="n">
        <f aca="false">1-F38</f>
        <v>0.00119836814601437</v>
      </c>
      <c r="H38" s="2" t="n">
        <v>1</v>
      </c>
      <c r="I38" s="2" t="n">
        <f aca="false">EXP(alpha0+alpha1*TimeETC+alpha2*PriceETC)/(EXP(alpha1*TimeMAN+alpha2*PriceMAN)+EXP(alpha0+alpha1*TimeETC+alpha2*PriceETC))</f>
        <v>0.289050497374996</v>
      </c>
      <c r="J38" s="1" t="n">
        <f aca="false">alphanought</f>
        <v>-2.7</v>
      </c>
    </row>
    <row r="39" customFormat="false" ht="12.75" hidden="false" customHeight="false" outlineLevel="0" collapsed="false">
      <c r="A39" s="1" t="n">
        <f aca="false">A38+1</f>
        <v>33</v>
      </c>
      <c r="B39" s="1" t="n">
        <v>0</v>
      </c>
      <c r="C39" s="1" t="n">
        <v>2</v>
      </c>
      <c r="D39" s="1" t="n">
        <v>60</v>
      </c>
      <c r="E39" s="1" t="n">
        <v>2</v>
      </c>
      <c r="F39" s="3" t="n">
        <f aca="false">F38*H38*survive+(G38+(1-survive)*F38)*I38</f>
        <v>0.99880890201523</v>
      </c>
      <c r="G39" s="3" t="n">
        <f aca="false">1-F39</f>
        <v>0.00119109798477046</v>
      </c>
      <c r="H39" s="2" t="n">
        <v>1</v>
      </c>
      <c r="I39" s="2" t="n">
        <f aca="false">EXP(alpha0+alpha1*TimeETC+alpha2*PriceETC)/(EXP(alpha1*TimeMAN+alpha2*PriceMAN)+EXP(alpha0+alpha1*TimeETC+alpha2*PriceETC))</f>
        <v>0.289050497374996</v>
      </c>
      <c r="J39" s="1" t="n">
        <f aca="false">alphanought</f>
        <v>-2.7</v>
      </c>
    </row>
    <row r="40" customFormat="false" ht="12.75" hidden="false" customHeight="false" outlineLevel="0" collapsed="false">
      <c r="A40" s="1" t="n">
        <f aca="false">A39+1</f>
        <v>34</v>
      </c>
      <c r="B40" s="1" t="n">
        <v>0</v>
      </c>
      <c r="C40" s="1" t="n">
        <v>2</v>
      </c>
      <c r="D40" s="1" t="n">
        <v>60</v>
      </c>
      <c r="E40" s="1" t="n">
        <v>2</v>
      </c>
      <c r="F40" s="3" t="n">
        <f aca="false">F39*H39*survive+(G39+(1-survive)*F39)*I39</f>
        <v>0.998814068264344</v>
      </c>
      <c r="G40" s="3" t="n">
        <f aca="false">1-F40</f>
        <v>0.00118593173565618</v>
      </c>
      <c r="H40" s="2" t="n">
        <v>1</v>
      </c>
      <c r="I40" s="2" t="n">
        <f aca="false">EXP(alpha0+alpha1*TimeETC+alpha2*PriceETC)/(EXP(alpha1*TimeMAN+alpha2*PriceMAN)+EXP(alpha0+alpha1*TimeETC+alpha2*PriceETC))</f>
        <v>0.289050497374996</v>
      </c>
      <c r="J40" s="1" t="n">
        <f aca="false">alphanought</f>
        <v>-2.7</v>
      </c>
    </row>
    <row r="41" customFormat="false" ht="12.75" hidden="false" customHeight="false" outlineLevel="0" collapsed="false">
      <c r="A41" s="1" t="n">
        <f aca="false">A40+1</f>
        <v>35</v>
      </c>
      <c r="B41" s="1" t="n">
        <v>0</v>
      </c>
      <c r="C41" s="1" t="n">
        <v>2</v>
      </c>
      <c r="D41" s="1" t="n">
        <v>60</v>
      </c>
      <c r="E41" s="1" t="n">
        <v>2</v>
      </c>
      <c r="F41" s="3" t="n">
        <f aca="false">F40*H40*survive+(G40+(1-survive)*F40)*I40</f>
        <v>0.998817739452508</v>
      </c>
      <c r="G41" s="3" t="n">
        <f aca="false">1-F41</f>
        <v>0.00118226054749193</v>
      </c>
      <c r="H41" s="2" t="n">
        <v>1</v>
      </c>
      <c r="I41" s="2" t="n">
        <f aca="false">EXP(alpha0+alpha1*TimeETC+alpha2*PriceETC)/(EXP(alpha1*TimeMAN+alpha2*PriceMAN)+EXP(alpha0+alpha1*TimeETC+alpha2*PriceETC))</f>
        <v>0.289050497374996</v>
      </c>
      <c r="J41" s="1" t="n">
        <f aca="false">alphanought</f>
        <v>-2.7</v>
      </c>
    </row>
    <row r="42" customFormat="false" ht="12.75" hidden="false" customHeight="false" outlineLevel="0" collapsed="false">
      <c r="A42" s="1" t="n">
        <f aca="false">A41+1</f>
        <v>36</v>
      </c>
      <c r="B42" s="1" t="n">
        <v>0</v>
      </c>
      <c r="C42" s="1" t="n">
        <v>2</v>
      </c>
      <c r="D42" s="1" t="n">
        <v>60</v>
      </c>
      <c r="E42" s="1" t="n">
        <v>2</v>
      </c>
      <c r="F42" s="3" t="n">
        <f aca="false">F41*H41*survive+(G41+(1-survive)*F41)*I41</f>
        <v>0.998820348235445</v>
      </c>
      <c r="G42" s="3" t="n">
        <f aca="false">1-F42</f>
        <v>0.00117965176455503</v>
      </c>
      <c r="H42" s="2" t="n">
        <v>1</v>
      </c>
      <c r="I42" s="2" t="n">
        <f aca="false">EXP(alpha0+alpha1*TimeETC+alpha2*PriceETC)/(EXP(alpha1*TimeMAN+alpha2*PriceMAN)+EXP(alpha0+alpha1*TimeETC+alpha2*PriceETC))</f>
        <v>0.289050497374996</v>
      </c>
      <c r="J42" s="1" t="n">
        <f aca="false">alphanought</f>
        <v>-2.7</v>
      </c>
    </row>
    <row r="43" customFormat="false" ht="12.75" hidden="false" customHeight="false" outlineLevel="0" collapsed="false">
      <c r="A43" s="1" t="n">
        <f aca="false">A42+1</f>
        <v>37</v>
      </c>
      <c r="B43" s="1" t="n">
        <v>0</v>
      </c>
      <c r="C43" s="1" t="n">
        <v>2</v>
      </c>
      <c r="D43" s="1" t="n">
        <v>60</v>
      </c>
      <c r="E43" s="1" t="n">
        <v>2</v>
      </c>
      <c r="F43" s="3" t="n">
        <f aca="false">F42*H42*survive+(G42+(1-survive)*F42)*I42</f>
        <v>0.998822202062628</v>
      </c>
      <c r="G43" s="3" t="n">
        <f aca="false">1-F43</f>
        <v>0.00117779793737216</v>
      </c>
      <c r="H43" s="2" t="n">
        <v>1</v>
      </c>
      <c r="I43" s="2" t="n">
        <f aca="false">EXP(alpha0+alpha1*TimeETC+alpha2*PriceETC)/(EXP(alpha1*TimeMAN+alpha2*PriceMAN)+EXP(alpha0+alpha1*TimeETC+alpha2*PriceETC))</f>
        <v>0.289050497374996</v>
      </c>
      <c r="J43" s="1" t="n">
        <f aca="false">alphanought</f>
        <v>-2.7</v>
      </c>
    </row>
    <row r="44" customFormat="false" ht="12.75" hidden="false" customHeight="false" outlineLevel="0" collapsed="false">
      <c r="A44" s="1" t="n">
        <f aca="false">A43+1</f>
        <v>38</v>
      </c>
      <c r="B44" s="1" t="n">
        <v>0</v>
      </c>
      <c r="C44" s="1" t="n">
        <v>2</v>
      </c>
      <c r="D44" s="1" t="n">
        <v>60</v>
      </c>
      <c r="E44" s="1" t="n">
        <v>2</v>
      </c>
      <c r="F44" s="3" t="n">
        <f aca="false">F43*H43*survive+(G43+(1-survive)*F43)*I43</f>
        <v>0.99882351941072</v>
      </c>
      <c r="G44" s="3" t="n">
        <f aca="false">1-F44</f>
        <v>0.00117648058928033</v>
      </c>
      <c r="H44" s="2" t="n">
        <v>1</v>
      </c>
      <c r="I44" s="2" t="n">
        <f aca="false">EXP(alpha0+alpha1*TimeETC+alpha2*PriceETC)/(EXP(alpha1*TimeMAN+alpha2*PriceMAN)+EXP(alpha0+alpha1*TimeETC+alpha2*PriceETC))</f>
        <v>0.289050497374996</v>
      </c>
      <c r="J44" s="1" t="n">
        <f aca="false">alphanought</f>
        <v>-2.7</v>
      </c>
    </row>
    <row r="45" customFormat="false" ht="12.75" hidden="false" customHeight="false" outlineLevel="0" collapsed="false">
      <c r="A45" s="1" t="n">
        <f aca="false">A44+1</f>
        <v>39</v>
      </c>
      <c r="B45" s="1" t="n">
        <v>0</v>
      </c>
      <c r="C45" s="1" t="n">
        <v>2</v>
      </c>
      <c r="D45" s="1" t="n">
        <v>60</v>
      </c>
      <c r="E45" s="1" t="n">
        <v>2</v>
      </c>
      <c r="F45" s="3" t="n">
        <f aca="false">F44*H44*survive+(G44+(1-survive)*F44)*I44</f>
        <v>0.998824455531417</v>
      </c>
      <c r="G45" s="3" t="n">
        <f aca="false">1-F45</f>
        <v>0.00117554446858303</v>
      </c>
      <c r="H45" s="2" t="n">
        <v>1</v>
      </c>
      <c r="I45" s="2" t="n">
        <f aca="false">EXP(alpha0+alpha1*TimeETC+alpha2*PriceETC)/(EXP(alpha1*TimeMAN+alpha2*PriceMAN)+EXP(alpha0+alpha1*TimeETC+alpha2*PriceETC))</f>
        <v>0.289050497374996</v>
      </c>
      <c r="J45" s="1" t="n">
        <f aca="false">alphanought</f>
        <v>-2.7</v>
      </c>
    </row>
    <row r="46" customFormat="false" ht="12.75" hidden="false" customHeight="false" outlineLevel="0" collapsed="false">
      <c r="A46" s="1" t="n">
        <f aca="false">A45+1</f>
        <v>40</v>
      </c>
      <c r="B46" s="1" t="n">
        <v>0</v>
      </c>
      <c r="C46" s="1" t="n">
        <v>2</v>
      </c>
      <c r="D46" s="1" t="n">
        <v>60</v>
      </c>
      <c r="E46" s="1" t="n">
        <v>2</v>
      </c>
      <c r="F46" s="3" t="n">
        <f aca="false">F45*H45*survive+(G45+(1-survive)*F45)*I45</f>
        <v>0.998825120748124</v>
      </c>
      <c r="G46" s="3" t="n">
        <f aca="false">1-F46</f>
        <v>0.00117487925187587</v>
      </c>
      <c r="H46" s="2" t="n">
        <v>1</v>
      </c>
      <c r="I46" s="2" t="n">
        <f aca="false">EXP(alpha0+alpha1*TimeETC+alpha2*PriceETC)/(EXP(alpha1*TimeMAN+alpha2*PriceMAN)+EXP(alpha0+alpha1*TimeETC+alpha2*PriceETC))</f>
        <v>0.289050497374996</v>
      </c>
      <c r="J46" s="1" t="n">
        <f aca="false">alphanought</f>
        <v>-2.7</v>
      </c>
    </row>
    <row r="47" customFormat="false" ht="12.75" hidden="false" customHeight="false" outlineLevel="0" collapsed="false">
      <c r="A47" s="1" t="n">
        <f aca="false">A46+1</f>
        <v>41</v>
      </c>
      <c r="B47" s="1" t="n">
        <v>0</v>
      </c>
      <c r="C47" s="1" t="n">
        <v>2</v>
      </c>
      <c r="D47" s="1" t="n">
        <v>60</v>
      </c>
      <c r="E47" s="1" t="n">
        <v>2</v>
      </c>
      <c r="F47" s="3" t="n">
        <f aca="false">F46*H46*survive+(G46+(1-survive)*F46)*I46</f>
        <v>0.998825593457753</v>
      </c>
      <c r="G47" s="3" t="n">
        <f aca="false">1-F47</f>
        <v>0.00117440654224699</v>
      </c>
      <c r="H47" s="2" t="n">
        <v>1</v>
      </c>
      <c r="I47" s="2" t="n">
        <f aca="false">EXP(alpha0+alpha1*TimeETC+alpha2*PriceETC)/(EXP(alpha1*TimeMAN+alpha2*PriceMAN)+EXP(alpha0+alpha1*TimeETC+alpha2*PriceETC))</f>
        <v>0.289050497374996</v>
      </c>
      <c r="J47" s="1" t="n">
        <f aca="false">alphanought</f>
        <v>-2.7</v>
      </c>
    </row>
    <row r="48" customFormat="false" ht="12.75" hidden="false" customHeight="false" outlineLevel="0" collapsed="false">
      <c r="A48" s="1" t="n">
        <f aca="false">A47+1</f>
        <v>42</v>
      </c>
      <c r="B48" s="1" t="n">
        <v>0</v>
      </c>
      <c r="C48" s="1" t="n">
        <v>2</v>
      </c>
      <c r="D48" s="1" t="n">
        <v>60</v>
      </c>
      <c r="E48" s="1" t="n">
        <v>2</v>
      </c>
      <c r="F48" s="3" t="n">
        <f aca="false">F47*H47*survive+(G47+(1-survive)*F47)*I47</f>
        <v>0.998825929369932</v>
      </c>
      <c r="G48" s="3" t="n">
        <f aca="false">1-F48</f>
        <v>0.00117407063006847</v>
      </c>
      <c r="H48" s="2" t="n">
        <v>1</v>
      </c>
      <c r="I48" s="2" t="n">
        <f aca="false">EXP(alpha0+alpha1*TimeETC+alpha2*PriceETC)/(EXP(alpha1*TimeMAN+alpha2*PriceMAN)+EXP(alpha0+alpha1*TimeETC+alpha2*PriceETC))</f>
        <v>0.289050497374996</v>
      </c>
      <c r="J48" s="1" t="n">
        <f aca="false">alphanought</f>
        <v>-2.7</v>
      </c>
    </row>
    <row r="49" customFormat="false" ht="12.75" hidden="false" customHeight="false" outlineLevel="0" collapsed="false">
      <c r="A49" s="1" t="n">
        <f aca="false">A48+1</f>
        <v>43</v>
      </c>
      <c r="B49" s="1" t="n">
        <v>0</v>
      </c>
      <c r="C49" s="1" t="n">
        <v>2</v>
      </c>
      <c r="D49" s="1" t="n">
        <v>60</v>
      </c>
      <c r="E49" s="1" t="n">
        <v>2</v>
      </c>
      <c r="F49" s="3" t="n">
        <f aca="false">F48*H48*survive+(G48+(1-survive)*F48)*I48</f>
        <v>0.998826168072477</v>
      </c>
      <c r="G49" s="3" t="n">
        <f aca="false">1-F49</f>
        <v>0.00117383192752307</v>
      </c>
      <c r="H49" s="2" t="n">
        <v>1</v>
      </c>
      <c r="I49" s="2" t="n">
        <f aca="false">EXP(alpha0+alpha1*TimeETC+alpha2*PriceETC)/(EXP(alpha1*TimeMAN+alpha2*PriceMAN)+EXP(alpha0+alpha1*TimeETC+alpha2*PriceETC))</f>
        <v>0.289050497374996</v>
      </c>
      <c r="J49" s="1" t="n">
        <f aca="false">alphanought</f>
        <v>-2.7</v>
      </c>
    </row>
    <row r="50" customFormat="false" ht="12.75" hidden="false" customHeight="false" outlineLevel="0" collapsed="false">
      <c r="A50" s="1" t="n">
        <f aca="false">A49+1</f>
        <v>44</v>
      </c>
      <c r="B50" s="1" t="n">
        <v>0</v>
      </c>
      <c r="C50" s="1" t="n">
        <v>2</v>
      </c>
      <c r="D50" s="1" t="n">
        <v>60</v>
      </c>
      <c r="E50" s="1" t="n">
        <v>2</v>
      </c>
      <c r="F50" s="3" t="n">
        <f aca="false">F49*H49*survive+(G49+(1-survive)*F49)*I49</f>
        <v>0.998826337696887</v>
      </c>
      <c r="G50" s="3" t="n">
        <f aca="false">1-F50</f>
        <v>0.00117366230311278</v>
      </c>
      <c r="H50" s="2" t="n">
        <v>1</v>
      </c>
      <c r="I50" s="2" t="n">
        <f aca="false">EXP(alpha0+alpha1*TimeETC+alpha2*PriceETC)/(EXP(alpha1*TimeMAN+alpha2*PriceMAN)+EXP(alpha0+alpha1*TimeETC+alpha2*PriceETC))</f>
        <v>0.289050497374996</v>
      </c>
      <c r="J50" s="1" t="n">
        <f aca="false">alphanought</f>
        <v>-2.7</v>
      </c>
    </row>
    <row r="51" customFormat="false" ht="12.75" hidden="false" customHeight="false" outlineLevel="0" collapsed="false">
      <c r="A51" s="1" t="n">
        <f aca="false">A50+1</f>
        <v>45</v>
      </c>
      <c r="B51" s="1" t="n">
        <v>0</v>
      </c>
      <c r="C51" s="1" t="n">
        <v>2</v>
      </c>
      <c r="D51" s="1" t="n">
        <v>60</v>
      </c>
      <c r="E51" s="1" t="n">
        <v>2</v>
      </c>
      <c r="F51" s="3" t="n">
        <f aca="false">F50*H50*survive+(G50+(1-survive)*F50)*I50</f>
        <v>0.998826458233686</v>
      </c>
      <c r="G51" s="3" t="n">
        <f aca="false">1-F51</f>
        <v>0.00117354176631446</v>
      </c>
      <c r="H51" s="2" t="n">
        <v>1</v>
      </c>
      <c r="I51" s="2" t="n">
        <f aca="false">EXP(alpha0+alpha1*TimeETC+alpha2*PriceETC)/(EXP(alpha1*TimeMAN+alpha2*PriceMAN)+EXP(alpha0+alpha1*TimeETC+alpha2*PriceETC))</f>
        <v>0.289050497374996</v>
      </c>
      <c r="J51" s="1" t="n">
        <f aca="false">alphanought</f>
        <v>-2.7</v>
      </c>
    </row>
    <row r="52" customFormat="false" ht="12.75" hidden="false" customHeight="false" outlineLevel="0" collapsed="false">
      <c r="A52" s="1" t="n">
        <f aca="false">A51+1</f>
        <v>46</v>
      </c>
      <c r="B52" s="1" t="n">
        <v>0</v>
      </c>
      <c r="C52" s="1" t="n">
        <v>2</v>
      </c>
      <c r="D52" s="1" t="n">
        <v>60</v>
      </c>
      <c r="E52" s="1" t="n">
        <v>2</v>
      </c>
      <c r="F52" s="3" t="n">
        <f aca="false">F51*H51*survive+(G51+(1-survive)*F51)*I51</f>
        <v>0.998826543888337</v>
      </c>
      <c r="G52" s="3" t="n">
        <f aca="false">1-F52</f>
        <v>0.00117345611166297</v>
      </c>
      <c r="H52" s="2" t="n">
        <v>1</v>
      </c>
      <c r="I52" s="2" t="n">
        <f aca="false">EXP(alpha0+alpha1*TimeETC+alpha2*PriceETC)/(EXP(alpha1*TimeMAN+alpha2*PriceMAN)+EXP(alpha0+alpha1*TimeETC+alpha2*PriceETC))</f>
        <v>0.289050497374996</v>
      </c>
      <c r="J52" s="1" t="n">
        <f aca="false">alphanought</f>
        <v>-2.7</v>
      </c>
    </row>
    <row r="53" customFormat="false" ht="12.75" hidden="false" customHeight="false" outlineLevel="0" collapsed="false">
      <c r="A53" s="1" t="n">
        <f aca="false">A52+1</f>
        <v>47</v>
      </c>
      <c r="B53" s="1" t="n">
        <v>0</v>
      </c>
      <c r="C53" s="1" t="n">
        <v>2</v>
      </c>
      <c r="D53" s="1" t="n">
        <v>60</v>
      </c>
      <c r="E53" s="1" t="n">
        <v>2</v>
      </c>
      <c r="F53" s="3" t="n">
        <f aca="false">F52*H52*survive+(G52+(1-survive)*F52)*I52</f>
        <v>0.998826604755387</v>
      </c>
      <c r="G53" s="3" t="n">
        <f aca="false">1-F53</f>
        <v>0.00117339524461302</v>
      </c>
      <c r="H53" s="2" t="n">
        <v>1</v>
      </c>
      <c r="I53" s="2" t="n">
        <f aca="false">EXP(alpha0+alpha1*TimeETC+alpha2*PriceETC)/(EXP(alpha1*TimeMAN+alpha2*PriceMAN)+EXP(alpha0+alpha1*TimeETC+alpha2*PriceETC))</f>
        <v>0.289050497374996</v>
      </c>
      <c r="J53" s="1" t="n">
        <f aca="false">alphanought</f>
        <v>-2.7</v>
      </c>
    </row>
    <row r="54" customFormat="false" ht="12.75" hidden="false" customHeight="false" outlineLevel="0" collapsed="false">
      <c r="A54" s="1" t="n">
        <f aca="false">A53+1</f>
        <v>48</v>
      </c>
      <c r="B54" s="1" t="n">
        <v>0</v>
      </c>
      <c r="C54" s="1" t="n">
        <v>2</v>
      </c>
      <c r="D54" s="1" t="n">
        <v>60</v>
      </c>
      <c r="E54" s="1" t="n">
        <v>2</v>
      </c>
      <c r="F54" s="3" t="n">
        <f aca="false">F53*H53*survive+(G53+(1-survive)*F53)*I53</f>
        <v>0.99882664800812</v>
      </c>
      <c r="G54" s="3" t="n">
        <f aca="false">1-F54</f>
        <v>0.00117335199188007</v>
      </c>
      <c r="H54" s="2" t="n">
        <v>1</v>
      </c>
      <c r="I54" s="2" t="n">
        <f aca="false">EXP(alpha0+alpha1*TimeETC+alpha2*PriceETC)/(EXP(alpha1*TimeMAN+alpha2*PriceMAN)+EXP(alpha0+alpha1*TimeETC+alpha2*PriceETC))</f>
        <v>0.289050497374996</v>
      </c>
      <c r="J54" s="1" t="n">
        <f aca="false">alphanought</f>
        <v>-2.7</v>
      </c>
    </row>
    <row r="55" customFormat="false" ht="12.75" hidden="false" customHeight="false" outlineLevel="0" collapsed="false">
      <c r="A55" s="1" t="n">
        <f aca="false">A54+1</f>
        <v>49</v>
      </c>
      <c r="B55" s="1" t="n">
        <v>0</v>
      </c>
      <c r="C55" s="1" t="n">
        <v>2</v>
      </c>
      <c r="D55" s="1" t="n">
        <v>60</v>
      </c>
      <c r="E55" s="1" t="n">
        <v>2</v>
      </c>
      <c r="F55" s="3" t="n">
        <f aca="false">F54*H54*survive+(G54+(1-survive)*F54)*I54</f>
        <v>0.998826678743944</v>
      </c>
      <c r="G55" s="3" t="n">
        <f aca="false">1-F55</f>
        <v>0.00117332125605651</v>
      </c>
      <c r="H55" s="2" t="n">
        <v>1</v>
      </c>
      <c r="I55" s="2" t="n">
        <f aca="false">EXP(alpha0+alpha1*TimeETC+alpha2*PriceETC)/(EXP(alpha1*TimeMAN+alpha2*PriceMAN)+EXP(alpha0+alpha1*TimeETC+alpha2*PriceETC))</f>
        <v>0.289050497374996</v>
      </c>
      <c r="J55" s="1" t="n">
        <f aca="false">alphanought</f>
        <v>-2.7</v>
      </c>
    </row>
    <row r="56" customFormat="false" ht="12.75" hidden="false" customHeight="false" outlineLevel="0" collapsed="false">
      <c r="A56" s="1" t="n">
        <f aca="false">A55+1</f>
        <v>50</v>
      </c>
      <c r="B56" s="1" t="n">
        <v>0</v>
      </c>
      <c r="C56" s="1" t="n">
        <v>2</v>
      </c>
      <c r="D56" s="1" t="n">
        <v>60</v>
      </c>
      <c r="E56" s="1" t="n">
        <v>2</v>
      </c>
      <c r="F56" s="3" t="n">
        <f aca="false">F55*H55*survive+(G55+(1-survive)*F55)*I55</f>
        <v>0.998826700585127</v>
      </c>
      <c r="G56" s="3" t="n">
        <f aca="false">1-F56</f>
        <v>0.00117329941487354</v>
      </c>
      <c r="H56" s="2" t="n">
        <v>1</v>
      </c>
      <c r="I56" s="2" t="n">
        <f aca="false">EXP(alpha0+alpha1*TimeETC+alpha2*PriceETC)/(EXP(alpha1*TimeMAN+alpha2*PriceMAN)+EXP(alpha0+alpha1*TimeETC+alpha2*PriceETC))</f>
        <v>0.289050497374996</v>
      </c>
      <c r="J56" s="1" t="n">
        <f aca="false">alphanought</f>
        <v>-2.7</v>
      </c>
    </row>
    <row r="57" customFormat="false" ht="12.75" hidden="false" customHeight="false" outlineLevel="0" collapsed="false">
      <c r="A57" s="1" t="n">
        <f aca="false">A56+1</f>
        <v>51</v>
      </c>
      <c r="B57" s="1" t="n">
        <v>0</v>
      </c>
      <c r="C57" s="1" t="n">
        <v>2</v>
      </c>
      <c r="D57" s="1" t="n">
        <v>60</v>
      </c>
      <c r="E57" s="1" t="n">
        <v>2</v>
      </c>
      <c r="F57" s="3" t="n">
        <f aca="false">F56*H56*survive+(G56+(1-survive)*F56)*I56</f>
        <v>0.998826716105689</v>
      </c>
      <c r="G57" s="3" t="n">
        <f aca="false">1-F57</f>
        <v>0.00117328389431104</v>
      </c>
      <c r="H57" s="2" t="n">
        <v>1</v>
      </c>
      <c r="I57" s="2" t="n">
        <f aca="false">EXP(alpha0+alpha1*TimeETC+alpha2*PriceETC)/(EXP(alpha1*TimeMAN+alpha2*PriceMAN)+EXP(alpha0+alpha1*TimeETC+alpha2*PriceETC))</f>
        <v>0.289050497374996</v>
      </c>
      <c r="J57" s="1" t="n">
        <f aca="false">alphanought</f>
        <v>-2.7</v>
      </c>
    </row>
    <row r="58" customFormat="false" ht="12.75" hidden="false" customHeight="false" outlineLevel="0" collapsed="false">
      <c r="A58" s="1" t="n">
        <f aca="false">A57+1</f>
        <v>52</v>
      </c>
      <c r="B58" s="1" t="n">
        <v>0</v>
      </c>
      <c r="C58" s="1" t="n">
        <v>2</v>
      </c>
      <c r="D58" s="1" t="n">
        <v>60</v>
      </c>
      <c r="E58" s="1" t="n">
        <v>2</v>
      </c>
      <c r="F58" s="3" t="n">
        <f aca="false">F57*H57*survive+(G57+(1-survive)*F57)*I57</f>
        <v>0.998826727134756</v>
      </c>
      <c r="G58" s="3" t="n">
        <f aca="false">1-F58</f>
        <v>0.00117327286524449</v>
      </c>
      <c r="H58" s="2" t="n">
        <v>1</v>
      </c>
      <c r="I58" s="2" t="n">
        <f aca="false">EXP(alpha0+alpha1*TimeETC+alpha2*PriceETC)/(EXP(alpha1*TimeMAN+alpha2*PriceMAN)+EXP(alpha0+alpha1*TimeETC+alpha2*PriceETC))</f>
        <v>0.289050497374996</v>
      </c>
      <c r="J58" s="1" t="n">
        <f aca="false">alphanought</f>
        <v>-2.7</v>
      </c>
    </row>
    <row r="59" customFormat="false" ht="12.75" hidden="false" customHeight="false" outlineLevel="0" collapsed="false">
      <c r="A59" s="1" t="n">
        <f aca="false">A58+1</f>
        <v>53</v>
      </c>
      <c r="B59" s="1" t="n">
        <v>0</v>
      </c>
      <c r="C59" s="1" t="n">
        <v>2</v>
      </c>
      <c r="D59" s="1" t="n">
        <v>60</v>
      </c>
      <c r="E59" s="1" t="n">
        <v>2</v>
      </c>
      <c r="F59" s="3" t="n">
        <f aca="false">F58*H58*survive+(G58+(1-survive)*F58)*I58</f>
        <v>0.99882673497212</v>
      </c>
      <c r="G59" s="3" t="n">
        <f aca="false">1-F59</f>
        <v>0.00117326502787973</v>
      </c>
      <c r="H59" s="2" t="n">
        <v>1</v>
      </c>
      <c r="I59" s="2" t="n">
        <f aca="false">EXP(alpha0+alpha1*TimeETC+alpha2*PriceETC)/(EXP(alpha1*TimeMAN+alpha2*PriceMAN)+EXP(alpha0+alpha1*TimeETC+alpha2*PriceETC))</f>
        <v>0.289050497374996</v>
      </c>
      <c r="J59" s="1" t="n">
        <f aca="false">alphanought</f>
        <v>-2.7</v>
      </c>
    </row>
    <row r="60" customFormat="false" ht="12.75" hidden="false" customHeight="false" outlineLevel="0" collapsed="false">
      <c r="A60" s="1" t="n">
        <f aca="false">A59+1</f>
        <v>54</v>
      </c>
      <c r="B60" s="1" t="n">
        <v>0</v>
      </c>
      <c r="C60" s="1" t="n">
        <v>2</v>
      </c>
      <c r="D60" s="1" t="n">
        <v>60</v>
      </c>
      <c r="E60" s="1" t="n">
        <v>2</v>
      </c>
      <c r="F60" s="3" t="n">
        <f aca="false">F59*H59*survive+(G59+(1-survive)*F59)*I59</f>
        <v>0.99882674054143</v>
      </c>
      <c r="G60" s="3" t="n">
        <f aca="false">1-F60</f>
        <v>0.00117325945857028</v>
      </c>
      <c r="H60" s="2" t="n">
        <v>1</v>
      </c>
      <c r="I60" s="2" t="n">
        <f aca="false">EXP(alpha0+alpha1*TimeETC+alpha2*PriceETC)/(EXP(alpha1*TimeMAN+alpha2*PriceMAN)+EXP(alpha0+alpha1*TimeETC+alpha2*PriceETC))</f>
        <v>0.289050497374996</v>
      </c>
      <c r="J60" s="1" t="n">
        <f aca="false">alphanought</f>
        <v>-2.7</v>
      </c>
    </row>
    <row r="61" customFormat="false" ht="12.75" hidden="false" customHeight="false" outlineLevel="0" collapsed="false">
      <c r="A61" s="1" t="n">
        <f aca="false">A60+1</f>
        <v>55</v>
      </c>
      <c r="B61" s="1" t="n">
        <v>0</v>
      </c>
      <c r="C61" s="1" t="n">
        <v>2</v>
      </c>
      <c r="D61" s="1" t="n">
        <v>60</v>
      </c>
      <c r="E61" s="1" t="n">
        <v>2</v>
      </c>
      <c r="F61" s="3" t="n">
        <f aca="false">F60*H60*survive+(G60+(1-survive)*F60)*I60</f>
        <v>0.998826744499037</v>
      </c>
      <c r="G61" s="3" t="n">
        <f aca="false">1-F61</f>
        <v>0.00117325550096326</v>
      </c>
      <c r="H61" s="2" t="n">
        <v>1</v>
      </c>
      <c r="I61" s="2" t="n">
        <f aca="false">EXP(alpha0+alpha1*TimeETC+alpha2*PriceETC)/(EXP(alpha1*TimeMAN+alpha2*PriceMAN)+EXP(alpha0+alpha1*TimeETC+alpha2*PriceETC))</f>
        <v>0.289050497374996</v>
      </c>
      <c r="J61" s="1" t="n">
        <f aca="false">alphanought</f>
        <v>-2.7</v>
      </c>
    </row>
    <row r="62" customFormat="false" ht="12.75" hidden="false" customHeight="false" outlineLevel="0" collapsed="false">
      <c r="A62" s="1" t="n">
        <f aca="false">A61+1</f>
        <v>56</v>
      </c>
      <c r="B62" s="1" t="n">
        <v>0</v>
      </c>
      <c r="C62" s="1" t="n">
        <v>2</v>
      </c>
      <c r="D62" s="1" t="n">
        <v>60</v>
      </c>
      <c r="E62" s="1" t="n">
        <v>2</v>
      </c>
      <c r="F62" s="3" t="n">
        <f aca="false">F61*H61*survive+(G61+(1-survive)*F61)*I61</f>
        <v>0.998826747311352</v>
      </c>
      <c r="G62" s="3" t="n">
        <f aca="false">1-F62</f>
        <v>0.00117325268864832</v>
      </c>
      <c r="H62" s="2" t="n">
        <v>1</v>
      </c>
      <c r="I62" s="2" t="n">
        <f aca="false">EXP(alpha0+alpha1*TimeETC+alpha2*PriceETC)/(EXP(alpha1*TimeMAN+alpha2*PriceMAN)+EXP(alpha0+alpha1*TimeETC+alpha2*PriceETC))</f>
        <v>0.289050497374996</v>
      </c>
      <c r="J62" s="1" t="n">
        <f aca="false">alphanought</f>
        <v>-2.7</v>
      </c>
    </row>
    <row r="63" customFormat="false" ht="12.75" hidden="false" customHeight="false" outlineLevel="0" collapsed="false">
      <c r="A63" s="1" t="n">
        <f aca="false">A62+1</f>
        <v>57</v>
      </c>
      <c r="B63" s="1" t="n">
        <v>0</v>
      </c>
      <c r="C63" s="1" t="n">
        <v>2</v>
      </c>
      <c r="D63" s="1" t="n">
        <v>60</v>
      </c>
      <c r="E63" s="1" t="n">
        <v>2</v>
      </c>
      <c r="F63" s="3" t="n">
        <f aca="false">F62*H62*survive+(G62+(1-survive)*F62)*I62</f>
        <v>0.998826749309811</v>
      </c>
      <c r="G63" s="3" t="n">
        <f aca="false">1-F63</f>
        <v>0.00117325069018936</v>
      </c>
      <c r="H63" s="2" t="n">
        <v>1</v>
      </c>
      <c r="I63" s="2" t="n">
        <f aca="false">EXP(alpha0+alpha1*TimeETC+alpha2*PriceETC)/(EXP(alpha1*TimeMAN+alpha2*PriceMAN)+EXP(alpha0+alpha1*TimeETC+alpha2*PriceETC))</f>
        <v>0.289050497374996</v>
      </c>
      <c r="J63" s="1" t="n">
        <f aca="false">alphanought</f>
        <v>-2.7</v>
      </c>
    </row>
    <row r="64" customFormat="false" ht="12.75" hidden="false" customHeight="false" outlineLevel="0" collapsed="false">
      <c r="A64" s="1" t="n">
        <f aca="false">A63+1</f>
        <v>58</v>
      </c>
      <c r="B64" s="1" t="n">
        <v>0</v>
      </c>
      <c r="C64" s="1" t="n">
        <v>2</v>
      </c>
      <c r="D64" s="1" t="n">
        <v>60</v>
      </c>
      <c r="E64" s="1" t="n">
        <v>2</v>
      </c>
      <c r="F64" s="3" t="n">
        <f aca="false">F63*H63*survive+(G63+(1-survive)*F63)*I63</f>
        <v>0.998826750729936</v>
      </c>
      <c r="G64" s="3" t="n">
        <f aca="false">1-F64</f>
        <v>0.00117324927006435</v>
      </c>
      <c r="H64" s="2" t="n">
        <v>1</v>
      </c>
      <c r="I64" s="2" t="n">
        <f aca="false">EXP(alpha0+alpha1*TimeETC+alpha2*PriceETC)/(EXP(alpha1*TimeMAN+alpha2*PriceMAN)+EXP(alpha0+alpha1*TimeETC+alpha2*PriceETC))</f>
        <v>0.289050497374996</v>
      </c>
      <c r="J64" s="1" t="n">
        <f aca="false">alphanought</f>
        <v>-2.7</v>
      </c>
    </row>
    <row r="65" customFormat="false" ht="12.75" hidden="false" customHeight="false" outlineLevel="0" collapsed="false">
      <c r="A65" s="1" t="n">
        <f aca="false">A64+1</f>
        <v>59</v>
      </c>
      <c r="B65" s="1" t="n">
        <v>0</v>
      </c>
      <c r="C65" s="1" t="n">
        <v>2</v>
      </c>
      <c r="D65" s="1" t="n">
        <v>60</v>
      </c>
      <c r="E65" s="1" t="n">
        <v>2</v>
      </c>
      <c r="F65" s="3" t="n">
        <f aca="false">F64*H64*survive+(G64+(1-survive)*F64)*I64</f>
        <v>0.998826751739091</v>
      </c>
      <c r="G65" s="3" t="n">
        <f aca="false">1-F65</f>
        <v>0.00117324826090937</v>
      </c>
      <c r="H65" s="2" t="n">
        <v>1</v>
      </c>
      <c r="I65" s="2" t="n">
        <f aca="false">EXP(alpha0+alpha1*TimeETC+alpha2*PriceETC)/(EXP(alpha1*TimeMAN+alpha2*PriceMAN)+EXP(alpha0+alpha1*TimeETC+alpha2*PriceETC))</f>
        <v>0.289050497374996</v>
      </c>
      <c r="J65" s="1" t="n">
        <f aca="false">alphanought</f>
        <v>-2.7</v>
      </c>
    </row>
    <row r="66" customFormat="false" ht="12.75" hidden="false" customHeight="false" outlineLevel="0" collapsed="false">
      <c r="A66" s="1" t="n">
        <f aca="false">A65+1</f>
        <v>60</v>
      </c>
      <c r="B66" s="1" t="n">
        <v>0</v>
      </c>
      <c r="C66" s="1" t="n">
        <v>2</v>
      </c>
      <c r="D66" s="1" t="n">
        <v>60</v>
      </c>
      <c r="E66" s="1" t="n">
        <v>2</v>
      </c>
      <c r="F66" s="3" t="n">
        <f aca="false">F65*H65*survive+(G65+(1-survive)*F65)*I65</f>
        <v>0.998826752456206</v>
      </c>
      <c r="G66" s="3" t="n">
        <f aca="false">1-F66</f>
        <v>0.00117324754379378</v>
      </c>
      <c r="H66" s="2" t="n">
        <v>1</v>
      </c>
      <c r="I66" s="2" t="n">
        <f aca="false">EXP(alpha0+alpha1*TimeETC+alpha2*PriceETC)/(EXP(alpha1*TimeMAN+alpha2*PriceMAN)+EXP(alpha0+alpha1*TimeETC+alpha2*PriceETC))</f>
        <v>0.289050497374996</v>
      </c>
      <c r="J66" s="1" t="n">
        <f aca="false">alphanought</f>
        <v>-2.7</v>
      </c>
    </row>
    <row r="67" customFormat="false" ht="12.75" hidden="false" customHeight="false" outlineLevel="0" collapsed="false">
      <c r="A67" s="1" t="n">
        <f aca="false">A66+1</f>
        <v>61</v>
      </c>
      <c r="B67" s="1" t="n">
        <v>0</v>
      </c>
      <c r="C67" s="1" t="n">
        <v>2</v>
      </c>
      <c r="D67" s="1" t="n">
        <v>60</v>
      </c>
      <c r="E67" s="1" t="n">
        <v>2</v>
      </c>
      <c r="F67" s="3" t="n">
        <f aca="false">F66*H66*survive+(G66+(1-survive)*F66)*I66</f>
        <v>0.998826752965796</v>
      </c>
      <c r="G67" s="3" t="n">
        <f aca="false">1-F67</f>
        <v>0.00117324703420429</v>
      </c>
      <c r="H67" s="2" t="n">
        <v>1</v>
      </c>
      <c r="I67" s="2" t="n">
        <f aca="false">EXP(alpha0+alpha1*TimeETC+alpha2*PriceETC)/(EXP(alpha1*TimeMAN+alpha2*PriceMAN)+EXP(alpha0+alpha1*TimeETC+alpha2*PriceETC))</f>
        <v>0.289050497374996</v>
      </c>
      <c r="J67" s="1" t="n">
        <f aca="false">alphanought</f>
        <v>-2.7</v>
      </c>
    </row>
    <row r="68" customFormat="false" ht="12.75" hidden="false" customHeight="false" outlineLevel="0" collapsed="false">
      <c r="A68" s="1" t="n">
        <f aca="false">A67+1</f>
        <v>62</v>
      </c>
      <c r="B68" s="1" t="n">
        <v>0</v>
      </c>
      <c r="C68" s="1" t="n">
        <v>2</v>
      </c>
      <c r="D68" s="1" t="n">
        <v>60</v>
      </c>
      <c r="E68" s="1" t="n">
        <v>2</v>
      </c>
      <c r="F68" s="3" t="n">
        <f aca="false">F67*H67*survive+(G67+(1-survive)*F67)*I67</f>
        <v>0.998826753327915</v>
      </c>
      <c r="G68" s="3" t="n">
        <f aca="false">1-F68</f>
        <v>0.00117324667208485</v>
      </c>
      <c r="H68" s="2" t="n">
        <v>1</v>
      </c>
      <c r="I68" s="2" t="n">
        <f aca="false">EXP(alpha0+alpha1*TimeETC+alpha2*PriceETC)/(EXP(alpha1*TimeMAN+alpha2*PriceMAN)+EXP(alpha0+alpha1*TimeETC+alpha2*PriceETC))</f>
        <v>0.289050497374996</v>
      </c>
      <c r="J68" s="1" t="n">
        <f aca="false">alphanought</f>
        <v>-2.7</v>
      </c>
    </row>
    <row r="69" customFormat="false" ht="12.75" hidden="false" customHeight="false" outlineLevel="0" collapsed="false">
      <c r="A69" s="1" t="n">
        <f aca="false">A68+1</f>
        <v>63</v>
      </c>
      <c r="B69" s="1" t="n">
        <v>0</v>
      </c>
      <c r="C69" s="1" t="n">
        <v>2</v>
      </c>
      <c r="D69" s="1" t="n">
        <v>60</v>
      </c>
      <c r="E69" s="1" t="n">
        <v>2</v>
      </c>
      <c r="F69" s="3" t="n">
        <f aca="false">F68*H68*survive+(G68+(1-survive)*F68)*I68</f>
        <v>0.998826753585241</v>
      </c>
      <c r="G69" s="3" t="n">
        <f aca="false">1-F69</f>
        <v>0.00117324641475924</v>
      </c>
      <c r="H69" s="2" t="n">
        <v>1</v>
      </c>
      <c r="I69" s="2" t="n">
        <f aca="false">EXP(alpha0+alpha1*TimeETC+alpha2*PriceETC)/(EXP(alpha1*TimeMAN+alpha2*PriceMAN)+EXP(alpha0+alpha1*TimeETC+alpha2*PriceETC))</f>
        <v>0.289050497374996</v>
      </c>
      <c r="J69" s="1" t="n">
        <f aca="false">alphanought</f>
        <v>-2.7</v>
      </c>
    </row>
    <row r="70" customFormat="false" ht="12.75" hidden="false" customHeight="false" outlineLevel="0" collapsed="false">
      <c r="A70" s="1" t="n">
        <f aca="false">A69+1</f>
        <v>64</v>
      </c>
      <c r="B70" s="1" t="n">
        <v>0</v>
      </c>
      <c r="C70" s="1" t="n">
        <v>2</v>
      </c>
      <c r="D70" s="1" t="n">
        <v>60</v>
      </c>
      <c r="E70" s="1" t="n">
        <v>2</v>
      </c>
      <c r="F70" s="3" t="n">
        <f aca="false">F69*H69*survive+(G69+(1-survive)*F69)*I69</f>
        <v>0.998826753768099</v>
      </c>
      <c r="G70" s="3" t="n">
        <f aca="false">1-F70</f>
        <v>0.00117324623190107</v>
      </c>
      <c r="H70" s="2" t="n">
        <v>1</v>
      </c>
      <c r="I70" s="2" t="n">
        <f aca="false">EXP(alpha0+alpha1*TimeETC+alpha2*PriceETC)/(EXP(alpha1*TimeMAN+alpha2*PriceMAN)+EXP(alpha0+alpha1*TimeETC+alpha2*PriceETC))</f>
        <v>0.289050497374996</v>
      </c>
      <c r="J70" s="1" t="n">
        <f aca="false">alphanought</f>
        <v>-2.7</v>
      </c>
    </row>
    <row r="71" customFormat="false" ht="12.75" hidden="false" customHeight="false" outlineLevel="0" collapsed="false">
      <c r="A71" s="1" t="n">
        <f aca="false">A70+1</f>
        <v>65</v>
      </c>
      <c r="B71" s="1" t="n">
        <v>0</v>
      </c>
      <c r="C71" s="1" t="n">
        <v>2</v>
      </c>
      <c r="D71" s="1" t="n">
        <v>60</v>
      </c>
      <c r="E71" s="1" t="n">
        <v>2</v>
      </c>
      <c r="F71" s="3" t="n">
        <f aca="false">F70*H70*survive+(G70+(1-survive)*F70)*I70</f>
        <v>0.99882675389804</v>
      </c>
      <c r="G71" s="3" t="n">
        <f aca="false">1-F71</f>
        <v>0.00117324610196023</v>
      </c>
      <c r="H71" s="2" t="n">
        <v>1</v>
      </c>
      <c r="I71" s="2" t="n">
        <f aca="false">EXP(alpha0+alpha1*TimeETC+alpha2*PriceETC)/(EXP(alpha1*TimeMAN+alpha2*PriceMAN)+EXP(alpha0+alpha1*TimeETC+alpha2*PriceETC))</f>
        <v>0.289050497374996</v>
      </c>
      <c r="J71" s="1" t="n">
        <f aca="false">alphanought</f>
        <v>-2.7</v>
      </c>
    </row>
    <row r="72" customFormat="false" ht="12.75" hidden="false" customHeight="false" outlineLevel="0" collapsed="false">
      <c r="A72" s="1" t="n">
        <f aca="false">A71+1</f>
        <v>66</v>
      </c>
      <c r="B72" s="1" t="n">
        <v>0</v>
      </c>
      <c r="C72" s="1" t="n">
        <v>2</v>
      </c>
      <c r="D72" s="1" t="n">
        <v>60</v>
      </c>
      <c r="E72" s="1" t="n">
        <v>2</v>
      </c>
      <c r="F72" s="3" t="n">
        <f aca="false">F71*H71*survive+(G71+(1-survive)*F71)*I71</f>
        <v>0.998826753990377</v>
      </c>
      <c r="G72" s="3" t="n">
        <f aca="false">1-F72</f>
        <v>0.00117324600962299</v>
      </c>
      <c r="H72" s="2" t="n">
        <v>1</v>
      </c>
      <c r="I72" s="2" t="n">
        <f aca="false">EXP(alpha0+alpha1*TimeETC+alpha2*PriceETC)/(EXP(alpha1*TimeMAN+alpha2*PriceMAN)+EXP(alpha0+alpha1*TimeETC+alpha2*PriceETC))</f>
        <v>0.289050497374996</v>
      </c>
      <c r="J72" s="1" t="n">
        <f aca="false">alphanought</f>
        <v>-2.7</v>
      </c>
    </row>
    <row r="73" customFormat="false" ht="12.75" hidden="false" customHeight="false" outlineLevel="0" collapsed="false">
      <c r="A73" s="1" t="n">
        <f aca="false">A72+1</f>
        <v>67</v>
      </c>
      <c r="B73" s="1" t="n">
        <v>0</v>
      </c>
      <c r="C73" s="1" t="n">
        <v>2</v>
      </c>
      <c r="D73" s="1" t="n">
        <v>60</v>
      </c>
      <c r="E73" s="1" t="n">
        <v>2</v>
      </c>
      <c r="F73" s="3" t="n">
        <f aca="false">F72*H72*survive+(G72+(1-survive)*F72)*I72</f>
        <v>0.998826754055993</v>
      </c>
      <c r="G73" s="3" t="n">
        <f aca="false">1-F73</f>
        <v>0.00117324594400725</v>
      </c>
      <c r="H73" s="2" t="n">
        <v>1</v>
      </c>
      <c r="I73" s="2" t="n">
        <f aca="false">EXP(alpha0+alpha1*TimeETC+alpha2*PriceETC)/(EXP(alpha1*TimeMAN+alpha2*PriceMAN)+EXP(alpha0+alpha1*TimeETC+alpha2*PriceETC))</f>
        <v>0.289050497374996</v>
      </c>
      <c r="J73" s="1" t="n">
        <f aca="false">alphanought</f>
        <v>-2.7</v>
      </c>
    </row>
    <row r="74" customFormat="false" ht="12.75" hidden="false" customHeight="false" outlineLevel="0" collapsed="false">
      <c r="A74" s="1" t="n">
        <f aca="false">A73+1</f>
        <v>68</v>
      </c>
      <c r="B74" s="1" t="n">
        <v>0</v>
      </c>
      <c r="C74" s="1" t="n">
        <v>2</v>
      </c>
      <c r="D74" s="1" t="n">
        <v>60</v>
      </c>
      <c r="E74" s="1" t="n">
        <v>2</v>
      </c>
      <c r="F74" s="3" t="n">
        <f aca="false">F73*H73*survive+(G73+(1-survive)*F73)*I73</f>
        <v>0.99882675410262</v>
      </c>
      <c r="G74" s="3" t="n">
        <f aca="false">1-F74</f>
        <v>0.00117324589737999</v>
      </c>
      <c r="H74" s="2" t="n">
        <v>1</v>
      </c>
      <c r="I74" s="2" t="n">
        <f aca="false">EXP(alpha0+alpha1*TimeETC+alpha2*PriceETC)/(EXP(alpha1*TimeMAN+alpha2*PriceMAN)+EXP(alpha0+alpha1*TimeETC+alpha2*PriceETC))</f>
        <v>0.289050497374996</v>
      </c>
      <c r="J74" s="1" t="n">
        <f aca="false">alphanought</f>
        <v>-2.7</v>
      </c>
    </row>
    <row r="75" customFormat="false" ht="12.75" hidden="false" customHeight="false" outlineLevel="0" collapsed="false">
      <c r="A75" s="1" t="n">
        <f aca="false">A74+1</f>
        <v>69</v>
      </c>
      <c r="B75" s="1" t="n">
        <v>0</v>
      </c>
      <c r="C75" s="1" t="n">
        <v>2</v>
      </c>
      <c r="D75" s="1" t="n">
        <v>60</v>
      </c>
      <c r="E75" s="1" t="n">
        <v>2</v>
      </c>
      <c r="F75" s="3" t="n">
        <f aca="false">F74*H74*survive+(G74+(1-survive)*F74)*I74</f>
        <v>0.998826754135754</v>
      </c>
      <c r="G75" s="3" t="n">
        <f aca="false">1-F75</f>
        <v>0.00117324586424616</v>
      </c>
      <c r="H75" s="2" t="n">
        <v>1</v>
      </c>
      <c r="I75" s="2" t="n">
        <f aca="false">EXP(alpha0+alpha1*TimeETC+alpha2*PriceETC)/(EXP(alpha1*TimeMAN+alpha2*PriceMAN)+EXP(alpha0+alpha1*TimeETC+alpha2*PriceETC))</f>
        <v>0.289050497374996</v>
      </c>
      <c r="J75" s="1" t="n">
        <f aca="false">alphanought</f>
        <v>-2.7</v>
      </c>
    </row>
    <row r="76" customFormat="false" ht="12.75" hidden="false" customHeight="false" outlineLevel="0" collapsed="false">
      <c r="A76" s="1" t="n">
        <f aca="false">A75+1</f>
        <v>70</v>
      </c>
      <c r="B76" s="1" t="n">
        <v>0</v>
      </c>
      <c r="C76" s="1" t="n">
        <v>2</v>
      </c>
      <c r="D76" s="1" t="n">
        <v>60</v>
      </c>
      <c r="E76" s="1" t="n">
        <v>2</v>
      </c>
      <c r="F76" s="3" t="n">
        <f aca="false">F75*H75*survive+(G75+(1-survive)*F75)*I75</f>
        <v>0.998826754159299</v>
      </c>
      <c r="G76" s="3" t="n">
        <f aca="false">1-F76</f>
        <v>0.001173245840701</v>
      </c>
      <c r="H76" s="2" t="n">
        <v>1</v>
      </c>
      <c r="I76" s="2" t="n">
        <f aca="false">EXP(alpha0+alpha1*TimeETC+alpha2*PriceETC)/(EXP(alpha1*TimeMAN+alpha2*PriceMAN)+EXP(alpha0+alpha1*TimeETC+alpha2*PriceETC))</f>
        <v>0.289050497374996</v>
      </c>
      <c r="J76" s="1" t="n">
        <f aca="false">alphanought</f>
        <v>-2.7</v>
      </c>
    </row>
    <row r="77" customFormat="false" ht="12.75" hidden="false" customHeight="false" outlineLevel="0" collapsed="false">
      <c r="A77" s="1" t="n">
        <f aca="false">A76+1</f>
        <v>71</v>
      </c>
      <c r="B77" s="1" t="n">
        <v>0</v>
      </c>
      <c r="C77" s="1" t="n">
        <v>2</v>
      </c>
      <c r="D77" s="1" t="n">
        <v>60</v>
      </c>
      <c r="E77" s="1" t="n">
        <v>2</v>
      </c>
      <c r="F77" s="3" t="n">
        <f aca="false">F76*H76*survive+(G76+(1-survive)*F76)*I76</f>
        <v>0.998826754176031</v>
      </c>
      <c r="G77" s="3" t="n">
        <f aca="false">1-F77</f>
        <v>0.00117324582396949</v>
      </c>
      <c r="H77" s="2" t="n">
        <v>1</v>
      </c>
      <c r="I77" s="2" t="n">
        <f aca="false">EXP(alpha0+alpha1*TimeETC+alpha2*PriceETC)/(EXP(alpha1*TimeMAN+alpha2*PriceMAN)+EXP(alpha0+alpha1*TimeETC+alpha2*PriceETC))</f>
        <v>0.289050497374996</v>
      </c>
      <c r="J77" s="1" t="n">
        <f aca="false">alphanought</f>
        <v>-2.7</v>
      </c>
    </row>
    <row r="78" customFormat="false" ht="12.75" hidden="false" customHeight="false" outlineLevel="0" collapsed="false">
      <c r="A78" s="1" t="n">
        <f aca="false">A77+1</f>
        <v>72</v>
      </c>
      <c r="B78" s="1" t="n">
        <v>0</v>
      </c>
      <c r="C78" s="1" t="n">
        <v>2</v>
      </c>
      <c r="D78" s="1" t="n">
        <v>60</v>
      </c>
      <c r="E78" s="1" t="n">
        <v>2</v>
      </c>
      <c r="F78" s="3" t="n">
        <f aca="false">F77*H77*survive+(G77+(1-survive)*F77)*I77</f>
        <v>0.99882675418792</v>
      </c>
      <c r="G78" s="3" t="n">
        <f aca="false">1-F78</f>
        <v>0.00117324581208</v>
      </c>
      <c r="H78" s="2" t="n">
        <v>1</v>
      </c>
      <c r="I78" s="2" t="n">
        <f aca="false">EXP(alpha0+alpha1*TimeETC+alpha2*PriceETC)/(EXP(alpha1*TimeMAN+alpha2*PriceMAN)+EXP(alpha0+alpha1*TimeETC+alpha2*PriceETC))</f>
        <v>0.289050497374996</v>
      </c>
      <c r="J78" s="1" t="n">
        <f aca="false">alphanought</f>
        <v>-2.7</v>
      </c>
    </row>
    <row r="79" customFormat="false" ht="12.75" hidden="false" customHeight="false" outlineLevel="0" collapsed="false">
      <c r="A79" s="1" t="n">
        <f aca="false">A78+1</f>
        <v>73</v>
      </c>
      <c r="B79" s="1" t="n">
        <v>0</v>
      </c>
      <c r="C79" s="1" t="n">
        <v>2</v>
      </c>
      <c r="D79" s="1" t="n">
        <v>60</v>
      </c>
      <c r="E79" s="1" t="n">
        <v>2</v>
      </c>
      <c r="F79" s="3" t="n">
        <f aca="false">F78*H78*survive+(G78+(1-survive)*F78)*I78</f>
        <v>0.998826754196369</v>
      </c>
      <c r="G79" s="3" t="n">
        <f aca="false">1-F79</f>
        <v>0.00117324580363121</v>
      </c>
      <c r="H79" s="2" t="n">
        <v>1</v>
      </c>
      <c r="I79" s="2" t="n">
        <f aca="false">EXP(alpha0+alpha1*TimeETC+alpha2*PriceETC)/(EXP(alpha1*TimeMAN+alpha2*PriceMAN)+EXP(alpha0+alpha1*TimeETC+alpha2*PriceETC))</f>
        <v>0.289050497374996</v>
      </c>
      <c r="J79" s="1" t="n">
        <f aca="false">alphanought</f>
        <v>-2.7</v>
      </c>
    </row>
    <row r="80" customFormat="false" ht="12.75" hidden="false" customHeight="false" outlineLevel="0" collapsed="false">
      <c r="A80" s="1" t="n">
        <f aca="false">A79+1</f>
        <v>74</v>
      </c>
      <c r="B80" s="1" t="n">
        <v>0</v>
      </c>
      <c r="C80" s="1" t="n">
        <v>2</v>
      </c>
      <c r="D80" s="1" t="n">
        <v>60</v>
      </c>
      <c r="E80" s="1" t="n">
        <v>2</v>
      </c>
      <c r="F80" s="3" t="n">
        <f aca="false">F79*H79*survive+(G79+(1-survive)*F79)*I79</f>
        <v>0.998826754202373</v>
      </c>
      <c r="G80" s="3" t="n">
        <f aca="false">1-F80</f>
        <v>0.00117324579762745</v>
      </c>
      <c r="H80" s="2" t="n">
        <v>1</v>
      </c>
      <c r="I80" s="2" t="n">
        <f aca="false">EXP(alpha0+alpha1*TimeETC+alpha2*PriceETC)/(EXP(alpha1*TimeMAN+alpha2*PriceMAN)+EXP(alpha0+alpha1*TimeETC+alpha2*PriceETC))</f>
        <v>0.289050497374996</v>
      </c>
      <c r="J80" s="1" t="n">
        <f aca="false">alphanought</f>
        <v>-2.7</v>
      </c>
    </row>
    <row r="81" customFormat="false" ht="12.75" hidden="false" customHeight="false" outlineLevel="0" collapsed="false">
      <c r="A81" s="1" t="n">
        <f aca="false">A80+1</f>
        <v>75</v>
      </c>
      <c r="B81" s="1" t="n">
        <v>0</v>
      </c>
      <c r="C81" s="1" t="n">
        <v>2</v>
      </c>
      <c r="D81" s="1" t="n">
        <v>60</v>
      </c>
      <c r="E81" s="1" t="n">
        <v>2</v>
      </c>
      <c r="F81" s="3" t="n">
        <f aca="false">F80*H80*survive+(G80+(1-survive)*F80)*I80</f>
        <v>0.998826754206639</v>
      </c>
      <c r="G81" s="3" t="n">
        <f aca="false">1-F81</f>
        <v>0.00117324579336109</v>
      </c>
      <c r="H81" s="2" t="n">
        <v>1</v>
      </c>
      <c r="I81" s="2" t="n">
        <f aca="false">EXP(alpha0+alpha1*TimeETC+alpha2*PriceETC)/(EXP(alpha1*TimeMAN+alpha2*PriceMAN)+EXP(alpha0+alpha1*TimeETC+alpha2*PriceETC))</f>
        <v>0.289050497374996</v>
      </c>
      <c r="J81" s="1" t="n">
        <f aca="false">alphanought</f>
        <v>-2.7</v>
      </c>
    </row>
    <row r="82" customFormat="false" ht="12.75" hidden="false" customHeight="false" outlineLevel="0" collapsed="false">
      <c r="A82" s="1" t="n">
        <f aca="false">A81+1</f>
        <v>76</v>
      </c>
      <c r="B82" s="1" t="n">
        <v>0</v>
      </c>
      <c r="C82" s="1" t="n">
        <v>2</v>
      </c>
      <c r="D82" s="1" t="n">
        <v>60</v>
      </c>
      <c r="E82" s="1" t="n">
        <v>2</v>
      </c>
      <c r="F82" s="3" t="n">
        <f aca="false">F81*H81*survive+(G81+(1-survive)*F81)*I81</f>
        <v>0.998826754209671</v>
      </c>
      <c r="G82" s="3" t="n">
        <f aca="false">1-F82</f>
        <v>0.0011732457903294</v>
      </c>
      <c r="H82" s="2" t="n">
        <v>1</v>
      </c>
      <c r="I82" s="2" t="n">
        <f aca="false">EXP(alpha0+alpha1*TimeETC+alpha2*PriceETC)/(EXP(alpha1*TimeMAN+alpha2*PriceMAN)+EXP(alpha0+alpha1*TimeETC+alpha2*PriceETC))</f>
        <v>0.289050497374996</v>
      </c>
      <c r="J82" s="1" t="n">
        <f aca="false">alphanought</f>
        <v>-2.7</v>
      </c>
    </row>
    <row r="83" customFormat="false" ht="12.75" hidden="false" customHeight="false" outlineLevel="0" collapsed="false">
      <c r="A83" s="1" t="n">
        <f aca="false">A82+1</f>
        <v>77</v>
      </c>
      <c r="B83" s="1" t="n">
        <v>0</v>
      </c>
      <c r="C83" s="1" t="n">
        <v>2</v>
      </c>
      <c r="D83" s="1" t="n">
        <v>60</v>
      </c>
      <c r="E83" s="1" t="n">
        <v>2</v>
      </c>
      <c r="F83" s="3" t="n">
        <f aca="false">F82*H82*survive+(G82+(1-survive)*F82)*I82</f>
        <v>0.998826754211825</v>
      </c>
      <c r="G83" s="3" t="n">
        <f aca="false">1-F83</f>
        <v>0.00117324578817501</v>
      </c>
      <c r="H83" s="2" t="n">
        <v>1</v>
      </c>
      <c r="I83" s="2" t="n">
        <f aca="false">EXP(alpha0+alpha1*TimeETC+alpha2*PriceETC)/(EXP(alpha1*TimeMAN+alpha2*PriceMAN)+EXP(alpha0+alpha1*TimeETC+alpha2*PriceETC))</f>
        <v>0.289050497374996</v>
      </c>
      <c r="J83" s="1" t="n">
        <f aca="false">alphanought</f>
        <v>-2.7</v>
      </c>
    </row>
    <row r="84" customFormat="false" ht="12.75" hidden="false" customHeight="false" outlineLevel="0" collapsed="false">
      <c r="A84" s="1" t="n">
        <f aca="false">A83+1</f>
        <v>78</v>
      </c>
      <c r="B84" s="1" t="n">
        <v>0</v>
      </c>
      <c r="C84" s="1" t="n">
        <v>2</v>
      </c>
      <c r="D84" s="1" t="n">
        <v>60</v>
      </c>
      <c r="E84" s="1" t="n">
        <v>2</v>
      </c>
      <c r="F84" s="3" t="n">
        <f aca="false">F83*H83*survive+(G83+(1-survive)*F83)*I83</f>
        <v>0.998826754213356</v>
      </c>
      <c r="G84" s="3" t="n">
        <f aca="false">1-F84</f>
        <v>0.00117324578664402</v>
      </c>
      <c r="H84" s="2" t="n">
        <v>1</v>
      </c>
      <c r="I84" s="2" t="n">
        <f aca="false">EXP(alpha0+alpha1*TimeETC+alpha2*PriceETC)/(EXP(alpha1*TimeMAN+alpha2*PriceMAN)+EXP(alpha0+alpha1*TimeETC+alpha2*PriceETC))</f>
        <v>0.289050497374996</v>
      </c>
      <c r="J84" s="1" t="n">
        <f aca="false">alphanought</f>
        <v>-2.7</v>
      </c>
    </row>
    <row r="85" customFormat="false" ht="12.75" hidden="false" customHeight="false" outlineLevel="0" collapsed="false">
      <c r="A85" s="1" t="n">
        <f aca="false">A84+1</f>
        <v>79</v>
      </c>
      <c r="B85" s="1" t="n">
        <v>0</v>
      </c>
      <c r="C85" s="1" t="n">
        <v>2</v>
      </c>
      <c r="D85" s="1" t="n">
        <v>60</v>
      </c>
      <c r="E85" s="1" t="n">
        <v>2</v>
      </c>
      <c r="F85" s="3" t="n">
        <f aca="false">F84*H84*survive+(G84+(1-survive)*F84)*I84</f>
        <v>0.998826754214444</v>
      </c>
      <c r="G85" s="3" t="n">
        <f aca="false">1-F85</f>
        <v>0.00117324578555622</v>
      </c>
      <c r="H85" s="2" t="n">
        <v>1</v>
      </c>
      <c r="I85" s="2" t="n">
        <f aca="false">EXP(alpha0+alpha1*TimeETC+alpha2*PriceETC)/(EXP(alpha1*TimeMAN+alpha2*PriceMAN)+EXP(alpha0+alpha1*TimeETC+alpha2*PriceETC))</f>
        <v>0.289050497374996</v>
      </c>
      <c r="J85" s="1" t="n">
        <f aca="false">alphanought</f>
        <v>-2.7</v>
      </c>
    </row>
    <row r="86" customFormat="false" ht="12.75" hidden="false" customHeight="false" outlineLevel="0" collapsed="false">
      <c r="A86" s="1" t="n">
        <f aca="false">A85+1</f>
        <v>80</v>
      </c>
      <c r="B86" s="1" t="n">
        <v>0</v>
      </c>
      <c r="C86" s="1" t="n">
        <v>2</v>
      </c>
      <c r="D86" s="1" t="n">
        <v>60</v>
      </c>
      <c r="E86" s="1" t="n">
        <v>2</v>
      </c>
      <c r="F86" s="3" t="n">
        <f aca="false">F85*H85*survive+(G85+(1-survive)*F85)*I85</f>
        <v>0.998826754215217</v>
      </c>
      <c r="G86" s="3" t="n">
        <f aca="false">1-F86</f>
        <v>0.00117324578478306</v>
      </c>
      <c r="H86" s="2" t="n">
        <v>1</v>
      </c>
      <c r="I86" s="2" t="n">
        <f aca="false">EXP(alpha0+alpha1*TimeETC+alpha2*PriceETC)/(EXP(alpha1*TimeMAN+alpha2*PriceMAN)+EXP(alpha0+alpha1*TimeETC+alpha2*PriceETC))</f>
        <v>0.289050497374996</v>
      </c>
      <c r="J86" s="1" t="n">
        <f aca="false">alphanought</f>
        <v>-2.7</v>
      </c>
    </row>
    <row r="87" customFormat="false" ht="12.75" hidden="false" customHeight="false" outlineLevel="0" collapsed="false">
      <c r="A87" s="1" t="n">
        <f aca="false">A86+1</f>
        <v>81</v>
      </c>
      <c r="B87" s="1" t="n">
        <v>0</v>
      </c>
      <c r="C87" s="1" t="n">
        <v>2</v>
      </c>
      <c r="D87" s="1" t="n">
        <v>60</v>
      </c>
      <c r="E87" s="1" t="n">
        <v>2</v>
      </c>
      <c r="F87" s="3" t="n">
        <f aca="false">F86*H86*survive+(G86+(1-survive)*F86)*I86</f>
        <v>0.998826754215766</v>
      </c>
      <c r="G87" s="3" t="n">
        <f aca="false">1-F87</f>
        <v>0.00117324578423372</v>
      </c>
      <c r="H87" s="2" t="n">
        <v>1</v>
      </c>
      <c r="I87" s="2" t="n">
        <f aca="false">EXP(alpha0+alpha1*TimeETC+alpha2*PriceETC)/(EXP(alpha1*TimeMAN+alpha2*PriceMAN)+EXP(alpha0+alpha1*TimeETC+alpha2*PriceETC))</f>
        <v>0.289050497374996</v>
      </c>
      <c r="J87" s="1" t="n">
        <f aca="false">alphanought</f>
        <v>-2.7</v>
      </c>
    </row>
    <row r="88" customFormat="false" ht="12.75" hidden="false" customHeight="false" outlineLevel="0" collapsed="false">
      <c r="A88" s="1" t="n">
        <f aca="false">A87+1</f>
        <v>82</v>
      </c>
      <c r="B88" s="1" t="n">
        <v>0</v>
      </c>
      <c r="C88" s="1" t="n">
        <v>2</v>
      </c>
      <c r="D88" s="1" t="n">
        <v>60</v>
      </c>
      <c r="E88" s="1" t="n">
        <v>2</v>
      </c>
      <c r="F88" s="3" t="n">
        <f aca="false">F87*H87*survive+(G87+(1-survive)*F87)*I87</f>
        <v>0.998826754216157</v>
      </c>
      <c r="G88" s="3" t="n">
        <f aca="false">1-F88</f>
        <v>0.00117324578384337</v>
      </c>
      <c r="H88" s="2" t="n">
        <v>1</v>
      </c>
      <c r="I88" s="2" t="n">
        <f aca="false">EXP(alpha0+alpha1*TimeETC+alpha2*PriceETC)/(EXP(alpha1*TimeMAN+alpha2*PriceMAN)+EXP(alpha0+alpha1*TimeETC+alpha2*PriceETC))</f>
        <v>0.289050497374996</v>
      </c>
      <c r="J88" s="1" t="n">
        <f aca="false">alphanought</f>
        <v>-2.7</v>
      </c>
    </row>
    <row r="89" customFormat="false" ht="12.75" hidden="false" customHeight="false" outlineLevel="0" collapsed="false">
      <c r="A89" s="1" t="n">
        <f aca="false">A88+1</f>
        <v>83</v>
      </c>
      <c r="B89" s="1" t="n">
        <v>0</v>
      </c>
      <c r="C89" s="1" t="n">
        <v>2</v>
      </c>
      <c r="D89" s="1" t="n">
        <v>60</v>
      </c>
      <c r="E89" s="1" t="n">
        <v>2</v>
      </c>
      <c r="F89" s="3" t="n">
        <f aca="false">F88*H88*survive+(G88+(1-survive)*F88)*I88</f>
        <v>0.998826754216434</v>
      </c>
      <c r="G89" s="3" t="n">
        <f aca="false">1-F89</f>
        <v>0.00117324578356603</v>
      </c>
      <c r="H89" s="2" t="n">
        <v>1</v>
      </c>
      <c r="I89" s="2" t="n">
        <f aca="false">EXP(alpha0+alpha1*TimeETC+alpha2*PriceETC)/(EXP(alpha1*TimeMAN+alpha2*PriceMAN)+EXP(alpha0+alpha1*TimeETC+alpha2*PriceETC))</f>
        <v>0.289050497374996</v>
      </c>
      <c r="J89" s="1" t="n">
        <f aca="false">alphanought</f>
        <v>-2.7</v>
      </c>
    </row>
    <row r="90" customFormat="false" ht="12.75" hidden="false" customHeight="false" outlineLevel="0" collapsed="false">
      <c r="A90" s="1" t="n">
        <f aca="false">A89+1</f>
        <v>84</v>
      </c>
      <c r="B90" s="1" t="n">
        <v>0</v>
      </c>
      <c r="C90" s="1" t="n">
        <v>2</v>
      </c>
      <c r="D90" s="1" t="n">
        <v>60</v>
      </c>
      <c r="E90" s="1" t="n">
        <v>2</v>
      </c>
      <c r="F90" s="3" t="n">
        <f aca="false">F89*H89*survive+(G89+(1-survive)*F89)*I89</f>
        <v>0.998826754216631</v>
      </c>
      <c r="G90" s="3" t="n">
        <f aca="false">1-F90</f>
        <v>0.00117324578336886</v>
      </c>
      <c r="H90" s="2" t="n">
        <v>1</v>
      </c>
      <c r="I90" s="2" t="n">
        <f aca="false">EXP(alpha0+alpha1*TimeETC+alpha2*PriceETC)/(EXP(alpha1*TimeMAN+alpha2*PriceMAN)+EXP(alpha0+alpha1*TimeETC+alpha2*PriceETC))</f>
        <v>0.289050497374996</v>
      </c>
      <c r="J90" s="1" t="n">
        <f aca="false">alphanought</f>
        <v>-2.7</v>
      </c>
    </row>
    <row r="91" customFormat="false" ht="12.75" hidden="false" customHeight="false" outlineLevel="0" collapsed="false">
      <c r="A91" s="1" t="n">
        <f aca="false">A90+1</f>
        <v>85</v>
      </c>
      <c r="B91" s="1" t="n">
        <v>0</v>
      </c>
      <c r="C91" s="1" t="n">
        <v>2</v>
      </c>
      <c r="D91" s="1" t="n">
        <v>60</v>
      </c>
      <c r="E91" s="1" t="n">
        <v>2</v>
      </c>
      <c r="F91" s="3" t="n">
        <f aca="false">F90*H90*survive+(G90+(1-survive)*F90)*I90</f>
        <v>0.998826754216771</v>
      </c>
      <c r="G91" s="3" t="n">
        <f aca="false">1-F91</f>
        <v>0.00117324578322875</v>
      </c>
      <c r="H91" s="2" t="n">
        <v>1</v>
      </c>
      <c r="I91" s="2" t="n">
        <f aca="false">EXP(alpha0+alpha1*TimeETC+alpha2*PriceETC)/(EXP(alpha1*TimeMAN+alpha2*PriceMAN)+EXP(alpha0+alpha1*TimeETC+alpha2*PriceETC))</f>
        <v>0.289050497374996</v>
      </c>
      <c r="J91" s="1" t="n">
        <f aca="false">alphanought</f>
        <v>-2.7</v>
      </c>
    </row>
    <row r="92" customFormat="false" ht="12.75" hidden="false" customHeight="false" outlineLevel="0" collapsed="false">
      <c r="A92" s="1" t="n">
        <f aca="false">A91+1</f>
        <v>86</v>
      </c>
      <c r="B92" s="1" t="n">
        <v>0</v>
      </c>
      <c r="C92" s="1" t="n">
        <v>2</v>
      </c>
      <c r="D92" s="1" t="n">
        <v>60</v>
      </c>
      <c r="E92" s="1" t="n">
        <v>2</v>
      </c>
      <c r="F92" s="3" t="n">
        <f aca="false">F91*H91*survive+(G91+(1-survive)*F91)*I91</f>
        <v>0.998826754216871</v>
      </c>
      <c r="G92" s="3" t="n">
        <f aca="false">1-F92</f>
        <v>0.00117324578312916</v>
      </c>
      <c r="H92" s="2" t="n">
        <v>1</v>
      </c>
      <c r="I92" s="2" t="n">
        <f aca="false">EXP(alpha0+alpha1*TimeETC+alpha2*PriceETC)/(EXP(alpha1*TimeMAN+alpha2*PriceMAN)+EXP(alpha0+alpha1*TimeETC+alpha2*PriceETC))</f>
        <v>0.289050497374996</v>
      </c>
      <c r="J92" s="1" t="n">
        <f aca="false">alphanought</f>
        <v>-2.7</v>
      </c>
    </row>
    <row r="93" customFormat="false" ht="12.75" hidden="false" customHeight="false" outlineLevel="0" collapsed="false">
      <c r="A93" s="1" t="n">
        <f aca="false">A92+1</f>
        <v>87</v>
      </c>
      <c r="B93" s="1" t="n">
        <v>0</v>
      </c>
      <c r="C93" s="1" t="n">
        <v>2</v>
      </c>
      <c r="D93" s="1" t="n">
        <v>60</v>
      </c>
      <c r="E93" s="1" t="n">
        <v>2</v>
      </c>
      <c r="F93" s="3" t="n">
        <f aca="false">F92*H92*survive+(G92+(1-survive)*F92)*I92</f>
        <v>0.998826754216942</v>
      </c>
      <c r="G93" s="3" t="n">
        <f aca="false">1-F93</f>
        <v>0.00117324578305844</v>
      </c>
      <c r="H93" s="2" t="n">
        <v>1</v>
      </c>
      <c r="I93" s="2" t="n">
        <f aca="false">EXP(alpha0+alpha1*TimeETC+alpha2*PriceETC)/(EXP(alpha1*TimeMAN+alpha2*PriceMAN)+EXP(alpha0+alpha1*TimeETC+alpha2*PriceETC))</f>
        <v>0.289050497374996</v>
      </c>
      <c r="J93" s="1" t="n">
        <f aca="false">alphanought</f>
        <v>-2.7</v>
      </c>
    </row>
    <row r="94" customFormat="false" ht="12.75" hidden="false" customHeight="false" outlineLevel="0" collapsed="false">
      <c r="A94" s="1" t="n">
        <f aca="false">A93+1</f>
        <v>88</v>
      </c>
      <c r="B94" s="1" t="n">
        <v>0</v>
      </c>
      <c r="C94" s="1" t="n">
        <v>2</v>
      </c>
      <c r="D94" s="1" t="n">
        <v>60</v>
      </c>
      <c r="E94" s="1" t="n">
        <v>2</v>
      </c>
      <c r="F94" s="3" t="n">
        <f aca="false">F93*H93*survive+(G93+(1-survive)*F93)*I93</f>
        <v>0.998826754216992</v>
      </c>
      <c r="G94" s="3" t="n">
        <f aca="false">1-F94</f>
        <v>0.00117324578300815</v>
      </c>
      <c r="H94" s="2" t="n">
        <v>1</v>
      </c>
      <c r="I94" s="2" t="n">
        <f aca="false">EXP(alpha0+alpha1*TimeETC+alpha2*PriceETC)/(EXP(alpha1*TimeMAN+alpha2*PriceMAN)+EXP(alpha0+alpha1*TimeETC+alpha2*PriceETC))</f>
        <v>0.289050497374996</v>
      </c>
      <c r="J94" s="1" t="n">
        <f aca="false">alphanought</f>
        <v>-2.7</v>
      </c>
    </row>
    <row r="95" customFormat="false" ht="12.75" hidden="false" customHeight="false" outlineLevel="0" collapsed="false">
      <c r="A95" s="1" t="n">
        <f aca="false">A94+1</f>
        <v>89</v>
      </c>
      <c r="B95" s="1" t="n">
        <v>0</v>
      </c>
      <c r="C95" s="1" t="n">
        <v>2</v>
      </c>
      <c r="D95" s="1" t="n">
        <v>60</v>
      </c>
      <c r="E95" s="1" t="n">
        <v>2</v>
      </c>
      <c r="F95" s="3" t="n">
        <f aca="false">F94*H94*survive+(G94+(1-survive)*F94)*I94</f>
        <v>0.998826754217028</v>
      </c>
      <c r="G95" s="3" t="n">
        <f aca="false">1-F95</f>
        <v>0.0011732457829724</v>
      </c>
      <c r="H95" s="2" t="n">
        <v>1</v>
      </c>
      <c r="I95" s="2" t="n">
        <f aca="false">EXP(alpha0+alpha1*TimeETC+alpha2*PriceETC)/(EXP(alpha1*TimeMAN+alpha2*PriceMAN)+EXP(alpha0+alpha1*TimeETC+alpha2*PriceETC))</f>
        <v>0.289050497374996</v>
      </c>
      <c r="J95" s="1" t="n">
        <f aca="false">alphanought</f>
        <v>-2.7</v>
      </c>
    </row>
    <row r="96" customFormat="false" ht="12.75" hidden="false" customHeight="false" outlineLevel="0" collapsed="false">
      <c r="A96" s="1" t="n">
        <f aca="false">A95+1</f>
        <v>90</v>
      </c>
      <c r="B96" s="1" t="n">
        <v>0</v>
      </c>
      <c r="C96" s="1" t="n">
        <v>2</v>
      </c>
      <c r="D96" s="1" t="n">
        <v>60</v>
      </c>
      <c r="E96" s="1" t="n">
        <v>2</v>
      </c>
      <c r="F96" s="3" t="n">
        <f aca="false">F95*H95*survive+(G95+(1-survive)*F95)*I95</f>
        <v>0.998826754217053</v>
      </c>
      <c r="G96" s="3" t="n">
        <f aca="false">1-F96</f>
        <v>0.00117324578294709</v>
      </c>
      <c r="H96" s="2" t="n">
        <v>1</v>
      </c>
      <c r="I96" s="2" t="n">
        <f aca="false">EXP(alpha0+alpha1*TimeETC+alpha2*PriceETC)/(EXP(alpha1*TimeMAN+alpha2*PriceMAN)+EXP(alpha0+alpha1*TimeETC+alpha2*PriceETC))</f>
        <v>0.289050497374996</v>
      </c>
      <c r="J96" s="1" t="n">
        <f aca="false">alphanought</f>
        <v>-2.7</v>
      </c>
    </row>
    <row r="97" customFormat="false" ht="12.75" hidden="false" customHeight="false" outlineLevel="0" collapsed="false">
      <c r="A97" s="1" t="n">
        <f aca="false">A96+1</f>
        <v>91</v>
      </c>
      <c r="B97" s="1" t="n">
        <v>0</v>
      </c>
      <c r="C97" s="1" t="n">
        <v>2</v>
      </c>
      <c r="D97" s="1" t="n">
        <v>60</v>
      </c>
      <c r="E97" s="1" t="n">
        <v>2</v>
      </c>
      <c r="F97" s="3" t="n">
        <f aca="false">F96*H96*survive+(G96+(1-survive)*F96)*I96</f>
        <v>0.998826754217071</v>
      </c>
      <c r="G97" s="3" t="n">
        <f aca="false">1-F97</f>
        <v>0.0011732457829291</v>
      </c>
      <c r="H97" s="2" t="n">
        <v>1</v>
      </c>
      <c r="I97" s="2" t="n">
        <f aca="false">EXP(alpha0+alpha1*TimeETC+alpha2*PriceETC)/(EXP(alpha1*TimeMAN+alpha2*PriceMAN)+EXP(alpha0+alpha1*TimeETC+alpha2*PriceETC))</f>
        <v>0.289050497374996</v>
      </c>
      <c r="J97" s="1" t="n">
        <f aca="false">alphanought</f>
        <v>-2.7</v>
      </c>
    </row>
    <row r="98" customFormat="false" ht="12.75" hidden="false" customHeight="false" outlineLevel="0" collapsed="false">
      <c r="A98" s="1" t="n">
        <f aca="false">A97+1</f>
        <v>92</v>
      </c>
      <c r="B98" s="1" t="n">
        <v>0</v>
      </c>
      <c r="C98" s="1" t="n">
        <v>2</v>
      </c>
      <c r="D98" s="1" t="n">
        <v>60</v>
      </c>
      <c r="E98" s="1" t="n">
        <v>2</v>
      </c>
      <c r="F98" s="3" t="n">
        <f aca="false">F97*H97*survive+(G97+(1-survive)*F97)*I97</f>
        <v>0.998826754217084</v>
      </c>
      <c r="G98" s="3" t="n">
        <f aca="false">1-F98</f>
        <v>0.00117324578291633</v>
      </c>
      <c r="H98" s="2" t="n">
        <v>1</v>
      </c>
      <c r="I98" s="2" t="n">
        <f aca="false">EXP(alpha0+alpha1*TimeETC+alpha2*PriceETC)/(EXP(alpha1*TimeMAN+alpha2*PriceMAN)+EXP(alpha0+alpha1*TimeETC+alpha2*PriceETC))</f>
        <v>0.289050497374996</v>
      </c>
      <c r="J98" s="1" t="n">
        <f aca="false">alphanought</f>
        <v>-2.7</v>
      </c>
    </row>
    <row r="99" customFormat="false" ht="12.75" hidden="false" customHeight="false" outlineLevel="0" collapsed="false">
      <c r="A99" s="1" t="n">
        <f aca="false">A98+1</f>
        <v>93</v>
      </c>
      <c r="B99" s="1" t="n">
        <v>0</v>
      </c>
      <c r="C99" s="1" t="n">
        <v>2</v>
      </c>
      <c r="D99" s="1" t="n">
        <v>60</v>
      </c>
      <c r="E99" s="1" t="n">
        <v>2</v>
      </c>
      <c r="F99" s="3" t="n">
        <f aca="false">F98*H98*survive+(G98+(1-survive)*F98)*I98</f>
        <v>0.998826754217093</v>
      </c>
      <c r="G99" s="3" t="n">
        <f aca="false">1-F99</f>
        <v>0.00117324578290723</v>
      </c>
      <c r="H99" s="2" t="n">
        <v>1</v>
      </c>
      <c r="I99" s="2" t="n">
        <f aca="false">EXP(alpha0+alpha1*TimeETC+alpha2*PriceETC)/(EXP(alpha1*TimeMAN+alpha2*PriceMAN)+EXP(alpha0+alpha1*TimeETC+alpha2*PriceETC))</f>
        <v>0.289050497374996</v>
      </c>
      <c r="J99" s="1" t="n">
        <f aca="false">alphanought</f>
        <v>-2.7</v>
      </c>
    </row>
    <row r="100" customFormat="false" ht="12.75" hidden="false" customHeight="false" outlineLevel="0" collapsed="false">
      <c r="A100" s="1" t="n">
        <f aca="false">A99+1</f>
        <v>94</v>
      </c>
      <c r="B100" s="1" t="n">
        <v>0</v>
      </c>
      <c r="C100" s="1" t="n">
        <v>2</v>
      </c>
      <c r="D100" s="1" t="n">
        <v>60</v>
      </c>
      <c r="E100" s="1" t="n">
        <v>2</v>
      </c>
      <c r="F100" s="3" t="n">
        <f aca="false">F99*H99*survive+(G99+(1-survive)*F99)*I99</f>
        <v>0.998826754217099</v>
      </c>
      <c r="G100" s="3" t="n">
        <f aca="false">1-F100</f>
        <v>0.00117324578290079</v>
      </c>
      <c r="H100" s="2" t="n">
        <v>1</v>
      </c>
      <c r="I100" s="2" t="n">
        <f aca="false">EXP(alpha0+alpha1*TimeETC+alpha2*PriceETC)/(EXP(alpha1*TimeMAN+alpha2*PriceMAN)+EXP(alpha0+alpha1*TimeETC+alpha2*PriceETC))</f>
        <v>0.289050497374996</v>
      </c>
      <c r="J100" s="1" t="n">
        <f aca="false">alphanought</f>
        <v>-2.7</v>
      </c>
    </row>
    <row r="101" customFormat="false" ht="12.75" hidden="false" customHeight="false" outlineLevel="0" collapsed="false">
      <c r="A101" s="1" t="n">
        <f aca="false">A100+1</f>
        <v>95</v>
      </c>
      <c r="B101" s="1" t="n">
        <v>0</v>
      </c>
      <c r="C101" s="1" t="n">
        <v>2</v>
      </c>
      <c r="D101" s="1" t="n">
        <v>60</v>
      </c>
      <c r="E101" s="1" t="n">
        <v>2</v>
      </c>
      <c r="F101" s="3" t="n">
        <f aca="false">F100*H100*survive+(G100+(1-survive)*F100)*I100</f>
        <v>0.998826754217104</v>
      </c>
      <c r="G101" s="3" t="n">
        <f aca="false">1-F101</f>
        <v>0.00117324578289613</v>
      </c>
      <c r="H101" s="2" t="n">
        <v>1</v>
      </c>
      <c r="I101" s="2" t="n">
        <f aca="false">EXP(alpha0+alpha1*TimeETC+alpha2*PriceETC)/(EXP(alpha1*TimeMAN+alpha2*PriceMAN)+EXP(alpha0+alpha1*TimeETC+alpha2*PriceETC))</f>
        <v>0.289050497374996</v>
      </c>
      <c r="J101" s="1" t="n">
        <f aca="false">alphanought</f>
        <v>-2.7</v>
      </c>
    </row>
    <row r="102" customFormat="false" ht="12.75" hidden="false" customHeight="false" outlineLevel="0" collapsed="false">
      <c r="A102" s="1" t="n">
        <f aca="false">A101+1</f>
        <v>96</v>
      </c>
      <c r="B102" s="1" t="n">
        <v>0</v>
      </c>
      <c r="C102" s="1" t="n">
        <v>2</v>
      </c>
      <c r="D102" s="1" t="n">
        <v>60</v>
      </c>
      <c r="E102" s="1" t="n">
        <v>2</v>
      </c>
      <c r="F102" s="3" t="n">
        <f aca="false">F101*H101*survive+(G101+(1-survive)*F101)*I101</f>
        <v>0.998826754217107</v>
      </c>
      <c r="G102" s="3" t="n">
        <f aca="false">1-F102</f>
        <v>0.00117324578289291</v>
      </c>
      <c r="H102" s="2" t="n">
        <v>1</v>
      </c>
      <c r="I102" s="2" t="n">
        <f aca="false">EXP(alpha0+alpha1*TimeETC+alpha2*PriceETC)/(EXP(alpha1*TimeMAN+alpha2*PriceMAN)+EXP(alpha0+alpha1*TimeETC+alpha2*PriceETC))</f>
        <v>0.289050497374996</v>
      </c>
      <c r="J102" s="1" t="n">
        <f aca="false">alphanought</f>
        <v>-2.7</v>
      </c>
    </row>
    <row r="103" customFormat="false" ht="12.75" hidden="false" customHeight="false" outlineLevel="0" collapsed="false">
      <c r="A103" s="1" t="n">
        <f aca="false">A102+1</f>
        <v>97</v>
      </c>
      <c r="B103" s="1" t="n">
        <v>0</v>
      </c>
      <c r="C103" s="1" t="n">
        <v>2</v>
      </c>
      <c r="D103" s="1" t="n">
        <v>60</v>
      </c>
      <c r="E103" s="1" t="n">
        <v>2</v>
      </c>
      <c r="F103" s="3" t="n">
        <f aca="false">F102*H102*survive+(G102+(1-survive)*F102)*I102</f>
        <v>0.998826754217109</v>
      </c>
      <c r="G103" s="3" t="n">
        <f aca="false">1-F103</f>
        <v>0.00117324578289058</v>
      </c>
      <c r="H103" s="2" t="n">
        <v>1</v>
      </c>
      <c r="I103" s="2" t="n">
        <f aca="false">EXP(alpha0+alpha1*TimeETC+alpha2*PriceETC)/(EXP(alpha1*TimeMAN+alpha2*PriceMAN)+EXP(alpha0+alpha1*TimeETC+alpha2*PriceETC))</f>
        <v>0.289050497374996</v>
      </c>
      <c r="J103" s="1" t="n">
        <f aca="false">alphanought</f>
        <v>-2.7</v>
      </c>
    </row>
    <row r="104" customFormat="false" ht="12.75" hidden="false" customHeight="false" outlineLevel="0" collapsed="false">
      <c r="A104" s="1" t="n">
        <f aca="false">A103+1</f>
        <v>98</v>
      </c>
      <c r="B104" s="1" t="n">
        <v>0</v>
      </c>
      <c r="C104" s="1" t="n">
        <v>2</v>
      </c>
      <c r="D104" s="1" t="n">
        <v>60</v>
      </c>
      <c r="E104" s="1" t="n">
        <v>2</v>
      </c>
      <c r="F104" s="3" t="n">
        <f aca="false">F103*H103*survive+(G103+(1-survive)*F103)*I103</f>
        <v>0.998826754217111</v>
      </c>
      <c r="G104" s="3" t="n">
        <f aca="false">1-F104</f>
        <v>0.00117324578288891</v>
      </c>
      <c r="H104" s="2" t="n">
        <v>1</v>
      </c>
      <c r="I104" s="2" t="n">
        <f aca="false">EXP(alpha0+alpha1*TimeETC+alpha2*PriceETC)/(EXP(alpha1*TimeMAN+alpha2*PriceMAN)+EXP(alpha0+alpha1*TimeETC+alpha2*PriceETC))</f>
        <v>0.289050497374996</v>
      </c>
      <c r="J104" s="1" t="n">
        <f aca="false">alphanought</f>
        <v>-2.7</v>
      </c>
    </row>
    <row r="105" customFormat="false" ht="12.75" hidden="false" customHeight="false" outlineLevel="0" collapsed="false">
      <c r="A105" s="1" t="n">
        <f aca="false">A104+1</f>
        <v>99</v>
      </c>
      <c r="B105" s="1" t="n">
        <v>0</v>
      </c>
      <c r="C105" s="1" t="n">
        <v>2</v>
      </c>
      <c r="D105" s="1" t="n">
        <v>60</v>
      </c>
      <c r="E105" s="1" t="n">
        <v>2</v>
      </c>
      <c r="F105" s="3" t="n">
        <f aca="false">F104*H104*survive+(G104+(1-survive)*F104)*I104</f>
        <v>0.998826754217112</v>
      </c>
      <c r="G105" s="3" t="n">
        <f aca="false">1-F105</f>
        <v>0.00117324578288769</v>
      </c>
      <c r="H105" s="2" t="n">
        <v>1</v>
      </c>
      <c r="I105" s="2" t="n">
        <f aca="false">EXP(alpha0+alpha1*TimeETC+alpha2*PriceETC)/(EXP(alpha1*TimeMAN+alpha2*PriceMAN)+EXP(alpha0+alpha1*TimeETC+alpha2*PriceETC))</f>
        <v>0.289050497374996</v>
      </c>
      <c r="J105" s="1" t="n">
        <f aca="false">alphanought</f>
        <v>-2.7</v>
      </c>
    </row>
    <row r="106" customFormat="false" ht="12.75" hidden="false" customHeight="false" outlineLevel="0" collapsed="false">
      <c r="A106" s="1" t="n">
        <f aca="false">A105+1</f>
        <v>100</v>
      </c>
      <c r="B106" s="1" t="n">
        <v>0</v>
      </c>
      <c r="C106" s="1" t="n">
        <v>2</v>
      </c>
      <c r="D106" s="1" t="n">
        <v>60</v>
      </c>
      <c r="E106" s="1" t="n">
        <v>2</v>
      </c>
      <c r="F106" s="3" t="n">
        <f aca="false">F105*H105*survive+(G105+(1-survive)*F105)*I105</f>
        <v>0.998826754217113</v>
      </c>
      <c r="G106" s="3" t="n">
        <f aca="false">1-F106</f>
        <v>0.00117324578288691</v>
      </c>
      <c r="H106" s="2" t="n">
        <v>1</v>
      </c>
      <c r="I106" s="2" t="n">
        <f aca="false">EXP(alpha0+alpha1*TimeETC+alpha2*PriceETC)/(EXP(alpha1*TimeMAN+alpha2*PriceMAN)+EXP(alpha0+alpha1*TimeETC+alpha2*PriceETC))</f>
        <v>0.289050497374996</v>
      </c>
      <c r="J106" s="1" t="n">
        <f aca="false">alphanought</f>
        <v>-2.7</v>
      </c>
    </row>
    <row r="107" customFormat="false" ht="12.75" hidden="false" customHeight="false" outlineLevel="0" collapsed="false">
      <c r="A107" s="1" t="n">
        <f aca="false">A106+1</f>
        <v>101</v>
      </c>
      <c r="B107" s="1" t="n">
        <v>0</v>
      </c>
      <c r="C107" s="1" t="n">
        <v>2</v>
      </c>
      <c r="D107" s="1" t="n">
        <v>60</v>
      </c>
      <c r="E107" s="1" t="n">
        <v>2</v>
      </c>
      <c r="F107" s="3" t="n">
        <f aca="false">F106*H106*survive+(G106+(1-survive)*F106)*I106</f>
        <v>0.998826754217114</v>
      </c>
      <c r="G107" s="3" t="n">
        <f aca="false">1-F107</f>
        <v>0.00117324578288636</v>
      </c>
      <c r="H107" s="2" t="n">
        <v>1</v>
      </c>
      <c r="I107" s="2" t="n">
        <f aca="false">EXP(alpha0+alpha1*TimeETC+alpha2*PriceETC)/(EXP(alpha1*TimeMAN+alpha2*PriceMAN)+EXP(alpha0+alpha1*TimeETC+alpha2*PriceETC))</f>
        <v>0.289050497374996</v>
      </c>
      <c r="J107" s="1" t="n">
        <f aca="false">alphanought</f>
        <v>-2.7</v>
      </c>
    </row>
    <row r="108" customFormat="false" ht="12.75" hidden="false" customHeight="false" outlineLevel="0" collapsed="false">
      <c r="A108" s="1" t="n">
        <f aca="false">A107+1</f>
        <v>102</v>
      </c>
      <c r="B108" s="1" t="n">
        <v>0</v>
      </c>
      <c r="C108" s="1" t="n">
        <v>2</v>
      </c>
      <c r="D108" s="1" t="n">
        <v>60</v>
      </c>
      <c r="E108" s="1" t="n">
        <v>2</v>
      </c>
      <c r="F108" s="3" t="n">
        <f aca="false">F107*H107*survive+(G107+(1-survive)*F107)*I107</f>
        <v>0.998826754217114</v>
      </c>
      <c r="G108" s="3" t="n">
        <f aca="false">1-F108</f>
        <v>0.00117324578288591</v>
      </c>
      <c r="H108" s="2" t="n">
        <v>1</v>
      </c>
      <c r="I108" s="2" t="n">
        <f aca="false">EXP(alpha0+alpha1*TimeETC+alpha2*PriceETC)/(EXP(alpha1*TimeMAN+alpha2*PriceMAN)+EXP(alpha0+alpha1*TimeETC+alpha2*PriceETC))</f>
        <v>0.289050497374996</v>
      </c>
      <c r="J108" s="1" t="n">
        <f aca="false">alphanought</f>
        <v>-2.7</v>
      </c>
    </row>
    <row r="109" customFormat="false" ht="12.75" hidden="false" customHeight="false" outlineLevel="0" collapsed="false">
      <c r="A109" s="1" t="n">
        <f aca="false">A108+1</f>
        <v>103</v>
      </c>
      <c r="B109" s="1" t="n">
        <v>0</v>
      </c>
      <c r="C109" s="1" t="n">
        <v>2</v>
      </c>
      <c r="D109" s="1" t="n">
        <v>60</v>
      </c>
      <c r="E109" s="1" t="n">
        <v>2</v>
      </c>
      <c r="F109" s="3" t="n">
        <f aca="false">F108*H108*survive+(G108+(1-survive)*F108)*I108</f>
        <v>0.998826754217114</v>
      </c>
      <c r="G109" s="3" t="n">
        <f aca="false">1-F109</f>
        <v>0.00117324578288558</v>
      </c>
      <c r="H109" s="2" t="n">
        <v>1</v>
      </c>
      <c r="I109" s="2" t="n">
        <f aca="false">EXP(alpha0+alpha1*TimeETC+alpha2*PriceETC)/(EXP(alpha1*TimeMAN+alpha2*PriceMAN)+EXP(alpha0+alpha1*TimeETC+alpha2*PriceETC))</f>
        <v>0.289050497374996</v>
      </c>
      <c r="J109" s="1" t="n">
        <f aca="false">alphanought</f>
        <v>-2.7</v>
      </c>
    </row>
    <row r="110" customFormat="false" ht="12.75" hidden="false" customHeight="false" outlineLevel="0" collapsed="false">
      <c r="A110" s="1" t="n">
        <f aca="false">A109+1</f>
        <v>104</v>
      </c>
      <c r="B110" s="1" t="n">
        <v>0</v>
      </c>
      <c r="C110" s="1" t="n">
        <v>2</v>
      </c>
      <c r="D110" s="1" t="n">
        <v>60</v>
      </c>
      <c r="E110" s="1" t="n">
        <v>2</v>
      </c>
      <c r="F110" s="3" t="n">
        <f aca="false">F109*H109*survive+(G109+(1-survive)*F109)*I109</f>
        <v>0.998826754217115</v>
      </c>
      <c r="G110" s="3" t="n">
        <f aca="false">1-F110</f>
        <v>0.00117324578288536</v>
      </c>
      <c r="H110" s="2" t="n">
        <v>1</v>
      </c>
      <c r="I110" s="2" t="n">
        <f aca="false">EXP(alpha0+alpha1*TimeETC+alpha2*PriceETC)/(EXP(alpha1*TimeMAN+alpha2*PriceMAN)+EXP(alpha0+alpha1*TimeETC+alpha2*PriceETC))</f>
        <v>0.289050497374996</v>
      </c>
      <c r="J110" s="1" t="n">
        <f aca="false">alphanought</f>
        <v>-2.7</v>
      </c>
    </row>
    <row r="111" customFormat="false" ht="12.75" hidden="false" customHeight="false" outlineLevel="0" collapsed="false">
      <c r="A111" s="1" t="n">
        <f aca="false">A110+1</f>
        <v>105</v>
      </c>
      <c r="B111" s="1" t="n">
        <v>0</v>
      </c>
      <c r="C111" s="1" t="n">
        <v>2</v>
      </c>
      <c r="D111" s="1" t="n">
        <v>60</v>
      </c>
      <c r="E111" s="1" t="n">
        <v>2</v>
      </c>
      <c r="F111" s="3" t="n">
        <f aca="false">F110*H110*survive+(G110+(1-survive)*F110)*I110</f>
        <v>0.998826754217115</v>
      </c>
      <c r="G111" s="3" t="n">
        <f aca="false">1-F111</f>
        <v>0.00117324578288525</v>
      </c>
      <c r="H111" s="2" t="n">
        <v>1</v>
      </c>
      <c r="I111" s="2" t="n">
        <f aca="false">EXP(alpha0+alpha1*TimeETC+alpha2*PriceETC)/(EXP(alpha1*TimeMAN+alpha2*PriceMAN)+EXP(alpha0+alpha1*TimeETC+alpha2*PriceETC))</f>
        <v>0.289050497374996</v>
      </c>
      <c r="J111" s="1" t="n">
        <f aca="false">alphanought</f>
        <v>-2.7</v>
      </c>
    </row>
    <row r="112" customFormat="false" ht="12.75" hidden="false" customHeight="false" outlineLevel="0" collapsed="false">
      <c r="A112" s="1" t="n">
        <f aca="false">A111+1</f>
        <v>106</v>
      </c>
      <c r="B112" s="1" t="n">
        <v>0</v>
      </c>
      <c r="C112" s="1" t="n">
        <v>2</v>
      </c>
      <c r="D112" s="1" t="n">
        <v>60</v>
      </c>
      <c r="E112" s="1" t="n">
        <v>2</v>
      </c>
      <c r="F112" s="3" t="n">
        <f aca="false">F111*H111*survive+(G111+(1-survive)*F111)*I111</f>
        <v>0.998826754217115</v>
      </c>
      <c r="G112" s="3" t="n">
        <f aca="false">1-F112</f>
        <v>0.00117324578288514</v>
      </c>
      <c r="H112" s="2" t="n">
        <v>1</v>
      </c>
      <c r="I112" s="2" t="n">
        <f aca="false">EXP(alpha0+alpha1*TimeETC+alpha2*PriceETC)/(EXP(alpha1*TimeMAN+alpha2*PriceMAN)+EXP(alpha0+alpha1*TimeETC+alpha2*PriceETC))</f>
        <v>0.289050497374996</v>
      </c>
      <c r="J112" s="1" t="n">
        <f aca="false">alphanought</f>
        <v>-2.7</v>
      </c>
    </row>
    <row r="113" customFormat="false" ht="12.75" hidden="false" customHeight="false" outlineLevel="0" collapsed="false">
      <c r="A113" s="1" t="n">
        <f aca="false">A112+1</f>
        <v>107</v>
      </c>
      <c r="B113" s="1" t="n">
        <v>0</v>
      </c>
      <c r="C113" s="1" t="n">
        <v>2</v>
      </c>
      <c r="D113" s="1" t="n">
        <v>60</v>
      </c>
      <c r="E113" s="1" t="n">
        <v>2</v>
      </c>
      <c r="F113" s="3" t="n">
        <f aca="false">F112*H112*survive+(G112+(1-survive)*F112)*I112</f>
        <v>0.998826754217115</v>
      </c>
      <c r="G113" s="3" t="n">
        <f aca="false">1-F113</f>
        <v>0.00117324578288502</v>
      </c>
      <c r="H113" s="2" t="n">
        <v>1</v>
      </c>
      <c r="I113" s="2" t="n">
        <f aca="false">EXP(alpha0+alpha1*TimeETC+alpha2*PriceETC)/(EXP(alpha1*TimeMAN+alpha2*PriceMAN)+EXP(alpha0+alpha1*TimeETC+alpha2*PriceETC))</f>
        <v>0.289050497374996</v>
      </c>
      <c r="J113" s="1" t="n">
        <f aca="false">alphanought</f>
        <v>-2.7</v>
      </c>
    </row>
    <row r="114" customFormat="false" ht="12.75" hidden="false" customHeight="false" outlineLevel="0" collapsed="false">
      <c r="A114" s="1" t="n">
        <f aca="false">A113+1</f>
        <v>108</v>
      </c>
      <c r="B114" s="1" t="n">
        <v>0</v>
      </c>
      <c r="C114" s="1" t="n">
        <v>2</v>
      </c>
      <c r="D114" s="1" t="n">
        <v>60</v>
      </c>
      <c r="E114" s="1" t="n">
        <v>2</v>
      </c>
      <c r="F114" s="3" t="n">
        <f aca="false">F113*H113*survive+(G113+(1-survive)*F113)*I113</f>
        <v>0.998826754217115</v>
      </c>
      <c r="G114" s="3" t="n">
        <f aca="false">1-F114</f>
        <v>0.00117324578288502</v>
      </c>
      <c r="H114" s="2" t="n">
        <v>1</v>
      </c>
      <c r="I114" s="2" t="n">
        <f aca="false">EXP(alpha0+alpha1*TimeETC+alpha2*PriceETC)/(EXP(alpha1*TimeMAN+alpha2*PriceMAN)+EXP(alpha0+alpha1*TimeETC+alpha2*PriceETC))</f>
        <v>0.289050497374996</v>
      </c>
      <c r="J114" s="1" t="n">
        <f aca="false">alphanought</f>
        <v>-2.7</v>
      </c>
    </row>
    <row r="115" customFormat="false" ht="12.75" hidden="false" customHeight="false" outlineLevel="0" collapsed="false">
      <c r="A115" s="1" t="n">
        <f aca="false">A114+1</f>
        <v>109</v>
      </c>
      <c r="B115" s="1" t="n">
        <v>0</v>
      </c>
      <c r="C115" s="1" t="n">
        <v>2</v>
      </c>
      <c r="D115" s="1" t="n">
        <v>60</v>
      </c>
      <c r="E115" s="1" t="n">
        <v>2</v>
      </c>
      <c r="F115" s="3" t="n">
        <f aca="false">F114*H114*survive+(G114+(1-survive)*F114)*I114</f>
        <v>0.998826754217115</v>
      </c>
      <c r="G115" s="3" t="n">
        <f aca="false">1-F115</f>
        <v>0.00117324578288502</v>
      </c>
      <c r="H115" s="2" t="n">
        <v>1</v>
      </c>
      <c r="I115" s="2" t="n">
        <f aca="false">EXP(alpha0+alpha1*TimeETC+alpha2*PriceETC)/(EXP(alpha1*TimeMAN+alpha2*PriceMAN)+EXP(alpha0+alpha1*TimeETC+alpha2*PriceETC))</f>
        <v>0.289050497374996</v>
      </c>
      <c r="J115" s="1" t="n">
        <f aca="false">alphanought</f>
        <v>-2.7</v>
      </c>
    </row>
    <row r="116" customFormat="false" ht="12.75" hidden="false" customHeight="false" outlineLevel="0" collapsed="false">
      <c r="A116" s="1" t="n">
        <f aca="false">A115+1</f>
        <v>110</v>
      </c>
      <c r="B116" s="1" t="n">
        <v>0</v>
      </c>
      <c r="C116" s="1" t="n">
        <v>2</v>
      </c>
      <c r="D116" s="1" t="n">
        <v>60</v>
      </c>
      <c r="E116" s="1" t="n">
        <v>2</v>
      </c>
      <c r="F116" s="3" t="n">
        <f aca="false">F115*H115*survive+(G115+(1-survive)*F115)*I115</f>
        <v>0.998826754217115</v>
      </c>
      <c r="G116" s="3" t="n">
        <f aca="false">1-F116</f>
        <v>0.00117324578288502</v>
      </c>
      <c r="H116" s="2" t="n">
        <v>1</v>
      </c>
      <c r="I116" s="2" t="n">
        <f aca="false">EXP(alpha0+alpha1*TimeETC+alpha2*PriceETC)/(EXP(alpha1*TimeMAN+alpha2*PriceMAN)+EXP(alpha0+alpha1*TimeETC+alpha2*PriceETC))</f>
        <v>0.289050497374996</v>
      </c>
      <c r="J116" s="1" t="n">
        <f aca="false">alphanought</f>
        <v>-2.7</v>
      </c>
    </row>
    <row r="117" customFormat="false" ht="12.75" hidden="false" customHeight="false" outlineLevel="0" collapsed="false">
      <c r="A117" s="1" t="n">
        <f aca="false">A116+1</f>
        <v>111</v>
      </c>
      <c r="B117" s="1" t="n">
        <v>0</v>
      </c>
      <c r="C117" s="1" t="n">
        <v>2</v>
      </c>
      <c r="D117" s="1" t="n">
        <v>60</v>
      </c>
      <c r="E117" s="1" t="n">
        <v>2</v>
      </c>
      <c r="F117" s="3" t="n">
        <f aca="false">F116*H116*survive+(G116+(1-survive)*F116)*I116</f>
        <v>0.998826754217115</v>
      </c>
      <c r="G117" s="3" t="n">
        <f aca="false">1-F117</f>
        <v>0.00117324578288502</v>
      </c>
      <c r="H117" s="2" t="n">
        <v>1</v>
      </c>
      <c r="I117" s="2" t="n">
        <f aca="false">EXP(alpha0+alpha1*TimeETC+alpha2*PriceETC)/(EXP(alpha1*TimeMAN+alpha2*PriceMAN)+EXP(alpha0+alpha1*TimeETC+alpha2*PriceETC))</f>
        <v>0.289050497374996</v>
      </c>
      <c r="J117" s="1" t="n">
        <f aca="false">alphanought</f>
        <v>-2.7</v>
      </c>
    </row>
    <row r="118" customFormat="false" ht="12.75" hidden="false" customHeight="false" outlineLevel="0" collapsed="false">
      <c r="A118" s="1" t="n">
        <f aca="false">A117+1</f>
        <v>112</v>
      </c>
      <c r="B118" s="1" t="n">
        <v>0</v>
      </c>
      <c r="C118" s="1" t="n">
        <v>2</v>
      </c>
      <c r="D118" s="1" t="n">
        <v>60</v>
      </c>
      <c r="E118" s="1" t="n">
        <v>2</v>
      </c>
      <c r="F118" s="3" t="n">
        <f aca="false">F117*H117*survive+(G117+(1-survive)*F117)*I117</f>
        <v>0.998826754217115</v>
      </c>
      <c r="G118" s="3" t="n">
        <f aca="false">1-F118</f>
        <v>0.00117324578288502</v>
      </c>
      <c r="H118" s="2" t="n">
        <v>1</v>
      </c>
      <c r="I118" s="2" t="n">
        <f aca="false">EXP(alpha0+alpha1*TimeETC+alpha2*PriceETC)/(EXP(alpha1*TimeMAN+alpha2*PriceMAN)+EXP(alpha0+alpha1*TimeETC+alpha2*PriceETC))</f>
        <v>0.289050497374996</v>
      </c>
      <c r="J118" s="1" t="n">
        <f aca="false">alphanought</f>
        <v>-2.7</v>
      </c>
    </row>
    <row r="119" customFormat="false" ht="12.75" hidden="false" customHeight="false" outlineLevel="0" collapsed="false">
      <c r="A119" s="1" t="n">
        <f aca="false">A118+1</f>
        <v>113</v>
      </c>
      <c r="B119" s="1" t="n">
        <v>0</v>
      </c>
      <c r="C119" s="1" t="n">
        <v>2</v>
      </c>
      <c r="D119" s="1" t="n">
        <v>60</v>
      </c>
      <c r="E119" s="1" t="n">
        <v>2</v>
      </c>
      <c r="F119" s="3" t="n">
        <f aca="false">F118*H118*survive+(G118+(1-survive)*F118)*I118</f>
        <v>0.998826754217115</v>
      </c>
      <c r="G119" s="3" t="n">
        <f aca="false">1-F119</f>
        <v>0.00117324578288502</v>
      </c>
      <c r="H119" s="2" t="n">
        <v>1</v>
      </c>
      <c r="I119" s="2" t="n">
        <f aca="false">EXP(alpha0+alpha1*TimeETC+alpha2*PriceETC)/(EXP(alpha1*TimeMAN+alpha2*PriceMAN)+EXP(alpha0+alpha1*TimeETC+alpha2*PriceETC))</f>
        <v>0.289050497374996</v>
      </c>
      <c r="J119" s="1" t="n">
        <f aca="false">alphanought</f>
        <v>-2.7</v>
      </c>
    </row>
    <row r="120" customFormat="false" ht="12.75" hidden="false" customHeight="false" outlineLevel="0" collapsed="false">
      <c r="A120" s="1" t="n">
        <f aca="false">A119+1</f>
        <v>114</v>
      </c>
      <c r="B120" s="1" t="n">
        <v>0</v>
      </c>
      <c r="C120" s="1" t="n">
        <v>2</v>
      </c>
      <c r="D120" s="1" t="n">
        <v>60</v>
      </c>
      <c r="E120" s="1" t="n">
        <v>2</v>
      </c>
      <c r="F120" s="3" t="n">
        <f aca="false">F119*H119*survive+(G119+(1-survive)*F119)*I119</f>
        <v>0.998826754217115</v>
      </c>
      <c r="G120" s="3" t="n">
        <f aca="false">1-F120</f>
        <v>0.00117324578288502</v>
      </c>
      <c r="H120" s="2" t="n">
        <v>1</v>
      </c>
      <c r="I120" s="2" t="n">
        <f aca="false">EXP(alpha0+alpha1*TimeETC+alpha2*PriceETC)/(EXP(alpha1*TimeMAN+alpha2*PriceMAN)+EXP(alpha0+alpha1*TimeETC+alpha2*PriceETC))</f>
        <v>0.289050497374996</v>
      </c>
      <c r="J120" s="1" t="n">
        <f aca="false">alphanought</f>
        <v>-2.7</v>
      </c>
    </row>
    <row r="121" customFormat="false" ht="12.75" hidden="false" customHeight="false" outlineLevel="0" collapsed="false">
      <c r="A121" s="1" t="n">
        <f aca="false">A120+1</f>
        <v>115</v>
      </c>
      <c r="B121" s="1" t="n">
        <v>0</v>
      </c>
      <c r="C121" s="1" t="n">
        <v>2</v>
      </c>
      <c r="D121" s="1" t="n">
        <v>60</v>
      </c>
      <c r="E121" s="1" t="n">
        <v>2</v>
      </c>
      <c r="F121" s="3" t="n">
        <f aca="false">F120*H120*survive+(G120+(1-survive)*F120)*I120</f>
        <v>0.998826754217115</v>
      </c>
      <c r="G121" s="3" t="n">
        <f aca="false">1-F121</f>
        <v>0.00117324578288502</v>
      </c>
      <c r="H121" s="2" t="n">
        <v>1</v>
      </c>
      <c r="I121" s="2" t="n">
        <f aca="false">EXP(alpha0+alpha1*TimeETC+alpha2*PriceETC)/(EXP(alpha1*TimeMAN+alpha2*PriceMAN)+EXP(alpha0+alpha1*TimeETC+alpha2*PriceETC))</f>
        <v>0.289050497374996</v>
      </c>
      <c r="J121" s="1" t="n">
        <f aca="false">alphanought</f>
        <v>-2.7</v>
      </c>
    </row>
    <row r="122" customFormat="false" ht="12.75" hidden="false" customHeight="false" outlineLevel="0" collapsed="false">
      <c r="A122" s="1" t="n">
        <f aca="false">A121+1</f>
        <v>116</v>
      </c>
      <c r="B122" s="1" t="n">
        <v>0</v>
      </c>
      <c r="C122" s="1" t="n">
        <v>2</v>
      </c>
      <c r="D122" s="1" t="n">
        <v>60</v>
      </c>
      <c r="E122" s="1" t="n">
        <v>2</v>
      </c>
      <c r="F122" s="3" t="n">
        <f aca="false">F121*H121*survive+(G121+(1-survive)*F121)*I121</f>
        <v>0.998826754217115</v>
      </c>
      <c r="G122" s="3" t="n">
        <f aca="false">1-F122</f>
        <v>0.00117324578288502</v>
      </c>
      <c r="H122" s="2" t="n">
        <v>1</v>
      </c>
      <c r="I122" s="2" t="n">
        <f aca="false">EXP(alpha0+alpha1*TimeETC+alpha2*PriceETC)/(EXP(alpha1*TimeMAN+alpha2*PriceMAN)+EXP(alpha0+alpha1*TimeETC+alpha2*PriceETC))</f>
        <v>0.289050497374996</v>
      </c>
      <c r="J122" s="1" t="n">
        <f aca="false">alphanought</f>
        <v>-2.7</v>
      </c>
    </row>
    <row r="123" customFormat="false" ht="12.75" hidden="false" customHeight="false" outlineLevel="0" collapsed="false">
      <c r="A123" s="1" t="n">
        <f aca="false">A122+1</f>
        <v>117</v>
      </c>
      <c r="B123" s="1" t="n">
        <v>0</v>
      </c>
      <c r="C123" s="1" t="n">
        <v>2</v>
      </c>
      <c r="D123" s="1" t="n">
        <v>60</v>
      </c>
      <c r="E123" s="1" t="n">
        <v>2</v>
      </c>
      <c r="F123" s="3" t="n">
        <f aca="false">F122*H122*survive+(G122+(1-survive)*F122)*I122</f>
        <v>0.998826754217115</v>
      </c>
      <c r="G123" s="3" t="n">
        <f aca="false">1-F123</f>
        <v>0.00117324578288502</v>
      </c>
      <c r="H123" s="2" t="n">
        <v>1</v>
      </c>
      <c r="I123" s="2" t="n">
        <f aca="false">EXP(alpha0+alpha1*TimeETC+alpha2*PriceETC)/(EXP(alpha1*TimeMAN+alpha2*PriceMAN)+EXP(alpha0+alpha1*TimeETC+alpha2*PriceETC))</f>
        <v>0.289050497374996</v>
      </c>
      <c r="J123" s="1" t="n">
        <f aca="false">alphanought</f>
        <v>-2.7</v>
      </c>
    </row>
    <row r="124" customFormat="false" ht="12.75" hidden="false" customHeight="false" outlineLevel="0" collapsed="false">
      <c r="A124" s="1" t="n">
        <f aca="false">A123+1</f>
        <v>118</v>
      </c>
      <c r="B124" s="1" t="n">
        <v>0</v>
      </c>
      <c r="C124" s="1" t="n">
        <v>2</v>
      </c>
      <c r="D124" s="1" t="n">
        <v>60</v>
      </c>
      <c r="E124" s="1" t="n">
        <v>2</v>
      </c>
      <c r="F124" s="3" t="n">
        <f aca="false">F123*H123*survive+(G123+(1-survive)*F123)*I123</f>
        <v>0.998826754217115</v>
      </c>
      <c r="G124" s="3" t="n">
        <f aca="false">1-F124</f>
        <v>0.00117324578288502</v>
      </c>
      <c r="H124" s="2" t="n">
        <v>1</v>
      </c>
      <c r="I124" s="2" t="n">
        <f aca="false">EXP(alpha0+alpha1*TimeETC+alpha2*PriceETC)/(EXP(alpha1*TimeMAN+alpha2*PriceMAN)+EXP(alpha0+alpha1*TimeETC+alpha2*PriceETC))</f>
        <v>0.289050497374996</v>
      </c>
      <c r="J124" s="1" t="n">
        <f aca="false">alphanought</f>
        <v>-2.7</v>
      </c>
    </row>
    <row r="125" customFormat="false" ht="12.75" hidden="false" customHeight="false" outlineLevel="0" collapsed="false">
      <c r="A125" s="1" t="n">
        <f aca="false">A124+1</f>
        <v>119</v>
      </c>
      <c r="B125" s="1" t="n">
        <v>0</v>
      </c>
      <c r="C125" s="1" t="n">
        <v>2</v>
      </c>
      <c r="D125" s="1" t="n">
        <v>60</v>
      </c>
      <c r="E125" s="1" t="n">
        <v>2</v>
      </c>
      <c r="F125" s="3" t="n">
        <f aca="false">F124*H124*survive+(G124+(1-survive)*F124)*I124</f>
        <v>0.998826754217115</v>
      </c>
      <c r="G125" s="3" t="n">
        <f aca="false">1-F125</f>
        <v>0.00117324578288502</v>
      </c>
      <c r="H125" s="2" t="n">
        <v>1</v>
      </c>
      <c r="I125" s="2" t="n">
        <f aca="false">EXP(alpha0+alpha1*TimeETC+alpha2*PriceETC)/(EXP(alpha1*TimeMAN+alpha2*PriceMAN)+EXP(alpha0+alpha1*TimeETC+alpha2*PriceETC))</f>
        <v>0.289050497374996</v>
      </c>
      <c r="J125" s="1" t="n">
        <f aca="false">alphanought</f>
        <v>-2.7</v>
      </c>
    </row>
    <row r="126" customFormat="false" ht="12.75" hidden="false" customHeight="false" outlineLevel="0" collapsed="false">
      <c r="A126" s="1" t="n">
        <f aca="false">A125+1</f>
        <v>120</v>
      </c>
      <c r="B126" s="1" t="n">
        <v>0</v>
      </c>
      <c r="C126" s="1" t="n">
        <v>2</v>
      </c>
      <c r="D126" s="1" t="n">
        <v>60</v>
      </c>
      <c r="E126" s="1" t="n">
        <v>2</v>
      </c>
      <c r="F126" s="3" t="n">
        <f aca="false">F125*H125*survive+(G125+(1-survive)*F125)*I125</f>
        <v>0.998826754217115</v>
      </c>
      <c r="G126" s="3" t="n">
        <f aca="false">1-F126</f>
        <v>0.00117324578288502</v>
      </c>
      <c r="H126" s="2" t="n">
        <v>1</v>
      </c>
      <c r="I126" s="2" t="n">
        <f aca="false">EXP(alpha0+alpha1*TimeETC+alpha2*PriceETC)/(EXP(alpha1*TimeMAN+alpha2*PriceMAN)+EXP(alpha0+alpha1*TimeETC+alpha2*PriceETC))</f>
        <v>0.289050497374996</v>
      </c>
      <c r="J126" s="1" t="n">
        <f aca="false">alphanought</f>
        <v>-2.7</v>
      </c>
    </row>
    <row r="127" customFormat="false" ht="12.75" hidden="false" customHeight="false" outlineLevel="0" collapsed="false">
      <c r="A127" s="1" t="n">
        <f aca="false">A126+1</f>
        <v>121</v>
      </c>
      <c r="B127" s="1" t="n">
        <v>0</v>
      </c>
      <c r="C127" s="1" t="n">
        <v>2</v>
      </c>
      <c r="D127" s="1" t="n">
        <v>60</v>
      </c>
      <c r="E127" s="1" t="n">
        <v>2</v>
      </c>
      <c r="F127" s="3" t="n">
        <f aca="false">F126*H126*survive+(G126+(1-survive)*F126)*I126</f>
        <v>0.998826754217115</v>
      </c>
      <c r="G127" s="3" t="n">
        <f aca="false">1-F127</f>
        <v>0.00117324578288502</v>
      </c>
      <c r="H127" s="2" t="n">
        <v>1</v>
      </c>
      <c r="I127" s="2" t="n">
        <f aca="false">EXP(alpha0+alpha1*TimeETC+alpha2*PriceETC)/(EXP(alpha1*TimeMAN+alpha2*PriceMAN)+EXP(alpha0+alpha1*TimeETC+alpha2*PriceETC))</f>
        <v>0.289050497374996</v>
      </c>
      <c r="J127" s="1" t="n">
        <f aca="false">alphanought</f>
        <v>-2.7</v>
      </c>
    </row>
    <row r="128" customFormat="false" ht="12.75" hidden="false" customHeight="false" outlineLevel="0" collapsed="false">
      <c r="A128" s="1" t="n">
        <f aca="false">A127+1</f>
        <v>122</v>
      </c>
      <c r="B128" s="1" t="n">
        <v>0</v>
      </c>
      <c r="C128" s="1" t="n">
        <v>2</v>
      </c>
      <c r="D128" s="1" t="n">
        <v>60</v>
      </c>
      <c r="E128" s="1" t="n">
        <v>2</v>
      </c>
      <c r="F128" s="3" t="n">
        <f aca="false">F127*H127*survive+(G127+(1-survive)*F127)*I127</f>
        <v>0.998826754217115</v>
      </c>
      <c r="G128" s="3" t="n">
        <f aca="false">1-F128</f>
        <v>0.00117324578288502</v>
      </c>
      <c r="H128" s="2" t="n">
        <v>1</v>
      </c>
      <c r="I128" s="2" t="n">
        <f aca="false">EXP(alpha0+alpha1*TimeETC+alpha2*PriceETC)/(EXP(alpha1*TimeMAN+alpha2*PriceMAN)+EXP(alpha0+alpha1*TimeETC+alpha2*PriceETC))</f>
        <v>0.289050497374996</v>
      </c>
      <c r="J128" s="1" t="n">
        <f aca="false">alphanought</f>
        <v>-2.7</v>
      </c>
    </row>
    <row r="129" customFormat="false" ht="12.75" hidden="false" customHeight="false" outlineLevel="0" collapsed="false">
      <c r="A129" s="1" t="n">
        <f aca="false">A128+1</f>
        <v>123</v>
      </c>
      <c r="B129" s="1" t="n">
        <v>0</v>
      </c>
      <c r="C129" s="1" t="n">
        <v>2</v>
      </c>
      <c r="D129" s="1" t="n">
        <v>60</v>
      </c>
      <c r="E129" s="1" t="n">
        <v>2</v>
      </c>
      <c r="F129" s="3" t="n">
        <f aca="false">F128*H128*survive+(G128+(1-survive)*F128)*I128</f>
        <v>0.998826754217115</v>
      </c>
      <c r="G129" s="3" t="n">
        <f aca="false">1-F129</f>
        <v>0.00117324578288502</v>
      </c>
      <c r="H129" s="2" t="n">
        <v>1</v>
      </c>
      <c r="I129" s="2" t="n">
        <f aca="false">EXP(alpha0+alpha1*TimeETC+alpha2*PriceETC)/(EXP(alpha1*TimeMAN+alpha2*PriceMAN)+EXP(alpha0+alpha1*TimeETC+alpha2*PriceETC))</f>
        <v>0.289050497374996</v>
      </c>
      <c r="J129" s="1" t="n">
        <f aca="false">alphanought</f>
        <v>-2.7</v>
      </c>
    </row>
    <row r="130" customFormat="false" ht="12.75" hidden="false" customHeight="false" outlineLevel="0" collapsed="false">
      <c r="A130" s="1" t="n">
        <f aca="false">A129+1</f>
        <v>124</v>
      </c>
      <c r="B130" s="1" t="n">
        <v>0</v>
      </c>
      <c r="C130" s="1" t="n">
        <v>2</v>
      </c>
      <c r="D130" s="1" t="n">
        <v>60</v>
      </c>
      <c r="E130" s="1" t="n">
        <v>2</v>
      </c>
      <c r="F130" s="3" t="n">
        <f aca="false">F129*H129*survive+(G129+(1-survive)*F129)*I129</f>
        <v>0.998826754217115</v>
      </c>
      <c r="G130" s="3" t="n">
        <f aca="false">1-F130</f>
        <v>0.00117324578288502</v>
      </c>
      <c r="H130" s="2" t="n">
        <v>1</v>
      </c>
      <c r="I130" s="2" t="n">
        <f aca="false">EXP(alpha0+alpha1*TimeETC+alpha2*PriceETC)/(EXP(alpha1*TimeMAN+alpha2*PriceMAN)+EXP(alpha0+alpha1*TimeETC+alpha2*PriceETC))</f>
        <v>0.289050497374996</v>
      </c>
      <c r="J130" s="1" t="n">
        <f aca="false">alphanought</f>
        <v>-2.7</v>
      </c>
    </row>
    <row r="131" customFormat="false" ht="12.75" hidden="false" customHeight="false" outlineLevel="0" collapsed="false">
      <c r="A131" s="1" t="n">
        <f aca="false">A130+1</f>
        <v>125</v>
      </c>
      <c r="B131" s="1" t="n">
        <v>0</v>
      </c>
      <c r="C131" s="1" t="n">
        <v>2</v>
      </c>
      <c r="D131" s="1" t="n">
        <v>60</v>
      </c>
      <c r="E131" s="1" t="n">
        <v>2</v>
      </c>
      <c r="F131" s="3" t="n">
        <f aca="false">F130*H130*survive+(G130+(1-survive)*F130)*I130</f>
        <v>0.998826754217115</v>
      </c>
      <c r="G131" s="3" t="n">
        <f aca="false">1-F131</f>
        <v>0.00117324578288502</v>
      </c>
      <c r="H131" s="2" t="n">
        <v>1</v>
      </c>
      <c r="I131" s="2" t="n">
        <f aca="false">EXP(alpha0+alpha1*TimeETC+alpha2*PriceETC)/(EXP(alpha1*TimeMAN+alpha2*PriceMAN)+EXP(alpha0+alpha1*TimeETC+alpha2*PriceETC))</f>
        <v>0.289050497374996</v>
      </c>
      <c r="J131" s="1" t="n">
        <f aca="false">alphanought</f>
        <v>-2.7</v>
      </c>
    </row>
    <row r="132" customFormat="false" ht="12.75" hidden="false" customHeight="false" outlineLevel="0" collapsed="false">
      <c r="A132" s="1" t="n">
        <f aca="false">A131+1</f>
        <v>126</v>
      </c>
      <c r="B132" s="1" t="n">
        <v>0</v>
      </c>
      <c r="C132" s="1" t="n">
        <v>2</v>
      </c>
      <c r="D132" s="1" t="n">
        <v>60</v>
      </c>
      <c r="E132" s="1" t="n">
        <v>2</v>
      </c>
      <c r="F132" s="3" t="n">
        <f aca="false">F131*H131*survive+(G131+(1-survive)*F131)*I131</f>
        <v>0.998826754217115</v>
      </c>
      <c r="G132" s="3" t="n">
        <f aca="false">1-F132</f>
        <v>0.00117324578288502</v>
      </c>
      <c r="H132" s="2" t="n">
        <v>1</v>
      </c>
      <c r="I132" s="2" t="n">
        <f aca="false">EXP(alpha0+alpha1*TimeETC+alpha2*PriceETC)/(EXP(alpha1*TimeMAN+alpha2*PriceMAN)+EXP(alpha0+alpha1*TimeETC+alpha2*PriceETC))</f>
        <v>0.289050497374996</v>
      </c>
      <c r="J132" s="1" t="n">
        <f aca="false">alphanought</f>
        <v>-2.7</v>
      </c>
    </row>
    <row r="133" customFormat="false" ht="12.75" hidden="false" customHeight="false" outlineLevel="0" collapsed="false">
      <c r="A133" s="1" t="n">
        <f aca="false">A132+1</f>
        <v>127</v>
      </c>
      <c r="B133" s="1" t="n">
        <v>0</v>
      </c>
      <c r="C133" s="1" t="n">
        <v>2</v>
      </c>
      <c r="D133" s="1" t="n">
        <v>60</v>
      </c>
      <c r="E133" s="1" t="n">
        <v>2</v>
      </c>
      <c r="F133" s="3" t="n">
        <f aca="false">F132*H132*survive+(G132+(1-survive)*F132)*I132</f>
        <v>0.998826754217115</v>
      </c>
      <c r="G133" s="3" t="n">
        <f aca="false">1-F133</f>
        <v>0.00117324578288502</v>
      </c>
      <c r="H133" s="2" t="n">
        <v>1</v>
      </c>
      <c r="I133" s="2" t="n">
        <f aca="false">EXP(alpha0+alpha1*TimeETC+alpha2*PriceETC)/(EXP(alpha1*TimeMAN+alpha2*PriceMAN)+EXP(alpha0+alpha1*TimeETC+alpha2*PriceETC))</f>
        <v>0.289050497374996</v>
      </c>
      <c r="J133" s="1" t="n">
        <f aca="false">alphanought</f>
        <v>-2.7</v>
      </c>
    </row>
    <row r="134" customFormat="false" ht="12.75" hidden="false" customHeight="false" outlineLevel="0" collapsed="false">
      <c r="A134" s="1" t="n">
        <f aca="false">A133+1</f>
        <v>128</v>
      </c>
      <c r="B134" s="1" t="n">
        <v>0</v>
      </c>
      <c r="C134" s="1" t="n">
        <v>2</v>
      </c>
      <c r="D134" s="1" t="n">
        <v>60</v>
      </c>
      <c r="E134" s="1" t="n">
        <v>2</v>
      </c>
      <c r="F134" s="3" t="n">
        <f aca="false">F133*H133*survive+(G133+(1-survive)*F133)*I133</f>
        <v>0.998826754217115</v>
      </c>
      <c r="G134" s="3" t="n">
        <f aca="false">1-F134</f>
        <v>0.00117324578288502</v>
      </c>
      <c r="H134" s="2" t="n">
        <v>1</v>
      </c>
      <c r="I134" s="2" t="n">
        <f aca="false">EXP(alpha0+alpha1*TimeETC+alpha2*PriceETC)/(EXP(alpha1*TimeMAN+alpha2*PriceMAN)+EXP(alpha0+alpha1*TimeETC+alpha2*PriceETC))</f>
        <v>0.289050497374996</v>
      </c>
      <c r="J134" s="1" t="n">
        <f aca="false">alphanought</f>
        <v>-2.7</v>
      </c>
    </row>
    <row r="135" customFormat="false" ht="12.75" hidden="false" customHeight="false" outlineLevel="0" collapsed="false">
      <c r="A135" s="1" t="n">
        <f aca="false">A134+1</f>
        <v>129</v>
      </c>
      <c r="B135" s="1" t="n">
        <v>0</v>
      </c>
      <c r="C135" s="1" t="n">
        <v>2</v>
      </c>
      <c r="D135" s="1" t="n">
        <v>60</v>
      </c>
      <c r="E135" s="1" t="n">
        <v>2</v>
      </c>
      <c r="F135" s="3" t="n">
        <f aca="false">F134*H134*survive+(G134+(1-survive)*F134)*I134</f>
        <v>0.998826754217115</v>
      </c>
      <c r="G135" s="3" t="n">
        <f aca="false">1-F135</f>
        <v>0.00117324578288502</v>
      </c>
      <c r="H135" s="2" t="n">
        <v>1</v>
      </c>
      <c r="I135" s="2" t="n">
        <f aca="false">EXP(alpha0+alpha1*TimeETC+alpha2*PriceETC)/(EXP(alpha1*TimeMAN+alpha2*PriceMAN)+EXP(alpha0+alpha1*TimeETC+alpha2*PriceETC))</f>
        <v>0.289050497374996</v>
      </c>
      <c r="J135" s="1" t="n">
        <f aca="false">alphanought</f>
        <v>-2.7</v>
      </c>
    </row>
    <row r="136" customFormat="false" ht="12.75" hidden="false" customHeight="false" outlineLevel="0" collapsed="false">
      <c r="A136" s="1" t="n">
        <f aca="false">A135+1</f>
        <v>130</v>
      </c>
      <c r="B136" s="1" t="n">
        <v>0</v>
      </c>
      <c r="C136" s="1" t="n">
        <v>2</v>
      </c>
      <c r="D136" s="1" t="n">
        <v>60</v>
      </c>
      <c r="E136" s="1" t="n">
        <v>2</v>
      </c>
      <c r="F136" s="3" t="n">
        <f aca="false">F135*H135*survive+(G135+(1-survive)*F135)*I135</f>
        <v>0.998826754217115</v>
      </c>
      <c r="G136" s="3" t="n">
        <f aca="false">1-F136</f>
        <v>0.00117324578288502</v>
      </c>
      <c r="H136" s="2" t="n">
        <v>1</v>
      </c>
      <c r="I136" s="2" t="n">
        <f aca="false">EXP(alpha0+alpha1*TimeETC+alpha2*PriceETC)/(EXP(alpha1*TimeMAN+alpha2*PriceMAN)+EXP(alpha0+alpha1*TimeETC+alpha2*PriceETC))</f>
        <v>0.289050497374996</v>
      </c>
      <c r="J136" s="1" t="n">
        <f aca="false">alphanought</f>
        <v>-2.7</v>
      </c>
    </row>
    <row r="137" customFormat="false" ht="12.75" hidden="false" customHeight="false" outlineLevel="0" collapsed="false">
      <c r="A137" s="1" t="n">
        <f aca="false">A136+1</f>
        <v>131</v>
      </c>
      <c r="B137" s="1" t="n">
        <v>0</v>
      </c>
      <c r="C137" s="1" t="n">
        <v>2</v>
      </c>
      <c r="D137" s="1" t="n">
        <v>60</v>
      </c>
      <c r="E137" s="1" t="n">
        <v>2</v>
      </c>
      <c r="F137" s="3" t="n">
        <f aca="false">F136*H136*survive+(G136+(1-survive)*F136)*I136</f>
        <v>0.998826754217115</v>
      </c>
      <c r="G137" s="3" t="n">
        <f aca="false">1-F137</f>
        <v>0.00117324578288502</v>
      </c>
      <c r="H137" s="2" t="n">
        <v>1</v>
      </c>
      <c r="I137" s="2" t="n">
        <f aca="false">EXP(alpha0+alpha1*TimeETC+alpha2*PriceETC)/(EXP(alpha1*TimeMAN+alpha2*PriceMAN)+EXP(alpha0+alpha1*TimeETC+alpha2*PriceETC))</f>
        <v>0.289050497374996</v>
      </c>
      <c r="J137" s="1" t="n">
        <f aca="false">alphanought</f>
        <v>-2.7</v>
      </c>
    </row>
    <row r="138" customFormat="false" ht="12.75" hidden="false" customHeight="false" outlineLevel="0" collapsed="false">
      <c r="A138" s="1" t="n">
        <f aca="false">A137+1</f>
        <v>132</v>
      </c>
      <c r="B138" s="1" t="n">
        <v>0</v>
      </c>
      <c r="C138" s="1" t="n">
        <v>2</v>
      </c>
      <c r="D138" s="1" t="n">
        <v>60</v>
      </c>
      <c r="E138" s="1" t="n">
        <v>2</v>
      </c>
      <c r="F138" s="3" t="n">
        <f aca="false">F137*H137*survive+(G137+(1-survive)*F137)*I137</f>
        <v>0.998826754217115</v>
      </c>
      <c r="G138" s="3" t="n">
        <f aca="false">1-F138</f>
        <v>0.00117324578288502</v>
      </c>
      <c r="H138" s="2" t="n">
        <v>1</v>
      </c>
      <c r="I138" s="2" t="n">
        <f aca="false">EXP(alpha0+alpha1*TimeETC+alpha2*PriceETC)/(EXP(alpha1*TimeMAN+alpha2*PriceMAN)+EXP(alpha0+alpha1*TimeETC+alpha2*PriceETC))</f>
        <v>0.289050497374996</v>
      </c>
      <c r="J138" s="1" t="n">
        <f aca="false">alphanought</f>
        <v>-2.7</v>
      </c>
    </row>
    <row r="139" customFormat="false" ht="12.75" hidden="false" customHeight="false" outlineLevel="0" collapsed="false">
      <c r="A139" s="1" t="n">
        <f aca="false">A138+1</f>
        <v>133</v>
      </c>
      <c r="B139" s="1" t="n">
        <v>0</v>
      </c>
      <c r="C139" s="1" t="n">
        <v>2</v>
      </c>
      <c r="D139" s="1" t="n">
        <v>60</v>
      </c>
      <c r="E139" s="1" t="n">
        <v>2</v>
      </c>
      <c r="F139" s="3" t="n">
        <f aca="false">F138*H138*survive+(G138+(1-survive)*F138)*I138</f>
        <v>0.998826754217115</v>
      </c>
      <c r="G139" s="3" t="n">
        <f aca="false">1-F139</f>
        <v>0.00117324578288502</v>
      </c>
      <c r="H139" s="2" t="n">
        <v>1</v>
      </c>
      <c r="I139" s="2" t="n">
        <f aca="false">EXP(alpha0+alpha1*TimeETC+alpha2*PriceETC)/(EXP(alpha1*TimeMAN+alpha2*PriceMAN)+EXP(alpha0+alpha1*TimeETC+alpha2*PriceETC))</f>
        <v>0.289050497374996</v>
      </c>
      <c r="J139" s="1" t="n">
        <f aca="false">alphanought</f>
        <v>-2.7</v>
      </c>
    </row>
    <row r="140" customFormat="false" ht="12.75" hidden="false" customHeight="false" outlineLevel="0" collapsed="false">
      <c r="A140" s="1" t="n">
        <f aca="false">A139+1</f>
        <v>134</v>
      </c>
      <c r="B140" s="1" t="n">
        <v>0</v>
      </c>
      <c r="C140" s="1" t="n">
        <v>2</v>
      </c>
      <c r="D140" s="1" t="n">
        <v>60</v>
      </c>
      <c r="E140" s="1" t="n">
        <v>2</v>
      </c>
      <c r="F140" s="3" t="n">
        <f aca="false">F139*H139*survive+(G139+(1-survive)*F139)*I139</f>
        <v>0.998826754217115</v>
      </c>
      <c r="G140" s="3" t="n">
        <f aca="false">1-F140</f>
        <v>0.00117324578288502</v>
      </c>
      <c r="H140" s="2" t="n">
        <v>1</v>
      </c>
      <c r="I140" s="2" t="n">
        <f aca="false">EXP(alpha0+alpha1*TimeETC+alpha2*PriceETC)/(EXP(alpha1*TimeMAN+alpha2*PriceMAN)+EXP(alpha0+alpha1*TimeETC+alpha2*PriceETC))</f>
        <v>0.289050497374996</v>
      </c>
      <c r="J140" s="1" t="n">
        <f aca="false">alphanought</f>
        <v>-2.7</v>
      </c>
    </row>
    <row r="141" customFormat="false" ht="12.75" hidden="false" customHeight="false" outlineLevel="0" collapsed="false">
      <c r="A141" s="1" t="n">
        <f aca="false">A140+1</f>
        <v>135</v>
      </c>
      <c r="B141" s="1" t="n">
        <v>0</v>
      </c>
      <c r="C141" s="1" t="n">
        <v>2</v>
      </c>
      <c r="D141" s="1" t="n">
        <v>60</v>
      </c>
      <c r="E141" s="1" t="n">
        <v>2</v>
      </c>
      <c r="F141" s="3" t="n">
        <f aca="false">F140*H140*survive+(G140+(1-survive)*F140)*I140</f>
        <v>0.998826754217115</v>
      </c>
      <c r="G141" s="3" t="n">
        <f aca="false">1-F141</f>
        <v>0.00117324578288502</v>
      </c>
      <c r="H141" s="2" t="n">
        <v>1</v>
      </c>
      <c r="I141" s="2" t="n">
        <f aca="false">EXP(alpha0+alpha1*TimeETC+alpha2*PriceETC)/(EXP(alpha1*TimeMAN+alpha2*PriceMAN)+EXP(alpha0+alpha1*TimeETC+alpha2*PriceETC))</f>
        <v>0.289050497374996</v>
      </c>
      <c r="J141" s="1" t="n">
        <f aca="false">alphanought</f>
        <v>-2.7</v>
      </c>
    </row>
    <row r="142" customFormat="false" ht="12.75" hidden="false" customHeight="false" outlineLevel="0" collapsed="false">
      <c r="A142" s="1" t="n">
        <f aca="false">A141+1</f>
        <v>136</v>
      </c>
      <c r="B142" s="1" t="n">
        <v>0</v>
      </c>
      <c r="C142" s="1" t="n">
        <v>2</v>
      </c>
      <c r="D142" s="1" t="n">
        <v>60</v>
      </c>
      <c r="E142" s="1" t="n">
        <v>2</v>
      </c>
      <c r="F142" s="3" t="n">
        <f aca="false">F141*H141*survive+(G141+(1-survive)*F141)*I141</f>
        <v>0.998826754217115</v>
      </c>
      <c r="G142" s="3" t="n">
        <f aca="false">1-F142</f>
        <v>0.00117324578288502</v>
      </c>
      <c r="H142" s="2" t="n">
        <v>1</v>
      </c>
      <c r="I142" s="2" t="n">
        <f aca="false">EXP(alpha0+alpha1*TimeETC+alpha2*PriceETC)/(EXP(alpha1*TimeMAN+alpha2*PriceMAN)+EXP(alpha0+alpha1*TimeETC+alpha2*PriceETC))</f>
        <v>0.289050497374996</v>
      </c>
      <c r="J142" s="1" t="n">
        <f aca="false">alphanought</f>
        <v>-2.7</v>
      </c>
    </row>
    <row r="143" customFormat="false" ht="12.75" hidden="false" customHeight="false" outlineLevel="0" collapsed="false">
      <c r="A143" s="1" t="n">
        <f aca="false">A142+1</f>
        <v>137</v>
      </c>
      <c r="B143" s="1" t="n">
        <v>0</v>
      </c>
      <c r="C143" s="1" t="n">
        <v>2</v>
      </c>
      <c r="D143" s="1" t="n">
        <v>60</v>
      </c>
      <c r="E143" s="1" t="n">
        <v>2</v>
      </c>
      <c r="F143" s="3" t="n">
        <f aca="false">F142*H142*survive+(G142+(1-survive)*F142)*I142</f>
        <v>0.998826754217115</v>
      </c>
      <c r="G143" s="3" t="n">
        <f aca="false">1-F143</f>
        <v>0.00117324578288502</v>
      </c>
      <c r="H143" s="2" t="n">
        <v>1</v>
      </c>
      <c r="I143" s="2" t="n">
        <f aca="false">EXP(alpha0+alpha1*TimeETC+alpha2*PriceETC)/(EXP(alpha1*TimeMAN+alpha2*PriceMAN)+EXP(alpha0+alpha1*TimeETC+alpha2*PriceETC))</f>
        <v>0.289050497374996</v>
      </c>
      <c r="J143" s="1" t="n">
        <f aca="false">alphanought</f>
        <v>-2.7</v>
      </c>
    </row>
    <row r="144" customFormat="false" ht="12.75" hidden="false" customHeight="false" outlineLevel="0" collapsed="false">
      <c r="A144" s="1" t="n">
        <f aca="false">A143+1</f>
        <v>138</v>
      </c>
      <c r="B144" s="1" t="n">
        <v>0</v>
      </c>
      <c r="C144" s="1" t="n">
        <v>2</v>
      </c>
      <c r="D144" s="1" t="n">
        <v>60</v>
      </c>
      <c r="E144" s="1" t="n">
        <v>2</v>
      </c>
      <c r="F144" s="3" t="n">
        <f aca="false">F143*H143*survive+(G143+(1-survive)*F143)*I143</f>
        <v>0.998826754217115</v>
      </c>
      <c r="G144" s="3" t="n">
        <f aca="false">1-F144</f>
        <v>0.00117324578288502</v>
      </c>
      <c r="H144" s="2" t="n">
        <v>1</v>
      </c>
      <c r="I144" s="2" t="n">
        <f aca="false">EXP(alpha0+alpha1*TimeETC+alpha2*PriceETC)/(EXP(alpha1*TimeMAN+alpha2*PriceMAN)+EXP(alpha0+alpha1*TimeETC+alpha2*PriceETC))</f>
        <v>0.289050497374996</v>
      </c>
      <c r="J144" s="1" t="n">
        <f aca="false">alphanought</f>
        <v>-2.7</v>
      </c>
    </row>
    <row r="145" customFormat="false" ht="12.75" hidden="false" customHeight="false" outlineLevel="0" collapsed="false">
      <c r="A145" s="1" t="n">
        <f aca="false">A144+1</f>
        <v>139</v>
      </c>
      <c r="B145" s="1" t="n">
        <v>0</v>
      </c>
      <c r="C145" s="1" t="n">
        <v>2</v>
      </c>
      <c r="D145" s="1" t="n">
        <v>60</v>
      </c>
      <c r="E145" s="1" t="n">
        <v>2</v>
      </c>
      <c r="F145" s="3" t="n">
        <f aca="false">F144*H144*survive+(G144+(1-survive)*F144)*I144</f>
        <v>0.998826754217115</v>
      </c>
      <c r="G145" s="3" t="n">
        <f aca="false">1-F145</f>
        <v>0.00117324578288502</v>
      </c>
      <c r="H145" s="2" t="n">
        <v>1</v>
      </c>
      <c r="I145" s="2" t="n">
        <f aca="false">EXP(alpha0+alpha1*TimeETC+alpha2*PriceETC)/(EXP(alpha1*TimeMAN+alpha2*PriceMAN)+EXP(alpha0+alpha1*TimeETC+alpha2*PriceETC))</f>
        <v>0.289050497374996</v>
      </c>
      <c r="J145" s="1" t="n">
        <f aca="false">alphanought</f>
        <v>-2.7</v>
      </c>
    </row>
    <row r="146" customFormat="false" ht="12.75" hidden="false" customHeight="false" outlineLevel="0" collapsed="false">
      <c r="A146" s="1" t="n">
        <f aca="false">A145+1</f>
        <v>140</v>
      </c>
      <c r="B146" s="1" t="n">
        <v>0</v>
      </c>
      <c r="C146" s="1" t="n">
        <v>2</v>
      </c>
      <c r="D146" s="1" t="n">
        <v>60</v>
      </c>
      <c r="E146" s="1" t="n">
        <v>2</v>
      </c>
      <c r="F146" s="3" t="n">
        <f aca="false">F145*H145*survive+(G145+(1-survive)*F145)*I145</f>
        <v>0.998826754217115</v>
      </c>
      <c r="G146" s="3" t="n">
        <f aca="false">1-F146</f>
        <v>0.00117324578288502</v>
      </c>
      <c r="H146" s="2" t="n">
        <v>1</v>
      </c>
      <c r="I146" s="2" t="n">
        <f aca="false">EXP(alpha0+alpha1*TimeETC+alpha2*PriceETC)/(EXP(alpha1*TimeMAN+alpha2*PriceMAN)+EXP(alpha0+alpha1*TimeETC+alpha2*PriceETC))</f>
        <v>0.289050497374996</v>
      </c>
      <c r="J146" s="1" t="n">
        <f aca="false">alphanought</f>
        <v>-2.7</v>
      </c>
    </row>
    <row r="147" customFormat="false" ht="12.75" hidden="false" customHeight="false" outlineLevel="0" collapsed="false">
      <c r="A147" s="1" t="n">
        <f aca="false">A146+1</f>
        <v>141</v>
      </c>
      <c r="B147" s="1" t="n">
        <v>0</v>
      </c>
      <c r="C147" s="1" t="n">
        <v>2</v>
      </c>
      <c r="D147" s="1" t="n">
        <v>60</v>
      </c>
      <c r="E147" s="1" t="n">
        <v>2</v>
      </c>
      <c r="F147" s="3" t="n">
        <f aca="false">F146*H146*survive+(G146+(1-survive)*F146)*I146</f>
        <v>0.998826754217115</v>
      </c>
      <c r="G147" s="3" t="n">
        <f aca="false">1-F147</f>
        <v>0.00117324578288502</v>
      </c>
      <c r="H147" s="2" t="n">
        <v>1</v>
      </c>
      <c r="I147" s="2" t="n">
        <f aca="false">EXP(alpha0+alpha1*TimeETC+alpha2*PriceETC)/(EXP(alpha1*TimeMAN+alpha2*PriceMAN)+EXP(alpha0+alpha1*TimeETC+alpha2*PriceETC))</f>
        <v>0.289050497374996</v>
      </c>
      <c r="J147" s="1" t="n">
        <f aca="false">alphanought</f>
        <v>-2.7</v>
      </c>
    </row>
    <row r="148" customFormat="false" ht="12.75" hidden="false" customHeight="false" outlineLevel="0" collapsed="false">
      <c r="A148" s="1" t="n">
        <f aca="false">A147+1</f>
        <v>142</v>
      </c>
      <c r="B148" s="1" t="n">
        <v>0</v>
      </c>
      <c r="C148" s="1" t="n">
        <v>2</v>
      </c>
      <c r="D148" s="1" t="n">
        <v>60</v>
      </c>
      <c r="E148" s="1" t="n">
        <v>2</v>
      </c>
      <c r="F148" s="3" t="n">
        <f aca="false">F147*H147*survive+(G147+(1-survive)*F147)*I147</f>
        <v>0.998826754217115</v>
      </c>
      <c r="G148" s="3" t="n">
        <f aca="false">1-F148</f>
        <v>0.00117324578288502</v>
      </c>
      <c r="H148" s="2" t="n">
        <v>1</v>
      </c>
      <c r="I148" s="2" t="n">
        <f aca="false">EXP(alpha0+alpha1*TimeETC+alpha2*PriceETC)/(EXP(alpha1*TimeMAN+alpha2*PriceMAN)+EXP(alpha0+alpha1*TimeETC+alpha2*PriceETC))</f>
        <v>0.289050497374996</v>
      </c>
      <c r="J148" s="1" t="n">
        <f aca="false">alphanought</f>
        <v>-2.7</v>
      </c>
    </row>
    <row r="149" customFormat="false" ht="12.75" hidden="false" customHeight="false" outlineLevel="0" collapsed="false">
      <c r="A149" s="1" t="n">
        <f aca="false">A148+1</f>
        <v>143</v>
      </c>
      <c r="B149" s="1" t="n">
        <v>0</v>
      </c>
      <c r="C149" s="1" t="n">
        <v>2</v>
      </c>
      <c r="D149" s="1" t="n">
        <v>60</v>
      </c>
      <c r="E149" s="1" t="n">
        <v>2</v>
      </c>
      <c r="F149" s="3" t="n">
        <f aca="false">F148*H148*survive+(G148+(1-survive)*F148)*I148</f>
        <v>0.998826754217115</v>
      </c>
      <c r="G149" s="3" t="n">
        <f aca="false">1-F149</f>
        <v>0.00117324578288502</v>
      </c>
      <c r="H149" s="2" t="n">
        <v>1</v>
      </c>
      <c r="I149" s="2" t="n">
        <f aca="false">EXP(alpha0+alpha1*TimeETC+alpha2*PriceETC)/(EXP(alpha1*TimeMAN+alpha2*PriceMAN)+EXP(alpha0+alpha1*TimeETC+alpha2*PriceETC))</f>
        <v>0.289050497374996</v>
      </c>
      <c r="J149" s="1" t="n">
        <f aca="false">alphanought</f>
        <v>-2.7</v>
      </c>
    </row>
    <row r="150" customFormat="false" ht="12.75" hidden="false" customHeight="false" outlineLevel="0" collapsed="false">
      <c r="A150" s="1" t="n">
        <f aca="false">A149+1</f>
        <v>144</v>
      </c>
      <c r="B150" s="1" t="n">
        <v>0</v>
      </c>
      <c r="C150" s="1" t="n">
        <v>2</v>
      </c>
      <c r="D150" s="1" t="n">
        <v>60</v>
      </c>
      <c r="E150" s="1" t="n">
        <v>2</v>
      </c>
      <c r="F150" s="3" t="n">
        <f aca="false">F149*H149*survive+(G149+(1-survive)*F149)*I149</f>
        <v>0.998826754217115</v>
      </c>
      <c r="G150" s="3" t="n">
        <f aca="false">1-F150</f>
        <v>0.00117324578288502</v>
      </c>
      <c r="H150" s="2" t="n">
        <v>1</v>
      </c>
      <c r="I150" s="2" t="n">
        <f aca="false">EXP(alpha0+alpha1*TimeETC+alpha2*PriceETC)/(EXP(alpha1*TimeMAN+alpha2*PriceMAN)+EXP(alpha0+alpha1*TimeETC+alpha2*PriceETC))</f>
        <v>0.289050497374996</v>
      </c>
      <c r="J150" s="1" t="n">
        <f aca="false">alphanought</f>
        <v>-2.7</v>
      </c>
    </row>
    <row r="151" customFormat="false" ht="12.75" hidden="false" customHeight="false" outlineLevel="0" collapsed="false">
      <c r="A151" s="1" t="n">
        <f aca="false">A150+1</f>
        <v>145</v>
      </c>
      <c r="B151" s="1" t="n">
        <v>0</v>
      </c>
      <c r="C151" s="1" t="n">
        <v>2</v>
      </c>
      <c r="D151" s="1" t="n">
        <v>60</v>
      </c>
      <c r="E151" s="1" t="n">
        <v>2</v>
      </c>
      <c r="F151" s="3" t="n">
        <f aca="false">F150*H150*survive+(G150+(1-survive)*F150)*I150</f>
        <v>0.998826754217115</v>
      </c>
      <c r="G151" s="3" t="n">
        <f aca="false">1-F151</f>
        <v>0.00117324578288502</v>
      </c>
      <c r="H151" s="2" t="n">
        <v>1</v>
      </c>
      <c r="I151" s="2" t="n">
        <f aca="false">EXP(alpha0+alpha1*TimeETC+alpha2*PriceETC)/(EXP(alpha1*TimeMAN+alpha2*PriceMAN)+EXP(alpha0+alpha1*TimeETC+alpha2*PriceETC))</f>
        <v>0.289050497374996</v>
      </c>
      <c r="J151" s="1" t="n">
        <f aca="false">alphanought</f>
        <v>-2.7</v>
      </c>
    </row>
    <row r="152" customFormat="false" ht="12.75" hidden="false" customHeight="false" outlineLevel="0" collapsed="false">
      <c r="A152" s="1" t="n">
        <f aca="false">A151+1</f>
        <v>146</v>
      </c>
      <c r="B152" s="1" t="n">
        <v>0</v>
      </c>
      <c r="C152" s="1" t="n">
        <v>2</v>
      </c>
      <c r="D152" s="1" t="n">
        <v>60</v>
      </c>
      <c r="E152" s="1" t="n">
        <v>2</v>
      </c>
      <c r="F152" s="3" t="n">
        <f aca="false">F151*H151*survive+(G151+(1-survive)*F151)*I151</f>
        <v>0.998826754217115</v>
      </c>
      <c r="G152" s="3" t="n">
        <f aca="false">1-F152</f>
        <v>0.00117324578288502</v>
      </c>
      <c r="H152" s="2" t="n">
        <v>1</v>
      </c>
      <c r="I152" s="2" t="n">
        <f aca="false">EXP(alpha0+alpha1*TimeETC+alpha2*PriceETC)/(EXP(alpha1*TimeMAN+alpha2*PriceMAN)+EXP(alpha0+alpha1*TimeETC+alpha2*PriceETC))</f>
        <v>0.289050497374996</v>
      </c>
      <c r="J152" s="1" t="n">
        <f aca="false">alphanought</f>
        <v>-2.7</v>
      </c>
    </row>
    <row r="153" customFormat="false" ht="12.75" hidden="false" customHeight="false" outlineLevel="0" collapsed="false">
      <c r="A153" s="1" t="n">
        <f aca="false">A152+1</f>
        <v>147</v>
      </c>
      <c r="B153" s="1" t="n">
        <v>0</v>
      </c>
      <c r="C153" s="1" t="n">
        <v>2</v>
      </c>
      <c r="D153" s="1" t="n">
        <v>60</v>
      </c>
      <c r="E153" s="1" t="n">
        <v>2</v>
      </c>
      <c r="F153" s="3" t="n">
        <f aca="false">F152*H152*survive+(G152+(1-survive)*F152)*I152</f>
        <v>0.998826754217115</v>
      </c>
      <c r="G153" s="3" t="n">
        <f aca="false">1-F153</f>
        <v>0.00117324578288502</v>
      </c>
      <c r="H153" s="2" t="n">
        <v>1</v>
      </c>
      <c r="I153" s="2" t="n">
        <f aca="false">EXP(alpha0+alpha1*TimeETC+alpha2*PriceETC)/(EXP(alpha1*TimeMAN+alpha2*PriceMAN)+EXP(alpha0+alpha1*TimeETC+alpha2*PriceETC))</f>
        <v>0.289050497374996</v>
      </c>
      <c r="J153" s="1" t="n">
        <f aca="false">alphanought</f>
        <v>-2.7</v>
      </c>
    </row>
    <row r="154" customFormat="false" ht="12.75" hidden="false" customHeight="false" outlineLevel="0" collapsed="false">
      <c r="A154" s="1" t="n">
        <f aca="false">A153+1</f>
        <v>148</v>
      </c>
      <c r="B154" s="1" t="n">
        <v>0</v>
      </c>
      <c r="C154" s="1" t="n">
        <v>2</v>
      </c>
      <c r="D154" s="1" t="n">
        <v>60</v>
      </c>
      <c r="E154" s="1" t="n">
        <v>2</v>
      </c>
      <c r="F154" s="3" t="n">
        <f aca="false">F153*H153*survive+(G153+(1-survive)*F153)*I153</f>
        <v>0.998826754217115</v>
      </c>
      <c r="G154" s="3" t="n">
        <f aca="false">1-F154</f>
        <v>0.00117324578288502</v>
      </c>
      <c r="H154" s="2" t="n">
        <v>1</v>
      </c>
      <c r="I154" s="2" t="n">
        <f aca="false">EXP(alpha0+alpha1*TimeETC+alpha2*PriceETC)/(EXP(alpha1*TimeMAN+alpha2*PriceMAN)+EXP(alpha0+alpha1*TimeETC+alpha2*PriceETC))</f>
        <v>0.289050497374996</v>
      </c>
      <c r="J154" s="1" t="n">
        <f aca="false">alphanought</f>
        <v>-2.7</v>
      </c>
    </row>
    <row r="155" customFormat="false" ht="12.75" hidden="false" customHeight="false" outlineLevel="0" collapsed="false">
      <c r="A155" s="1" t="n">
        <f aca="false">A154+1</f>
        <v>149</v>
      </c>
      <c r="B155" s="1" t="n">
        <v>0</v>
      </c>
      <c r="C155" s="1" t="n">
        <v>2</v>
      </c>
      <c r="D155" s="1" t="n">
        <v>60</v>
      </c>
      <c r="E155" s="1" t="n">
        <v>2</v>
      </c>
      <c r="F155" s="3" t="n">
        <f aca="false">F154*H154*survive+(G154+(1-survive)*F154)*I154</f>
        <v>0.998826754217115</v>
      </c>
      <c r="G155" s="3" t="n">
        <f aca="false">1-F155</f>
        <v>0.00117324578288502</v>
      </c>
      <c r="H155" s="2" t="n">
        <v>1</v>
      </c>
      <c r="I155" s="2" t="n">
        <f aca="false">EXP(alpha0+alpha1*TimeETC+alpha2*PriceETC)/(EXP(alpha1*TimeMAN+alpha2*PriceMAN)+EXP(alpha0+alpha1*TimeETC+alpha2*PriceETC))</f>
        <v>0.289050497374996</v>
      </c>
      <c r="J155" s="1" t="n">
        <f aca="false">alphanought</f>
        <v>-2.7</v>
      </c>
    </row>
    <row r="156" customFormat="false" ht="12.75" hidden="false" customHeight="false" outlineLevel="0" collapsed="false">
      <c r="A156" s="1" t="n">
        <f aca="false">A155+1</f>
        <v>150</v>
      </c>
      <c r="B156" s="1" t="n">
        <v>0</v>
      </c>
      <c r="C156" s="1" t="n">
        <v>2</v>
      </c>
      <c r="D156" s="1" t="n">
        <v>60</v>
      </c>
      <c r="E156" s="1" t="n">
        <v>2</v>
      </c>
      <c r="F156" s="3" t="n">
        <f aca="false">F155*H155*survive+(G155+(1-survive)*F155)*I155</f>
        <v>0.998826754217115</v>
      </c>
      <c r="G156" s="3" t="n">
        <f aca="false">1-F156</f>
        <v>0.00117324578288502</v>
      </c>
      <c r="H156" s="2" t="n">
        <v>1</v>
      </c>
      <c r="I156" s="2" t="n">
        <f aca="false">EXP(alpha0+alpha1*TimeETC+alpha2*PriceETC)/(EXP(alpha1*TimeMAN+alpha2*PriceMAN)+EXP(alpha0+alpha1*TimeETC+alpha2*PriceETC))</f>
        <v>0.289050497374996</v>
      </c>
      <c r="J156" s="1" t="n">
        <f aca="false">alphanought</f>
        <v>-2.7</v>
      </c>
    </row>
    <row r="157" customFormat="false" ht="12.75" hidden="false" customHeight="false" outlineLevel="0" collapsed="false">
      <c r="A157" s="1" t="n">
        <f aca="false">A156+1</f>
        <v>151</v>
      </c>
      <c r="B157" s="1" t="n">
        <v>0</v>
      </c>
      <c r="C157" s="1" t="n">
        <v>2</v>
      </c>
      <c r="D157" s="1" t="n">
        <v>60</v>
      </c>
      <c r="E157" s="1" t="n">
        <v>2</v>
      </c>
      <c r="F157" s="3" t="n">
        <f aca="false">F156*H156*survive+(G156+(1-survive)*F156)*I156</f>
        <v>0.998826754217115</v>
      </c>
      <c r="G157" s="3" t="n">
        <f aca="false">1-F157</f>
        <v>0.00117324578288502</v>
      </c>
      <c r="H157" s="2" t="n">
        <v>1</v>
      </c>
      <c r="I157" s="2" t="n">
        <f aca="false">EXP(alpha0+alpha1*TimeETC+alpha2*PriceETC)/(EXP(alpha1*TimeMAN+alpha2*PriceMAN)+EXP(alpha0+alpha1*TimeETC+alpha2*PriceETC))</f>
        <v>0.289050497374996</v>
      </c>
      <c r="J157" s="1" t="n">
        <f aca="false">alphanought</f>
        <v>-2.7</v>
      </c>
    </row>
    <row r="158" customFormat="false" ht="12.75" hidden="false" customHeight="false" outlineLevel="0" collapsed="false">
      <c r="A158" s="1" t="n">
        <f aca="false">A157+1</f>
        <v>152</v>
      </c>
      <c r="B158" s="1" t="n">
        <v>0</v>
      </c>
      <c r="C158" s="1" t="n">
        <v>2</v>
      </c>
      <c r="D158" s="1" t="n">
        <v>60</v>
      </c>
      <c r="E158" s="1" t="n">
        <v>2</v>
      </c>
      <c r="F158" s="3" t="n">
        <f aca="false">F157*H157*survive+(G157+(1-survive)*F157)*I157</f>
        <v>0.998826754217115</v>
      </c>
      <c r="G158" s="3" t="n">
        <f aca="false">1-F158</f>
        <v>0.00117324578288502</v>
      </c>
      <c r="H158" s="2" t="n">
        <v>1</v>
      </c>
      <c r="I158" s="2" t="n">
        <f aca="false">EXP(alpha0+alpha1*TimeETC+alpha2*PriceETC)/(EXP(alpha1*TimeMAN+alpha2*PriceMAN)+EXP(alpha0+alpha1*TimeETC+alpha2*PriceETC))</f>
        <v>0.289050497374996</v>
      </c>
      <c r="J158" s="1" t="n">
        <f aca="false">alphanought</f>
        <v>-2.7</v>
      </c>
    </row>
    <row r="159" customFormat="false" ht="12.75" hidden="false" customHeight="false" outlineLevel="0" collapsed="false">
      <c r="A159" s="1" t="n">
        <f aca="false">A158+1</f>
        <v>153</v>
      </c>
      <c r="B159" s="1" t="n">
        <v>0</v>
      </c>
      <c r="C159" s="1" t="n">
        <v>2</v>
      </c>
      <c r="D159" s="1" t="n">
        <v>60</v>
      </c>
      <c r="E159" s="1" t="n">
        <v>2</v>
      </c>
      <c r="F159" s="3" t="n">
        <f aca="false">F158*H158*survive+(G158+(1-survive)*F158)*I158</f>
        <v>0.998826754217115</v>
      </c>
      <c r="G159" s="3" t="n">
        <f aca="false">1-F159</f>
        <v>0.00117324578288502</v>
      </c>
      <c r="H159" s="2" t="n">
        <v>1</v>
      </c>
      <c r="I159" s="2" t="n">
        <f aca="false">EXP(alpha0+alpha1*TimeETC+alpha2*PriceETC)/(EXP(alpha1*TimeMAN+alpha2*PriceMAN)+EXP(alpha0+alpha1*TimeETC+alpha2*PriceETC))</f>
        <v>0.289050497374996</v>
      </c>
      <c r="J159" s="1" t="n">
        <f aca="false">alphanought</f>
        <v>-2.7</v>
      </c>
    </row>
    <row r="160" customFormat="false" ht="12.75" hidden="false" customHeight="false" outlineLevel="0" collapsed="false">
      <c r="A160" s="1" t="n">
        <f aca="false">A159+1</f>
        <v>154</v>
      </c>
      <c r="B160" s="1" t="n">
        <v>0</v>
      </c>
      <c r="C160" s="1" t="n">
        <v>2</v>
      </c>
      <c r="D160" s="1" t="n">
        <v>60</v>
      </c>
      <c r="E160" s="1" t="n">
        <v>2</v>
      </c>
      <c r="F160" s="3" t="n">
        <f aca="false">F159*H159*survive+(G159+(1-survive)*F159)*I159</f>
        <v>0.998826754217115</v>
      </c>
      <c r="G160" s="3" t="n">
        <f aca="false">1-F160</f>
        <v>0.00117324578288502</v>
      </c>
      <c r="H160" s="2" t="n">
        <v>1</v>
      </c>
      <c r="I160" s="2" t="n">
        <f aca="false">EXP(alpha0+alpha1*TimeETC+alpha2*PriceETC)/(EXP(alpha1*TimeMAN+alpha2*PriceMAN)+EXP(alpha0+alpha1*TimeETC+alpha2*PriceETC))</f>
        <v>0.289050497374996</v>
      </c>
      <c r="J160" s="1" t="n">
        <f aca="false">alphanought</f>
        <v>-2.7</v>
      </c>
    </row>
    <row r="161" customFormat="false" ht="12.75" hidden="false" customHeight="false" outlineLevel="0" collapsed="false">
      <c r="A161" s="1" t="n">
        <f aca="false">A160+1</f>
        <v>155</v>
      </c>
      <c r="B161" s="1" t="n">
        <v>0</v>
      </c>
      <c r="C161" s="1" t="n">
        <v>2</v>
      </c>
      <c r="D161" s="1" t="n">
        <v>60</v>
      </c>
      <c r="E161" s="1" t="n">
        <v>2</v>
      </c>
      <c r="F161" s="3" t="n">
        <f aca="false">F160*H160*survive+(G160+(1-survive)*F160)*I160</f>
        <v>0.998826754217115</v>
      </c>
      <c r="G161" s="3" t="n">
        <f aca="false">1-F161</f>
        <v>0.00117324578288502</v>
      </c>
      <c r="H161" s="2" t="n">
        <v>1</v>
      </c>
      <c r="I161" s="2" t="n">
        <f aca="false">EXP(alpha0+alpha1*TimeETC+alpha2*PriceETC)/(EXP(alpha1*TimeMAN+alpha2*PriceMAN)+EXP(alpha0+alpha1*TimeETC+alpha2*PriceETC))</f>
        <v>0.289050497374996</v>
      </c>
      <c r="J161" s="1" t="n">
        <f aca="false">alphanought</f>
        <v>-2.7</v>
      </c>
    </row>
    <row r="162" customFormat="false" ht="12.75" hidden="false" customHeight="false" outlineLevel="0" collapsed="false">
      <c r="A162" s="1" t="n">
        <f aca="false">A161+1</f>
        <v>156</v>
      </c>
      <c r="B162" s="1" t="n">
        <v>0</v>
      </c>
      <c r="C162" s="1" t="n">
        <v>2</v>
      </c>
      <c r="D162" s="1" t="n">
        <v>60</v>
      </c>
      <c r="E162" s="1" t="n">
        <v>2</v>
      </c>
      <c r="F162" s="3" t="n">
        <f aca="false">F161*H161*survive+(G161+(1-survive)*F161)*I161</f>
        <v>0.998826754217115</v>
      </c>
      <c r="G162" s="3" t="n">
        <f aca="false">1-F162</f>
        <v>0.00117324578288502</v>
      </c>
      <c r="H162" s="2" t="n">
        <v>1</v>
      </c>
      <c r="I162" s="2" t="n">
        <f aca="false">EXP(alpha0+alpha1*TimeETC+alpha2*PriceETC)/(EXP(alpha1*TimeMAN+alpha2*PriceMAN)+EXP(alpha0+alpha1*TimeETC+alpha2*PriceETC))</f>
        <v>0.289050497374996</v>
      </c>
      <c r="J162" s="1" t="n">
        <f aca="false">alphanought</f>
        <v>-2.7</v>
      </c>
    </row>
    <row r="163" customFormat="false" ht="12.75" hidden="false" customHeight="false" outlineLevel="0" collapsed="false">
      <c r="A163" s="1" t="n">
        <f aca="false">A162+1</f>
        <v>157</v>
      </c>
      <c r="B163" s="1" t="n">
        <v>0</v>
      </c>
      <c r="C163" s="1" t="n">
        <v>2</v>
      </c>
      <c r="D163" s="1" t="n">
        <v>60</v>
      </c>
      <c r="E163" s="1" t="n">
        <v>2</v>
      </c>
      <c r="F163" s="3" t="n">
        <f aca="false">F162*H162*survive+(G162+(1-survive)*F162)*I162</f>
        <v>0.998826754217115</v>
      </c>
      <c r="G163" s="3" t="n">
        <f aca="false">1-F163</f>
        <v>0.00117324578288502</v>
      </c>
      <c r="H163" s="2" t="n">
        <v>1</v>
      </c>
      <c r="I163" s="2" t="n">
        <f aca="false">EXP(alpha0+alpha1*TimeETC+alpha2*PriceETC)/(EXP(alpha1*TimeMAN+alpha2*PriceMAN)+EXP(alpha0+alpha1*TimeETC+alpha2*PriceETC))</f>
        <v>0.289050497374996</v>
      </c>
      <c r="J163" s="1" t="n">
        <f aca="false">alphanought</f>
        <v>-2.7</v>
      </c>
    </row>
    <row r="164" customFormat="false" ht="12.75" hidden="false" customHeight="false" outlineLevel="0" collapsed="false">
      <c r="A164" s="1" t="n">
        <f aca="false">A163+1</f>
        <v>158</v>
      </c>
      <c r="B164" s="1" t="n">
        <v>0</v>
      </c>
      <c r="C164" s="1" t="n">
        <v>2</v>
      </c>
      <c r="D164" s="1" t="n">
        <v>60</v>
      </c>
      <c r="E164" s="1" t="n">
        <v>2</v>
      </c>
      <c r="F164" s="3" t="n">
        <f aca="false">F163*H163*survive+(G163+(1-survive)*F163)*I163</f>
        <v>0.998826754217115</v>
      </c>
      <c r="G164" s="3" t="n">
        <f aca="false">1-F164</f>
        <v>0.00117324578288502</v>
      </c>
      <c r="H164" s="2" t="n">
        <v>1</v>
      </c>
      <c r="I164" s="2" t="n">
        <f aca="false">EXP(alpha0+alpha1*TimeETC+alpha2*PriceETC)/(EXP(alpha1*TimeMAN+alpha2*PriceMAN)+EXP(alpha0+alpha1*TimeETC+alpha2*PriceETC))</f>
        <v>0.289050497374996</v>
      </c>
      <c r="J164" s="1" t="n">
        <f aca="false">alphanought</f>
        <v>-2.7</v>
      </c>
    </row>
    <row r="165" customFormat="false" ht="12.75" hidden="false" customHeight="false" outlineLevel="0" collapsed="false">
      <c r="A165" s="1" t="n">
        <f aca="false">A164+1</f>
        <v>159</v>
      </c>
      <c r="B165" s="1" t="n">
        <v>0</v>
      </c>
      <c r="C165" s="1" t="n">
        <v>2</v>
      </c>
      <c r="D165" s="1" t="n">
        <v>60</v>
      </c>
      <c r="E165" s="1" t="n">
        <v>2</v>
      </c>
      <c r="F165" s="3" t="n">
        <f aca="false">F164*H164*survive+(G164+(1-survive)*F164)*I164</f>
        <v>0.998826754217115</v>
      </c>
      <c r="G165" s="3" t="n">
        <f aca="false">1-F165</f>
        <v>0.00117324578288502</v>
      </c>
      <c r="H165" s="2" t="n">
        <v>1</v>
      </c>
      <c r="I165" s="2" t="n">
        <f aca="false">EXP(alpha0+alpha1*TimeETC+alpha2*PriceETC)/(EXP(alpha1*TimeMAN+alpha2*PriceMAN)+EXP(alpha0+alpha1*TimeETC+alpha2*PriceETC))</f>
        <v>0.289050497374996</v>
      </c>
      <c r="J165" s="1" t="n">
        <f aca="false">alphanought</f>
        <v>-2.7</v>
      </c>
    </row>
    <row r="166" customFormat="false" ht="12.75" hidden="false" customHeight="false" outlineLevel="0" collapsed="false">
      <c r="A166" s="1" t="n">
        <f aca="false">A165+1</f>
        <v>160</v>
      </c>
      <c r="B166" s="1" t="n">
        <v>0</v>
      </c>
      <c r="C166" s="1" t="n">
        <v>2</v>
      </c>
      <c r="D166" s="1" t="n">
        <v>60</v>
      </c>
      <c r="E166" s="1" t="n">
        <v>2</v>
      </c>
      <c r="F166" s="3" t="n">
        <f aca="false">F165*H165*survive+(G165+(1-survive)*F165)*I165</f>
        <v>0.998826754217115</v>
      </c>
      <c r="G166" s="3" t="n">
        <f aca="false">1-F166</f>
        <v>0.00117324578288502</v>
      </c>
      <c r="H166" s="2" t="n">
        <v>1</v>
      </c>
      <c r="I166" s="2" t="n">
        <f aca="false">EXP(alpha0+alpha1*TimeETC+alpha2*PriceETC)/(EXP(alpha1*TimeMAN+alpha2*PriceMAN)+EXP(alpha0+alpha1*TimeETC+alpha2*PriceETC))</f>
        <v>0.289050497374996</v>
      </c>
      <c r="J166" s="1" t="n">
        <f aca="false">alphanought</f>
        <v>-2.7</v>
      </c>
    </row>
    <row r="167" customFormat="false" ht="12.75" hidden="false" customHeight="false" outlineLevel="0" collapsed="false">
      <c r="A167" s="1" t="n">
        <f aca="false">A166+1</f>
        <v>161</v>
      </c>
      <c r="B167" s="1" t="n">
        <v>0</v>
      </c>
      <c r="C167" s="1" t="n">
        <v>2</v>
      </c>
      <c r="D167" s="1" t="n">
        <v>60</v>
      </c>
      <c r="E167" s="1" t="n">
        <v>2</v>
      </c>
      <c r="F167" s="3" t="n">
        <f aca="false">F166*H166*survive+(G166+(1-survive)*F166)*I166</f>
        <v>0.998826754217115</v>
      </c>
      <c r="G167" s="3" t="n">
        <f aca="false">1-F167</f>
        <v>0.00117324578288502</v>
      </c>
      <c r="H167" s="2" t="n">
        <v>1</v>
      </c>
      <c r="I167" s="2" t="n">
        <f aca="false">EXP(alpha0+alpha1*TimeETC+alpha2*PriceETC)/(EXP(alpha1*TimeMAN+alpha2*PriceMAN)+EXP(alpha0+alpha1*TimeETC+alpha2*PriceETC))</f>
        <v>0.289050497374996</v>
      </c>
      <c r="J167" s="1" t="n">
        <f aca="false">alphanought</f>
        <v>-2.7</v>
      </c>
    </row>
    <row r="168" customFormat="false" ht="12.75" hidden="false" customHeight="false" outlineLevel="0" collapsed="false">
      <c r="A168" s="1" t="n">
        <f aca="false">A167+1</f>
        <v>162</v>
      </c>
      <c r="B168" s="1" t="n">
        <v>0</v>
      </c>
      <c r="C168" s="1" t="n">
        <v>2</v>
      </c>
      <c r="D168" s="1" t="n">
        <v>60</v>
      </c>
      <c r="E168" s="1" t="n">
        <v>2</v>
      </c>
      <c r="F168" s="3" t="n">
        <f aca="false">F167*H167*survive+(G167+(1-survive)*F167)*I167</f>
        <v>0.998826754217115</v>
      </c>
      <c r="G168" s="3" t="n">
        <f aca="false">1-F168</f>
        <v>0.00117324578288502</v>
      </c>
      <c r="H168" s="2" t="n">
        <v>1</v>
      </c>
      <c r="I168" s="2" t="n">
        <f aca="false">EXP(alpha0+alpha1*TimeETC+alpha2*PriceETC)/(EXP(alpha1*TimeMAN+alpha2*PriceMAN)+EXP(alpha0+alpha1*TimeETC+alpha2*PriceETC))</f>
        <v>0.289050497374996</v>
      </c>
      <c r="J168" s="1" t="n">
        <f aca="false">alphanought</f>
        <v>-2.7</v>
      </c>
    </row>
    <row r="169" customFormat="false" ht="12.75" hidden="false" customHeight="false" outlineLevel="0" collapsed="false">
      <c r="A169" s="1" t="n">
        <f aca="false">A168+1</f>
        <v>163</v>
      </c>
      <c r="B169" s="1" t="n">
        <v>0</v>
      </c>
      <c r="C169" s="1" t="n">
        <v>2</v>
      </c>
      <c r="D169" s="1" t="n">
        <v>60</v>
      </c>
      <c r="E169" s="1" t="n">
        <v>2</v>
      </c>
      <c r="F169" s="3" t="n">
        <f aca="false">F168*H168*survive+(G168+(1-survive)*F168)*I168</f>
        <v>0.998826754217115</v>
      </c>
      <c r="G169" s="3" t="n">
        <f aca="false">1-F169</f>
        <v>0.00117324578288502</v>
      </c>
      <c r="H169" s="2" t="n">
        <v>1</v>
      </c>
      <c r="I169" s="2" t="n">
        <f aca="false">EXP(alpha0+alpha1*TimeETC+alpha2*PriceETC)/(EXP(alpha1*TimeMAN+alpha2*PriceMAN)+EXP(alpha0+alpha1*TimeETC+alpha2*PriceETC))</f>
        <v>0.289050497374996</v>
      </c>
      <c r="J169" s="1" t="n">
        <f aca="false">alphanought</f>
        <v>-2.7</v>
      </c>
    </row>
    <row r="170" customFormat="false" ht="12.75" hidden="false" customHeight="false" outlineLevel="0" collapsed="false">
      <c r="A170" s="1" t="n">
        <f aca="false">A169+1</f>
        <v>164</v>
      </c>
      <c r="B170" s="1" t="n">
        <v>0</v>
      </c>
      <c r="C170" s="1" t="n">
        <v>2</v>
      </c>
      <c r="D170" s="1" t="n">
        <v>60</v>
      </c>
      <c r="E170" s="1" t="n">
        <v>2</v>
      </c>
      <c r="F170" s="3" t="n">
        <f aca="false">F169*H169*survive+(G169+(1-survive)*F169)*I169</f>
        <v>0.998826754217115</v>
      </c>
      <c r="G170" s="3" t="n">
        <f aca="false">1-F170</f>
        <v>0.00117324578288502</v>
      </c>
      <c r="H170" s="2" t="n">
        <v>1</v>
      </c>
      <c r="I170" s="2" t="n">
        <f aca="false">EXP(alpha0+alpha1*TimeETC+alpha2*PriceETC)/(EXP(alpha1*TimeMAN+alpha2*PriceMAN)+EXP(alpha0+alpha1*TimeETC+alpha2*PriceETC))</f>
        <v>0.289050497374996</v>
      </c>
      <c r="J170" s="1" t="n">
        <f aca="false">alphanought</f>
        <v>-2.7</v>
      </c>
    </row>
    <row r="171" customFormat="false" ht="12.75" hidden="false" customHeight="false" outlineLevel="0" collapsed="false">
      <c r="A171" s="1" t="n">
        <f aca="false">A170+1</f>
        <v>165</v>
      </c>
      <c r="B171" s="1" t="n">
        <v>0</v>
      </c>
      <c r="C171" s="1" t="n">
        <v>2</v>
      </c>
      <c r="D171" s="1" t="n">
        <v>60</v>
      </c>
      <c r="E171" s="1" t="n">
        <v>2</v>
      </c>
      <c r="F171" s="3" t="n">
        <f aca="false">F170*H170*survive+(G170+(1-survive)*F170)*I170</f>
        <v>0.998826754217115</v>
      </c>
      <c r="G171" s="3" t="n">
        <f aca="false">1-F171</f>
        <v>0.00117324578288502</v>
      </c>
      <c r="H171" s="2" t="n">
        <v>1</v>
      </c>
      <c r="I171" s="2" t="n">
        <f aca="false">EXP(alpha0+alpha1*TimeETC+alpha2*PriceETC)/(EXP(alpha1*TimeMAN+alpha2*PriceMAN)+EXP(alpha0+alpha1*TimeETC+alpha2*PriceETC))</f>
        <v>0.289050497374996</v>
      </c>
      <c r="J171" s="1" t="n">
        <f aca="false">alphanought</f>
        <v>-2.7</v>
      </c>
    </row>
    <row r="172" customFormat="false" ht="12.75" hidden="false" customHeight="false" outlineLevel="0" collapsed="false">
      <c r="A172" s="1" t="n">
        <f aca="false">A171+1</f>
        <v>166</v>
      </c>
      <c r="B172" s="1" t="n">
        <v>0</v>
      </c>
      <c r="C172" s="1" t="n">
        <v>2</v>
      </c>
      <c r="D172" s="1" t="n">
        <v>60</v>
      </c>
      <c r="E172" s="1" t="n">
        <v>2</v>
      </c>
      <c r="F172" s="3" t="n">
        <f aca="false">F171*H171*survive+(G171+(1-survive)*F171)*I171</f>
        <v>0.998826754217115</v>
      </c>
      <c r="G172" s="3" t="n">
        <f aca="false">1-F172</f>
        <v>0.00117324578288502</v>
      </c>
      <c r="H172" s="2" t="n">
        <v>1</v>
      </c>
      <c r="I172" s="2" t="n">
        <f aca="false">EXP(alpha0+alpha1*TimeETC+alpha2*PriceETC)/(EXP(alpha1*TimeMAN+alpha2*PriceMAN)+EXP(alpha0+alpha1*TimeETC+alpha2*PriceETC))</f>
        <v>0.289050497374996</v>
      </c>
      <c r="J172" s="1" t="n">
        <f aca="false">alphanought</f>
        <v>-2.7</v>
      </c>
    </row>
    <row r="173" customFormat="false" ht="12.75" hidden="false" customHeight="false" outlineLevel="0" collapsed="false">
      <c r="A173" s="1" t="n">
        <f aca="false">A172+1</f>
        <v>167</v>
      </c>
      <c r="B173" s="1" t="n">
        <v>0</v>
      </c>
      <c r="C173" s="1" t="n">
        <v>2</v>
      </c>
      <c r="D173" s="1" t="n">
        <v>60</v>
      </c>
      <c r="E173" s="1" t="n">
        <v>2</v>
      </c>
      <c r="F173" s="3" t="n">
        <f aca="false">F172*H172*survive+(G172+(1-survive)*F172)*I172</f>
        <v>0.998826754217115</v>
      </c>
      <c r="G173" s="3" t="n">
        <f aca="false">1-F173</f>
        <v>0.00117324578288502</v>
      </c>
      <c r="H173" s="2" t="n">
        <v>1</v>
      </c>
      <c r="I173" s="2" t="n">
        <f aca="false">EXP(alpha0+alpha1*TimeETC+alpha2*PriceETC)/(EXP(alpha1*TimeMAN+alpha2*PriceMAN)+EXP(alpha0+alpha1*TimeETC+alpha2*PriceETC))</f>
        <v>0.289050497374996</v>
      </c>
      <c r="J173" s="1" t="n">
        <f aca="false">alphanought</f>
        <v>-2.7</v>
      </c>
    </row>
    <row r="174" customFormat="false" ht="12.75" hidden="false" customHeight="false" outlineLevel="0" collapsed="false">
      <c r="A174" s="1" t="n">
        <f aca="false">A173+1</f>
        <v>168</v>
      </c>
      <c r="B174" s="1" t="n">
        <v>0</v>
      </c>
      <c r="C174" s="1" t="n">
        <v>2</v>
      </c>
      <c r="D174" s="1" t="n">
        <v>60</v>
      </c>
      <c r="E174" s="1" t="n">
        <v>2</v>
      </c>
      <c r="F174" s="3" t="n">
        <f aca="false">F173*H173*survive+(G173+(1-survive)*F173)*I173</f>
        <v>0.998826754217115</v>
      </c>
      <c r="G174" s="3" t="n">
        <f aca="false">1-F174</f>
        <v>0.00117324578288502</v>
      </c>
      <c r="H174" s="2" t="n">
        <v>1</v>
      </c>
      <c r="I174" s="2" t="n">
        <f aca="false">EXP(alpha0+alpha1*TimeETC+alpha2*PriceETC)/(EXP(alpha1*TimeMAN+alpha2*PriceMAN)+EXP(alpha0+alpha1*TimeETC+alpha2*PriceETC))</f>
        <v>0.289050497374996</v>
      </c>
      <c r="J174" s="1" t="n">
        <f aca="false">alphanought</f>
        <v>-2.7</v>
      </c>
    </row>
    <row r="175" customFormat="false" ht="12.75" hidden="false" customHeight="false" outlineLevel="0" collapsed="false">
      <c r="A175" s="1" t="n">
        <f aca="false">A174+1</f>
        <v>169</v>
      </c>
      <c r="B175" s="1" t="n">
        <v>0</v>
      </c>
      <c r="C175" s="1" t="n">
        <v>2</v>
      </c>
      <c r="D175" s="1" t="n">
        <v>60</v>
      </c>
      <c r="E175" s="1" t="n">
        <v>2</v>
      </c>
      <c r="F175" s="3" t="n">
        <f aca="false">F174*H174*survive+(G174+(1-survive)*F174)*I174</f>
        <v>0.998826754217115</v>
      </c>
      <c r="G175" s="3" t="n">
        <f aca="false">1-F175</f>
        <v>0.00117324578288502</v>
      </c>
      <c r="H175" s="2" t="n">
        <v>1</v>
      </c>
      <c r="I175" s="2" t="n">
        <f aca="false">EXP(alpha0+alpha1*TimeETC+alpha2*PriceETC)/(EXP(alpha1*TimeMAN+alpha2*PriceMAN)+EXP(alpha0+alpha1*TimeETC+alpha2*PriceETC))</f>
        <v>0.289050497374996</v>
      </c>
      <c r="J175" s="1" t="n">
        <f aca="false">alphanought</f>
        <v>-2.7</v>
      </c>
    </row>
    <row r="176" customFormat="false" ht="12.75" hidden="false" customHeight="false" outlineLevel="0" collapsed="false">
      <c r="A176" s="1" t="n">
        <f aca="false">A175+1</f>
        <v>170</v>
      </c>
      <c r="B176" s="1" t="n">
        <v>0</v>
      </c>
      <c r="C176" s="1" t="n">
        <v>2</v>
      </c>
      <c r="D176" s="1" t="n">
        <v>60</v>
      </c>
      <c r="E176" s="1" t="n">
        <v>2</v>
      </c>
      <c r="F176" s="3" t="n">
        <f aca="false">F175*H175*survive+(G175+(1-survive)*F175)*I175</f>
        <v>0.998826754217115</v>
      </c>
      <c r="G176" s="3" t="n">
        <f aca="false">1-F176</f>
        <v>0.00117324578288502</v>
      </c>
      <c r="H176" s="2" t="n">
        <v>1</v>
      </c>
      <c r="I176" s="2" t="n">
        <f aca="false">EXP(alpha0+alpha1*TimeETC+alpha2*PriceETC)/(EXP(alpha1*TimeMAN+alpha2*PriceMAN)+EXP(alpha0+alpha1*TimeETC+alpha2*PriceETC))</f>
        <v>0.289050497374996</v>
      </c>
      <c r="J176" s="1" t="n">
        <f aca="false">alphanought</f>
        <v>-2.7</v>
      </c>
    </row>
    <row r="177" customFormat="false" ht="12.75" hidden="false" customHeight="false" outlineLevel="0" collapsed="false">
      <c r="A177" s="1" t="n">
        <f aca="false">A176+1</f>
        <v>171</v>
      </c>
      <c r="B177" s="1" t="n">
        <v>0</v>
      </c>
      <c r="C177" s="1" t="n">
        <v>2</v>
      </c>
      <c r="D177" s="1" t="n">
        <v>60</v>
      </c>
      <c r="E177" s="1" t="n">
        <v>2</v>
      </c>
      <c r="F177" s="3" t="n">
        <f aca="false">F176*H176*survive+(G176+(1-survive)*F176)*I176</f>
        <v>0.998826754217115</v>
      </c>
      <c r="G177" s="3" t="n">
        <f aca="false">1-F177</f>
        <v>0.00117324578288502</v>
      </c>
      <c r="H177" s="2" t="n">
        <v>1</v>
      </c>
      <c r="I177" s="2" t="n">
        <f aca="false">EXP(alpha0+alpha1*TimeETC+alpha2*PriceETC)/(EXP(alpha1*TimeMAN+alpha2*PriceMAN)+EXP(alpha0+alpha1*TimeETC+alpha2*PriceETC))</f>
        <v>0.289050497374996</v>
      </c>
      <c r="J177" s="1" t="n">
        <f aca="false">alphanought</f>
        <v>-2.7</v>
      </c>
    </row>
    <row r="178" customFormat="false" ht="12.75" hidden="false" customHeight="false" outlineLevel="0" collapsed="false">
      <c r="A178" s="1" t="n">
        <f aca="false">A177+1</f>
        <v>172</v>
      </c>
      <c r="B178" s="1" t="n">
        <v>0</v>
      </c>
      <c r="C178" s="1" t="n">
        <v>2</v>
      </c>
      <c r="D178" s="1" t="n">
        <v>60</v>
      </c>
      <c r="E178" s="1" t="n">
        <v>2</v>
      </c>
      <c r="F178" s="3" t="n">
        <f aca="false">F177*H177*survive+(G177+(1-survive)*F177)*I177</f>
        <v>0.998826754217115</v>
      </c>
      <c r="G178" s="3" t="n">
        <f aca="false">1-F178</f>
        <v>0.00117324578288502</v>
      </c>
      <c r="H178" s="2" t="n">
        <v>1</v>
      </c>
      <c r="I178" s="2" t="n">
        <f aca="false">EXP(alpha0+alpha1*TimeETC+alpha2*PriceETC)/(EXP(alpha1*TimeMAN+alpha2*PriceMAN)+EXP(alpha0+alpha1*TimeETC+alpha2*PriceETC))</f>
        <v>0.289050497374996</v>
      </c>
      <c r="J178" s="1" t="n">
        <f aca="false">alphanought</f>
        <v>-2.7</v>
      </c>
    </row>
    <row r="179" customFormat="false" ht="12.75" hidden="false" customHeight="false" outlineLevel="0" collapsed="false">
      <c r="A179" s="1" t="n">
        <f aca="false">A178+1</f>
        <v>173</v>
      </c>
      <c r="B179" s="1" t="n">
        <v>0</v>
      </c>
      <c r="C179" s="1" t="n">
        <v>2</v>
      </c>
      <c r="D179" s="1" t="n">
        <v>60</v>
      </c>
      <c r="E179" s="1" t="n">
        <v>2</v>
      </c>
      <c r="F179" s="3" t="n">
        <f aca="false">F178*H178*survive+(G178+(1-survive)*F178)*I178</f>
        <v>0.998826754217115</v>
      </c>
      <c r="G179" s="3" t="n">
        <f aca="false">1-F179</f>
        <v>0.00117324578288502</v>
      </c>
      <c r="H179" s="2" t="n">
        <v>1</v>
      </c>
      <c r="I179" s="2" t="n">
        <f aca="false">EXP(alpha0+alpha1*TimeETC+alpha2*PriceETC)/(EXP(alpha1*TimeMAN+alpha2*PriceMAN)+EXP(alpha0+alpha1*TimeETC+alpha2*PriceETC))</f>
        <v>0.289050497374996</v>
      </c>
      <c r="J179" s="1" t="n">
        <f aca="false">alphanought</f>
        <v>-2.7</v>
      </c>
    </row>
    <row r="180" customFormat="false" ht="12.75" hidden="false" customHeight="false" outlineLevel="0" collapsed="false">
      <c r="A180" s="1" t="n">
        <f aca="false">A179+1</f>
        <v>174</v>
      </c>
      <c r="B180" s="1" t="n">
        <v>0</v>
      </c>
      <c r="C180" s="1" t="n">
        <v>2</v>
      </c>
      <c r="D180" s="1" t="n">
        <v>60</v>
      </c>
      <c r="E180" s="1" t="n">
        <v>2</v>
      </c>
      <c r="F180" s="3" t="n">
        <f aca="false">F179*H179*survive+(G179+(1-survive)*F179)*I179</f>
        <v>0.998826754217115</v>
      </c>
      <c r="G180" s="3" t="n">
        <f aca="false">1-F180</f>
        <v>0.00117324578288502</v>
      </c>
      <c r="H180" s="2" t="n">
        <v>1</v>
      </c>
      <c r="I180" s="2" t="n">
        <f aca="false">EXP(alpha0+alpha1*TimeETC+alpha2*PriceETC)/(EXP(alpha1*TimeMAN+alpha2*PriceMAN)+EXP(alpha0+alpha1*TimeETC+alpha2*PriceETC))</f>
        <v>0.289050497374996</v>
      </c>
      <c r="J180" s="1" t="n">
        <f aca="false">alphanought</f>
        <v>-2.7</v>
      </c>
    </row>
    <row r="181" customFormat="false" ht="12.75" hidden="false" customHeight="false" outlineLevel="0" collapsed="false">
      <c r="A181" s="1" t="n">
        <f aca="false">A180+1</f>
        <v>175</v>
      </c>
      <c r="B181" s="1" t="n">
        <v>0</v>
      </c>
      <c r="C181" s="1" t="n">
        <v>2</v>
      </c>
      <c r="D181" s="1" t="n">
        <v>60</v>
      </c>
      <c r="E181" s="1" t="n">
        <v>2</v>
      </c>
      <c r="F181" s="3" t="n">
        <f aca="false">F180*H180*survive+(G180+(1-survive)*F180)*I180</f>
        <v>0.998826754217115</v>
      </c>
      <c r="G181" s="3" t="n">
        <f aca="false">1-F181</f>
        <v>0.00117324578288502</v>
      </c>
      <c r="H181" s="2" t="n">
        <v>1</v>
      </c>
      <c r="I181" s="2" t="n">
        <f aca="false">EXP(alpha0+alpha1*TimeETC+alpha2*PriceETC)/(EXP(alpha1*TimeMAN+alpha2*PriceMAN)+EXP(alpha0+alpha1*TimeETC+alpha2*PriceETC))</f>
        <v>0.289050497374996</v>
      </c>
      <c r="J181" s="1" t="n">
        <f aca="false">alphanought</f>
        <v>-2.7</v>
      </c>
    </row>
    <row r="182" customFormat="false" ht="12.75" hidden="false" customHeight="false" outlineLevel="0" collapsed="false">
      <c r="A182" s="1" t="n">
        <f aca="false">A181+1</f>
        <v>176</v>
      </c>
      <c r="B182" s="1" t="n">
        <v>0</v>
      </c>
      <c r="C182" s="1" t="n">
        <v>2</v>
      </c>
      <c r="D182" s="1" t="n">
        <v>60</v>
      </c>
      <c r="E182" s="1" t="n">
        <v>2</v>
      </c>
      <c r="F182" s="3" t="n">
        <f aca="false">F181*H181*survive+(G181+(1-survive)*F181)*I181</f>
        <v>0.998826754217115</v>
      </c>
      <c r="G182" s="3" t="n">
        <f aca="false">1-F182</f>
        <v>0.00117324578288502</v>
      </c>
      <c r="H182" s="2" t="n">
        <v>1</v>
      </c>
      <c r="I182" s="2" t="n">
        <f aca="false">EXP(alpha0+alpha1*TimeETC+alpha2*PriceETC)/(EXP(alpha1*TimeMAN+alpha2*PriceMAN)+EXP(alpha0+alpha1*TimeETC+alpha2*PriceETC))</f>
        <v>0.289050497374996</v>
      </c>
      <c r="J182" s="1" t="n">
        <f aca="false">alphanought</f>
        <v>-2.7</v>
      </c>
    </row>
    <row r="183" customFormat="false" ht="12.75" hidden="false" customHeight="false" outlineLevel="0" collapsed="false">
      <c r="A183" s="1" t="n">
        <f aca="false">A182+1</f>
        <v>177</v>
      </c>
      <c r="B183" s="1" t="n">
        <v>0</v>
      </c>
      <c r="C183" s="1" t="n">
        <v>2</v>
      </c>
      <c r="D183" s="1" t="n">
        <v>60</v>
      </c>
      <c r="E183" s="1" t="n">
        <v>2</v>
      </c>
      <c r="F183" s="3" t="n">
        <f aca="false">F182*H182*survive+(G182+(1-survive)*F182)*I182</f>
        <v>0.998826754217115</v>
      </c>
      <c r="G183" s="3" t="n">
        <f aca="false">1-F183</f>
        <v>0.00117324578288502</v>
      </c>
      <c r="H183" s="2" t="n">
        <v>1</v>
      </c>
      <c r="I183" s="2" t="n">
        <f aca="false">EXP(alpha0+alpha1*TimeETC+alpha2*PriceETC)/(EXP(alpha1*TimeMAN+alpha2*PriceMAN)+EXP(alpha0+alpha1*TimeETC+alpha2*PriceETC))</f>
        <v>0.289050497374996</v>
      </c>
      <c r="J183" s="1" t="n">
        <f aca="false">alphanought</f>
        <v>-2.7</v>
      </c>
    </row>
    <row r="184" customFormat="false" ht="12.75" hidden="false" customHeight="false" outlineLevel="0" collapsed="false">
      <c r="A184" s="1" t="n">
        <f aca="false">A183+1</f>
        <v>178</v>
      </c>
      <c r="B184" s="1" t="n">
        <v>0</v>
      </c>
      <c r="C184" s="1" t="n">
        <v>2</v>
      </c>
      <c r="D184" s="1" t="n">
        <v>60</v>
      </c>
      <c r="E184" s="1" t="n">
        <v>2</v>
      </c>
      <c r="F184" s="3" t="n">
        <f aca="false">F183*H183*survive+(G183+(1-survive)*F183)*I183</f>
        <v>0.998826754217115</v>
      </c>
      <c r="G184" s="3" t="n">
        <f aca="false">1-F184</f>
        <v>0.00117324578288502</v>
      </c>
      <c r="H184" s="2" t="n">
        <v>1</v>
      </c>
      <c r="I184" s="2" t="n">
        <f aca="false">EXP(alpha0+alpha1*TimeETC+alpha2*PriceETC)/(EXP(alpha1*TimeMAN+alpha2*PriceMAN)+EXP(alpha0+alpha1*TimeETC+alpha2*PriceETC))</f>
        <v>0.289050497374996</v>
      </c>
      <c r="J184" s="1" t="n">
        <f aca="false">alphanought</f>
        <v>-2.7</v>
      </c>
    </row>
    <row r="185" customFormat="false" ht="12.75" hidden="false" customHeight="false" outlineLevel="0" collapsed="false">
      <c r="A185" s="1" t="n">
        <f aca="false">A184+1</f>
        <v>179</v>
      </c>
      <c r="B185" s="1" t="n">
        <v>0</v>
      </c>
      <c r="C185" s="1" t="n">
        <v>2</v>
      </c>
      <c r="D185" s="1" t="n">
        <v>60</v>
      </c>
      <c r="E185" s="1" t="n">
        <v>2</v>
      </c>
      <c r="F185" s="3" t="n">
        <f aca="false">F184*H184*survive+(G184+(1-survive)*F184)*I184</f>
        <v>0.998826754217115</v>
      </c>
      <c r="G185" s="3" t="n">
        <f aca="false">1-F185</f>
        <v>0.00117324578288502</v>
      </c>
      <c r="H185" s="2" t="n">
        <v>1</v>
      </c>
      <c r="I185" s="2" t="n">
        <f aca="false">EXP(alpha0+alpha1*TimeETC+alpha2*PriceETC)/(EXP(alpha1*TimeMAN+alpha2*PriceMAN)+EXP(alpha0+alpha1*TimeETC+alpha2*PriceETC))</f>
        <v>0.289050497374996</v>
      </c>
      <c r="J185" s="1" t="n">
        <f aca="false">alphanought</f>
        <v>-2.7</v>
      </c>
    </row>
    <row r="186" customFormat="false" ht="12.75" hidden="false" customHeight="false" outlineLevel="0" collapsed="false">
      <c r="A186" s="1" t="n">
        <f aca="false">A185+1</f>
        <v>180</v>
      </c>
      <c r="B186" s="1" t="n">
        <v>0</v>
      </c>
      <c r="C186" s="1" t="n">
        <v>2</v>
      </c>
      <c r="D186" s="1" t="n">
        <v>60</v>
      </c>
      <c r="E186" s="1" t="n">
        <v>2</v>
      </c>
      <c r="F186" s="3" t="n">
        <f aca="false">F185*H185*survive+(G185+(1-survive)*F185)*I185</f>
        <v>0.998826754217115</v>
      </c>
      <c r="G186" s="3" t="n">
        <f aca="false">1-F186</f>
        <v>0.00117324578288502</v>
      </c>
      <c r="H186" s="2" t="n">
        <v>1</v>
      </c>
      <c r="I186" s="2" t="n">
        <f aca="false">EXP(alpha0+alpha1*TimeETC+alpha2*PriceETC)/(EXP(alpha1*TimeMAN+alpha2*PriceMAN)+EXP(alpha0+alpha1*TimeETC+alpha2*PriceETC))</f>
        <v>0.289050497374996</v>
      </c>
      <c r="J186" s="1" t="n">
        <f aca="false">alphanought</f>
        <v>-2.7</v>
      </c>
    </row>
    <row r="187" customFormat="false" ht="12.75" hidden="false" customHeight="false" outlineLevel="0" collapsed="false">
      <c r="A187" s="1" t="n">
        <f aca="false">A186+1</f>
        <v>181</v>
      </c>
      <c r="B187" s="1" t="n">
        <v>0</v>
      </c>
      <c r="C187" s="1" t="n">
        <v>2</v>
      </c>
      <c r="D187" s="1" t="n">
        <v>60</v>
      </c>
      <c r="E187" s="1" t="n">
        <v>2</v>
      </c>
      <c r="F187" s="3" t="n">
        <f aca="false">F186*H186*survive+(G186+(1-survive)*F186)*I186</f>
        <v>0.998826754217115</v>
      </c>
      <c r="G187" s="3" t="n">
        <f aca="false">1-F187</f>
        <v>0.00117324578288502</v>
      </c>
      <c r="H187" s="2" t="n">
        <v>1</v>
      </c>
      <c r="I187" s="2" t="n">
        <f aca="false">EXP(alpha0+alpha1*TimeETC+alpha2*PriceETC)/(EXP(alpha1*TimeMAN+alpha2*PriceMAN)+EXP(alpha0+alpha1*TimeETC+alpha2*PriceETC))</f>
        <v>0.289050497374996</v>
      </c>
      <c r="J187" s="1" t="n">
        <f aca="false">alphanought</f>
        <v>-2.7</v>
      </c>
    </row>
    <row r="188" customFormat="false" ht="12.75" hidden="false" customHeight="false" outlineLevel="0" collapsed="false">
      <c r="A188" s="1" t="n">
        <f aca="false">A187+1</f>
        <v>182</v>
      </c>
      <c r="B188" s="1" t="n">
        <v>0</v>
      </c>
      <c r="C188" s="1" t="n">
        <v>2</v>
      </c>
      <c r="D188" s="1" t="n">
        <v>60</v>
      </c>
      <c r="E188" s="1" t="n">
        <v>2</v>
      </c>
      <c r="F188" s="3" t="n">
        <f aca="false">F187*H187*survive+(G187+(1-survive)*F187)*I187</f>
        <v>0.998826754217115</v>
      </c>
      <c r="G188" s="3" t="n">
        <f aca="false">1-F188</f>
        <v>0.00117324578288502</v>
      </c>
      <c r="H188" s="2" t="n">
        <v>1</v>
      </c>
      <c r="I188" s="2" t="n">
        <f aca="false">EXP(alpha0+alpha1*TimeETC+alpha2*PriceETC)/(EXP(alpha1*TimeMAN+alpha2*PriceMAN)+EXP(alpha0+alpha1*TimeETC+alpha2*PriceETC))</f>
        <v>0.289050497374996</v>
      </c>
      <c r="J188" s="1" t="n">
        <f aca="false">alphanought</f>
        <v>-2.7</v>
      </c>
    </row>
    <row r="189" customFormat="false" ht="12.75" hidden="false" customHeight="false" outlineLevel="0" collapsed="false">
      <c r="A189" s="1" t="n">
        <f aca="false">A188+1</f>
        <v>183</v>
      </c>
      <c r="B189" s="1" t="n">
        <v>0</v>
      </c>
      <c r="C189" s="1" t="n">
        <v>2</v>
      </c>
      <c r="D189" s="1" t="n">
        <v>60</v>
      </c>
      <c r="E189" s="1" t="n">
        <v>2</v>
      </c>
      <c r="F189" s="3" t="n">
        <f aca="false">F188*H188*survive+(G188+(1-survive)*F188)*I188</f>
        <v>0.998826754217115</v>
      </c>
      <c r="G189" s="3" t="n">
        <f aca="false">1-F189</f>
        <v>0.00117324578288502</v>
      </c>
      <c r="H189" s="2" t="n">
        <v>1</v>
      </c>
      <c r="I189" s="2" t="n">
        <f aca="false">EXP(alpha0+alpha1*TimeETC+alpha2*PriceETC)/(EXP(alpha1*TimeMAN+alpha2*PriceMAN)+EXP(alpha0+alpha1*TimeETC+alpha2*PriceETC))</f>
        <v>0.289050497374996</v>
      </c>
      <c r="J189" s="1" t="n">
        <f aca="false">alphanought</f>
        <v>-2.7</v>
      </c>
    </row>
    <row r="190" customFormat="false" ht="12.75" hidden="false" customHeight="false" outlineLevel="0" collapsed="false">
      <c r="A190" s="1" t="n">
        <f aca="false">A189+1</f>
        <v>184</v>
      </c>
      <c r="B190" s="1" t="n">
        <v>0</v>
      </c>
      <c r="C190" s="1" t="n">
        <v>2</v>
      </c>
      <c r="D190" s="1" t="n">
        <v>60</v>
      </c>
      <c r="E190" s="1" t="n">
        <v>2</v>
      </c>
      <c r="F190" s="3" t="n">
        <f aca="false">F189*H189*survive+(G189+(1-survive)*F189)*I189</f>
        <v>0.998826754217115</v>
      </c>
      <c r="G190" s="3" t="n">
        <f aca="false">1-F190</f>
        <v>0.00117324578288502</v>
      </c>
      <c r="H190" s="2" t="n">
        <v>1</v>
      </c>
      <c r="I190" s="2" t="n">
        <f aca="false">EXP(alpha0+alpha1*TimeETC+alpha2*PriceETC)/(EXP(alpha1*TimeMAN+alpha2*PriceMAN)+EXP(alpha0+alpha1*TimeETC+alpha2*PriceETC))</f>
        <v>0.289050497374996</v>
      </c>
      <c r="J190" s="1" t="n">
        <f aca="false">alphanought</f>
        <v>-2.7</v>
      </c>
    </row>
    <row r="191" customFormat="false" ht="12.75" hidden="false" customHeight="false" outlineLevel="0" collapsed="false">
      <c r="A191" s="1" t="n">
        <f aca="false">A190+1</f>
        <v>185</v>
      </c>
      <c r="B191" s="1" t="n">
        <v>0</v>
      </c>
      <c r="C191" s="1" t="n">
        <v>2</v>
      </c>
      <c r="D191" s="1" t="n">
        <v>60</v>
      </c>
      <c r="E191" s="1" t="n">
        <v>2</v>
      </c>
      <c r="F191" s="3" t="n">
        <f aca="false">F190*H190*survive+(G190+(1-survive)*F190)*I190</f>
        <v>0.998826754217115</v>
      </c>
      <c r="G191" s="3" t="n">
        <f aca="false">1-F191</f>
        <v>0.00117324578288502</v>
      </c>
      <c r="H191" s="2" t="n">
        <v>1</v>
      </c>
      <c r="I191" s="2" t="n">
        <f aca="false">EXP(alpha0+alpha1*TimeETC+alpha2*PriceETC)/(EXP(alpha1*TimeMAN+alpha2*PriceMAN)+EXP(alpha0+alpha1*TimeETC+alpha2*PriceETC))</f>
        <v>0.289050497374996</v>
      </c>
      <c r="J191" s="1" t="n">
        <f aca="false">alphanought</f>
        <v>-2.7</v>
      </c>
    </row>
    <row r="192" customFormat="false" ht="12.75" hidden="false" customHeight="false" outlineLevel="0" collapsed="false">
      <c r="A192" s="1" t="n">
        <f aca="false">A191+1</f>
        <v>186</v>
      </c>
      <c r="B192" s="1" t="n">
        <v>0</v>
      </c>
      <c r="C192" s="1" t="n">
        <v>2</v>
      </c>
      <c r="D192" s="1" t="n">
        <v>60</v>
      </c>
      <c r="E192" s="1" t="n">
        <v>2</v>
      </c>
      <c r="F192" s="3" t="n">
        <f aca="false">F191*H191*survive+(G191+(1-survive)*F191)*I191</f>
        <v>0.998826754217115</v>
      </c>
      <c r="G192" s="3" t="n">
        <f aca="false">1-F192</f>
        <v>0.00117324578288502</v>
      </c>
      <c r="H192" s="2" t="n">
        <v>1</v>
      </c>
      <c r="I192" s="2" t="n">
        <f aca="false">EXP(alpha0+alpha1*TimeETC+alpha2*PriceETC)/(EXP(alpha1*TimeMAN+alpha2*PriceMAN)+EXP(alpha0+alpha1*TimeETC+alpha2*PriceETC))</f>
        <v>0.289050497374996</v>
      </c>
      <c r="J192" s="1" t="n">
        <f aca="false">alphanought</f>
        <v>-2.7</v>
      </c>
    </row>
    <row r="193" customFormat="false" ht="12.75" hidden="false" customHeight="false" outlineLevel="0" collapsed="false">
      <c r="A193" s="1" t="n">
        <f aca="false">A192+1</f>
        <v>187</v>
      </c>
      <c r="B193" s="1" t="n">
        <v>0</v>
      </c>
      <c r="C193" s="1" t="n">
        <v>2</v>
      </c>
      <c r="D193" s="1" t="n">
        <v>60</v>
      </c>
      <c r="E193" s="1" t="n">
        <v>2</v>
      </c>
      <c r="F193" s="3" t="n">
        <f aca="false">F192*H192*survive+(G192+(1-survive)*F192)*I192</f>
        <v>0.998826754217115</v>
      </c>
      <c r="G193" s="3" t="n">
        <f aca="false">1-F193</f>
        <v>0.00117324578288502</v>
      </c>
      <c r="H193" s="2" t="n">
        <v>1</v>
      </c>
      <c r="I193" s="2" t="n">
        <f aca="false">EXP(alpha0+alpha1*TimeETC+alpha2*PriceETC)/(EXP(alpha1*TimeMAN+alpha2*PriceMAN)+EXP(alpha0+alpha1*TimeETC+alpha2*PriceETC))</f>
        <v>0.289050497374996</v>
      </c>
      <c r="J193" s="1" t="n">
        <f aca="false">alphanought</f>
        <v>-2.7</v>
      </c>
    </row>
    <row r="194" customFormat="false" ht="12.75" hidden="false" customHeight="false" outlineLevel="0" collapsed="false">
      <c r="A194" s="1" t="n">
        <f aca="false">A193+1</f>
        <v>188</v>
      </c>
      <c r="B194" s="1" t="n">
        <v>0</v>
      </c>
      <c r="C194" s="1" t="n">
        <v>2</v>
      </c>
      <c r="D194" s="1" t="n">
        <v>60</v>
      </c>
      <c r="E194" s="1" t="n">
        <v>2</v>
      </c>
      <c r="F194" s="3" t="n">
        <f aca="false">F193*H193*survive+(G193+(1-survive)*F193)*I193</f>
        <v>0.998826754217115</v>
      </c>
      <c r="G194" s="3" t="n">
        <f aca="false">1-F194</f>
        <v>0.00117324578288502</v>
      </c>
      <c r="H194" s="2" t="n">
        <v>1</v>
      </c>
      <c r="I194" s="2" t="n">
        <f aca="false">EXP(alpha0+alpha1*TimeETC+alpha2*PriceETC)/(EXP(alpha1*TimeMAN+alpha2*PriceMAN)+EXP(alpha0+alpha1*TimeETC+alpha2*PriceETC))</f>
        <v>0.289050497374996</v>
      </c>
      <c r="J194" s="1" t="n">
        <f aca="false">alphanought</f>
        <v>-2.7</v>
      </c>
    </row>
    <row r="195" customFormat="false" ht="12.75" hidden="false" customHeight="false" outlineLevel="0" collapsed="false">
      <c r="A195" s="1" t="n">
        <f aca="false">A194+1</f>
        <v>189</v>
      </c>
      <c r="B195" s="1" t="n">
        <v>0</v>
      </c>
      <c r="C195" s="1" t="n">
        <v>2</v>
      </c>
      <c r="D195" s="1" t="n">
        <v>60</v>
      </c>
      <c r="E195" s="1" t="n">
        <v>2</v>
      </c>
      <c r="F195" s="3" t="n">
        <f aca="false">F194*H194*survive+(G194+(1-survive)*F194)*I194</f>
        <v>0.998826754217115</v>
      </c>
      <c r="G195" s="3" t="n">
        <f aca="false">1-F195</f>
        <v>0.00117324578288502</v>
      </c>
      <c r="H195" s="2" t="n">
        <v>1</v>
      </c>
      <c r="I195" s="2" t="n">
        <f aca="false">EXP(alpha0+alpha1*TimeETC+alpha2*PriceETC)/(EXP(alpha1*TimeMAN+alpha2*PriceMAN)+EXP(alpha0+alpha1*TimeETC+alpha2*PriceETC))</f>
        <v>0.289050497374996</v>
      </c>
      <c r="J195" s="1" t="n">
        <f aca="false">alphanought</f>
        <v>-2.7</v>
      </c>
    </row>
    <row r="196" customFormat="false" ht="12.75" hidden="false" customHeight="false" outlineLevel="0" collapsed="false">
      <c r="A196" s="1" t="n">
        <f aca="false">A195+1</f>
        <v>190</v>
      </c>
      <c r="B196" s="1" t="n">
        <v>0</v>
      </c>
      <c r="C196" s="1" t="n">
        <v>2</v>
      </c>
      <c r="D196" s="1" t="n">
        <v>60</v>
      </c>
      <c r="E196" s="1" t="n">
        <v>2</v>
      </c>
      <c r="F196" s="3" t="n">
        <f aca="false">F195*H195*survive+(G195+(1-survive)*F195)*I195</f>
        <v>0.998826754217115</v>
      </c>
      <c r="G196" s="3" t="n">
        <f aca="false">1-F196</f>
        <v>0.00117324578288502</v>
      </c>
      <c r="H196" s="2" t="n">
        <v>1</v>
      </c>
      <c r="I196" s="2" t="n">
        <f aca="false">EXP(alpha0+alpha1*TimeETC+alpha2*PriceETC)/(EXP(alpha1*TimeMAN+alpha2*PriceMAN)+EXP(alpha0+alpha1*TimeETC+alpha2*PriceETC))</f>
        <v>0.289050497374996</v>
      </c>
      <c r="J196" s="1" t="n">
        <f aca="false">alphanought</f>
        <v>-2.7</v>
      </c>
    </row>
    <row r="197" customFormat="false" ht="12.75" hidden="false" customHeight="false" outlineLevel="0" collapsed="false">
      <c r="A197" s="1" t="n">
        <f aca="false">A196+1</f>
        <v>191</v>
      </c>
      <c r="B197" s="1" t="n">
        <v>0</v>
      </c>
      <c r="C197" s="1" t="n">
        <v>2</v>
      </c>
      <c r="D197" s="1" t="n">
        <v>60</v>
      </c>
      <c r="E197" s="1" t="n">
        <v>2</v>
      </c>
      <c r="F197" s="3" t="n">
        <f aca="false">F196*H196*survive+(G196+(1-survive)*F196)*I196</f>
        <v>0.998826754217115</v>
      </c>
      <c r="G197" s="3" t="n">
        <f aca="false">1-F197</f>
        <v>0.00117324578288502</v>
      </c>
      <c r="H197" s="2" t="n">
        <v>1</v>
      </c>
      <c r="I197" s="2" t="n">
        <f aca="false">EXP(alpha0+alpha1*TimeETC+alpha2*PriceETC)/(EXP(alpha1*TimeMAN+alpha2*PriceMAN)+EXP(alpha0+alpha1*TimeETC+alpha2*PriceETC))</f>
        <v>0.289050497374996</v>
      </c>
      <c r="J197" s="1" t="n">
        <f aca="false">alphanought</f>
        <v>-2.7</v>
      </c>
    </row>
    <row r="198" customFormat="false" ht="12.75" hidden="false" customHeight="false" outlineLevel="0" collapsed="false">
      <c r="A198" s="1" t="n">
        <f aca="false">A197+1</f>
        <v>192</v>
      </c>
      <c r="B198" s="1" t="n">
        <v>0</v>
      </c>
      <c r="C198" s="1" t="n">
        <v>2</v>
      </c>
      <c r="D198" s="1" t="n">
        <v>60</v>
      </c>
      <c r="E198" s="1" t="n">
        <v>2</v>
      </c>
      <c r="F198" s="3" t="n">
        <f aca="false">F197*H197*survive+(G197+(1-survive)*F197)*I197</f>
        <v>0.998826754217115</v>
      </c>
      <c r="G198" s="3" t="n">
        <f aca="false">1-F198</f>
        <v>0.00117324578288502</v>
      </c>
      <c r="H198" s="2" t="n">
        <v>1</v>
      </c>
      <c r="I198" s="2" t="n">
        <f aca="false">EXP(alpha0+alpha1*TimeETC+alpha2*PriceETC)/(EXP(alpha1*TimeMAN+alpha2*PriceMAN)+EXP(alpha0+alpha1*TimeETC+alpha2*PriceETC))</f>
        <v>0.289050497374996</v>
      </c>
      <c r="J198" s="1" t="n">
        <f aca="false">alphanought</f>
        <v>-2.7</v>
      </c>
    </row>
    <row r="199" customFormat="false" ht="12.75" hidden="false" customHeight="false" outlineLevel="0" collapsed="false">
      <c r="A199" s="1" t="n">
        <f aca="false">A198+1</f>
        <v>193</v>
      </c>
      <c r="B199" s="1" t="n">
        <v>0</v>
      </c>
      <c r="C199" s="1" t="n">
        <v>2</v>
      </c>
      <c r="D199" s="1" t="n">
        <v>60</v>
      </c>
      <c r="E199" s="1" t="n">
        <v>2</v>
      </c>
      <c r="F199" s="3" t="n">
        <f aca="false">F198*H198*survive+(G198+(1-survive)*F198)*I198</f>
        <v>0.998826754217115</v>
      </c>
      <c r="G199" s="3" t="n">
        <f aca="false">1-F199</f>
        <v>0.00117324578288502</v>
      </c>
      <c r="H199" s="2" t="n">
        <v>1</v>
      </c>
      <c r="I199" s="2" t="n">
        <f aca="false">EXP(alpha0+alpha1*TimeETC+alpha2*PriceETC)/(EXP(alpha1*TimeMAN+alpha2*PriceMAN)+EXP(alpha0+alpha1*TimeETC+alpha2*PriceETC))</f>
        <v>0.289050497374996</v>
      </c>
      <c r="J199" s="1" t="n">
        <f aca="false">alphanought</f>
        <v>-2.7</v>
      </c>
    </row>
    <row r="200" customFormat="false" ht="12.75" hidden="false" customHeight="false" outlineLevel="0" collapsed="false">
      <c r="A200" s="1" t="n">
        <f aca="false">A199+1</f>
        <v>194</v>
      </c>
      <c r="B200" s="1" t="n">
        <v>0</v>
      </c>
      <c r="C200" s="1" t="n">
        <v>2</v>
      </c>
      <c r="D200" s="1" t="n">
        <v>60</v>
      </c>
      <c r="E200" s="1" t="n">
        <v>2</v>
      </c>
      <c r="F200" s="3" t="n">
        <f aca="false">F199*H199*survive+(G199+(1-survive)*F199)*I199</f>
        <v>0.998826754217115</v>
      </c>
      <c r="G200" s="3" t="n">
        <f aca="false">1-F200</f>
        <v>0.00117324578288502</v>
      </c>
      <c r="H200" s="2" t="n">
        <v>1</v>
      </c>
      <c r="I200" s="2" t="n">
        <f aca="false">EXP(alpha0+alpha1*TimeETC+alpha2*PriceETC)/(EXP(alpha1*TimeMAN+alpha2*PriceMAN)+EXP(alpha0+alpha1*TimeETC+alpha2*PriceETC))</f>
        <v>0.289050497374996</v>
      </c>
      <c r="J200" s="1" t="n">
        <f aca="false">alphanought</f>
        <v>-2.7</v>
      </c>
    </row>
    <row r="201" customFormat="false" ht="12.75" hidden="false" customHeight="false" outlineLevel="0" collapsed="false">
      <c r="A201" s="1" t="n">
        <f aca="false">A200+1</f>
        <v>195</v>
      </c>
      <c r="B201" s="1" t="n">
        <v>0</v>
      </c>
      <c r="C201" s="1" t="n">
        <v>2</v>
      </c>
      <c r="D201" s="1" t="n">
        <v>60</v>
      </c>
      <c r="E201" s="1" t="n">
        <v>2</v>
      </c>
      <c r="F201" s="3" t="n">
        <f aca="false">F200*H200*survive+(G200+(1-survive)*F200)*I200</f>
        <v>0.998826754217115</v>
      </c>
      <c r="G201" s="3" t="n">
        <f aca="false">1-F201</f>
        <v>0.00117324578288502</v>
      </c>
      <c r="H201" s="2" t="n">
        <v>1</v>
      </c>
      <c r="I201" s="2" t="n">
        <f aca="false">EXP(alpha0+alpha1*TimeETC+alpha2*PriceETC)/(EXP(alpha1*TimeMAN+alpha2*PriceMAN)+EXP(alpha0+alpha1*TimeETC+alpha2*PriceETC))</f>
        <v>0.289050497374996</v>
      </c>
      <c r="J201" s="1" t="n">
        <f aca="false">alphanought</f>
        <v>-2.7</v>
      </c>
    </row>
    <row r="202" customFormat="false" ht="12.75" hidden="false" customHeight="false" outlineLevel="0" collapsed="false">
      <c r="A202" s="1" t="n">
        <f aca="false">A201+1</f>
        <v>196</v>
      </c>
      <c r="B202" s="1" t="n">
        <v>0</v>
      </c>
      <c r="C202" s="1" t="n">
        <v>2</v>
      </c>
      <c r="D202" s="1" t="n">
        <v>60</v>
      </c>
      <c r="E202" s="1" t="n">
        <v>2</v>
      </c>
      <c r="F202" s="3" t="n">
        <f aca="false">F201*H201*survive+(G201+(1-survive)*F201)*I201</f>
        <v>0.998826754217115</v>
      </c>
      <c r="G202" s="3" t="n">
        <f aca="false">1-F202</f>
        <v>0.00117324578288502</v>
      </c>
      <c r="H202" s="2" t="n">
        <v>1</v>
      </c>
      <c r="I202" s="2" t="n">
        <f aca="false">EXP(alpha0+alpha1*TimeETC+alpha2*PriceETC)/(EXP(alpha1*TimeMAN+alpha2*PriceMAN)+EXP(alpha0+alpha1*TimeETC+alpha2*PriceETC))</f>
        <v>0.289050497374996</v>
      </c>
      <c r="J202" s="1" t="n">
        <f aca="false">alphanought</f>
        <v>-2.7</v>
      </c>
    </row>
    <row r="203" customFormat="false" ht="12.75" hidden="false" customHeight="false" outlineLevel="0" collapsed="false">
      <c r="A203" s="1" t="n">
        <f aca="false">A202+1</f>
        <v>197</v>
      </c>
      <c r="B203" s="1" t="n">
        <v>0</v>
      </c>
      <c r="C203" s="1" t="n">
        <v>2</v>
      </c>
      <c r="D203" s="1" t="n">
        <v>60</v>
      </c>
      <c r="E203" s="1" t="n">
        <v>2</v>
      </c>
      <c r="F203" s="3" t="n">
        <f aca="false">F202*H202*survive+(G202+(1-survive)*F202)*I202</f>
        <v>0.998826754217115</v>
      </c>
      <c r="G203" s="3" t="n">
        <f aca="false">1-F203</f>
        <v>0.00117324578288502</v>
      </c>
      <c r="H203" s="2" t="n">
        <v>1</v>
      </c>
      <c r="I203" s="2" t="n">
        <f aca="false">EXP(alpha0+alpha1*TimeETC+alpha2*PriceETC)/(EXP(alpha1*TimeMAN+alpha2*PriceMAN)+EXP(alpha0+alpha1*TimeETC+alpha2*PriceETC))</f>
        <v>0.289050497374996</v>
      </c>
      <c r="J203" s="1" t="n">
        <f aca="false">alphanought</f>
        <v>-2.7</v>
      </c>
    </row>
    <row r="204" customFormat="false" ht="12.75" hidden="false" customHeight="false" outlineLevel="0" collapsed="false">
      <c r="A204" s="1" t="n">
        <f aca="false">A203+1</f>
        <v>198</v>
      </c>
      <c r="B204" s="1" t="n">
        <v>0</v>
      </c>
      <c r="C204" s="1" t="n">
        <v>2</v>
      </c>
      <c r="D204" s="1" t="n">
        <v>60</v>
      </c>
      <c r="E204" s="1" t="n">
        <v>2</v>
      </c>
      <c r="F204" s="3" t="n">
        <f aca="false">F203*H203*survive+(G203+(1-survive)*F203)*I203</f>
        <v>0.998826754217115</v>
      </c>
      <c r="G204" s="3" t="n">
        <f aca="false">1-F204</f>
        <v>0.00117324578288502</v>
      </c>
      <c r="H204" s="2" t="n">
        <v>1</v>
      </c>
      <c r="I204" s="2" t="n">
        <f aca="false">EXP(alpha0+alpha1*TimeETC+alpha2*PriceETC)/(EXP(alpha1*TimeMAN+alpha2*PriceMAN)+EXP(alpha0+alpha1*TimeETC+alpha2*PriceETC))</f>
        <v>0.289050497374996</v>
      </c>
      <c r="J204" s="1" t="n">
        <f aca="false">alphanought</f>
        <v>-2.7</v>
      </c>
    </row>
    <row r="205" customFormat="false" ht="12.75" hidden="false" customHeight="false" outlineLevel="0" collapsed="false">
      <c r="A205" s="1" t="n">
        <f aca="false">A204+1</f>
        <v>199</v>
      </c>
      <c r="B205" s="1" t="n">
        <v>0</v>
      </c>
      <c r="C205" s="1" t="n">
        <v>2</v>
      </c>
      <c r="D205" s="1" t="n">
        <v>60</v>
      </c>
      <c r="E205" s="1" t="n">
        <v>2</v>
      </c>
      <c r="F205" s="3" t="n">
        <f aca="false">F204*H204*survive+(G204+(1-survive)*F204)*I204</f>
        <v>0.998826754217115</v>
      </c>
      <c r="G205" s="3" t="n">
        <f aca="false">1-F205</f>
        <v>0.00117324578288502</v>
      </c>
      <c r="H205" s="2" t="n">
        <v>1</v>
      </c>
      <c r="I205" s="2" t="n">
        <f aca="false">EXP(alpha0+alpha1*TimeETC+alpha2*PriceETC)/(EXP(alpha1*TimeMAN+alpha2*PriceMAN)+EXP(alpha0+alpha1*TimeETC+alpha2*PriceETC))</f>
        <v>0.289050497374996</v>
      </c>
      <c r="J205" s="1" t="n">
        <f aca="false">alphanought</f>
        <v>-2.7</v>
      </c>
    </row>
    <row r="206" customFormat="false" ht="12.75" hidden="false" customHeight="false" outlineLevel="0" collapsed="false">
      <c r="A206" s="1" t="n">
        <f aca="false">A205+1</f>
        <v>200</v>
      </c>
      <c r="B206" s="1" t="n">
        <v>0</v>
      </c>
      <c r="C206" s="1" t="n">
        <v>2</v>
      </c>
      <c r="D206" s="1" t="n">
        <v>60</v>
      </c>
      <c r="E206" s="1" t="n">
        <v>2</v>
      </c>
      <c r="F206" s="3" t="n">
        <f aca="false">F205*H205*survive+(G205+(1-survive)*F205)*I205</f>
        <v>0.998826754217115</v>
      </c>
      <c r="G206" s="3" t="n">
        <f aca="false">1-F206</f>
        <v>0.00117324578288502</v>
      </c>
      <c r="H206" s="2" t="n">
        <v>1</v>
      </c>
      <c r="I206" s="2" t="n">
        <f aca="false">EXP(alpha0+alpha1*TimeETC+alpha2*PriceETC)/(EXP(alpha1*TimeMAN+alpha2*PriceMAN)+EXP(alpha0+alpha1*TimeETC+alpha2*PriceETC))</f>
        <v>0.289050497374996</v>
      </c>
      <c r="J206" s="1" t="n">
        <f aca="false">alphanought</f>
        <v>-2.7</v>
      </c>
    </row>
    <row r="207" customFormat="false" ht="12.75" hidden="false" customHeight="false" outlineLevel="0" collapsed="false">
      <c r="A207" s="1" t="n">
        <f aca="false">A206+1</f>
        <v>201</v>
      </c>
      <c r="B207" s="1" t="n">
        <v>0</v>
      </c>
      <c r="C207" s="1" t="n">
        <v>2</v>
      </c>
      <c r="D207" s="1" t="n">
        <v>60</v>
      </c>
      <c r="E207" s="1" t="n">
        <v>2</v>
      </c>
      <c r="F207" s="3" t="n">
        <f aca="false">F206*H206*survive+(G206+(1-survive)*F206)*I206</f>
        <v>0.998826754217115</v>
      </c>
      <c r="G207" s="3" t="n">
        <f aca="false">1-F207</f>
        <v>0.00117324578288502</v>
      </c>
      <c r="H207" s="2" t="n">
        <v>1</v>
      </c>
      <c r="I207" s="2" t="n">
        <f aca="false">EXP(alpha0+alpha1*TimeETC+alpha2*PriceETC)/(EXP(alpha1*TimeMAN+alpha2*PriceMAN)+EXP(alpha0+alpha1*TimeETC+alpha2*PriceETC))</f>
        <v>0.289050497374996</v>
      </c>
      <c r="J207" s="1" t="n">
        <f aca="false">alphanought</f>
        <v>-2.7</v>
      </c>
    </row>
    <row r="208" customFormat="false" ht="12.75" hidden="false" customHeight="false" outlineLevel="0" collapsed="false">
      <c r="A208" s="1" t="n">
        <f aca="false">A207+1</f>
        <v>202</v>
      </c>
      <c r="B208" s="1" t="n">
        <v>0</v>
      </c>
      <c r="C208" s="1" t="n">
        <v>2</v>
      </c>
      <c r="D208" s="1" t="n">
        <v>60</v>
      </c>
      <c r="E208" s="1" t="n">
        <v>2</v>
      </c>
      <c r="F208" s="3" t="n">
        <f aca="false">F207*H207*survive+(G207+(1-survive)*F207)*I207</f>
        <v>0.998826754217115</v>
      </c>
      <c r="G208" s="3" t="n">
        <f aca="false">1-F208</f>
        <v>0.00117324578288502</v>
      </c>
      <c r="H208" s="2" t="n">
        <v>1</v>
      </c>
      <c r="I208" s="2" t="n">
        <f aca="false">EXP(alpha0+alpha1*TimeETC+alpha2*PriceETC)/(EXP(alpha1*TimeMAN+alpha2*PriceMAN)+EXP(alpha0+alpha1*TimeETC+alpha2*PriceETC))</f>
        <v>0.289050497374996</v>
      </c>
      <c r="J208" s="1" t="n">
        <f aca="false">alphanought</f>
        <v>-2.7</v>
      </c>
    </row>
    <row r="209" customFormat="false" ht="12.75" hidden="false" customHeight="false" outlineLevel="0" collapsed="false">
      <c r="A209" s="1" t="n">
        <f aca="false">A208+1</f>
        <v>203</v>
      </c>
      <c r="B209" s="1" t="n">
        <v>0</v>
      </c>
      <c r="C209" s="1" t="n">
        <v>2</v>
      </c>
      <c r="D209" s="1" t="n">
        <v>60</v>
      </c>
      <c r="E209" s="1" t="n">
        <v>2</v>
      </c>
      <c r="F209" s="3" t="n">
        <f aca="false">F208*H208*survive+(G208+(1-survive)*F208)*I208</f>
        <v>0.998826754217115</v>
      </c>
      <c r="G209" s="3" t="n">
        <f aca="false">1-F209</f>
        <v>0.00117324578288502</v>
      </c>
      <c r="H209" s="2" t="n">
        <v>1</v>
      </c>
      <c r="I209" s="2" t="n">
        <f aca="false">EXP(alpha0+alpha1*TimeETC+alpha2*PriceETC)/(EXP(alpha1*TimeMAN+alpha2*PriceMAN)+EXP(alpha0+alpha1*TimeETC+alpha2*PriceETC))</f>
        <v>0.289050497374996</v>
      </c>
      <c r="J209" s="1" t="n">
        <f aca="false">alphanought</f>
        <v>-2.7</v>
      </c>
    </row>
    <row r="210" customFormat="false" ht="12.75" hidden="false" customHeight="false" outlineLevel="0" collapsed="false">
      <c r="A210" s="1" t="n">
        <f aca="false">A209+1</f>
        <v>204</v>
      </c>
      <c r="B210" s="1" t="n">
        <v>0</v>
      </c>
      <c r="C210" s="1" t="n">
        <v>2</v>
      </c>
      <c r="D210" s="1" t="n">
        <v>60</v>
      </c>
      <c r="E210" s="1" t="n">
        <v>2</v>
      </c>
      <c r="F210" s="3" t="n">
        <f aca="false">F209*H209*survive+(G209+(1-survive)*F209)*I209</f>
        <v>0.998826754217115</v>
      </c>
      <c r="G210" s="3" t="n">
        <f aca="false">1-F210</f>
        <v>0.00117324578288502</v>
      </c>
      <c r="H210" s="2" t="n">
        <v>1</v>
      </c>
      <c r="I210" s="2" t="n">
        <f aca="false">EXP(alpha0+alpha1*TimeETC+alpha2*PriceETC)/(EXP(alpha1*TimeMAN+alpha2*PriceMAN)+EXP(alpha0+alpha1*TimeETC+alpha2*PriceETC))</f>
        <v>0.289050497374996</v>
      </c>
      <c r="J210" s="1" t="n">
        <f aca="false">alphanought</f>
        <v>-2.7</v>
      </c>
    </row>
    <row r="211" customFormat="false" ht="12.75" hidden="false" customHeight="false" outlineLevel="0" collapsed="false">
      <c r="A211" s="1" t="n">
        <f aca="false">A210+1</f>
        <v>205</v>
      </c>
      <c r="B211" s="1" t="n">
        <v>0</v>
      </c>
      <c r="C211" s="1" t="n">
        <v>2</v>
      </c>
      <c r="D211" s="1" t="n">
        <v>60</v>
      </c>
      <c r="E211" s="1" t="n">
        <v>2</v>
      </c>
      <c r="F211" s="3" t="n">
        <f aca="false">F210*H210*survive+(G210+(1-survive)*F210)*I210</f>
        <v>0.998826754217115</v>
      </c>
      <c r="G211" s="3" t="n">
        <f aca="false">1-F211</f>
        <v>0.00117324578288502</v>
      </c>
      <c r="H211" s="2" t="n">
        <v>1</v>
      </c>
      <c r="I211" s="2" t="n">
        <f aca="false">EXP(alpha0+alpha1*TimeETC+alpha2*PriceETC)/(EXP(alpha1*TimeMAN+alpha2*PriceMAN)+EXP(alpha0+alpha1*TimeETC+alpha2*PriceETC))</f>
        <v>0.289050497374996</v>
      </c>
      <c r="J211" s="1" t="n">
        <f aca="false">alphanought</f>
        <v>-2.7</v>
      </c>
    </row>
    <row r="212" customFormat="false" ht="12.75" hidden="false" customHeight="false" outlineLevel="0" collapsed="false">
      <c r="A212" s="1" t="n">
        <f aca="false">A211+1</f>
        <v>206</v>
      </c>
      <c r="B212" s="1" t="n">
        <v>0</v>
      </c>
      <c r="C212" s="1" t="n">
        <v>2</v>
      </c>
      <c r="D212" s="1" t="n">
        <v>60</v>
      </c>
      <c r="E212" s="1" t="n">
        <v>2</v>
      </c>
      <c r="F212" s="3" t="n">
        <f aca="false">F211*H211*survive+(G211+(1-survive)*F211)*I211</f>
        <v>0.998826754217115</v>
      </c>
      <c r="G212" s="3" t="n">
        <f aca="false">1-F212</f>
        <v>0.00117324578288502</v>
      </c>
      <c r="H212" s="2" t="n">
        <v>1</v>
      </c>
      <c r="I212" s="2" t="n">
        <f aca="false">EXP(alpha0+alpha1*TimeETC+alpha2*PriceETC)/(EXP(alpha1*TimeMAN+alpha2*PriceMAN)+EXP(alpha0+alpha1*TimeETC+alpha2*PriceETC))</f>
        <v>0.289050497374996</v>
      </c>
      <c r="J212" s="1" t="n">
        <f aca="false">alphanought</f>
        <v>-2.7</v>
      </c>
    </row>
    <row r="213" customFormat="false" ht="12.75" hidden="false" customHeight="false" outlineLevel="0" collapsed="false">
      <c r="A213" s="1" t="n">
        <f aca="false">A212+1</f>
        <v>207</v>
      </c>
      <c r="B213" s="1" t="n">
        <v>0</v>
      </c>
      <c r="C213" s="1" t="n">
        <v>2</v>
      </c>
      <c r="D213" s="1" t="n">
        <v>60</v>
      </c>
      <c r="E213" s="1" t="n">
        <v>2</v>
      </c>
      <c r="F213" s="3" t="n">
        <f aca="false">F212*H212*survive+(G212+(1-survive)*F212)*I212</f>
        <v>0.998826754217115</v>
      </c>
      <c r="G213" s="3" t="n">
        <f aca="false">1-F213</f>
        <v>0.00117324578288502</v>
      </c>
      <c r="H213" s="2" t="n">
        <v>1</v>
      </c>
      <c r="I213" s="2" t="n">
        <f aca="false">EXP(alpha0+alpha1*TimeETC+alpha2*PriceETC)/(EXP(alpha1*TimeMAN+alpha2*PriceMAN)+EXP(alpha0+alpha1*TimeETC+alpha2*PriceETC))</f>
        <v>0.289050497374996</v>
      </c>
      <c r="J213" s="1" t="n">
        <f aca="false">alphanought</f>
        <v>-2.7</v>
      </c>
    </row>
    <row r="214" customFormat="false" ht="12.75" hidden="false" customHeight="false" outlineLevel="0" collapsed="false">
      <c r="A214" s="1" t="n">
        <f aca="false">A213+1</f>
        <v>208</v>
      </c>
      <c r="B214" s="1" t="n">
        <v>0</v>
      </c>
      <c r="C214" s="1" t="n">
        <v>2</v>
      </c>
      <c r="D214" s="1" t="n">
        <v>60</v>
      </c>
      <c r="E214" s="1" t="n">
        <v>2</v>
      </c>
      <c r="F214" s="3" t="n">
        <f aca="false">F213*H213*survive+(G213+(1-survive)*F213)*I213</f>
        <v>0.998826754217115</v>
      </c>
      <c r="G214" s="3" t="n">
        <f aca="false">1-F214</f>
        <v>0.00117324578288502</v>
      </c>
      <c r="H214" s="2" t="n">
        <v>1</v>
      </c>
      <c r="I214" s="2" t="n">
        <f aca="false">EXP(alpha0+alpha1*TimeETC+alpha2*PriceETC)/(EXP(alpha1*TimeMAN+alpha2*PriceMAN)+EXP(alpha0+alpha1*TimeETC+alpha2*PriceETC))</f>
        <v>0.289050497374996</v>
      </c>
      <c r="J214" s="1" t="n">
        <f aca="false">alphanought</f>
        <v>-2.7</v>
      </c>
    </row>
    <row r="215" customFormat="false" ht="12.75" hidden="false" customHeight="false" outlineLevel="0" collapsed="false">
      <c r="A215" s="1" t="n">
        <f aca="false">A214+1</f>
        <v>209</v>
      </c>
      <c r="B215" s="1" t="n">
        <v>0</v>
      </c>
      <c r="C215" s="1" t="n">
        <v>2</v>
      </c>
      <c r="D215" s="1" t="n">
        <v>60</v>
      </c>
      <c r="E215" s="1" t="n">
        <v>2</v>
      </c>
      <c r="F215" s="3" t="n">
        <f aca="false">F214*H214*survive+(G214+(1-survive)*F214)*I214</f>
        <v>0.998826754217115</v>
      </c>
      <c r="G215" s="3" t="n">
        <f aca="false">1-F215</f>
        <v>0.00117324578288502</v>
      </c>
      <c r="H215" s="2" t="n">
        <v>1</v>
      </c>
      <c r="I215" s="2" t="n">
        <f aca="false">EXP(alpha0+alpha1*TimeETC+alpha2*PriceETC)/(EXP(alpha1*TimeMAN+alpha2*PriceMAN)+EXP(alpha0+alpha1*TimeETC+alpha2*PriceETC))</f>
        <v>0.289050497374996</v>
      </c>
      <c r="J215" s="1" t="n">
        <f aca="false">alphanought</f>
        <v>-2.7</v>
      </c>
    </row>
    <row r="216" customFormat="false" ht="12.75" hidden="false" customHeight="false" outlineLevel="0" collapsed="false">
      <c r="A216" s="1" t="n">
        <f aca="false">A215+1</f>
        <v>210</v>
      </c>
      <c r="B216" s="1" t="n">
        <v>0</v>
      </c>
      <c r="C216" s="1" t="n">
        <v>2</v>
      </c>
      <c r="D216" s="1" t="n">
        <v>60</v>
      </c>
      <c r="E216" s="1" t="n">
        <v>2</v>
      </c>
      <c r="F216" s="3" t="n">
        <f aca="false">F215*H215*survive+(G215+(1-survive)*F215)*I215</f>
        <v>0.998826754217115</v>
      </c>
      <c r="G216" s="3" t="n">
        <f aca="false">1-F216</f>
        <v>0.00117324578288502</v>
      </c>
      <c r="H216" s="2" t="n">
        <v>1</v>
      </c>
      <c r="I216" s="2" t="n">
        <f aca="false">EXP(alpha0+alpha1*TimeETC+alpha2*PriceETC)/(EXP(alpha1*TimeMAN+alpha2*PriceMAN)+EXP(alpha0+alpha1*TimeETC+alpha2*PriceETC))</f>
        <v>0.289050497374996</v>
      </c>
      <c r="J216" s="1" t="n">
        <f aca="false">alphanought</f>
        <v>-2.7</v>
      </c>
    </row>
    <row r="217" customFormat="false" ht="12.75" hidden="false" customHeight="false" outlineLevel="0" collapsed="false">
      <c r="A217" s="1" t="n">
        <f aca="false">A216+1</f>
        <v>211</v>
      </c>
      <c r="B217" s="1" t="n">
        <v>0</v>
      </c>
      <c r="C217" s="1" t="n">
        <v>2</v>
      </c>
      <c r="D217" s="1" t="n">
        <v>60</v>
      </c>
      <c r="E217" s="1" t="n">
        <v>2</v>
      </c>
      <c r="F217" s="3" t="n">
        <f aca="false">F216*H216*survive+(G216+(1-survive)*F216)*I216</f>
        <v>0.998826754217115</v>
      </c>
      <c r="G217" s="3" t="n">
        <f aca="false">1-F217</f>
        <v>0.00117324578288502</v>
      </c>
      <c r="H217" s="2" t="n">
        <v>1</v>
      </c>
      <c r="I217" s="2" t="n">
        <f aca="false">EXP(alpha0+alpha1*TimeETC+alpha2*PriceETC)/(EXP(alpha1*TimeMAN+alpha2*PriceMAN)+EXP(alpha0+alpha1*TimeETC+alpha2*PriceETC))</f>
        <v>0.289050497374996</v>
      </c>
      <c r="J217" s="1" t="n">
        <f aca="false">alphanought</f>
        <v>-2.7</v>
      </c>
    </row>
    <row r="218" customFormat="false" ht="12.75" hidden="false" customHeight="false" outlineLevel="0" collapsed="false">
      <c r="A218" s="1" t="n">
        <f aca="false">A217+1</f>
        <v>212</v>
      </c>
      <c r="B218" s="1" t="n">
        <v>0</v>
      </c>
      <c r="C218" s="1" t="n">
        <v>2</v>
      </c>
      <c r="D218" s="1" t="n">
        <v>60</v>
      </c>
      <c r="E218" s="1" t="n">
        <v>2</v>
      </c>
      <c r="F218" s="3" t="n">
        <f aca="false">F217*H217*survive+(G217+(1-survive)*F217)*I217</f>
        <v>0.998826754217115</v>
      </c>
      <c r="G218" s="3" t="n">
        <f aca="false">1-F218</f>
        <v>0.00117324578288502</v>
      </c>
      <c r="H218" s="2" t="n">
        <v>1</v>
      </c>
      <c r="I218" s="2" t="n">
        <f aca="false">EXP(alpha0+alpha1*TimeETC+alpha2*PriceETC)/(EXP(alpha1*TimeMAN+alpha2*PriceMAN)+EXP(alpha0+alpha1*TimeETC+alpha2*PriceETC))</f>
        <v>0.289050497374996</v>
      </c>
      <c r="J218" s="1" t="n">
        <f aca="false">alphanought</f>
        <v>-2.7</v>
      </c>
    </row>
    <row r="219" customFormat="false" ht="12.75" hidden="false" customHeight="false" outlineLevel="0" collapsed="false">
      <c r="A219" s="1" t="n">
        <f aca="false">A218+1</f>
        <v>213</v>
      </c>
      <c r="B219" s="1" t="n">
        <v>0</v>
      </c>
      <c r="C219" s="1" t="n">
        <v>2</v>
      </c>
      <c r="D219" s="1" t="n">
        <v>60</v>
      </c>
      <c r="E219" s="1" t="n">
        <v>2</v>
      </c>
      <c r="F219" s="3" t="n">
        <f aca="false">F218*H218*survive+(G218+(1-survive)*F218)*I218</f>
        <v>0.998826754217115</v>
      </c>
      <c r="G219" s="3" t="n">
        <f aca="false">1-F219</f>
        <v>0.00117324578288502</v>
      </c>
      <c r="H219" s="2" t="n">
        <v>1</v>
      </c>
      <c r="I219" s="2" t="n">
        <f aca="false">EXP(alpha0+alpha1*TimeETC+alpha2*PriceETC)/(EXP(alpha1*TimeMAN+alpha2*PriceMAN)+EXP(alpha0+alpha1*TimeETC+alpha2*PriceETC))</f>
        <v>0.289050497374996</v>
      </c>
      <c r="J219" s="1" t="n">
        <f aca="false">alphanought</f>
        <v>-2.7</v>
      </c>
    </row>
    <row r="220" customFormat="false" ht="12.75" hidden="false" customHeight="false" outlineLevel="0" collapsed="false">
      <c r="A220" s="1" t="n">
        <f aca="false">A219+1</f>
        <v>214</v>
      </c>
      <c r="B220" s="1" t="n">
        <v>0</v>
      </c>
      <c r="C220" s="1" t="n">
        <v>2</v>
      </c>
      <c r="D220" s="1" t="n">
        <v>60</v>
      </c>
      <c r="E220" s="1" t="n">
        <v>2</v>
      </c>
      <c r="F220" s="3" t="n">
        <f aca="false">F219*H219*survive+(G219+(1-survive)*F219)*I219</f>
        <v>0.998826754217115</v>
      </c>
      <c r="G220" s="3" t="n">
        <f aca="false">1-F220</f>
        <v>0.00117324578288502</v>
      </c>
      <c r="H220" s="2" t="n">
        <v>1</v>
      </c>
      <c r="I220" s="2" t="n">
        <f aca="false">EXP(alpha0+alpha1*TimeETC+alpha2*PriceETC)/(EXP(alpha1*TimeMAN+alpha2*PriceMAN)+EXP(alpha0+alpha1*TimeETC+alpha2*PriceETC))</f>
        <v>0.289050497374996</v>
      </c>
      <c r="J220" s="1" t="n">
        <f aca="false">alphanought</f>
        <v>-2.7</v>
      </c>
    </row>
    <row r="221" customFormat="false" ht="12.75" hidden="false" customHeight="false" outlineLevel="0" collapsed="false">
      <c r="A221" s="1" t="n">
        <f aca="false">A220+1</f>
        <v>215</v>
      </c>
      <c r="B221" s="1" t="n">
        <v>0</v>
      </c>
      <c r="C221" s="1" t="n">
        <v>2</v>
      </c>
      <c r="D221" s="1" t="n">
        <v>60</v>
      </c>
      <c r="E221" s="1" t="n">
        <v>2</v>
      </c>
      <c r="F221" s="3" t="n">
        <f aca="false">F220*H220*survive+(G220+(1-survive)*F220)*I220</f>
        <v>0.998826754217115</v>
      </c>
      <c r="G221" s="3" t="n">
        <f aca="false">1-F221</f>
        <v>0.00117324578288502</v>
      </c>
      <c r="H221" s="2" t="n">
        <v>1</v>
      </c>
      <c r="I221" s="2" t="n">
        <f aca="false">EXP(alpha0+alpha1*TimeETC+alpha2*PriceETC)/(EXP(alpha1*TimeMAN+alpha2*PriceMAN)+EXP(alpha0+alpha1*TimeETC+alpha2*PriceETC))</f>
        <v>0.289050497374996</v>
      </c>
      <c r="J221" s="1" t="n">
        <f aca="false">alphanought</f>
        <v>-2.7</v>
      </c>
    </row>
    <row r="222" customFormat="false" ht="12.75" hidden="false" customHeight="false" outlineLevel="0" collapsed="false">
      <c r="A222" s="1" t="n">
        <f aca="false">A221+1</f>
        <v>216</v>
      </c>
      <c r="B222" s="1" t="n">
        <v>0</v>
      </c>
      <c r="C222" s="1" t="n">
        <v>2</v>
      </c>
      <c r="D222" s="1" t="n">
        <v>60</v>
      </c>
      <c r="E222" s="1" t="n">
        <v>2</v>
      </c>
      <c r="F222" s="3" t="n">
        <f aca="false">F221*H221*survive+(G221+(1-survive)*F221)*I221</f>
        <v>0.998826754217115</v>
      </c>
      <c r="G222" s="3" t="n">
        <f aca="false">1-F222</f>
        <v>0.00117324578288502</v>
      </c>
      <c r="H222" s="2" t="n">
        <v>1</v>
      </c>
      <c r="I222" s="2" t="n">
        <f aca="false">EXP(alpha0+alpha1*TimeETC+alpha2*PriceETC)/(EXP(alpha1*TimeMAN+alpha2*PriceMAN)+EXP(alpha0+alpha1*TimeETC+alpha2*PriceETC))</f>
        <v>0.289050497374996</v>
      </c>
      <c r="J222" s="1" t="n">
        <f aca="false">alphanought</f>
        <v>-2.7</v>
      </c>
    </row>
    <row r="223" customFormat="false" ht="12.75" hidden="false" customHeight="false" outlineLevel="0" collapsed="false">
      <c r="A223" s="1" t="n">
        <f aca="false">A222+1</f>
        <v>217</v>
      </c>
      <c r="B223" s="1" t="n">
        <v>0</v>
      </c>
      <c r="C223" s="1" t="n">
        <v>2</v>
      </c>
      <c r="D223" s="1" t="n">
        <v>60</v>
      </c>
      <c r="E223" s="1" t="n">
        <v>2</v>
      </c>
      <c r="F223" s="3" t="n">
        <f aca="false">F222*H222*survive+(G222+(1-survive)*F222)*I222</f>
        <v>0.998826754217115</v>
      </c>
      <c r="G223" s="3" t="n">
        <f aca="false">1-F223</f>
        <v>0.00117324578288502</v>
      </c>
      <c r="H223" s="2" t="n">
        <v>1</v>
      </c>
      <c r="I223" s="2" t="n">
        <f aca="false">EXP(alpha0+alpha1*TimeETC+alpha2*PriceETC)/(EXP(alpha1*TimeMAN+alpha2*PriceMAN)+EXP(alpha0+alpha1*TimeETC+alpha2*PriceETC))</f>
        <v>0.289050497374996</v>
      </c>
      <c r="J223" s="1" t="n">
        <f aca="false">alphanought</f>
        <v>-2.7</v>
      </c>
    </row>
    <row r="224" customFormat="false" ht="12.75" hidden="false" customHeight="false" outlineLevel="0" collapsed="false">
      <c r="A224" s="1" t="n">
        <f aca="false">A223+1</f>
        <v>218</v>
      </c>
      <c r="B224" s="1" t="n">
        <v>0</v>
      </c>
      <c r="C224" s="1" t="n">
        <v>2</v>
      </c>
      <c r="D224" s="1" t="n">
        <v>60</v>
      </c>
      <c r="E224" s="1" t="n">
        <v>2</v>
      </c>
      <c r="F224" s="3" t="n">
        <f aca="false">F223*H223*survive+(G223+(1-survive)*F223)*I223</f>
        <v>0.998826754217115</v>
      </c>
      <c r="G224" s="3" t="n">
        <f aca="false">1-F224</f>
        <v>0.00117324578288502</v>
      </c>
      <c r="H224" s="2" t="n">
        <v>1</v>
      </c>
      <c r="I224" s="2" t="n">
        <f aca="false">EXP(alpha0+alpha1*TimeETC+alpha2*PriceETC)/(EXP(alpha1*TimeMAN+alpha2*PriceMAN)+EXP(alpha0+alpha1*TimeETC+alpha2*PriceETC))</f>
        <v>0.289050497374996</v>
      </c>
      <c r="J224" s="1" t="n">
        <f aca="false">alphanought</f>
        <v>-2.7</v>
      </c>
    </row>
    <row r="225" customFormat="false" ht="12.75" hidden="false" customHeight="false" outlineLevel="0" collapsed="false">
      <c r="A225" s="1" t="n">
        <f aca="false">A224+1</f>
        <v>219</v>
      </c>
      <c r="B225" s="1" t="n">
        <v>0</v>
      </c>
      <c r="C225" s="1" t="n">
        <v>2</v>
      </c>
      <c r="D225" s="1" t="n">
        <v>60</v>
      </c>
      <c r="E225" s="1" t="n">
        <v>2</v>
      </c>
      <c r="F225" s="3" t="n">
        <f aca="false">F224*H224*survive+(G224+(1-survive)*F224)*I224</f>
        <v>0.998826754217115</v>
      </c>
      <c r="G225" s="3" t="n">
        <f aca="false">1-F225</f>
        <v>0.00117324578288502</v>
      </c>
      <c r="H225" s="2" t="n">
        <v>1</v>
      </c>
      <c r="I225" s="2" t="n">
        <f aca="false">EXP(alpha0+alpha1*TimeETC+alpha2*PriceETC)/(EXP(alpha1*TimeMAN+alpha2*PriceMAN)+EXP(alpha0+alpha1*TimeETC+alpha2*PriceETC))</f>
        <v>0.289050497374996</v>
      </c>
      <c r="J225" s="1" t="n">
        <f aca="false">alphanought</f>
        <v>-2.7</v>
      </c>
    </row>
    <row r="226" customFormat="false" ht="12.75" hidden="false" customHeight="false" outlineLevel="0" collapsed="false">
      <c r="A226" s="1" t="n">
        <f aca="false">A225+1</f>
        <v>220</v>
      </c>
      <c r="B226" s="1" t="n">
        <v>0</v>
      </c>
      <c r="C226" s="1" t="n">
        <v>2</v>
      </c>
      <c r="D226" s="1" t="n">
        <v>60</v>
      </c>
      <c r="E226" s="1" t="n">
        <v>2</v>
      </c>
      <c r="F226" s="3" t="n">
        <f aca="false">F225*H225*survive+(G225+(1-survive)*F225)*I225</f>
        <v>0.998826754217115</v>
      </c>
      <c r="G226" s="3" t="n">
        <f aca="false">1-F226</f>
        <v>0.00117324578288502</v>
      </c>
      <c r="H226" s="2" t="n">
        <v>1</v>
      </c>
      <c r="I226" s="2" t="n">
        <f aca="false">EXP(alpha0+alpha1*TimeETC+alpha2*PriceETC)/(EXP(alpha1*TimeMAN+alpha2*PriceMAN)+EXP(alpha0+alpha1*TimeETC+alpha2*PriceETC))</f>
        <v>0.289050497374996</v>
      </c>
      <c r="J226" s="1" t="n">
        <f aca="false">alphanought</f>
        <v>-2.7</v>
      </c>
    </row>
    <row r="227" customFormat="false" ht="12.75" hidden="false" customHeight="false" outlineLevel="0" collapsed="false">
      <c r="A227" s="1" t="n">
        <f aca="false">A226+1</f>
        <v>221</v>
      </c>
      <c r="B227" s="1" t="n">
        <v>0</v>
      </c>
      <c r="C227" s="1" t="n">
        <v>2</v>
      </c>
      <c r="D227" s="1" t="n">
        <v>60</v>
      </c>
      <c r="E227" s="1" t="n">
        <v>2</v>
      </c>
      <c r="F227" s="3" t="n">
        <f aca="false">F226*H226*survive+(G226+(1-survive)*F226)*I226</f>
        <v>0.998826754217115</v>
      </c>
      <c r="G227" s="3" t="n">
        <f aca="false">1-F227</f>
        <v>0.00117324578288502</v>
      </c>
      <c r="H227" s="2" t="n">
        <v>1</v>
      </c>
      <c r="I227" s="2" t="n">
        <f aca="false">EXP(alpha0+alpha1*TimeETC+alpha2*PriceETC)/(EXP(alpha1*TimeMAN+alpha2*PriceMAN)+EXP(alpha0+alpha1*TimeETC+alpha2*PriceETC))</f>
        <v>0.289050497374996</v>
      </c>
      <c r="J227" s="1" t="n">
        <f aca="false">alphanought</f>
        <v>-2.7</v>
      </c>
    </row>
    <row r="228" customFormat="false" ht="12.75" hidden="false" customHeight="false" outlineLevel="0" collapsed="false">
      <c r="A228" s="1" t="n">
        <f aca="false">A227+1</f>
        <v>222</v>
      </c>
      <c r="B228" s="1" t="n">
        <v>0</v>
      </c>
      <c r="C228" s="1" t="n">
        <v>2</v>
      </c>
      <c r="D228" s="1" t="n">
        <v>60</v>
      </c>
      <c r="E228" s="1" t="n">
        <v>2</v>
      </c>
      <c r="F228" s="3" t="n">
        <f aca="false">F227*H227*survive+(G227+(1-survive)*F227)*I227</f>
        <v>0.998826754217115</v>
      </c>
      <c r="G228" s="3" t="n">
        <f aca="false">1-F228</f>
        <v>0.00117324578288502</v>
      </c>
      <c r="H228" s="2" t="n">
        <v>1</v>
      </c>
      <c r="I228" s="2" t="n">
        <f aca="false">EXP(alpha0+alpha1*TimeETC+alpha2*PriceETC)/(EXP(alpha1*TimeMAN+alpha2*PriceMAN)+EXP(alpha0+alpha1*TimeETC+alpha2*PriceETC))</f>
        <v>0.289050497374996</v>
      </c>
      <c r="J228" s="1" t="n">
        <f aca="false">alphanought</f>
        <v>-2.7</v>
      </c>
    </row>
    <row r="229" customFormat="false" ht="12.75" hidden="false" customHeight="false" outlineLevel="0" collapsed="false">
      <c r="A229" s="1" t="n">
        <f aca="false">A228+1</f>
        <v>223</v>
      </c>
      <c r="B229" s="1" t="n">
        <v>0</v>
      </c>
      <c r="C229" s="1" t="n">
        <v>2</v>
      </c>
      <c r="D229" s="1" t="n">
        <v>60</v>
      </c>
      <c r="E229" s="1" t="n">
        <v>2</v>
      </c>
      <c r="F229" s="3" t="n">
        <f aca="false">F228*H228*survive+(G228+(1-survive)*F228)*I228</f>
        <v>0.998826754217115</v>
      </c>
      <c r="G229" s="3" t="n">
        <f aca="false">1-F229</f>
        <v>0.00117324578288502</v>
      </c>
      <c r="H229" s="2" t="n">
        <v>1</v>
      </c>
      <c r="I229" s="2" t="n">
        <f aca="false">EXP(alpha0+alpha1*TimeETC+alpha2*PriceETC)/(EXP(alpha1*TimeMAN+alpha2*PriceMAN)+EXP(alpha0+alpha1*TimeETC+alpha2*PriceETC))</f>
        <v>0.289050497374996</v>
      </c>
      <c r="J229" s="1" t="n">
        <f aca="false">alphanought</f>
        <v>-2.7</v>
      </c>
    </row>
    <row r="230" customFormat="false" ht="12.75" hidden="false" customHeight="false" outlineLevel="0" collapsed="false">
      <c r="A230" s="1" t="n">
        <f aca="false">A229+1</f>
        <v>224</v>
      </c>
      <c r="B230" s="1" t="n">
        <v>0</v>
      </c>
      <c r="C230" s="1" t="n">
        <v>2</v>
      </c>
      <c r="D230" s="1" t="n">
        <v>60</v>
      </c>
      <c r="E230" s="1" t="n">
        <v>2</v>
      </c>
      <c r="F230" s="3" t="n">
        <f aca="false">F229*H229*survive+(G229+(1-survive)*F229)*I229</f>
        <v>0.998826754217115</v>
      </c>
      <c r="G230" s="3" t="n">
        <f aca="false">1-F230</f>
        <v>0.00117324578288502</v>
      </c>
      <c r="H230" s="2" t="n">
        <v>1</v>
      </c>
      <c r="I230" s="2" t="n">
        <f aca="false">EXP(alpha0+alpha1*TimeETC+alpha2*PriceETC)/(EXP(alpha1*TimeMAN+alpha2*PriceMAN)+EXP(alpha0+alpha1*TimeETC+alpha2*PriceETC))</f>
        <v>0.289050497374996</v>
      </c>
      <c r="J230" s="1" t="n">
        <f aca="false">alphanought</f>
        <v>-2.7</v>
      </c>
    </row>
    <row r="231" customFormat="false" ht="12.75" hidden="false" customHeight="false" outlineLevel="0" collapsed="false">
      <c r="A231" s="1" t="n">
        <f aca="false">A230+1</f>
        <v>225</v>
      </c>
      <c r="B231" s="1" t="n">
        <v>0</v>
      </c>
      <c r="C231" s="1" t="n">
        <v>2</v>
      </c>
      <c r="D231" s="1" t="n">
        <v>60</v>
      </c>
      <c r="E231" s="1" t="n">
        <v>2</v>
      </c>
      <c r="F231" s="3" t="n">
        <f aca="false">F230*H230*survive+(G230+(1-survive)*F230)*I230</f>
        <v>0.998826754217115</v>
      </c>
      <c r="G231" s="3" t="n">
        <f aca="false">1-F231</f>
        <v>0.00117324578288502</v>
      </c>
      <c r="H231" s="2" t="n">
        <v>1</v>
      </c>
      <c r="I231" s="2" t="n">
        <f aca="false">EXP(alpha0+alpha1*TimeETC+alpha2*PriceETC)/(EXP(alpha1*TimeMAN+alpha2*PriceMAN)+EXP(alpha0+alpha1*TimeETC+alpha2*PriceETC))</f>
        <v>0.289050497374996</v>
      </c>
      <c r="J231" s="1" t="n">
        <f aca="false">alphanought</f>
        <v>-2.7</v>
      </c>
    </row>
    <row r="232" customFormat="false" ht="12.75" hidden="false" customHeight="false" outlineLevel="0" collapsed="false">
      <c r="A232" s="1" t="n">
        <f aca="false">A231+1</f>
        <v>226</v>
      </c>
      <c r="B232" s="1" t="n">
        <v>0</v>
      </c>
      <c r="C232" s="1" t="n">
        <v>2</v>
      </c>
      <c r="D232" s="1" t="n">
        <v>60</v>
      </c>
      <c r="E232" s="1" t="n">
        <v>2</v>
      </c>
      <c r="F232" s="3" t="n">
        <f aca="false">F231*H231*survive+(G231+(1-survive)*F231)*I231</f>
        <v>0.998826754217115</v>
      </c>
      <c r="G232" s="3" t="n">
        <f aca="false">1-F232</f>
        <v>0.00117324578288502</v>
      </c>
      <c r="H232" s="2" t="n">
        <v>1</v>
      </c>
      <c r="I232" s="2" t="n">
        <f aca="false">EXP(alpha0+alpha1*TimeETC+alpha2*PriceETC)/(EXP(alpha1*TimeMAN+alpha2*PriceMAN)+EXP(alpha0+alpha1*TimeETC+alpha2*PriceETC))</f>
        <v>0.289050497374996</v>
      </c>
      <c r="J232" s="1" t="n">
        <f aca="false">alphanought</f>
        <v>-2.7</v>
      </c>
    </row>
    <row r="233" customFormat="false" ht="12.75" hidden="false" customHeight="false" outlineLevel="0" collapsed="false">
      <c r="A233" s="1" t="n">
        <f aca="false">A232+1</f>
        <v>227</v>
      </c>
      <c r="B233" s="1" t="n">
        <v>0</v>
      </c>
      <c r="C233" s="1" t="n">
        <v>2</v>
      </c>
      <c r="D233" s="1" t="n">
        <v>60</v>
      </c>
      <c r="E233" s="1" t="n">
        <v>2</v>
      </c>
      <c r="F233" s="3" t="n">
        <f aca="false">F232*H232*survive+(G232+(1-survive)*F232)*I232</f>
        <v>0.998826754217115</v>
      </c>
      <c r="G233" s="3" t="n">
        <f aca="false">1-F233</f>
        <v>0.00117324578288502</v>
      </c>
      <c r="H233" s="2" t="n">
        <v>1</v>
      </c>
      <c r="I233" s="2" t="n">
        <f aca="false">EXP(alpha0+alpha1*TimeETC+alpha2*PriceETC)/(EXP(alpha1*TimeMAN+alpha2*PriceMAN)+EXP(alpha0+alpha1*TimeETC+alpha2*PriceETC))</f>
        <v>0.289050497374996</v>
      </c>
      <c r="J233" s="1" t="n">
        <f aca="false">alphanought</f>
        <v>-2.7</v>
      </c>
    </row>
    <row r="234" customFormat="false" ht="12.75" hidden="false" customHeight="false" outlineLevel="0" collapsed="false">
      <c r="A234" s="1" t="n">
        <f aca="false">A233+1</f>
        <v>228</v>
      </c>
      <c r="B234" s="1" t="n">
        <v>0</v>
      </c>
      <c r="C234" s="1" t="n">
        <v>2</v>
      </c>
      <c r="D234" s="1" t="n">
        <v>60</v>
      </c>
      <c r="E234" s="1" t="n">
        <v>2</v>
      </c>
      <c r="F234" s="3" t="n">
        <f aca="false">F233*H233*survive+(G233+(1-survive)*F233)*I233</f>
        <v>0.998826754217115</v>
      </c>
      <c r="G234" s="3" t="n">
        <f aca="false">1-F234</f>
        <v>0.00117324578288502</v>
      </c>
      <c r="H234" s="2" t="n">
        <v>1</v>
      </c>
      <c r="I234" s="2" t="n">
        <f aca="false">EXP(alpha0+alpha1*TimeETC+alpha2*PriceETC)/(EXP(alpha1*TimeMAN+alpha2*PriceMAN)+EXP(alpha0+alpha1*TimeETC+alpha2*PriceETC))</f>
        <v>0.289050497374996</v>
      </c>
      <c r="J234" s="1" t="n">
        <f aca="false">alphanought</f>
        <v>-2.7</v>
      </c>
    </row>
    <row r="235" customFormat="false" ht="12.75" hidden="false" customHeight="false" outlineLevel="0" collapsed="false">
      <c r="A235" s="1" t="n">
        <f aca="false">A234+1</f>
        <v>229</v>
      </c>
      <c r="B235" s="1" t="n">
        <v>0</v>
      </c>
      <c r="C235" s="1" t="n">
        <v>2</v>
      </c>
      <c r="D235" s="1" t="n">
        <v>60</v>
      </c>
      <c r="E235" s="1" t="n">
        <v>2</v>
      </c>
      <c r="F235" s="3" t="n">
        <f aca="false">F234*H234*survive+(G234+(1-survive)*F234)*I234</f>
        <v>0.998826754217115</v>
      </c>
      <c r="G235" s="3" t="n">
        <f aca="false">1-F235</f>
        <v>0.00117324578288502</v>
      </c>
      <c r="H235" s="2" t="n">
        <v>1</v>
      </c>
      <c r="I235" s="2" t="n">
        <f aca="false">EXP(alpha0+alpha1*TimeETC+alpha2*PriceETC)/(EXP(alpha1*TimeMAN+alpha2*PriceMAN)+EXP(alpha0+alpha1*TimeETC+alpha2*PriceETC))</f>
        <v>0.289050497374996</v>
      </c>
      <c r="J235" s="1" t="n">
        <f aca="false">alphanought</f>
        <v>-2.7</v>
      </c>
    </row>
    <row r="236" customFormat="false" ht="12.75" hidden="false" customHeight="false" outlineLevel="0" collapsed="false">
      <c r="A236" s="1" t="n">
        <f aca="false">A235+1</f>
        <v>230</v>
      </c>
      <c r="B236" s="1" t="n">
        <v>0</v>
      </c>
      <c r="C236" s="1" t="n">
        <v>2</v>
      </c>
      <c r="D236" s="1" t="n">
        <v>60</v>
      </c>
      <c r="E236" s="1" t="n">
        <v>2</v>
      </c>
      <c r="F236" s="3" t="n">
        <f aca="false">F235*H235*survive+(G235+(1-survive)*F235)*I235</f>
        <v>0.998826754217115</v>
      </c>
      <c r="G236" s="3" t="n">
        <f aca="false">1-F236</f>
        <v>0.00117324578288502</v>
      </c>
      <c r="H236" s="2" t="n">
        <v>1</v>
      </c>
      <c r="I236" s="2" t="n">
        <f aca="false">EXP(alpha0+alpha1*TimeETC+alpha2*PriceETC)/(EXP(alpha1*TimeMAN+alpha2*PriceMAN)+EXP(alpha0+alpha1*TimeETC+alpha2*PriceETC))</f>
        <v>0.289050497374996</v>
      </c>
      <c r="J236" s="1" t="n">
        <f aca="false">alphanought</f>
        <v>-2.7</v>
      </c>
    </row>
    <row r="237" customFormat="false" ht="12.75" hidden="false" customHeight="false" outlineLevel="0" collapsed="false">
      <c r="A237" s="1" t="n">
        <f aca="false">A236+1</f>
        <v>231</v>
      </c>
      <c r="B237" s="1" t="n">
        <v>0</v>
      </c>
      <c r="C237" s="1" t="n">
        <v>2</v>
      </c>
      <c r="D237" s="1" t="n">
        <v>60</v>
      </c>
      <c r="E237" s="1" t="n">
        <v>2</v>
      </c>
      <c r="F237" s="3" t="n">
        <f aca="false">F236*H236*survive+(G236+(1-survive)*F236)*I236</f>
        <v>0.998826754217115</v>
      </c>
      <c r="G237" s="3" t="n">
        <f aca="false">1-F237</f>
        <v>0.00117324578288502</v>
      </c>
      <c r="H237" s="2" t="n">
        <v>1</v>
      </c>
      <c r="I237" s="2" t="n">
        <f aca="false">EXP(alpha0+alpha1*TimeETC+alpha2*PriceETC)/(EXP(alpha1*TimeMAN+alpha2*PriceMAN)+EXP(alpha0+alpha1*TimeETC+alpha2*PriceETC))</f>
        <v>0.289050497374996</v>
      </c>
      <c r="J237" s="1" t="n">
        <f aca="false">alphanought</f>
        <v>-2.7</v>
      </c>
    </row>
    <row r="238" customFormat="false" ht="12.75" hidden="false" customHeight="false" outlineLevel="0" collapsed="false">
      <c r="A238" s="1" t="n">
        <f aca="false">A237+1</f>
        <v>232</v>
      </c>
      <c r="B238" s="1" t="n">
        <v>0</v>
      </c>
      <c r="C238" s="1" t="n">
        <v>2</v>
      </c>
      <c r="D238" s="1" t="n">
        <v>60</v>
      </c>
      <c r="E238" s="1" t="n">
        <v>2</v>
      </c>
      <c r="F238" s="3" t="n">
        <f aca="false">F237*H237*survive+(G237+(1-survive)*F237)*I237</f>
        <v>0.998826754217115</v>
      </c>
      <c r="G238" s="3" t="n">
        <f aca="false">1-F238</f>
        <v>0.00117324578288502</v>
      </c>
      <c r="H238" s="2" t="n">
        <v>1</v>
      </c>
      <c r="I238" s="2" t="n">
        <f aca="false">EXP(alpha0+alpha1*TimeETC+alpha2*PriceETC)/(EXP(alpha1*TimeMAN+alpha2*PriceMAN)+EXP(alpha0+alpha1*TimeETC+alpha2*PriceETC))</f>
        <v>0.289050497374996</v>
      </c>
      <c r="J238" s="1" t="n">
        <f aca="false">alphanought</f>
        <v>-2.7</v>
      </c>
    </row>
    <row r="239" customFormat="false" ht="12.75" hidden="false" customHeight="false" outlineLevel="0" collapsed="false">
      <c r="A239" s="1" t="n">
        <f aca="false">A238+1</f>
        <v>233</v>
      </c>
      <c r="B239" s="1" t="n">
        <v>0</v>
      </c>
      <c r="C239" s="1" t="n">
        <v>2</v>
      </c>
      <c r="D239" s="1" t="n">
        <v>60</v>
      </c>
      <c r="E239" s="1" t="n">
        <v>2</v>
      </c>
      <c r="F239" s="3" t="n">
        <f aca="false">F238*H238*survive+(G238+(1-survive)*F238)*I238</f>
        <v>0.998826754217115</v>
      </c>
      <c r="G239" s="3" t="n">
        <f aca="false">1-F239</f>
        <v>0.00117324578288502</v>
      </c>
      <c r="H239" s="2" t="n">
        <v>1</v>
      </c>
      <c r="I239" s="2" t="n">
        <f aca="false">EXP(alpha0+alpha1*TimeETC+alpha2*PriceETC)/(EXP(alpha1*TimeMAN+alpha2*PriceMAN)+EXP(alpha0+alpha1*TimeETC+alpha2*PriceETC))</f>
        <v>0.289050497374996</v>
      </c>
      <c r="J239" s="1" t="n">
        <f aca="false">alphanought</f>
        <v>-2.7</v>
      </c>
    </row>
    <row r="240" customFormat="false" ht="12.75" hidden="false" customHeight="false" outlineLevel="0" collapsed="false">
      <c r="A240" s="1" t="n">
        <f aca="false">A239+1</f>
        <v>234</v>
      </c>
      <c r="B240" s="1" t="n">
        <v>0</v>
      </c>
      <c r="C240" s="1" t="n">
        <v>2</v>
      </c>
      <c r="D240" s="1" t="n">
        <v>60</v>
      </c>
      <c r="E240" s="1" t="n">
        <v>2</v>
      </c>
      <c r="F240" s="3" t="n">
        <f aca="false">F239*H239*survive+(G239+(1-survive)*F239)*I239</f>
        <v>0.998826754217115</v>
      </c>
      <c r="G240" s="3" t="n">
        <f aca="false">1-F240</f>
        <v>0.00117324578288502</v>
      </c>
      <c r="H240" s="2" t="n">
        <v>1</v>
      </c>
      <c r="I240" s="2" t="n">
        <f aca="false">EXP(alpha0+alpha1*TimeETC+alpha2*PriceETC)/(EXP(alpha1*TimeMAN+alpha2*PriceMAN)+EXP(alpha0+alpha1*TimeETC+alpha2*PriceETC))</f>
        <v>0.289050497374996</v>
      </c>
      <c r="J240" s="1" t="n">
        <f aca="false">alphanought</f>
        <v>-2.7</v>
      </c>
    </row>
    <row r="241" customFormat="false" ht="12.75" hidden="false" customHeight="false" outlineLevel="0" collapsed="false">
      <c r="A241" s="1" t="n">
        <f aca="false">A240+1</f>
        <v>235</v>
      </c>
      <c r="B241" s="1" t="n">
        <v>0</v>
      </c>
      <c r="C241" s="1" t="n">
        <v>2</v>
      </c>
      <c r="D241" s="1" t="n">
        <v>60</v>
      </c>
      <c r="E241" s="1" t="n">
        <v>2</v>
      </c>
      <c r="F241" s="3" t="n">
        <f aca="false">F240*H240*survive+(G240+(1-survive)*F240)*I240</f>
        <v>0.998826754217115</v>
      </c>
      <c r="G241" s="3" t="n">
        <f aca="false">1-F241</f>
        <v>0.00117324578288502</v>
      </c>
      <c r="H241" s="2" t="n">
        <v>1</v>
      </c>
      <c r="I241" s="2" t="n">
        <f aca="false">EXP(alpha0+alpha1*TimeETC+alpha2*PriceETC)/(EXP(alpha1*TimeMAN+alpha2*PriceMAN)+EXP(alpha0+alpha1*TimeETC+alpha2*PriceETC))</f>
        <v>0.289050497374996</v>
      </c>
      <c r="J241" s="1" t="n">
        <f aca="false">alphanought</f>
        <v>-2.7</v>
      </c>
    </row>
    <row r="242" customFormat="false" ht="12.75" hidden="false" customHeight="false" outlineLevel="0" collapsed="false">
      <c r="A242" s="1" t="n">
        <f aca="false">A241+1</f>
        <v>236</v>
      </c>
      <c r="B242" s="1" t="n">
        <v>0</v>
      </c>
      <c r="C242" s="1" t="n">
        <v>2</v>
      </c>
      <c r="D242" s="1" t="n">
        <v>60</v>
      </c>
      <c r="E242" s="1" t="n">
        <v>2</v>
      </c>
      <c r="F242" s="3" t="n">
        <f aca="false">F241*H241*survive+(G241+(1-survive)*F241)*I241</f>
        <v>0.998826754217115</v>
      </c>
      <c r="G242" s="3" t="n">
        <f aca="false">1-F242</f>
        <v>0.00117324578288502</v>
      </c>
      <c r="H242" s="2" t="n">
        <v>1</v>
      </c>
      <c r="I242" s="2" t="n">
        <f aca="false">EXP(alpha0+alpha1*TimeETC+alpha2*PriceETC)/(EXP(alpha1*TimeMAN+alpha2*PriceMAN)+EXP(alpha0+alpha1*TimeETC+alpha2*PriceETC))</f>
        <v>0.289050497374996</v>
      </c>
      <c r="J242" s="1" t="n">
        <f aca="false">alphanought</f>
        <v>-2.7</v>
      </c>
    </row>
    <row r="243" customFormat="false" ht="12.75" hidden="false" customHeight="false" outlineLevel="0" collapsed="false">
      <c r="A243" s="1" t="n">
        <f aca="false">A242+1</f>
        <v>237</v>
      </c>
      <c r="B243" s="1" t="n">
        <v>0</v>
      </c>
      <c r="C243" s="1" t="n">
        <v>2</v>
      </c>
      <c r="D243" s="1" t="n">
        <v>60</v>
      </c>
      <c r="E243" s="1" t="n">
        <v>2</v>
      </c>
      <c r="F243" s="3" t="n">
        <f aca="false">F242*H242*survive+(G242+(1-survive)*F242)*I242</f>
        <v>0.998826754217115</v>
      </c>
      <c r="G243" s="3" t="n">
        <f aca="false">1-F243</f>
        <v>0.00117324578288502</v>
      </c>
      <c r="H243" s="2" t="n">
        <v>1</v>
      </c>
      <c r="I243" s="2" t="n">
        <f aca="false">EXP(alpha0+alpha1*TimeETC+alpha2*PriceETC)/(EXP(alpha1*TimeMAN+alpha2*PriceMAN)+EXP(alpha0+alpha1*TimeETC+alpha2*PriceETC))</f>
        <v>0.289050497374996</v>
      </c>
      <c r="J243" s="1" t="n">
        <f aca="false">alphanought</f>
        <v>-2.7</v>
      </c>
    </row>
    <row r="244" customFormat="false" ht="12.75" hidden="false" customHeight="false" outlineLevel="0" collapsed="false">
      <c r="A244" s="1" t="n">
        <f aca="false">A243+1</f>
        <v>238</v>
      </c>
      <c r="B244" s="1" t="n">
        <v>0</v>
      </c>
      <c r="C244" s="1" t="n">
        <v>2</v>
      </c>
      <c r="D244" s="1" t="n">
        <v>60</v>
      </c>
      <c r="E244" s="1" t="n">
        <v>2</v>
      </c>
      <c r="F244" s="3" t="n">
        <f aca="false">F243*H243*survive+(G243+(1-survive)*F243)*I243</f>
        <v>0.998826754217115</v>
      </c>
      <c r="G244" s="3" t="n">
        <f aca="false">1-F244</f>
        <v>0.00117324578288502</v>
      </c>
      <c r="H244" s="2" t="n">
        <v>1</v>
      </c>
      <c r="I244" s="2" t="n">
        <f aca="false">EXP(alpha0+alpha1*TimeETC+alpha2*PriceETC)/(EXP(alpha1*TimeMAN+alpha2*PriceMAN)+EXP(alpha0+alpha1*TimeETC+alpha2*PriceETC))</f>
        <v>0.289050497374996</v>
      </c>
      <c r="J244" s="1" t="n">
        <f aca="false">alphanought</f>
        <v>-2.7</v>
      </c>
    </row>
    <row r="245" customFormat="false" ht="12.75" hidden="false" customHeight="false" outlineLevel="0" collapsed="false">
      <c r="A245" s="1" t="n">
        <f aca="false">A244+1</f>
        <v>239</v>
      </c>
      <c r="B245" s="1" t="n">
        <v>0</v>
      </c>
      <c r="C245" s="1" t="n">
        <v>2</v>
      </c>
      <c r="D245" s="1" t="n">
        <v>60</v>
      </c>
      <c r="E245" s="1" t="n">
        <v>2</v>
      </c>
      <c r="F245" s="3" t="n">
        <f aca="false">F244*H244*survive+(G244+(1-survive)*F244)*I244</f>
        <v>0.998826754217115</v>
      </c>
      <c r="G245" s="3" t="n">
        <f aca="false">1-F245</f>
        <v>0.00117324578288502</v>
      </c>
      <c r="H245" s="2" t="n">
        <v>1</v>
      </c>
      <c r="I245" s="2" t="n">
        <f aca="false">EXP(alpha0+alpha1*TimeETC+alpha2*PriceETC)/(EXP(alpha1*TimeMAN+alpha2*PriceMAN)+EXP(alpha0+alpha1*TimeETC+alpha2*PriceETC))</f>
        <v>0.289050497374996</v>
      </c>
      <c r="J245" s="1" t="n">
        <f aca="false">alphanought</f>
        <v>-2.7</v>
      </c>
    </row>
    <row r="246" customFormat="false" ht="12.75" hidden="false" customHeight="false" outlineLevel="0" collapsed="false">
      <c r="A246" s="1" t="n">
        <f aca="false">A245+1</f>
        <v>240</v>
      </c>
      <c r="B246" s="1" t="n">
        <v>0</v>
      </c>
      <c r="C246" s="1" t="n">
        <v>2</v>
      </c>
      <c r="D246" s="1" t="n">
        <v>60</v>
      </c>
      <c r="E246" s="1" t="n">
        <v>2</v>
      </c>
      <c r="F246" s="3" t="n">
        <f aca="false">F245*H245*survive+(G245+(1-survive)*F245)*I245</f>
        <v>0.998826754217115</v>
      </c>
      <c r="G246" s="3" t="n">
        <f aca="false">1-F246</f>
        <v>0.00117324578288502</v>
      </c>
      <c r="H246" s="2" t="n">
        <v>1</v>
      </c>
      <c r="I246" s="2" t="n">
        <f aca="false">EXP(alpha0+alpha1*TimeETC+alpha2*PriceETC)/(EXP(alpha1*TimeMAN+alpha2*PriceMAN)+EXP(alpha0+alpha1*TimeETC+alpha2*PriceETC))</f>
        <v>0.289050497374996</v>
      </c>
      <c r="J246" s="1" t="n">
        <f aca="false">alphanought</f>
        <v>-2.7</v>
      </c>
    </row>
    <row r="247" customFormat="false" ht="12.75" hidden="false" customHeight="false" outlineLevel="0" collapsed="false">
      <c r="A247" s="1" t="n">
        <f aca="false">A246+1</f>
        <v>241</v>
      </c>
      <c r="B247" s="1" t="n">
        <v>0</v>
      </c>
      <c r="C247" s="1" t="n">
        <v>2</v>
      </c>
      <c r="D247" s="1" t="n">
        <v>60</v>
      </c>
      <c r="E247" s="1" t="n">
        <v>2</v>
      </c>
      <c r="F247" s="3" t="n">
        <f aca="false">F246*H246*survive+(G246+(1-survive)*F246)*I246</f>
        <v>0.998826754217115</v>
      </c>
      <c r="G247" s="3" t="n">
        <f aca="false">1-F247</f>
        <v>0.00117324578288502</v>
      </c>
      <c r="H247" s="2" t="n">
        <v>1</v>
      </c>
      <c r="I247" s="2" t="n">
        <f aca="false">EXP(alpha0+alpha1*TimeETC+alpha2*PriceETC)/(EXP(alpha1*TimeMAN+alpha2*PriceMAN)+EXP(alpha0+alpha1*TimeETC+alpha2*PriceETC))</f>
        <v>0.289050497374996</v>
      </c>
      <c r="J247" s="1" t="n">
        <f aca="false">alphanought</f>
        <v>-2.7</v>
      </c>
    </row>
    <row r="248" customFormat="false" ht="12.75" hidden="false" customHeight="false" outlineLevel="0" collapsed="false">
      <c r="A248" s="1" t="n">
        <f aca="false">A247+1</f>
        <v>242</v>
      </c>
      <c r="B248" s="1" t="n">
        <v>0</v>
      </c>
      <c r="C248" s="1" t="n">
        <v>2</v>
      </c>
      <c r="D248" s="1" t="n">
        <v>60</v>
      </c>
      <c r="E248" s="1" t="n">
        <v>2</v>
      </c>
      <c r="F248" s="3" t="n">
        <f aca="false">F247*H247*survive+(G247+(1-survive)*F247)*I247</f>
        <v>0.998826754217115</v>
      </c>
      <c r="G248" s="3" t="n">
        <f aca="false">1-F248</f>
        <v>0.00117324578288502</v>
      </c>
      <c r="H248" s="2" t="n">
        <v>1</v>
      </c>
      <c r="I248" s="2" t="n">
        <f aca="false">EXP(alpha0+alpha1*TimeETC+alpha2*PriceETC)/(EXP(alpha1*TimeMAN+alpha2*PriceMAN)+EXP(alpha0+alpha1*TimeETC+alpha2*PriceETC))</f>
        <v>0.289050497374996</v>
      </c>
      <c r="J248" s="1" t="n">
        <f aca="false">alphanought</f>
        <v>-2.7</v>
      </c>
    </row>
    <row r="249" customFormat="false" ht="12.75" hidden="false" customHeight="false" outlineLevel="0" collapsed="false">
      <c r="A249" s="1" t="n">
        <f aca="false">A248+1</f>
        <v>243</v>
      </c>
      <c r="B249" s="1" t="n">
        <v>0</v>
      </c>
      <c r="C249" s="1" t="n">
        <v>2</v>
      </c>
      <c r="D249" s="1" t="n">
        <v>60</v>
      </c>
      <c r="E249" s="1" t="n">
        <v>2</v>
      </c>
      <c r="F249" s="3" t="n">
        <f aca="false">F248*H248*survive+(G248+(1-survive)*F248)*I248</f>
        <v>0.998826754217115</v>
      </c>
      <c r="G249" s="3" t="n">
        <f aca="false">1-F249</f>
        <v>0.00117324578288502</v>
      </c>
      <c r="H249" s="2" t="n">
        <v>1</v>
      </c>
      <c r="I249" s="2" t="n">
        <f aca="false">EXP(alpha0+alpha1*TimeETC+alpha2*PriceETC)/(EXP(alpha1*TimeMAN+alpha2*PriceMAN)+EXP(alpha0+alpha1*TimeETC+alpha2*PriceETC))</f>
        <v>0.289050497374996</v>
      </c>
      <c r="J249" s="1" t="n">
        <f aca="false">alphanought</f>
        <v>-2.7</v>
      </c>
    </row>
    <row r="250" customFormat="false" ht="12.75" hidden="false" customHeight="false" outlineLevel="0" collapsed="false">
      <c r="A250" s="1" t="n">
        <f aca="false">A249+1</f>
        <v>244</v>
      </c>
      <c r="B250" s="1" t="n">
        <v>0</v>
      </c>
      <c r="C250" s="1" t="n">
        <v>2</v>
      </c>
      <c r="D250" s="1" t="n">
        <v>60</v>
      </c>
      <c r="E250" s="1" t="n">
        <v>2</v>
      </c>
      <c r="F250" s="3" t="n">
        <f aca="false">F249*H249*survive+(G249+(1-survive)*F249)*I249</f>
        <v>0.998826754217115</v>
      </c>
      <c r="G250" s="3" t="n">
        <f aca="false">1-F250</f>
        <v>0.00117324578288502</v>
      </c>
      <c r="H250" s="2" t="n">
        <v>1</v>
      </c>
      <c r="I250" s="2" t="n">
        <f aca="false">EXP(alpha0+alpha1*TimeETC+alpha2*PriceETC)/(EXP(alpha1*TimeMAN+alpha2*PriceMAN)+EXP(alpha0+alpha1*TimeETC+alpha2*PriceETC))</f>
        <v>0.289050497374996</v>
      </c>
      <c r="J250" s="1" t="n">
        <f aca="false">alphanought</f>
        <v>-2.7</v>
      </c>
    </row>
    <row r="251" customFormat="false" ht="12.75" hidden="false" customHeight="false" outlineLevel="0" collapsed="false">
      <c r="A251" s="1" t="n">
        <f aca="false">A250+1</f>
        <v>245</v>
      </c>
      <c r="B251" s="1" t="n">
        <v>0</v>
      </c>
      <c r="C251" s="1" t="n">
        <v>2</v>
      </c>
      <c r="D251" s="1" t="n">
        <v>60</v>
      </c>
      <c r="E251" s="1" t="n">
        <v>2</v>
      </c>
      <c r="F251" s="3" t="n">
        <f aca="false">F250*H250*survive+(G250+(1-survive)*F250)*I250</f>
        <v>0.998826754217115</v>
      </c>
      <c r="G251" s="3" t="n">
        <f aca="false">1-F251</f>
        <v>0.00117324578288502</v>
      </c>
      <c r="H251" s="2" t="n">
        <v>1</v>
      </c>
      <c r="I251" s="2" t="n">
        <f aca="false">EXP(alpha0+alpha1*TimeETC+alpha2*PriceETC)/(EXP(alpha1*TimeMAN+alpha2*PriceMAN)+EXP(alpha0+alpha1*TimeETC+alpha2*PriceETC))</f>
        <v>0.289050497374996</v>
      </c>
      <c r="J251" s="1" t="n">
        <f aca="false">alphanought</f>
        <v>-2.7</v>
      </c>
    </row>
    <row r="252" customFormat="false" ht="12.75" hidden="false" customHeight="false" outlineLevel="0" collapsed="false">
      <c r="A252" s="1" t="n">
        <f aca="false">A251+1</f>
        <v>246</v>
      </c>
      <c r="B252" s="1" t="n">
        <v>0</v>
      </c>
      <c r="C252" s="1" t="n">
        <v>2</v>
      </c>
      <c r="D252" s="1" t="n">
        <v>60</v>
      </c>
      <c r="E252" s="1" t="n">
        <v>2</v>
      </c>
      <c r="F252" s="3" t="n">
        <f aca="false">F251*H251*survive+(G251+(1-survive)*F251)*I251</f>
        <v>0.998826754217115</v>
      </c>
      <c r="G252" s="3" t="n">
        <f aca="false">1-F252</f>
        <v>0.00117324578288502</v>
      </c>
      <c r="H252" s="2" t="n">
        <v>1</v>
      </c>
      <c r="I252" s="2" t="n">
        <f aca="false">EXP(alpha0+alpha1*TimeETC+alpha2*PriceETC)/(EXP(alpha1*TimeMAN+alpha2*PriceMAN)+EXP(alpha0+alpha1*TimeETC+alpha2*PriceETC))</f>
        <v>0.289050497374996</v>
      </c>
      <c r="J252" s="1" t="n">
        <f aca="false">alphanought</f>
        <v>-2.7</v>
      </c>
    </row>
    <row r="253" customFormat="false" ht="12.75" hidden="false" customHeight="false" outlineLevel="0" collapsed="false">
      <c r="A253" s="1" t="n">
        <f aca="false">A252+1</f>
        <v>247</v>
      </c>
      <c r="B253" s="1" t="n">
        <v>0</v>
      </c>
      <c r="C253" s="1" t="n">
        <v>2</v>
      </c>
      <c r="D253" s="1" t="n">
        <v>60</v>
      </c>
      <c r="E253" s="1" t="n">
        <v>2</v>
      </c>
      <c r="F253" s="3" t="n">
        <f aca="false">F252*H252*survive+(G252+(1-survive)*F252)*I252</f>
        <v>0.998826754217115</v>
      </c>
      <c r="G253" s="3" t="n">
        <f aca="false">1-F253</f>
        <v>0.00117324578288502</v>
      </c>
      <c r="H253" s="2" t="n">
        <v>1</v>
      </c>
      <c r="I253" s="2" t="n">
        <f aca="false">EXP(alpha0+alpha1*TimeETC+alpha2*PriceETC)/(EXP(alpha1*TimeMAN+alpha2*PriceMAN)+EXP(alpha0+alpha1*TimeETC+alpha2*PriceETC))</f>
        <v>0.289050497374996</v>
      </c>
      <c r="J253" s="1" t="n">
        <f aca="false">alphanought</f>
        <v>-2.7</v>
      </c>
    </row>
    <row r="254" customFormat="false" ht="12.75" hidden="false" customHeight="false" outlineLevel="0" collapsed="false">
      <c r="A254" s="1" t="n">
        <f aca="false">A253+1</f>
        <v>248</v>
      </c>
      <c r="B254" s="1" t="n">
        <v>0</v>
      </c>
      <c r="C254" s="1" t="n">
        <v>2</v>
      </c>
      <c r="D254" s="1" t="n">
        <v>60</v>
      </c>
      <c r="E254" s="1" t="n">
        <v>2</v>
      </c>
      <c r="F254" s="3" t="n">
        <f aca="false">F253*H253*survive+(G253+(1-survive)*F253)*I253</f>
        <v>0.998826754217115</v>
      </c>
      <c r="G254" s="3" t="n">
        <f aca="false">1-F254</f>
        <v>0.00117324578288502</v>
      </c>
      <c r="H254" s="2" t="n">
        <v>1</v>
      </c>
      <c r="I254" s="2" t="n">
        <f aca="false">EXP(alpha0+alpha1*TimeETC+alpha2*PriceETC)/(EXP(alpha1*TimeMAN+alpha2*PriceMAN)+EXP(alpha0+alpha1*TimeETC+alpha2*PriceETC))</f>
        <v>0.289050497374996</v>
      </c>
      <c r="J254" s="1" t="n">
        <f aca="false">alphanought</f>
        <v>-2.7</v>
      </c>
    </row>
    <row r="255" customFormat="false" ht="12.75" hidden="false" customHeight="false" outlineLevel="0" collapsed="false">
      <c r="A255" s="1" t="n">
        <f aca="false">A254+1</f>
        <v>249</v>
      </c>
      <c r="B255" s="1" t="n">
        <v>0</v>
      </c>
      <c r="C255" s="1" t="n">
        <v>2</v>
      </c>
      <c r="D255" s="1" t="n">
        <v>60</v>
      </c>
      <c r="E255" s="1" t="n">
        <v>2</v>
      </c>
      <c r="F255" s="3" t="n">
        <f aca="false">F254*H254*survive+(G254+(1-survive)*F254)*I254</f>
        <v>0.998826754217115</v>
      </c>
      <c r="G255" s="3" t="n">
        <f aca="false">1-F255</f>
        <v>0.00117324578288502</v>
      </c>
      <c r="H255" s="2" t="n">
        <v>1</v>
      </c>
      <c r="I255" s="2" t="n">
        <f aca="false">EXP(alpha0+alpha1*TimeETC+alpha2*PriceETC)/(EXP(alpha1*TimeMAN+alpha2*PriceMAN)+EXP(alpha0+alpha1*TimeETC+alpha2*PriceETC))</f>
        <v>0.289050497374996</v>
      </c>
      <c r="J255" s="1" t="n">
        <f aca="false">alphanought</f>
        <v>-2.7</v>
      </c>
    </row>
    <row r="256" customFormat="false" ht="12.75" hidden="false" customHeight="false" outlineLevel="0" collapsed="false">
      <c r="A256" s="1" t="n">
        <f aca="false">A255+1</f>
        <v>250</v>
      </c>
      <c r="B256" s="1" t="n">
        <v>0</v>
      </c>
      <c r="C256" s="1" t="n">
        <v>2</v>
      </c>
      <c r="D256" s="1" t="n">
        <v>60</v>
      </c>
      <c r="E256" s="1" t="n">
        <v>2</v>
      </c>
      <c r="F256" s="3" t="n">
        <f aca="false">F255*H255*survive+(G255+(1-survive)*F255)*I255</f>
        <v>0.998826754217115</v>
      </c>
      <c r="G256" s="3" t="n">
        <f aca="false">1-F256</f>
        <v>0.00117324578288502</v>
      </c>
      <c r="H256" s="2" t="n">
        <v>1</v>
      </c>
      <c r="I256" s="2" t="n">
        <f aca="false">EXP(alpha0+alpha1*TimeETC+alpha2*PriceETC)/(EXP(alpha1*TimeMAN+alpha2*PriceMAN)+EXP(alpha0+alpha1*TimeETC+alpha2*PriceETC))</f>
        <v>0.289050497374996</v>
      </c>
      <c r="J256" s="1" t="n">
        <f aca="false">alphanought</f>
        <v>-2.7</v>
      </c>
    </row>
    <row r="257" customFormat="false" ht="12.75" hidden="false" customHeight="false" outlineLevel="0" collapsed="false">
      <c r="A257" s="1" t="n">
        <f aca="false">A256+1</f>
        <v>251</v>
      </c>
      <c r="B257" s="1" t="n">
        <v>0</v>
      </c>
      <c r="C257" s="1" t="n">
        <v>2</v>
      </c>
      <c r="D257" s="1" t="n">
        <v>60</v>
      </c>
      <c r="E257" s="1" t="n">
        <v>2</v>
      </c>
      <c r="F257" s="3" t="n">
        <f aca="false">F256*H256*survive+(G256+(1-survive)*F256)*I256</f>
        <v>0.998826754217115</v>
      </c>
      <c r="G257" s="3" t="n">
        <f aca="false">1-F257</f>
        <v>0.00117324578288502</v>
      </c>
      <c r="H257" s="2" t="n">
        <v>1</v>
      </c>
      <c r="I257" s="2" t="n">
        <f aca="false">EXP(alpha0+alpha1*TimeETC+alpha2*PriceETC)/(EXP(alpha1*TimeMAN+alpha2*PriceMAN)+EXP(alpha0+alpha1*TimeETC+alpha2*PriceETC))</f>
        <v>0.289050497374996</v>
      </c>
      <c r="J257" s="1" t="n">
        <f aca="false">alphanought</f>
        <v>-2.7</v>
      </c>
    </row>
    <row r="258" customFormat="false" ht="12.75" hidden="false" customHeight="false" outlineLevel="0" collapsed="false">
      <c r="A258" s="1" t="n">
        <f aca="false">A257+1</f>
        <v>252</v>
      </c>
      <c r="B258" s="1" t="n">
        <v>0</v>
      </c>
      <c r="C258" s="1" t="n">
        <v>2</v>
      </c>
      <c r="D258" s="1" t="n">
        <v>60</v>
      </c>
      <c r="E258" s="1" t="n">
        <v>2</v>
      </c>
      <c r="F258" s="3" t="n">
        <f aca="false">F257*H257*survive+(G257+(1-survive)*F257)*I257</f>
        <v>0.998826754217115</v>
      </c>
      <c r="G258" s="3" t="n">
        <f aca="false">1-F258</f>
        <v>0.00117324578288502</v>
      </c>
      <c r="H258" s="2" t="n">
        <v>1</v>
      </c>
      <c r="I258" s="2" t="n">
        <f aca="false">EXP(alpha0+alpha1*TimeETC+alpha2*PriceETC)/(EXP(alpha1*TimeMAN+alpha2*PriceMAN)+EXP(alpha0+alpha1*TimeETC+alpha2*PriceETC))</f>
        <v>0.289050497374996</v>
      </c>
      <c r="J258" s="1" t="n">
        <f aca="false">alphanought</f>
        <v>-2.7</v>
      </c>
    </row>
    <row r="259" customFormat="false" ht="12.75" hidden="false" customHeight="false" outlineLevel="0" collapsed="false">
      <c r="A259" s="1" t="n">
        <f aca="false">A258+1</f>
        <v>253</v>
      </c>
      <c r="B259" s="1" t="n">
        <v>0</v>
      </c>
      <c r="C259" s="1" t="n">
        <v>2</v>
      </c>
      <c r="D259" s="1" t="n">
        <v>60</v>
      </c>
      <c r="E259" s="1" t="n">
        <v>2</v>
      </c>
      <c r="F259" s="3" t="n">
        <f aca="false">F258*H258*survive+(G258+(1-survive)*F258)*I258</f>
        <v>0.998826754217115</v>
      </c>
      <c r="G259" s="3" t="n">
        <f aca="false">1-F259</f>
        <v>0.00117324578288502</v>
      </c>
      <c r="H259" s="2" t="n">
        <v>1</v>
      </c>
      <c r="I259" s="2" t="n">
        <f aca="false">EXP(alpha0+alpha1*TimeETC+alpha2*PriceETC)/(EXP(alpha1*TimeMAN+alpha2*PriceMAN)+EXP(alpha0+alpha1*TimeETC+alpha2*PriceETC))</f>
        <v>0.289050497374996</v>
      </c>
      <c r="J259" s="1" t="n">
        <f aca="false">alphanought</f>
        <v>-2.7</v>
      </c>
    </row>
    <row r="260" customFormat="false" ht="12.75" hidden="false" customHeight="false" outlineLevel="0" collapsed="false">
      <c r="A260" s="1" t="n">
        <f aca="false">A259+1</f>
        <v>254</v>
      </c>
      <c r="B260" s="1" t="n">
        <v>0</v>
      </c>
      <c r="C260" s="1" t="n">
        <v>2</v>
      </c>
      <c r="D260" s="1" t="n">
        <v>60</v>
      </c>
      <c r="E260" s="1" t="n">
        <v>2</v>
      </c>
      <c r="F260" s="3" t="n">
        <f aca="false">F259*H259*survive+(G259+(1-survive)*F259)*I259</f>
        <v>0.998826754217115</v>
      </c>
      <c r="G260" s="3" t="n">
        <f aca="false">1-F260</f>
        <v>0.00117324578288502</v>
      </c>
      <c r="H260" s="2" t="n">
        <v>1</v>
      </c>
      <c r="I260" s="2" t="n">
        <f aca="false">EXP(alpha0+alpha1*TimeETC+alpha2*PriceETC)/(EXP(alpha1*TimeMAN+alpha2*PriceMAN)+EXP(alpha0+alpha1*TimeETC+alpha2*PriceETC))</f>
        <v>0.289050497374996</v>
      </c>
      <c r="J260" s="1" t="n">
        <f aca="false">alphanought</f>
        <v>-2.7</v>
      </c>
    </row>
    <row r="261" customFormat="false" ht="12.75" hidden="false" customHeight="false" outlineLevel="0" collapsed="false">
      <c r="A261" s="1" t="n">
        <f aca="false">A260+1</f>
        <v>255</v>
      </c>
      <c r="B261" s="1" t="n">
        <v>0</v>
      </c>
      <c r="C261" s="1" t="n">
        <v>2</v>
      </c>
      <c r="D261" s="1" t="n">
        <v>60</v>
      </c>
      <c r="E261" s="1" t="n">
        <v>2</v>
      </c>
      <c r="F261" s="3" t="n">
        <f aca="false">F260*H260*survive+(G260+(1-survive)*F260)*I260</f>
        <v>0.998826754217115</v>
      </c>
      <c r="G261" s="3" t="n">
        <f aca="false">1-F261</f>
        <v>0.00117324578288502</v>
      </c>
      <c r="H261" s="2" t="n">
        <v>1</v>
      </c>
      <c r="I261" s="2" t="n">
        <f aca="false">EXP(alpha0+alpha1*TimeETC+alpha2*PriceETC)/(EXP(alpha1*TimeMAN+alpha2*PriceMAN)+EXP(alpha0+alpha1*TimeETC+alpha2*PriceETC))</f>
        <v>0.289050497374996</v>
      </c>
      <c r="J261" s="1" t="n">
        <f aca="false">alphanought</f>
        <v>-2.7</v>
      </c>
    </row>
    <row r="262" customFormat="false" ht="12.75" hidden="false" customHeight="false" outlineLevel="0" collapsed="false">
      <c r="A262" s="1" t="n">
        <f aca="false">A261+1</f>
        <v>256</v>
      </c>
      <c r="B262" s="1" t="n">
        <v>0</v>
      </c>
      <c r="C262" s="1" t="n">
        <v>2</v>
      </c>
      <c r="D262" s="1" t="n">
        <v>60</v>
      </c>
      <c r="E262" s="1" t="n">
        <v>2</v>
      </c>
      <c r="F262" s="3" t="n">
        <f aca="false">F261*H261*survive+(G261+(1-survive)*F261)*I261</f>
        <v>0.998826754217115</v>
      </c>
      <c r="G262" s="3" t="n">
        <f aca="false">1-F262</f>
        <v>0.00117324578288502</v>
      </c>
      <c r="H262" s="2" t="n">
        <v>1</v>
      </c>
      <c r="I262" s="2" t="n">
        <f aca="false">EXP(alpha0+alpha1*TimeETC+alpha2*PriceETC)/(EXP(alpha1*TimeMAN+alpha2*PriceMAN)+EXP(alpha0+alpha1*TimeETC+alpha2*PriceETC))</f>
        <v>0.289050497374996</v>
      </c>
      <c r="J262" s="1" t="n">
        <f aca="false">alphanought</f>
        <v>-2.7</v>
      </c>
    </row>
    <row r="263" customFormat="false" ht="12.75" hidden="false" customHeight="false" outlineLevel="0" collapsed="false">
      <c r="A263" s="1" t="n">
        <f aca="false">A262+1</f>
        <v>257</v>
      </c>
      <c r="B263" s="1" t="n">
        <v>0</v>
      </c>
      <c r="C263" s="1" t="n">
        <v>2</v>
      </c>
      <c r="D263" s="1" t="n">
        <v>60</v>
      </c>
      <c r="E263" s="1" t="n">
        <v>2</v>
      </c>
      <c r="F263" s="3" t="n">
        <f aca="false">F262*H262*survive+(G262+(1-survive)*F262)*I262</f>
        <v>0.998826754217115</v>
      </c>
      <c r="G263" s="3" t="n">
        <f aca="false">1-F263</f>
        <v>0.00117324578288502</v>
      </c>
      <c r="H263" s="2" t="n">
        <v>1</v>
      </c>
      <c r="I263" s="2" t="n">
        <f aca="false">EXP(alpha0+alpha1*TimeETC+alpha2*PriceETC)/(EXP(alpha1*TimeMAN+alpha2*PriceMAN)+EXP(alpha0+alpha1*TimeETC+alpha2*PriceETC))</f>
        <v>0.289050497374996</v>
      </c>
      <c r="J263" s="1" t="n">
        <f aca="false">alphanought</f>
        <v>-2.7</v>
      </c>
    </row>
    <row r="264" customFormat="false" ht="12.75" hidden="false" customHeight="false" outlineLevel="0" collapsed="false">
      <c r="A264" s="1" t="n">
        <f aca="false">A263+1</f>
        <v>258</v>
      </c>
      <c r="B264" s="1" t="n">
        <v>0</v>
      </c>
      <c r="C264" s="1" t="n">
        <v>2</v>
      </c>
      <c r="D264" s="1" t="n">
        <v>60</v>
      </c>
      <c r="E264" s="1" t="n">
        <v>2</v>
      </c>
      <c r="F264" s="3" t="n">
        <f aca="false">F263*H263*survive+(G263+(1-survive)*F263)*I263</f>
        <v>0.998826754217115</v>
      </c>
      <c r="G264" s="3" t="n">
        <f aca="false">1-F264</f>
        <v>0.00117324578288502</v>
      </c>
      <c r="H264" s="2" t="n">
        <v>1</v>
      </c>
      <c r="I264" s="2" t="n">
        <f aca="false">EXP(alpha0+alpha1*TimeETC+alpha2*PriceETC)/(EXP(alpha1*TimeMAN+alpha2*PriceMAN)+EXP(alpha0+alpha1*TimeETC+alpha2*PriceETC))</f>
        <v>0.289050497374996</v>
      </c>
      <c r="J264" s="1" t="n">
        <f aca="false">alphanought</f>
        <v>-2.7</v>
      </c>
    </row>
    <row r="265" customFormat="false" ht="12.75" hidden="false" customHeight="false" outlineLevel="0" collapsed="false">
      <c r="A265" s="1" t="n">
        <f aca="false">A264+1</f>
        <v>259</v>
      </c>
      <c r="B265" s="1" t="n">
        <v>0</v>
      </c>
      <c r="C265" s="1" t="n">
        <v>2</v>
      </c>
      <c r="D265" s="1" t="n">
        <v>60</v>
      </c>
      <c r="E265" s="1" t="n">
        <v>2</v>
      </c>
      <c r="F265" s="3" t="n">
        <f aca="false">F264*H264*survive+(G264+(1-survive)*F264)*I264</f>
        <v>0.998826754217115</v>
      </c>
      <c r="G265" s="3" t="n">
        <f aca="false">1-F265</f>
        <v>0.00117324578288502</v>
      </c>
      <c r="H265" s="2" t="n">
        <v>1</v>
      </c>
      <c r="I265" s="2" t="n">
        <f aca="false">EXP(alpha0+alpha1*TimeETC+alpha2*PriceETC)/(EXP(alpha1*TimeMAN+alpha2*PriceMAN)+EXP(alpha0+alpha1*TimeETC+alpha2*PriceETC))</f>
        <v>0.289050497374996</v>
      </c>
      <c r="J265" s="1" t="n">
        <f aca="false">alphanought</f>
        <v>-2.7</v>
      </c>
    </row>
    <row r="266" customFormat="false" ht="12.75" hidden="false" customHeight="false" outlineLevel="0" collapsed="false">
      <c r="A266" s="1" t="n">
        <f aca="false">A265+1</f>
        <v>260</v>
      </c>
      <c r="B266" s="1" t="n">
        <v>0</v>
      </c>
      <c r="C266" s="1" t="n">
        <v>2</v>
      </c>
      <c r="D266" s="1" t="n">
        <v>60</v>
      </c>
      <c r="E266" s="1" t="n">
        <v>2</v>
      </c>
      <c r="F266" s="3" t="n">
        <f aca="false">F265*H265*survive+(G265+(1-survive)*F265)*I265</f>
        <v>0.998826754217115</v>
      </c>
      <c r="G266" s="3" t="n">
        <f aca="false">1-F266</f>
        <v>0.00117324578288502</v>
      </c>
      <c r="H266" s="2" t="n">
        <v>1</v>
      </c>
      <c r="I266" s="2" t="n">
        <f aca="false">EXP(alpha0+alpha1*TimeETC+alpha2*PriceETC)/(EXP(alpha1*TimeMAN+alpha2*PriceMAN)+EXP(alpha0+alpha1*TimeETC+alpha2*PriceETC))</f>
        <v>0.289050497374996</v>
      </c>
      <c r="J266" s="1" t="n">
        <f aca="false">alphanought</f>
        <v>-2.7</v>
      </c>
    </row>
    <row r="267" customFormat="false" ht="12.75" hidden="false" customHeight="false" outlineLevel="0" collapsed="false">
      <c r="A267" s="1" t="n">
        <f aca="false">A266+1</f>
        <v>261</v>
      </c>
      <c r="B267" s="1" t="n">
        <v>0</v>
      </c>
      <c r="C267" s="1" t="n">
        <v>2</v>
      </c>
      <c r="D267" s="1" t="n">
        <v>60</v>
      </c>
      <c r="E267" s="1" t="n">
        <v>2</v>
      </c>
      <c r="F267" s="3" t="n">
        <f aca="false">F266*H266*survive+(G266+(1-survive)*F266)*I266</f>
        <v>0.998826754217115</v>
      </c>
      <c r="G267" s="3" t="n">
        <f aca="false">1-F267</f>
        <v>0.00117324578288502</v>
      </c>
      <c r="H267" s="2" t="n">
        <v>1</v>
      </c>
      <c r="I267" s="2" t="n">
        <f aca="false">EXP(alpha0+alpha1*TimeETC+alpha2*PriceETC)/(EXP(alpha1*TimeMAN+alpha2*PriceMAN)+EXP(alpha0+alpha1*TimeETC+alpha2*PriceETC))</f>
        <v>0.289050497374996</v>
      </c>
      <c r="J267" s="1" t="n">
        <f aca="false">alphanought</f>
        <v>-2.7</v>
      </c>
    </row>
    <row r="268" customFormat="false" ht="12.75" hidden="false" customHeight="false" outlineLevel="0" collapsed="false">
      <c r="A268" s="1" t="n">
        <f aca="false">A267+1</f>
        <v>262</v>
      </c>
      <c r="B268" s="1" t="n">
        <v>0</v>
      </c>
      <c r="C268" s="1" t="n">
        <v>2</v>
      </c>
      <c r="D268" s="1" t="n">
        <v>60</v>
      </c>
      <c r="E268" s="1" t="n">
        <v>2</v>
      </c>
      <c r="F268" s="3" t="n">
        <f aca="false">F267*H267*survive+(G267+(1-survive)*F267)*I267</f>
        <v>0.998826754217115</v>
      </c>
      <c r="G268" s="3" t="n">
        <f aca="false">1-F268</f>
        <v>0.00117324578288502</v>
      </c>
      <c r="H268" s="2" t="n">
        <v>1</v>
      </c>
      <c r="I268" s="2" t="n">
        <f aca="false">EXP(alpha0+alpha1*TimeETC+alpha2*PriceETC)/(EXP(alpha1*TimeMAN+alpha2*PriceMAN)+EXP(alpha0+alpha1*TimeETC+alpha2*PriceETC))</f>
        <v>0.289050497374996</v>
      </c>
      <c r="J268" s="1" t="n">
        <f aca="false">alphanought</f>
        <v>-2.7</v>
      </c>
    </row>
    <row r="269" customFormat="false" ht="12.75" hidden="false" customHeight="false" outlineLevel="0" collapsed="false">
      <c r="A269" s="1" t="n">
        <f aca="false">A268+1</f>
        <v>263</v>
      </c>
      <c r="B269" s="1" t="n">
        <v>0</v>
      </c>
      <c r="C269" s="1" t="n">
        <v>2</v>
      </c>
      <c r="D269" s="1" t="n">
        <v>60</v>
      </c>
      <c r="E269" s="1" t="n">
        <v>2</v>
      </c>
      <c r="F269" s="3" t="n">
        <f aca="false">F268*H268*survive+(G268+(1-survive)*F268)*I268</f>
        <v>0.998826754217115</v>
      </c>
      <c r="G269" s="3" t="n">
        <f aca="false">1-F269</f>
        <v>0.00117324578288502</v>
      </c>
      <c r="H269" s="2" t="n">
        <v>1</v>
      </c>
      <c r="I269" s="2" t="n">
        <f aca="false">EXP(alpha0+alpha1*TimeETC+alpha2*PriceETC)/(EXP(alpha1*TimeMAN+alpha2*PriceMAN)+EXP(alpha0+alpha1*TimeETC+alpha2*PriceETC))</f>
        <v>0.289050497374996</v>
      </c>
      <c r="J269" s="1" t="n">
        <f aca="false">alphanought</f>
        <v>-2.7</v>
      </c>
    </row>
    <row r="270" customFormat="false" ht="12.75" hidden="false" customHeight="false" outlineLevel="0" collapsed="false">
      <c r="A270" s="1" t="n">
        <f aca="false">A269+1</f>
        <v>264</v>
      </c>
      <c r="B270" s="1" t="n">
        <v>0</v>
      </c>
      <c r="C270" s="1" t="n">
        <v>2</v>
      </c>
      <c r="D270" s="1" t="n">
        <v>60</v>
      </c>
      <c r="E270" s="1" t="n">
        <v>2</v>
      </c>
      <c r="F270" s="3" t="n">
        <f aca="false">F269*H269*survive+(G269+(1-survive)*F269)*I269</f>
        <v>0.998826754217115</v>
      </c>
      <c r="G270" s="3" t="n">
        <f aca="false">1-F270</f>
        <v>0.00117324578288502</v>
      </c>
      <c r="H270" s="2" t="n">
        <v>1</v>
      </c>
      <c r="I270" s="2" t="n">
        <f aca="false">EXP(alpha0+alpha1*TimeETC+alpha2*PriceETC)/(EXP(alpha1*TimeMAN+alpha2*PriceMAN)+EXP(alpha0+alpha1*TimeETC+alpha2*PriceETC))</f>
        <v>0.289050497374996</v>
      </c>
      <c r="J270" s="1" t="n">
        <f aca="false">alphanought</f>
        <v>-2.7</v>
      </c>
    </row>
    <row r="271" customFormat="false" ht="12.75" hidden="false" customHeight="false" outlineLevel="0" collapsed="false">
      <c r="A271" s="1" t="n">
        <f aca="false">A270+1</f>
        <v>265</v>
      </c>
      <c r="B271" s="1" t="n">
        <v>0</v>
      </c>
      <c r="C271" s="1" t="n">
        <v>2</v>
      </c>
      <c r="D271" s="1" t="n">
        <v>60</v>
      </c>
      <c r="E271" s="1" t="n">
        <v>2</v>
      </c>
      <c r="F271" s="3" t="n">
        <f aca="false">F270*H270*survive+(G270+(1-survive)*F270)*I270</f>
        <v>0.998826754217115</v>
      </c>
      <c r="G271" s="3" t="n">
        <f aca="false">1-F271</f>
        <v>0.00117324578288502</v>
      </c>
      <c r="H271" s="2" t="n">
        <v>1</v>
      </c>
      <c r="I271" s="2" t="n">
        <f aca="false">EXP(alpha0+alpha1*TimeETC+alpha2*PriceETC)/(EXP(alpha1*TimeMAN+alpha2*PriceMAN)+EXP(alpha0+alpha1*TimeETC+alpha2*PriceETC))</f>
        <v>0.289050497374996</v>
      </c>
      <c r="J271" s="1" t="n">
        <f aca="false">alphanought</f>
        <v>-2.7</v>
      </c>
    </row>
    <row r="272" customFormat="false" ht="12.75" hidden="false" customHeight="false" outlineLevel="0" collapsed="false">
      <c r="A272" s="1" t="n">
        <f aca="false">A271+1</f>
        <v>266</v>
      </c>
      <c r="B272" s="1" t="n">
        <v>0</v>
      </c>
      <c r="C272" s="1" t="n">
        <v>2</v>
      </c>
      <c r="D272" s="1" t="n">
        <v>60</v>
      </c>
      <c r="E272" s="1" t="n">
        <v>2</v>
      </c>
      <c r="F272" s="3" t="n">
        <f aca="false">F271*H271*survive+(G271+(1-survive)*F271)*I271</f>
        <v>0.998826754217115</v>
      </c>
      <c r="G272" s="3" t="n">
        <f aca="false">1-F272</f>
        <v>0.00117324578288502</v>
      </c>
      <c r="H272" s="2" t="n">
        <v>1</v>
      </c>
      <c r="I272" s="2" t="n">
        <f aca="false">EXP(alpha0+alpha1*TimeETC+alpha2*PriceETC)/(EXP(alpha1*TimeMAN+alpha2*PriceMAN)+EXP(alpha0+alpha1*TimeETC+alpha2*PriceETC))</f>
        <v>0.289050497374996</v>
      </c>
      <c r="J272" s="1" t="n">
        <f aca="false">alphanought</f>
        <v>-2.7</v>
      </c>
    </row>
    <row r="273" customFormat="false" ht="12.75" hidden="false" customHeight="false" outlineLevel="0" collapsed="false">
      <c r="A273" s="1" t="n">
        <f aca="false">A272+1</f>
        <v>267</v>
      </c>
      <c r="B273" s="1" t="n">
        <v>0</v>
      </c>
      <c r="C273" s="1" t="n">
        <v>2</v>
      </c>
      <c r="D273" s="1" t="n">
        <v>60</v>
      </c>
      <c r="E273" s="1" t="n">
        <v>2</v>
      </c>
      <c r="F273" s="3" t="n">
        <f aca="false">F272*H272*survive+(G272+(1-survive)*F272)*I272</f>
        <v>0.998826754217115</v>
      </c>
      <c r="G273" s="3" t="n">
        <f aca="false">1-F273</f>
        <v>0.00117324578288502</v>
      </c>
      <c r="H273" s="2" t="n">
        <v>1</v>
      </c>
      <c r="I273" s="2" t="n">
        <f aca="false">EXP(alpha0+alpha1*TimeETC+alpha2*PriceETC)/(EXP(alpha1*TimeMAN+alpha2*PriceMAN)+EXP(alpha0+alpha1*TimeETC+alpha2*PriceETC))</f>
        <v>0.289050497374996</v>
      </c>
      <c r="J273" s="1" t="n">
        <f aca="false">alphanought</f>
        <v>-2.7</v>
      </c>
    </row>
    <row r="274" customFormat="false" ht="12.75" hidden="false" customHeight="false" outlineLevel="0" collapsed="false">
      <c r="A274" s="1" t="n">
        <f aca="false">A273+1</f>
        <v>268</v>
      </c>
      <c r="B274" s="1" t="n">
        <v>0</v>
      </c>
      <c r="C274" s="1" t="n">
        <v>2</v>
      </c>
      <c r="D274" s="1" t="n">
        <v>60</v>
      </c>
      <c r="E274" s="1" t="n">
        <v>2</v>
      </c>
      <c r="F274" s="3" t="n">
        <f aca="false">F273*H273*survive+(G273+(1-survive)*F273)*I273</f>
        <v>0.998826754217115</v>
      </c>
      <c r="G274" s="3" t="n">
        <f aca="false">1-F274</f>
        <v>0.00117324578288502</v>
      </c>
      <c r="H274" s="2" t="n">
        <v>1</v>
      </c>
      <c r="I274" s="2" t="n">
        <f aca="false">EXP(alpha0+alpha1*TimeETC+alpha2*PriceETC)/(EXP(alpha1*TimeMAN+alpha2*PriceMAN)+EXP(alpha0+alpha1*TimeETC+alpha2*PriceETC))</f>
        <v>0.289050497374996</v>
      </c>
      <c r="J274" s="1" t="n">
        <f aca="false">alphanought</f>
        <v>-2.7</v>
      </c>
    </row>
    <row r="275" customFormat="false" ht="12.75" hidden="false" customHeight="false" outlineLevel="0" collapsed="false">
      <c r="A275" s="1" t="n">
        <f aca="false">A274+1</f>
        <v>269</v>
      </c>
      <c r="B275" s="1" t="n">
        <v>0</v>
      </c>
      <c r="C275" s="1" t="n">
        <v>2</v>
      </c>
      <c r="D275" s="1" t="n">
        <v>60</v>
      </c>
      <c r="E275" s="1" t="n">
        <v>2</v>
      </c>
      <c r="F275" s="3" t="n">
        <f aca="false">F274*H274*survive+(G274+(1-survive)*F274)*I274</f>
        <v>0.998826754217115</v>
      </c>
      <c r="G275" s="3" t="n">
        <f aca="false">1-F275</f>
        <v>0.00117324578288502</v>
      </c>
      <c r="H275" s="2" t="n">
        <v>1</v>
      </c>
      <c r="I275" s="2" t="n">
        <f aca="false">EXP(alpha0+alpha1*TimeETC+alpha2*PriceETC)/(EXP(alpha1*TimeMAN+alpha2*PriceMAN)+EXP(alpha0+alpha1*TimeETC+alpha2*PriceETC))</f>
        <v>0.289050497374996</v>
      </c>
      <c r="J275" s="1" t="n">
        <f aca="false">alphanought</f>
        <v>-2.7</v>
      </c>
    </row>
    <row r="276" customFormat="false" ht="12.75" hidden="false" customHeight="false" outlineLevel="0" collapsed="false">
      <c r="A276" s="1" t="n">
        <f aca="false">A275+1</f>
        <v>270</v>
      </c>
      <c r="B276" s="1" t="n">
        <v>0</v>
      </c>
      <c r="C276" s="1" t="n">
        <v>2</v>
      </c>
      <c r="D276" s="1" t="n">
        <v>60</v>
      </c>
      <c r="E276" s="1" t="n">
        <v>2</v>
      </c>
      <c r="F276" s="3" t="n">
        <f aca="false">F275*H275*survive+(G275+(1-survive)*F275)*I275</f>
        <v>0.998826754217115</v>
      </c>
      <c r="G276" s="3" t="n">
        <f aca="false">1-F276</f>
        <v>0.00117324578288502</v>
      </c>
      <c r="H276" s="2" t="n">
        <v>1</v>
      </c>
      <c r="I276" s="2" t="n">
        <f aca="false">EXP(alpha0+alpha1*TimeETC+alpha2*PriceETC)/(EXP(alpha1*TimeMAN+alpha2*PriceMAN)+EXP(alpha0+alpha1*TimeETC+alpha2*PriceETC))</f>
        <v>0.289050497374996</v>
      </c>
      <c r="J276" s="1" t="n">
        <f aca="false">alphanought</f>
        <v>-2.7</v>
      </c>
    </row>
    <row r="277" customFormat="false" ht="12.75" hidden="false" customHeight="false" outlineLevel="0" collapsed="false">
      <c r="A277" s="1" t="n">
        <f aca="false">A276+1</f>
        <v>271</v>
      </c>
      <c r="B277" s="1" t="n">
        <v>0</v>
      </c>
      <c r="C277" s="1" t="n">
        <v>2</v>
      </c>
      <c r="D277" s="1" t="n">
        <v>60</v>
      </c>
      <c r="E277" s="1" t="n">
        <v>2</v>
      </c>
      <c r="F277" s="3" t="n">
        <f aca="false">F276*H276*survive+(G276+(1-survive)*F276)*I276</f>
        <v>0.998826754217115</v>
      </c>
      <c r="G277" s="3" t="n">
        <f aca="false">1-F277</f>
        <v>0.00117324578288502</v>
      </c>
      <c r="H277" s="2" t="n">
        <v>1</v>
      </c>
      <c r="I277" s="2" t="n">
        <f aca="false">EXP(alpha0+alpha1*TimeETC+alpha2*PriceETC)/(EXP(alpha1*TimeMAN+alpha2*PriceMAN)+EXP(alpha0+alpha1*TimeETC+alpha2*PriceETC))</f>
        <v>0.289050497374996</v>
      </c>
      <c r="J277" s="1" t="n">
        <f aca="false">alphanought</f>
        <v>-2.7</v>
      </c>
    </row>
    <row r="278" customFormat="false" ht="12.75" hidden="false" customHeight="false" outlineLevel="0" collapsed="false">
      <c r="A278" s="1" t="n">
        <f aca="false">A277+1</f>
        <v>272</v>
      </c>
      <c r="B278" s="1" t="n">
        <v>0</v>
      </c>
      <c r="C278" s="1" t="n">
        <v>2</v>
      </c>
      <c r="D278" s="1" t="n">
        <v>60</v>
      </c>
      <c r="E278" s="1" t="n">
        <v>2</v>
      </c>
      <c r="F278" s="3" t="n">
        <f aca="false">F277*H277*survive+(G277+(1-survive)*F277)*I277</f>
        <v>0.998826754217115</v>
      </c>
      <c r="G278" s="3" t="n">
        <f aca="false">1-F278</f>
        <v>0.00117324578288502</v>
      </c>
      <c r="H278" s="2" t="n">
        <v>1</v>
      </c>
      <c r="I278" s="2" t="n">
        <f aca="false">EXP(alpha0+alpha1*TimeETC+alpha2*PriceETC)/(EXP(alpha1*TimeMAN+alpha2*PriceMAN)+EXP(alpha0+alpha1*TimeETC+alpha2*PriceETC))</f>
        <v>0.289050497374996</v>
      </c>
      <c r="J278" s="1" t="n">
        <f aca="false">alphanought</f>
        <v>-2.7</v>
      </c>
    </row>
    <row r="279" customFormat="false" ht="12.75" hidden="false" customHeight="false" outlineLevel="0" collapsed="false">
      <c r="A279" s="1" t="n">
        <f aca="false">A278+1</f>
        <v>273</v>
      </c>
      <c r="B279" s="1" t="n">
        <v>0</v>
      </c>
      <c r="C279" s="1" t="n">
        <v>2</v>
      </c>
      <c r="D279" s="1" t="n">
        <v>60</v>
      </c>
      <c r="E279" s="1" t="n">
        <v>2</v>
      </c>
      <c r="F279" s="3" t="n">
        <f aca="false">F278*H278*survive+(G278+(1-survive)*F278)*I278</f>
        <v>0.998826754217115</v>
      </c>
      <c r="G279" s="3" t="n">
        <f aca="false">1-F279</f>
        <v>0.00117324578288502</v>
      </c>
      <c r="H279" s="2" t="n">
        <v>1</v>
      </c>
      <c r="I279" s="2" t="n">
        <f aca="false">EXP(alpha0+alpha1*TimeETC+alpha2*PriceETC)/(EXP(alpha1*TimeMAN+alpha2*PriceMAN)+EXP(alpha0+alpha1*TimeETC+alpha2*PriceETC))</f>
        <v>0.289050497374996</v>
      </c>
      <c r="J279" s="1" t="n">
        <f aca="false">alphanought</f>
        <v>-2.7</v>
      </c>
    </row>
    <row r="280" customFormat="false" ht="12.75" hidden="false" customHeight="false" outlineLevel="0" collapsed="false">
      <c r="A280" s="1" t="n">
        <f aca="false">A279+1</f>
        <v>274</v>
      </c>
      <c r="B280" s="1" t="n">
        <v>0</v>
      </c>
      <c r="C280" s="1" t="n">
        <v>2</v>
      </c>
      <c r="D280" s="1" t="n">
        <v>60</v>
      </c>
      <c r="E280" s="1" t="n">
        <v>2</v>
      </c>
      <c r="F280" s="3" t="n">
        <f aca="false">F279*H279*survive+(G279+(1-survive)*F279)*I279</f>
        <v>0.998826754217115</v>
      </c>
      <c r="G280" s="3" t="n">
        <f aca="false">1-F280</f>
        <v>0.00117324578288502</v>
      </c>
      <c r="H280" s="2" t="n">
        <v>1</v>
      </c>
      <c r="I280" s="2" t="n">
        <f aca="false">EXP(alpha0+alpha1*TimeETC+alpha2*PriceETC)/(EXP(alpha1*TimeMAN+alpha2*PriceMAN)+EXP(alpha0+alpha1*TimeETC+alpha2*PriceETC))</f>
        <v>0.289050497374996</v>
      </c>
      <c r="J280" s="1" t="n">
        <f aca="false">alphanought</f>
        <v>-2.7</v>
      </c>
    </row>
    <row r="281" customFormat="false" ht="12.75" hidden="false" customHeight="false" outlineLevel="0" collapsed="false">
      <c r="A281" s="1" t="n">
        <f aca="false">A280+1</f>
        <v>275</v>
      </c>
      <c r="B281" s="1" t="n">
        <v>0</v>
      </c>
      <c r="C281" s="1" t="n">
        <v>2</v>
      </c>
      <c r="D281" s="1" t="n">
        <v>60</v>
      </c>
      <c r="E281" s="1" t="n">
        <v>2</v>
      </c>
      <c r="F281" s="3" t="n">
        <f aca="false">F280*H280*survive+(G280+(1-survive)*F280)*I280</f>
        <v>0.998826754217115</v>
      </c>
      <c r="G281" s="3" t="n">
        <f aca="false">1-F281</f>
        <v>0.00117324578288502</v>
      </c>
      <c r="H281" s="2" t="n">
        <v>1</v>
      </c>
      <c r="I281" s="2" t="n">
        <f aca="false">EXP(alpha0+alpha1*TimeETC+alpha2*PriceETC)/(EXP(alpha1*TimeMAN+alpha2*PriceMAN)+EXP(alpha0+alpha1*TimeETC+alpha2*PriceETC))</f>
        <v>0.289050497374996</v>
      </c>
      <c r="J281" s="1" t="n">
        <f aca="false">alphanought</f>
        <v>-2.7</v>
      </c>
    </row>
    <row r="282" customFormat="false" ht="12.75" hidden="false" customHeight="false" outlineLevel="0" collapsed="false">
      <c r="A282" s="1" t="n">
        <f aca="false">A281+1</f>
        <v>276</v>
      </c>
      <c r="B282" s="1" t="n">
        <v>0</v>
      </c>
      <c r="C282" s="1" t="n">
        <v>2</v>
      </c>
      <c r="D282" s="1" t="n">
        <v>60</v>
      </c>
      <c r="E282" s="1" t="n">
        <v>2</v>
      </c>
      <c r="F282" s="3" t="n">
        <f aca="false">F281*H281*survive+(G281+(1-survive)*F281)*I281</f>
        <v>0.998826754217115</v>
      </c>
      <c r="G282" s="3" t="n">
        <f aca="false">1-F282</f>
        <v>0.00117324578288502</v>
      </c>
      <c r="H282" s="2" t="n">
        <v>1</v>
      </c>
      <c r="I282" s="2" t="n">
        <f aca="false">EXP(alpha0+alpha1*TimeETC+alpha2*PriceETC)/(EXP(alpha1*TimeMAN+alpha2*PriceMAN)+EXP(alpha0+alpha1*TimeETC+alpha2*PriceETC))</f>
        <v>0.289050497374996</v>
      </c>
      <c r="J282" s="1" t="n">
        <f aca="false">alphanought</f>
        <v>-2.7</v>
      </c>
    </row>
    <row r="283" customFormat="false" ht="12.75" hidden="false" customHeight="false" outlineLevel="0" collapsed="false">
      <c r="A283" s="1" t="n">
        <f aca="false">A282+1</f>
        <v>277</v>
      </c>
      <c r="B283" s="1" t="n">
        <v>0</v>
      </c>
      <c r="C283" s="1" t="n">
        <v>2</v>
      </c>
      <c r="D283" s="1" t="n">
        <v>60</v>
      </c>
      <c r="E283" s="1" t="n">
        <v>2</v>
      </c>
      <c r="F283" s="3" t="n">
        <f aca="false">F282*H282*survive+(G282+(1-survive)*F282)*I282</f>
        <v>0.998826754217115</v>
      </c>
      <c r="G283" s="3" t="n">
        <f aca="false">1-F283</f>
        <v>0.00117324578288502</v>
      </c>
      <c r="H283" s="2" t="n">
        <v>1</v>
      </c>
      <c r="I283" s="2" t="n">
        <f aca="false">EXP(alpha0+alpha1*TimeETC+alpha2*PriceETC)/(EXP(alpha1*TimeMAN+alpha2*PriceMAN)+EXP(alpha0+alpha1*TimeETC+alpha2*PriceETC))</f>
        <v>0.289050497374996</v>
      </c>
      <c r="J283" s="1" t="n">
        <f aca="false">alphanought</f>
        <v>-2.7</v>
      </c>
    </row>
    <row r="284" customFormat="false" ht="12.75" hidden="false" customHeight="false" outlineLevel="0" collapsed="false">
      <c r="A284" s="1" t="n">
        <f aca="false">A283+1</f>
        <v>278</v>
      </c>
      <c r="B284" s="1" t="n">
        <v>0</v>
      </c>
      <c r="C284" s="1" t="n">
        <v>2</v>
      </c>
      <c r="D284" s="1" t="n">
        <v>60</v>
      </c>
      <c r="E284" s="1" t="n">
        <v>2</v>
      </c>
      <c r="F284" s="3" t="n">
        <f aca="false">F283*H283*survive+(G283+(1-survive)*F283)*I283</f>
        <v>0.998826754217115</v>
      </c>
      <c r="G284" s="3" t="n">
        <f aca="false">1-F284</f>
        <v>0.00117324578288502</v>
      </c>
      <c r="H284" s="2" t="n">
        <v>1</v>
      </c>
      <c r="I284" s="2" t="n">
        <f aca="false">EXP(alpha0+alpha1*TimeETC+alpha2*PriceETC)/(EXP(alpha1*TimeMAN+alpha2*PriceMAN)+EXP(alpha0+alpha1*TimeETC+alpha2*PriceETC))</f>
        <v>0.289050497374996</v>
      </c>
      <c r="J284" s="1" t="n">
        <f aca="false">alphanought</f>
        <v>-2.7</v>
      </c>
    </row>
    <row r="285" customFormat="false" ht="12.75" hidden="false" customHeight="false" outlineLevel="0" collapsed="false">
      <c r="A285" s="1" t="n">
        <f aca="false">A284+1</f>
        <v>279</v>
      </c>
      <c r="B285" s="1" t="n">
        <v>0</v>
      </c>
      <c r="C285" s="1" t="n">
        <v>2</v>
      </c>
      <c r="D285" s="1" t="n">
        <v>60</v>
      </c>
      <c r="E285" s="1" t="n">
        <v>2</v>
      </c>
      <c r="F285" s="3" t="n">
        <f aca="false">F284*H284*survive+(G284+(1-survive)*F284)*I284</f>
        <v>0.998826754217115</v>
      </c>
      <c r="G285" s="3" t="n">
        <f aca="false">1-F285</f>
        <v>0.00117324578288502</v>
      </c>
      <c r="H285" s="2" t="n">
        <v>1</v>
      </c>
      <c r="I285" s="2" t="n">
        <f aca="false">EXP(alpha0+alpha1*TimeETC+alpha2*PriceETC)/(EXP(alpha1*TimeMAN+alpha2*PriceMAN)+EXP(alpha0+alpha1*TimeETC+alpha2*PriceETC))</f>
        <v>0.289050497374996</v>
      </c>
      <c r="J285" s="1" t="n">
        <f aca="false">alphanought</f>
        <v>-2.7</v>
      </c>
    </row>
    <row r="286" customFormat="false" ht="12.75" hidden="false" customHeight="false" outlineLevel="0" collapsed="false">
      <c r="A286" s="1" t="n">
        <f aca="false">A285+1</f>
        <v>280</v>
      </c>
      <c r="B286" s="1" t="n">
        <v>0</v>
      </c>
      <c r="C286" s="1" t="n">
        <v>2</v>
      </c>
      <c r="D286" s="1" t="n">
        <v>60</v>
      </c>
      <c r="E286" s="1" t="n">
        <v>2</v>
      </c>
      <c r="F286" s="3" t="n">
        <f aca="false">F285*H285*survive+(G285+(1-survive)*F285)*I285</f>
        <v>0.998826754217115</v>
      </c>
      <c r="G286" s="3" t="n">
        <f aca="false">1-F286</f>
        <v>0.00117324578288502</v>
      </c>
      <c r="H286" s="2" t="n">
        <v>1</v>
      </c>
      <c r="I286" s="2" t="n">
        <f aca="false">EXP(alpha0+alpha1*TimeETC+alpha2*PriceETC)/(EXP(alpha1*TimeMAN+alpha2*PriceMAN)+EXP(alpha0+alpha1*TimeETC+alpha2*PriceETC))</f>
        <v>0.289050497374996</v>
      </c>
      <c r="J286" s="1" t="n">
        <f aca="false">alphanought</f>
        <v>-2.7</v>
      </c>
    </row>
    <row r="287" customFormat="false" ht="12.75" hidden="false" customHeight="false" outlineLevel="0" collapsed="false">
      <c r="A287" s="1" t="n">
        <f aca="false">A286+1</f>
        <v>281</v>
      </c>
      <c r="B287" s="1" t="n">
        <v>0</v>
      </c>
      <c r="C287" s="1" t="n">
        <v>2</v>
      </c>
      <c r="D287" s="1" t="n">
        <v>60</v>
      </c>
      <c r="E287" s="1" t="n">
        <v>2</v>
      </c>
      <c r="F287" s="3" t="n">
        <f aca="false">F286*H286*survive+(G286+(1-survive)*F286)*I286</f>
        <v>0.998826754217115</v>
      </c>
      <c r="G287" s="3" t="n">
        <f aca="false">1-F287</f>
        <v>0.00117324578288502</v>
      </c>
      <c r="H287" s="2" t="n">
        <v>1</v>
      </c>
      <c r="I287" s="2" t="n">
        <f aca="false">EXP(alpha0+alpha1*TimeETC+alpha2*PriceETC)/(EXP(alpha1*TimeMAN+alpha2*PriceMAN)+EXP(alpha0+alpha1*TimeETC+alpha2*PriceETC))</f>
        <v>0.289050497374996</v>
      </c>
      <c r="J287" s="1" t="n">
        <f aca="false">alphanought</f>
        <v>-2.7</v>
      </c>
    </row>
    <row r="288" customFormat="false" ht="12.75" hidden="false" customHeight="false" outlineLevel="0" collapsed="false">
      <c r="A288" s="1" t="n">
        <f aca="false">A287+1</f>
        <v>282</v>
      </c>
      <c r="B288" s="1" t="n">
        <v>0</v>
      </c>
      <c r="C288" s="1" t="n">
        <v>2</v>
      </c>
      <c r="D288" s="1" t="n">
        <v>60</v>
      </c>
      <c r="E288" s="1" t="n">
        <v>2</v>
      </c>
      <c r="F288" s="3" t="n">
        <f aca="false">F287*H287*survive+(G287+(1-survive)*F287)*I287</f>
        <v>0.998826754217115</v>
      </c>
      <c r="G288" s="3" t="n">
        <f aca="false">1-F288</f>
        <v>0.00117324578288502</v>
      </c>
      <c r="H288" s="2" t="n">
        <v>1</v>
      </c>
      <c r="I288" s="2" t="n">
        <f aca="false">EXP(alpha0+alpha1*TimeETC+alpha2*PriceETC)/(EXP(alpha1*TimeMAN+alpha2*PriceMAN)+EXP(alpha0+alpha1*TimeETC+alpha2*PriceETC))</f>
        <v>0.289050497374996</v>
      </c>
      <c r="J288" s="1" t="n">
        <f aca="false">alphanought</f>
        <v>-2.7</v>
      </c>
    </row>
    <row r="289" customFormat="false" ht="12.75" hidden="false" customHeight="false" outlineLevel="0" collapsed="false">
      <c r="A289" s="1" t="n">
        <f aca="false">A288+1</f>
        <v>283</v>
      </c>
      <c r="B289" s="1" t="n">
        <v>0</v>
      </c>
      <c r="C289" s="1" t="n">
        <v>2</v>
      </c>
      <c r="D289" s="1" t="n">
        <v>60</v>
      </c>
      <c r="E289" s="1" t="n">
        <v>2</v>
      </c>
      <c r="F289" s="3" t="n">
        <f aca="false">F288*H288*survive+(G288+(1-survive)*F288)*I288</f>
        <v>0.998826754217115</v>
      </c>
      <c r="G289" s="3" t="n">
        <f aca="false">1-F289</f>
        <v>0.00117324578288502</v>
      </c>
      <c r="H289" s="2" t="n">
        <v>1</v>
      </c>
      <c r="I289" s="2" t="n">
        <f aca="false">EXP(alpha0+alpha1*TimeETC+alpha2*PriceETC)/(EXP(alpha1*TimeMAN+alpha2*PriceMAN)+EXP(alpha0+alpha1*TimeETC+alpha2*PriceETC))</f>
        <v>0.289050497374996</v>
      </c>
      <c r="J289" s="1" t="n">
        <f aca="false">alphanought</f>
        <v>-2.7</v>
      </c>
    </row>
    <row r="290" customFormat="false" ht="12.75" hidden="false" customHeight="false" outlineLevel="0" collapsed="false">
      <c r="A290" s="1" t="n">
        <f aca="false">A289+1</f>
        <v>284</v>
      </c>
      <c r="B290" s="1" t="n">
        <v>0</v>
      </c>
      <c r="C290" s="1" t="n">
        <v>2</v>
      </c>
      <c r="D290" s="1" t="n">
        <v>60</v>
      </c>
      <c r="E290" s="1" t="n">
        <v>2</v>
      </c>
      <c r="F290" s="3" t="n">
        <f aca="false">F289*H289*survive+(G289+(1-survive)*F289)*I289</f>
        <v>0.998826754217115</v>
      </c>
      <c r="G290" s="3" t="n">
        <f aca="false">1-F290</f>
        <v>0.00117324578288502</v>
      </c>
      <c r="H290" s="2" t="n">
        <v>1</v>
      </c>
      <c r="I290" s="2" t="n">
        <f aca="false">EXP(alpha0+alpha1*TimeETC+alpha2*PriceETC)/(EXP(alpha1*TimeMAN+alpha2*PriceMAN)+EXP(alpha0+alpha1*TimeETC+alpha2*PriceETC))</f>
        <v>0.289050497374996</v>
      </c>
      <c r="J290" s="1" t="n">
        <f aca="false">alphanought</f>
        <v>-2.7</v>
      </c>
    </row>
    <row r="291" customFormat="false" ht="12.75" hidden="false" customHeight="false" outlineLevel="0" collapsed="false">
      <c r="A291" s="1" t="n">
        <f aca="false">A290+1</f>
        <v>285</v>
      </c>
      <c r="B291" s="1" t="n">
        <v>0</v>
      </c>
      <c r="C291" s="1" t="n">
        <v>2</v>
      </c>
      <c r="D291" s="1" t="n">
        <v>60</v>
      </c>
      <c r="E291" s="1" t="n">
        <v>2</v>
      </c>
      <c r="F291" s="3" t="n">
        <f aca="false">F290*H290*survive+(G290+(1-survive)*F290)*I290</f>
        <v>0.998826754217115</v>
      </c>
      <c r="G291" s="3" t="n">
        <f aca="false">1-F291</f>
        <v>0.00117324578288502</v>
      </c>
      <c r="H291" s="2" t="n">
        <v>1</v>
      </c>
      <c r="I291" s="2" t="n">
        <f aca="false">EXP(alpha0+alpha1*TimeETC+alpha2*PriceETC)/(EXP(alpha1*TimeMAN+alpha2*PriceMAN)+EXP(alpha0+alpha1*TimeETC+alpha2*PriceETC))</f>
        <v>0.289050497374996</v>
      </c>
      <c r="J291" s="1" t="n">
        <f aca="false">alphanought</f>
        <v>-2.7</v>
      </c>
    </row>
    <row r="292" customFormat="false" ht="12.75" hidden="false" customHeight="false" outlineLevel="0" collapsed="false">
      <c r="A292" s="1" t="n">
        <f aca="false">A291+1</f>
        <v>286</v>
      </c>
      <c r="B292" s="1" t="n">
        <v>0</v>
      </c>
      <c r="C292" s="1" t="n">
        <v>2</v>
      </c>
      <c r="D292" s="1" t="n">
        <v>60</v>
      </c>
      <c r="E292" s="1" t="n">
        <v>2</v>
      </c>
      <c r="F292" s="3" t="n">
        <f aca="false">F291*H291*survive+(G291+(1-survive)*F291)*I291</f>
        <v>0.998826754217115</v>
      </c>
      <c r="G292" s="3" t="n">
        <f aca="false">1-F292</f>
        <v>0.00117324578288502</v>
      </c>
      <c r="H292" s="2" t="n">
        <v>1</v>
      </c>
      <c r="I292" s="2" t="n">
        <f aca="false">EXP(alpha0+alpha1*TimeETC+alpha2*PriceETC)/(EXP(alpha1*TimeMAN+alpha2*PriceMAN)+EXP(alpha0+alpha1*TimeETC+alpha2*PriceETC))</f>
        <v>0.289050497374996</v>
      </c>
      <c r="J292" s="1" t="n">
        <f aca="false">alphanought</f>
        <v>-2.7</v>
      </c>
    </row>
    <row r="293" customFormat="false" ht="12.75" hidden="false" customHeight="false" outlineLevel="0" collapsed="false">
      <c r="A293" s="1" t="n">
        <f aca="false">A292+1</f>
        <v>287</v>
      </c>
      <c r="B293" s="1" t="n">
        <v>0</v>
      </c>
      <c r="C293" s="1" t="n">
        <v>2</v>
      </c>
      <c r="D293" s="1" t="n">
        <v>60</v>
      </c>
      <c r="E293" s="1" t="n">
        <v>2</v>
      </c>
      <c r="F293" s="3" t="n">
        <f aca="false">F292*H292*survive+(G292+(1-survive)*F292)*I292</f>
        <v>0.998826754217115</v>
      </c>
      <c r="G293" s="3" t="n">
        <f aca="false">1-F293</f>
        <v>0.00117324578288502</v>
      </c>
      <c r="H293" s="2" t="n">
        <v>1</v>
      </c>
      <c r="I293" s="2" t="n">
        <f aca="false">EXP(alpha0+alpha1*TimeETC+alpha2*PriceETC)/(EXP(alpha1*TimeMAN+alpha2*PriceMAN)+EXP(alpha0+alpha1*TimeETC+alpha2*PriceETC))</f>
        <v>0.289050497374996</v>
      </c>
      <c r="J293" s="1" t="n">
        <f aca="false">alphanought</f>
        <v>-2.7</v>
      </c>
    </row>
    <row r="294" customFormat="false" ht="12.75" hidden="false" customHeight="false" outlineLevel="0" collapsed="false">
      <c r="A294" s="1" t="n">
        <f aca="false">A293+1</f>
        <v>288</v>
      </c>
      <c r="B294" s="1" t="n">
        <v>0</v>
      </c>
      <c r="C294" s="1" t="n">
        <v>2</v>
      </c>
      <c r="D294" s="1" t="n">
        <v>60</v>
      </c>
      <c r="E294" s="1" t="n">
        <v>2</v>
      </c>
      <c r="F294" s="3" t="n">
        <f aca="false">F293*H293*survive+(G293+(1-survive)*F293)*I293</f>
        <v>0.998826754217115</v>
      </c>
      <c r="G294" s="3" t="n">
        <f aca="false">1-F294</f>
        <v>0.00117324578288502</v>
      </c>
      <c r="H294" s="2" t="n">
        <v>1</v>
      </c>
      <c r="I294" s="2" t="n">
        <f aca="false">EXP(alpha0+alpha1*TimeETC+alpha2*PriceETC)/(EXP(alpha1*TimeMAN+alpha2*PriceMAN)+EXP(alpha0+alpha1*TimeETC+alpha2*PriceETC))</f>
        <v>0.289050497374996</v>
      </c>
      <c r="J294" s="1" t="n">
        <f aca="false">alphanought</f>
        <v>-2.7</v>
      </c>
    </row>
    <row r="295" customFormat="false" ht="12.75" hidden="false" customHeight="false" outlineLevel="0" collapsed="false">
      <c r="A295" s="1" t="n">
        <f aca="false">A294+1</f>
        <v>289</v>
      </c>
      <c r="B295" s="1" t="n">
        <v>0</v>
      </c>
      <c r="C295" s="1" t="n">
        <v>2</v>
      </c>
      <c r="D295" s="1" t="n">
        <v>60</v>
      </c>
      <c r="E295" s="1" t="n">
        <v>2</v>
      </c>
      <c r="F295" s="3" t="n">
        <f aca="false">F294*H294*survive+(G294+(1-survive)*F294)*I294</f>
        <v>0.998826754217115</v>
      </c>
      <c r="G295" s="3" t="n">
        <f aca="false">1-F295</f>
        <v>0.00117324578288502</v>
      </c>
      <c r="H295" s="2" t="n">
        <v>1</v>
      </c>
      <c r="I295" s="2" t="n">
        <f aca="false">EXP(alpha0+alpha1*TimeETC+alpha2*PriceETC)/(EXP(alpha1*TimeMAN+alpha2*PriceMAN)+EXP(alpha0+alpha1*TimeETC+alpha2*PriceETC))</f>
        <v>0.289050497374996</v>
      </c>
      <c r="J295" s="1" t="n">
        <f aca="false">alphanought</f>
        <v>-2.7</v>
      </c>
    </row>
    <row r="296" customFormat="false" ht="12.75" hidden="false" customHeight="false" outlineLevel="0" collapsed="false">
      <c r="A296" s="1" t="n">
        <f aca="false">A295+1</f>
        <v>290</v>
      </c>
      <c r="B296" s="1" t="n">
        <v>0</v>
      </c>
      <c r="C296" s="1" t="n">
        <v>2</v>
      </c>
      <c r="D296" s="1" t="n">
        <v>60</v>
      </c>
      <c r="E296" s="1" t="n">
        <v>2</v>
      </c>
      <c r="F296" s="3" t="n">
        <f aca="false">F295*H295*survive+(G295+(1-survive)*F295)*I295</f>
        <v>0.998826754217115</v>
      </c>
      <c r="G296" s="3" t="n">
        <f aca="false">1-F296</f>
        <v>0.00117324578288502</v>
      </c>
      <c r="H296" s="2" t="n">
        <v>1</v>
      </c>
      <c r="I296" s="2" t="n">
        <f aca="false">EXP(alpha0+alpha1*TimeETC+alpha2*PriceETC)/(EXP(alpha1*TimeMAN+alpha2*PriceMAN)+EXP(alpha0+alpha1*TimeETC+alpha2*PriceETC))</f>
        <v>0.289050497374996</v>
      </c>
      <c r="J296" s="1" t="n">
        <f aca="false">alphanought</f>
        <v>-2.7</v>
      </c>
    </row>
    <row r="297" customFormat="false" ht="12.75" hidden="false" customHeight="false" outlineLevel="0" collapsed="false">
      <c r="A297" s="1" t="n">
        <f aca="false">A296+1</f>
        <v>291</v>
      </c>
      <c r="B297" s="1" t="n">
        <v>0</v>
      </c>
      <c r="C297" s="1" t="n">
        <v>2</v>
      </c>
      <c r="D297" s="1" t="n">
        <v>60</v>
      </c>
      <c r="E297" s="1" t="n">
        <v>2</v>
      </c>
      <c r="F297" s="3" t="n">
        <f aca="false">F296*H296*survive+(G296+(1-survive)*F296)*I296</f>
        <v>0.998826754217115</v>
      </c>
      <c r="G297" s="3" t="n">
        <f aca="false">1-F297</f>
        <v>0.00117324578288502</v>
      </c>
      <c r="H297" s="2" t="n">
        <v>1</v>
      </c>
      <c r="I297" s="2" t="n">
        <f aca="false">EXP(alpha0+alpha1*TimeETC+alpha2*PriceETC)/(EXP(alpha1*TimeMAN+alpha2*PriceMAN)+EXP(alpha0+alpha1*TimeETC+alpha2*PriceETC))</f>
        <v>0.289050497374996</v>
      </c>
      <c r="J297" s="1" t="n">
        <f aca="false">alphanought</f>
        <v>-2.7</v>
      </c>
    </row>
    <row r="298" customFormat="false" ht="12.75" hidden="false" customHeight="false" outlineLevel="0" collapsed="false">
      <c r="A298" s="1" t="n">
        <f aca="false">A297+1</f>
        <v>292</v>
      </c>
      <c r="B298" s="1" t="n">
        <v>0</v>
      </c>
      <c r="C298" s="1" t="n">
        <v>2</v>
      </c>
      <c r="D298" s="1" t="n">
        <v>60</v>
      </c>
      <c r="E298" s="1" t="n">
        <v>2</v>
      </c>
      <c r="F298" s="3" t="n">
        <f aca="false">F297*H297*survive+(G297+(1-survive)*F297)*I297</f>
        <v>0.998826754217115</v>
      </c>
      <c r="G298" s="3" t="n">
        <f aca="false">1-F298</f>
        <v>0.00117324578288502</v>
      </c>
      <c r="H298" s="2" t="n">
        <v>1</v>
      </c>
      <c r="I298" s="2" t="n">
        <f aca="false">EXP(alpha0+alpha1*TimeETC+alpha2*PriceETC)/(EXP(alpha1*TimeMAN+alpha2*PriceMAN)+EXP(alpha0+alpha1*TimeETC+alpha2*PriceETC))</f>
        <v>0.289050497374996</v>
      </c>
      <c r="J298" s="1" t="n">
        <f aca="false">alphanought</f>
        <v>-2.7</v>
      </c>
    </row>
    <row r="299" customFormat="false" ht="12.75" hidden="false" customHeight="false" outlineLevel="0" collapsed="false">
      <c r="A299" s="1" t="n">
        <f aca="false">A298+1</f>
        <v>293</v>
      </c>
      <c r="B299" s="1" t="n">
        <v>0</v>
      </c>
      <c r="C299" s="1" t="n">
        <v>2</v>
      </c>
      <c r="D299" s="1" t="n">
        <v>60</v>
      </c>
      <c r="E299" s="1" t="n">
        <v>2</v>
      </c>
      <c r="F299" s="3" t="n">
        <f aca="false">F298*H298*survive+(G298+(1-survive)*F298)*I298</f>
        <v>0.998826754217115</v>
      </c>
      <c r="G299" s="3" t="n">
        <f aca="false">1-F299</f>
        <v>0.00117324578288502</v>
      </c>
      <c r="H299" s="2" t="n">
        <v>1</v>
      </c>
      <c r="I299" s="2" t="n">
        <f aca="false">EXP(alpha0+alpha1*TimeETC+alpha2*PriceETC)/(EXP(alpha1*TimeMAN+alpha2*PriceMAN)+EXP(alpha0+alpha1*TimeETC+alpha2*PriceETC))</f>
        <v>0.289050497374996</v>
      </c>
      <c r="J299" s="1" t="n">
        <f aca="false">alphanought</f>
        <v>-2.7</v>
      </c>
    </row>
    <row r="300" customFormat="false" ht="12.75" hidden="false" customHeight="false" outlineLevel="0" collapsed="false">
      <c r="A300" s="1" t="n">
        <f aca="false">A299+1</f>
        <v>294</v>
      </c>
      <c r="B300" s="1" t="n">
        <v>0</v>
      </c>
      <c r="C300" s="1" t="n">
        <v>2</v>
      </c>
      <c r="D300" s="1" t="n">
        <v>60</v>
      </c>
      <c r="E300" s="1" t="n">
        <v>2</v>
      </c>
      <c r="F300" s="3" t="n">
        <f aca="false">F299*H299*survive+(G299+(1-survive)*F299)*I299</f>
        <v>0.998826754217115</v>
      </c>
      <c r="G300" s="3" t="n">
        <f aca="false">1-F300</f>
        <v>0.00117324578288502</v>
      </c>
      <c r="H300" s="2" t="n">
        <v>1</v>
      </c>
      <c r="I300" s="2" t="n">
        <f aca="false">EXP(alpha0+alpha1*TimeETC+alpha2*PriceETC)/(EXP(alpha1*TimeMAN+alpha2*PriceMAN)+EXP(alpha0+alpha1*TimeETC+alpha2*PriceETC))</f>
        <v>0.289050497374996</v>
      </c>
      <c r="J300" s="1" t="n">
        <f aca="false">alphanought</f>
        <v>-2.7</v>
      </c>
    </row>
    <row r="301" customFormat="false" ht="12.75" hidden="false" customHeight="false" outlineLevel="0" collapsed="false">
      <c r="A301" s="1" t="n">
        <f aca="false">A300+1</f>
        <v>295</v>
      </c>
      <c r="B301" s="1" t="n">
        <v>0</v>
      </c>
      <c r="C301" s="1" t="n">
        <v>2</v>
      </c>
      <c r="D301" s="1" t="n">
        <v>60</v>
      </c>
      <c r="E301" s="1" t="n">
        <v>2</v>
      </c>
      <c r="F301" s="3" t="n">
        <f aca="false">F300*H300*survive+(G300+(1-survive)*F300)*I300</f>
        <v>0.998826754217115</v>
      </c>
      <c r="G301" s="3" t="n">
        <f aca="false">1-F301</f>
        <v>0.00117324578288502</v>
      </c>
      <c r="H301" s="2" t="n">
        <v>1</v>
      </c>
      <c r="I301" s="2" t="n">
        <f aca="false">EXP(alpha0+alpha1*TimeETC+alpha2*PriceETC)/(EXP(alpha1*TimeMAN+alpha2*PriceMAN)+EXP(alpha0+alpha1*TimeETC+alpha2*PriceETC))</f>
        <v>0.289050497374996</v>
      </c>
      <c r="J301" s="1" t="n">
        <f aca="false">alphanought</f>
        <v>-2.7</v>
      </c>
    </row>
    <row r="302" customFormat="false" ht="12.75" hidden="false" customHeight="false" outlineLevel="0" collapsed="false">
      <c r="A302" s="1" t="n">
        <f aca="false">A301+1</f>
        <v>296</v>
      </c>
      <c r="B302" s="1" t="n">
        <v>0</v>
      </c>
      <c r="C302" s="1" t="n">
        <v>2</v>
      </c>
      <c r="D302" s="1" t="n">
        <v>60</v>
      </c>
      <c r="E302" s="1" t="n">
        <v>2</v>
      </c>
      <c r="F302" s="3" t="n">
        <f aca="false">F301*H301*survive+(G301+(1-survive)*F301)*I301</f>
        <v>0.998826754217115</v>
      </c>
      <c r="G302" s="3" t="n">
        <f aca="false">1-F302</f>
        <v>0.00117324578288502</v>
      </c>
      <c r="H302" s="2" t="n">
        <v>1</v>
      </c>
      <c r="I302" s="2" t="n">
        <f aca="false">EXP(alpha0+alpha1*TimeETC+alpha2*PriceETC)/(EXP(alpha1*TimeMAN+alpha2*PriceMAN)+EXP(alpha0+alpha1*TimeETC+alpha2*PriceETC))</f>
        <v>0.289050497374996</v>
      </c>
      <c r="J302" s="1" t="n">
        <f aca="false">alphanought</f>
        <v>-2.7</v>
      </c>
    </row>
    <row r="303" customFormat="false" ht="12.75" hidden="false" customHeight="false" outlineLevel="0" collapsed="false">
      <c r="A303" s="1" t="n">
        <f aca="false">A302+1</f>
        <v>297</v>
      </c>
      <c r="B303" s="1" t="n">
        <v>0</v>
      </c>
      <c r="C303" s="1" t="n">
        <v>2</v>
      </c>
      <c r="D303" s="1" t="n">
        <v>60</v>
      </c>
      <c r="E303" s="1" t="n">
        <v>2</v>
      </c>
      <c r="F303" s="3" t="n">
        <f aca="false">F302*H302*survive+(G302+(1-survive)*F302)*I302</f>
        <v>0.998826754217115</v>
      </c>
      <c r="G303" s="3" t="n">
        <f aca="false">1-F303</f>
        <v>0.00117324578288502</v>
      </c>
      <c r="H303" s="2" t="n">
        <v>1</v>
      </c>
      <c r="I303" s="2" t="n">
        <f aca="false">EXP(alpha0+alpha1*TimeETC+alpha2*PriceETC)/(EXP(alpha1*TimeMAN+alpha2*PriceMAN)+EXP(alpha0+alpha1*TimeETC+alpha2*PriceETC))</f>
        <v>0.289050497374996</v>
      </c>
      <c r="J303" s="1" t="n">
        <f aca="false">alphanought</f>
        <v>-2.7</v>
      </c>
    </row>
    <row r="304" customFormat="false" ht="12.75" hidden="false" customHeight="false" outlineLevel="0" collapsed="false">
      <c r="A304" s="1" t="n">
        <f aca="false">A303+1</f>
        <v>298</v>
      </c>
      <c r="B304" s="1" t="n">
        <v>0</v>
      </c>
      <c r="C304" s="1" t="n">
        <v>2</v>
      </c>
      <c r="D304" s="1" t="n">
        <v>60</v>
      </c>
      <c r="E304" s="1" t="n">
        <v>2</v>
      </c>
      <c r="F304" s="3" t="n">
        <f aca="false">F303*H303*survive+(G303+(1-survive)*F303)*I303</f>
        <v>0.998826754217115</v>
      </c>
      <c r="G304" s="3" t="n">
        <f aca="false">1-F304</f>
        <v>0.00117324578288502</v>
      </c>
      <c r="H304" s="2" t="n">
        <v>1</v>
      </c>
      <c r="I304" s="2" t="n">
        <f aca="false">EXP(alpha0+alpha1*TimeETC+alpha2*PriceETC)/(EXP(alpha1*TimeMAN+alpha2*PriceMAN)+EXP(alpha0+alpha1*TimeETC+alpha2*PriceETC))</f>
        <v>0.289050497374996</v>
      </c>
      <c r="J304" s="1" t="n">
        <f aca="false">alphanought</f>
        <v>-2.7</v>
      </c>
    </row>
    <row r="305" customFormat="false" ht="12.75" hidden="false" customHeight="false" outlineLevel="0" collapsed="false">
      <c r="A305" s="1" t="n">
        <f aca="false">A304+1</f>
        <v>299</v>
      </c>
      <c r="B305" s="1" t="n">
        <v>0</v>
      </c>
      <c r="C305" s="1" t="n">
        <v>2</v>
      </c>
      <c r="D305" s="1" t="n">
        <v>60</v>
      </c>
      <c r="E305" s="1" t="n">
        <v>2</v>
      </c>
      <c r="F305" s="3" t="n">
        <f aca="false">F304*H304*survive+(G304+(1-survive)*F304)*I304</f>
        <v>0.998826754217115</v>
      </c>
      <c r="G305" s="3" t="n">
        <f aca="false">1-F305</f>
        <v>0.00117324578288502</v>
      </c>
      <c r="H305" s="2" t="n">
        <v>1</v>
      </c>
      <c r="I305" s="2" t="n">
        <f aca="false">EXP(alpha0+alpha1*TimeETC+alpha2*PriceETC)/(EXP(alpha1*TimeMAN+alpha2*PriceMAN)+EXP(alpha0+alpha1*TimeETC+alpha2*PriceETC))</f>
        <v>0.289050497374996</v>
      </c>
      <c r="J305" s="1" t="n">
        <f aca="false">alphanought</f>
        <v>-2.7</v>
      </c>
    </row>
    <row r="306" customFormat="false" ht="12.75" hidden="false" customHeight="false" outlineLevel="0" collapsed="false">
      <c r="A306" s="1" t="n">
        <f aca="false">A305+1</f>
        <v>300</v>
      </c>
      <c r="B306" s="1" t="n">
        <v>0</v>
      </c>
      <c r="C306" s="1" t="n">
        <v>2</v>
      </c>
      <c r="D306" s="1" t="n">
        <v>60</v>
      </c>
      <c r="E306" s="1" t="n">
        <v>2</v>
      </c>
      <c r="F306" s="3" t="n">
        <f aca="false">F305*H305*survive+(G305+(1-survive)*F305)*I305</f>
        <v>0.998826754217115</v>
      </c>
      <c r="G306" s="3" t="n">
        <f aca="false">1-F306</f>
        <v>0.00117324578288502</v>
      </c>
      <c r="H306" s="2" t="n">
        <v>1</v>
      </c>
      <c r="I306" s="2" t="n">
        <f aca="false">EXP(alpha0+alpha1*TimeETC+alpha2*PriceETC)/(EXP(alpha1*TimeMAN+alpha2*PriceMAN)+EXP(alpha0+alpha1*TimeETC+alpha2*PriceETC))</f>
        <v>0.289050497374996</v>
      </c>
      <c r="J306" s="1" t="n">
        <f aca="false">alphanought</f>
        <v>-2.7</v>
      </c>
    </row>
    <row r="307" customFormat="false" ht="12.75" hidden="false" customHeight="false" outlineLevel="0" collapsed="false">
      <c r="A307" s="1" t="n">
        <f aca="false">A306+1</f>
        <v>301</v>
      </c>
      <c r="B307" s="1" t="n">
        <v>0</v>
      </c>
      <c r="C307" s="1" t="n">
        <v>2</v>
      </c>
      <c r="D307" s="1" t="n">
        <v>60</v>
      </c>
      <c r="E307" s="1" t="n">
        <v>2</v>
      </c>
      <c r="F307" s="3" t="n">
        <f aca="false">F306*H306*survive+(G306+(1-survive)*F306)*I306</f>
        <v>0.998826754217115</v>
      </c>
      <c r="G307" s="3" t="n">
        <f aca="false">1-F307</f>
        <v>0.00117324578288502</v>
      </c>
      <c r="H307" s="2" t="n">
        <v>1</v>
      </c>
      <c r="I307" s="2" t="n">
        <f aca="false">EXP(alpha0+alpha1*TimeETC+alpha2*PriceETC)/(EXP(alpha1*TimeMAN+alpha2*PriceMAN)+EXP(alpha0+alpha1*TimeETC+alpha2*PriceETC))</f>
        <v>0.289050497374996</v>
      </c>
      <c r="J307" s="1" t="n">
        <f aca="false">alphanought</f>
        <v>-2.7</v>
      </c>
    </row>
    <row r="308" customFormat="false" ht="12.75" hidden="false" customHeight="false" outlineLevel="0" collapsed="false">
      <c r="A308" s="1" t="n">
        <f aca="false">A307+1</f>
        <v>302</v>
      </c>
      <c r="B308" s="1" t="n">
        <v>0</v>
      </c>
      <c r="C308" s="1" t="n">
        <v>2</v>
      </c>
      <c r="D308" s="1" t="n">
        <v>60</v>
      </c>
      <c r="E308" s="1" t="n">
        <v>2</v>
      </c>
      <c r="F308" s="3" t="n">
        <f aca="false">F307*H307*survive+(G307+(1-survive)*F307)*I307</f>
        <v>0.998826754217115</v>
      </c>
      <c r="G308" s="3" t="n">
        <f aca="false">1-F308</f>
        <v>0.00117324578288502</v>
      </c>
      <c r="H308" s="2" t="n">
        <v>1</v>
      </c>
      <c r="I308" s="2" t="n">
        <f aca="false">EXP(alpha0+alpha1*TimeETC+alpha2*PriceETC)/(EXP(alpha1*TimeMAN+alpha2*PriceMAN)+EXP(alpha0+alpha1*TimeETC+alpha2*PriceETC))</f>
        <v>0.289050497374996</v>
      </c>
      <c r="J308" s="1" t="n">
        <f aca="false">alphanought</f>
        <v>-2.7</v>
      </c>
    </row>
    <row r="309" customFormat="false" ht="12.75" hidden="false" customHeight="false" outlineLevel="0" collapsed="false">
      <c r="A309" s="1" t="n">
        <f aca="false">A308+1</f>
        <v>303</v>
      </c>
      <c r="B309" s="1" t="n">
        <v>0</v>
      </c>
      <c r="C309" s="1" t="n">
        <v>2</v>
      </c>
      <c r="D309" s="1" t="n">
        <v>60</v>
      </c>
      <c r="E309" s="1" t="n">
        <v>2</v>
      </c>
      <c r="F309" s="3" t="n">
        <f aca="false">F308*H308*survive+(G308+(1-survive)*F308)*I308</f>
        <v>0.998826754217115</v>
      </c>
      <c r="G309" s="3" t="n">
        <f aca="false">1-F309</f>
        <v>0.00117324578288502</v>
      </c>
      <c r="H309" s="2" t="n">
        <v>1</v>
      </c>
      <c r="I309" s="2" t="n">
        <f aca="false">EXP(alpha0+alpha1*TimeETC+alpha2*PriceETC)/(EXP(alpha1*TimeMAN+alpha2*PriceMAN)+EXP(alpha0+alpha1*TimeETC+alpha2*PriceETC))</f>
        <v>0.289050497374996</v>
      </c>
      <c r="J309" s="1" t="n">
        <f aca="false">alphanought</f>
        <v>-2.7</v>
      </c>
    </row>
    <row r="310" customFormat="false" ht="12.75" hidden="false" customHeight="false" outlineLevel="0" collapsed="false">
      <c r="A310" s="1" t="n">
        <f aca="false">A309+1</f>
        <v>304</v>
      </c>
      <c r="B310" s="1" t="n">
        <v>0</v>
      </c>
      <c r="C310" s="1" t="n">
        <v>2</v>
      </c>
      <c r="D310" s="1" t="n">
        <v>60</v>
      </c>
      <c r="E310" s="1" t="n">
        <v>2</v>
      </c>
      <c r="F310" s="3" t="n">
        <f aca="false">F309*H309*survive+(G309+(1-survive)*F309)*I309</f>
        <v>0.998826754217115</v>
      </c>
      <c r="G310" s="3" t="n">
        <f aca="false">1-F310</f>
        <v>0.00117324578288502</v>
      </c>
      <c r="H310" s="2" t="n">
        <v>1</v>
      </c>
      <c r="I310" s="2" t="n">
        <f aca="false">EXP(alpha0+alpha1*TimeETC+alpha2*PriceETC)/(EXP(alpha1*TimeMAN+alpha2*PriceMAN)+EXP(alpha0+alpha1*TimeETC+alpha2*PriceETC))</f>
        <v>0.289050497374996</v>
      </c>
      <c r="J310" s="1" t="n">
        <f aca="false">alphanought</f>
        <v>-2.7</v>
      </c>
    </row>
    <row r="311" customFormat="false" ht="12.75" hidden="false" customHeight="false" outlineLevel="0" collapsed="false">
      <c r="A311" s="1" t="n">
        <f aca="false">A310+1</f>
        <v>305</v>
      </c>
      <c r="B311" s="1" t="n">
        <v>0</v>
      </c>
      <c r="C311" s="1" t="n">
        <v>2</v>
      </c>
      <c r="D311" s="1" t="n">
        <v>60</v>
      </c>
      <c r="E311" s="1" t="n">
        <v>2</v>
      </c>
      <c r="F311" s="3" t="n">
        <f aca="false">F310*H310*survive+(G310+(1-survive)*F310)*I310</f>
        <v>0.998826754217115</v>
      </c>
      <c r="G311" s="3" t="n">
        <f aca="false">1-F311</f>
        <v>0.00117324578288502</v>
      </c>
      <c r="H311" s="2" t="n">
        <v>1</v>
      </c>
      <c r="I311" s="2" t="n">
        <f aca="false">EXP(alpha0+alpha1*TimeETC+alpha2*PriceETC)/(EXP(alpha1*TimeMAN+alpha2*PriceMAN)+EXP(alpha0+alpha1*TimeETC+alpha2*PriceETC))</f>
        <v>0.289050497374996</v>
      </c>
      <c r="J311" s="1" t="n">
        <f aca="false">alphanought</f>
        <v>-2.7</v>
      </c>
    </row>
    <row r="312" customFormat="false" ht="12.75" hidden="false" customHeight="false" outlineLevel="0" collapsed="false">
      <c r="A312" s="1" t="n">
        <f aca="false">A311+1</f>
        <v>306</v>
      </c>
      <c r="B312" s="1" t="n">
        <v>0</v>
      </c>
      <c r="C312" s="1" t="n">
        <v>2</v>
      </c>
      <c r="D312" s="1" t="n">
        <v>60</v>
      </c>
      <c r="E312" s="1" t="n">
        <v>2</v>
      </c>
      <c r="F312" s="3" t="n">
        <f aca="false">F311*H311*survive+(G311+(1-survive)*F311)*I311</f>
        <v>0.998826754217115</v>
      </c>
      <c r="G312" s="3" t="n">
        <f aca="false">1-F312</f>
        <v>0.00117324578288502</v>
      </c>
      <c r="H312" s="2" t="n">
        <v>1</v>
      </c>
      <c r="I312" s="2" t="n">
        <f aca="false">EXP(alpha0+alpha1*TimeETC+alpha2*PriceETC)/(EXP(alpha1*TimeMAN+alpha2*PriceMAN)+EXP(alpha0+alpha1*TimeETC+alpha2*PriceETC))</f>
        <v>0.289050497374996</v>
      </c>
      <c r="J312" s="1" t="n">
        <f aca="false">alphanought</f>
        <v>-2.7</v>
      </c>
    </row>
    <row r="313" customFormat="false" ht="12.75" hidden="false" customHeight="false" outlineLevel="0" collapsed="false">
      <c r="A313" s="1" t="n">
        <f aca="false">A312+1</f>
        <v>307</v>
      </c>
      <c r="B313" s="1" t="n">
        <v>0</v>
      </c>
      <c r="C313" s="1" t="n">
        <v>2</v>
      </c>
      <c r="D313" s="1" t="n">
        <v>60</v>
      </c>
      <c r="E313" s="1" t="n">
        <v>2</v>
      </c>
      <c r="F313" s="3" t="n">
        <f aca="false">F312*H312*survive+(G312+(1-survive)*F312)*I312</f>
        <v>0.998826754217115</v>
      </c>
      <c r="G313" s="3" t="n">
        <f aca="false">1-F313</f>
        <v>0.00117324578288502</v>
      </c>
      <c r="H313" s="2" t="n">
        <v>1</v>
      </c>
      <c r="I313" s="2" t="n">
        <f aca="false">EXP(alpha0+alpha1*TimeETC+alpha2*PriceETC)/(EXP(alpha1*TimeMAN+alpha2*PriceMAN)+EXP(alpha0+alpha1*TimeETC+alpha2*PriceETC))</f>
        <v>0.289050497374996</v>
      </c>
      <c r="J313" s="1" t="n">
        <f aca="false">alphanought</f>
        <v>-2.7</v>
      </c>
    </row>
    <row r="314" customFormat="false" ht="12.75" hidden="false" customHeight="false" outlineLevel="0" collapsed="false">
      <c r="A314" s="1" t="n">
        <f aca="false">A313+1</f>
        <v>308</v>
      </c>
      <c r="B314" s="1" t="n">
        <v>0</v>
      </c>
      <c r="C314" s="1" t="n">
        <v>2</v>
      </c>
      <c r="D314" s="1" t="n">
        <v>60</v>
      </c>
      <c r="E314" s="1" t="n">
        <v>2</v>
      </c>
      <c r="F314" s="3" t="n">
        <f aca="false">F313*H313*survive+(G313+(1-survive)*F313)*I313</f>
        <v>0.998826754217115</v>
      </c>
      <c r="G314" s="3" t="n">
        <f aca="false">1-F314</f>
        <v>0.00117324578288502</v>
      </c>
      <c r="H314" s="2" t="n">
        <v>1</v>
      </c>
      <c r="I314" s="2" t="n">
        <f aca="false">EXP(alpha0+alpha1*TimeETC+alpha2*PriceETC)/(EXP(alpha1*TimeMAN+alpha2*PriceMAN)+EXP(alpha0+alpha1*TimeETC+alpha2*PriceETC))</f>
        <v>0.289050497374996</v>
      </c>
      <c r="J314" s="1" t="n">
        <f aca="false">alphanought</f>
        <v>-2.7</v>
      </c>
    </row>
    <row r="315" customFormat="false" ht="12.75" hidden="false" customHeight="false" outlineLevel="0" collapsed="false">
      <c r="A315" s="1" t="n">
        <f aca="false">A314+1</f>
        <v>309</v>
      </c>
      <c r="B315" s="1" t="n">
        <v>0</v>
      </c>
      <c r="C315" s="1" t="n">
        <v>2</v>
      </c>
      <c r="D315" s="1" t="n">
        <v>60</v>
      </c>
      <c r="E315" s="1" t="n">
        <v>2</v>
      </c>
      <c r="F315" s="3" t="n">
        <f aca="false">F314*H314*survive+(G314+(1-survive)*F314)*I314</f>
        <v>0.998826754217115</v>
      </c>
      <c r="G315" s="3" t="n">
        <f aca="false">1-F315</f>
        <v>0.00117324578288502</v>
      </c>
      <c r="H315" s="2" t="n">
        <v>1</v>
      </c>
      <c r="I315" s="2" t="n">
        <f aca="false">EXP(alpha0+alpha1*TimeETC+alpha2*PriceETC)/(EXP(alpha1*TimeMAN+alpha2*PriceMAN)+EXP(alpha0+alpha1*TimeETC+alpha2*PriceETC))</f>
        <v>0.289050497374996</v>
      </c>
      <c r="J315" s="1" t="n">
        <f aca="false">alphanought</f>
        <v>-2.7</v>
      </c>
    </row>
    <row r="316" customFormat="false" ht="12.75" hidden="false" customHeight="false" outlineLevel="0" collapsed="false">
      <c r="A316" s="1" t="n">
        <f aca="false">A315+1</f>
        <v>310</v>
      </c>
      <c r="B316" s="1" t="n">
        <v>0</v>
      </c>
      <c r="C316" s="1" t="n">
        <v>2</v>
      </c>
      <c r="D316" s="1" t="n">
        <v>60</v>
      </c>
      <c r="E316" s="1" t="n">
        <v>2</v>
      </c>
      <c r="F316" s="3" t="n">
        <f aca="false">F315*H315*survive+(G315+(1-survive)*F315)*I315</f>
        <v>0.998826754217115</v>
      </c>
      <c r="G316" s="3" t="n">
        <f aca="false">1-F316</f>
        <v>0.00117324578288502</v>
      </c>
      <c r="H316" s="2" t="n">
        <v>1</v>
      </c>
      <c r="I316" s="2" t="n">
        <f aca="false">EXP(alpha0+alpha1*TimeETC+alpha2*PriceETC)/(EXP(alpha1*TimeMAN+alpha2*PriceMAN)+EXP(alpha0+alpha1*TimeETC+alpha2*PriceETC))</f>
        <v>0.289050497374996</v>
      </c>
      <c r="J316" s="1" t="n">
        <f aca="false">alphanought</f>
        <v>-2.7</v>
      </c>
    </row>
    <row r="317" customFormat="false" ht="12.75" hidden="false" customHeight="false" outlineLevel="0" collapsed="false">
      <c r="A317" s="1" t="n">
        <f aca="false">A316+1</f>
        <v>311</v>
      </c>
      <c r="B317" s="1" t="n">
        <v>0</v>
      </c>
      <c r="C317" s="1" t="n">
        <v>2</v>
      </c>
      <c r="D317" s="1" t="n">
        <v>60</v>
      </c>
      <c r="E317" s="1" t="n">
        <v>2</v>
      </c>
      <c r="F317" s="3" t="n">
        <f aca="false">F316*H316*survive+(G316+(1-survive)*F316)*I316</f>
        <v>0.998826754217115</v>
      </c>
      <c r="G317" s="3" t="n">
        <f aca="false">1-F317</f>
        <v>0.00117324578288502</v>
      </c>
      <c r="H317" s="2" t="n">
        <v>1</v>
      </c>
      <c r="I317" s="2" t="n">
        <f aca="false">EXP(alpha0+alpha1*TimeETC+alpha2*PriceETC)/(EXP(alpha1*TimeMAN+alpha2*PriceMAN)+EXP(alpha0+alpha1*TimeETC+alpha2*PriceETC))</f>
        <v>0.289050497374996</v>
      </c>
      <c r="J317" s="1" t="n">
        <f aca="false">alphanought</f>
        <v>-2.7</v>
      </c>
    </row>
    <row r="318" customFormat="false" ht="12.75" hidden="false" customHeight="false" outlineLevel="0" collapsed="false">
      <c r="A318" s="1" t="n">
        <f aca="false">A317+1</f>
        <v>312</v>
      </c>
      <c r="B318" s="1" t="n">
        <v>0</v>
      </c>
      <c r="C318" s="1" t="n">
        <v>2</v>
      </c>
      <c r="D318" s="1" t="n">
        <v>60</v>
      </c>
      <c r="E318" s="1" t="n">
        <v>2</v>
      </c>
      <c r="F318" s="3" t="n">
        <f aca="false">F317*H317*survive+(G317+(1-survive)*F317)*I317</f>
        <v>0.998826754217115</v>
      </c>
      <c r="G318" s="3" t="n">
        <f aca="false">1-F318</f>
        <v>0.00117324578288502</v>
      </c>
      <c r="H318" s="2" t="n">
        <v>1</v>
      </c>
      <c r="I318" s="2" t="n">
        <f aca="false">EXP(alpha0+alpha1*TimeETC+alpha2*PriceETC)/(EXP(alpha1*TimeMAN+alpha2*PriceMAN)+EXP(alpha0+alpha1*TimeETC+alpha2*PriceETC))</f>
        <v>0.289050497374996</v>
      </c>
      <c r="J318" s="1" t="n">
        <f aca="false">alphanought</f>
        <v>-2.7</v>
      </c>
    </row>
    <row r="319" customFormat="false" ht="12.75" hidden="false" customHeight="false" outlineLevel="0" collapsed="false">
      <c r="A319" s="1" t="n">
        <f aca="false">A318+1</f>
        <v>313</v>
      </c>
      <c r="B319" s="1" t="n">
        <v>0</v>
      </c>
      <c r="C319" s="1" t="n">
        <v>2</v>
      </c>
      <c r="D319" s="1" t="n">
        <v>60</v>
      </c>
      <c r="E319" s="1" t="n">
        <v>2</v>
      </c>
      <c r="F319" s="3" t="n">
        <f aca="false">F318*H318*survive+(G318+(1-survive)*F318)*I318</f>
        <v>0.998826754217115</v>
      </c>
      <c r="G319" s="3" t="n">
        <f aca="false">1-F319</f>
        <v>0.00117324578288502</v>
      </c>
      <c r="H319" s="2" t="n">
        <v>1</v>
      </c>
      <c r="I319" s="2" t="n">
        <f aca="false">EXP(alpha0+alpha1*TimeETC+alpha2*PriceETC)/(EXP(alpha1*TimeMAN+alpha2*PriceMAN)+EXP(alpha0+alpha1*TimeETC+alpha2*PriceETC))</f>
        <v>0.289050497374996</v>
      </c>
      <c r="J319" s="1" t="n">
        <f aca="false">alphanought</f>
        <v>-2.7</v>
      </c>
    </row>
    <row r="320" customFormat="false" ht="12.75" hidden="false" customHeight="false" outlineLevel="0" collapsed="false">
      <c r="A320" s="1" t="n">
        <f aca="false">A319+1</f>
        <v>314</v>
      </c>
      <c r="B320" s="1" t="n">
        <v>0</v>
      </c>
      <c r="C320" s="1" t="n">
        <v>2</v>
      </c>
      <c r="D320" s="1" t="n">
        <v>60</v>
      </c>
      <c r="E320" s="1" t="n">
        <v>2</v>
      </c>
      <c r="F320" s="3" t="n">
        <f aca="false">F319*H319*survive+(G319+(1-survive)*F319)*I319</f>
        <v>0.998826754217115</v>
      </c>
      <c r="G320" s="3" t="n">
        <f aca="false">1-F320</f>
        <v>0.00117324578288502</v>
      </c>
      <c r="H320" s="2" t="n">
        <v>1</v>
      </c>
      <c r="I320" s="2" t="n">
        <f aca="false">EXP(alpha0+alpha1*TimeETC+alpha2*PriceETC)/(EXP(alpha1*TimeMAN+alpha2*PriceMAN)+EXP(alpha0+alpha1*TimeETC+alpha2*PriceETC))</f>
        <v>0.289050497374996</v>
      </c>
      <c r="J320" s="1" t="n">
        <f aca="false">alphanought</f>
        <v>-2.7</v>
      </c>
    </row>
    <row r="321" customFormat="false" ht="12.75" hidden="false" customHeight="false" outlineLevel="0" collapsed="false">
      <c r="A321" s="1" t="n">
        <f aca="false">A320+1</f>
        <v>315</v>
      </c>
      <c r="B321" s="1" t="n">
        <v>0</v>
      </c>
      <c r="C321" s="1" t="n">
        <v>2</v>
      </c>
      <c r="D321" s="1" t="n">
        <v>60</v>
      </c>
      <c r="E321" s="1" t="n">
        <v>2</v>
      </c>
      <c r="F321" s="3" t="n">
        <f aca="false">F320*H320*survive+(G320+(1-survive)*F320)*I320</f>
        <v>0.998826754217115</v>
      </c>
      <c r="G321" s="3" t="n">
        <f aca="false">1-F321</f>
        <v>0.00117324578288502</v>
      </c>
      <c r="H321" s="2" t="n">
        <v>1</v>
      </c>
      <c r="I321" s="2" t="n">
        <f aca="false">EXP(alpha0+alpha1*TimeETC+alpha2*PriceETC)/(EXP(alpha1*TimeMAN+alpha2*PriceMAN)+EXP(alpha0+alpha1*TimeETC+alpha2*PriceETC))</f>
        <v>0.289050497374996</v>
      </c>
      <c r="J321" s="1" t="n">
        <f aca="false">alphanought</f>
        <v>-2.7</v>
      </c>
    </row>
    <row r="322" customFormat="false" ht="12.75" hidden="false" customHeight="false" outlineLevel="0" collapsed="false">
      <c r="A322" s="1" t="n">
        <f aca="false">A321+1</f>
        <v>316</v>
      </c>
      <c r="B322" s="1" t="n">
        <v>0</v>
      </c>
      <c r="C322" s="1" t="n">
        <v>2</v>
      </c>
      <c r="D322" s="1" t="n">
        <v>60</v>
      </c>
      <c r="E322" s="1" t="n">
        <v>2</v>
      </c>
      <c r="F322" s="3" t="n">
        <f aca="false">F321*H321*survive+(G321+(1-survive)*F321)*I321</f>
        <v>0.998826754217115</v>
      </c>
      <c r="G322" s="3" t="n">
        <f aca="false">1-F322</f>
        <v>0.00117324578288502</v>
      </c>
      <c r="H322" s="2" t="n">
        <v>1</v>
      </c>
      <c r="I322" s="2" t="n">
        <f aca="false">EXP(alpha0+alpha1*TimeETC+alpha2*PriceETC)/(EXP(alpha1*TimeMAN+alpha2*PriceMAN)+EXP(alpha0+alpha1*TimeETC+alpha2*PriceETC))</f>
        <v>0.289050497374996</v>
      </c>
      <c r="J322" s="1" t="n">
        <f aca="false">alphanought</f>
        <v>-2.7</v>
      </c>
    </row>
    <row r="323" customFormat="false" ht="12.75" hidden="false" customHeight="false" outlineLevel="0" collapsed="false">
      <c r="A323" s="1" t="n">
        <f aca="false">A322+1</f>
        <v>317</v>
      </c>
      <c r="B323" s="1" t="n">
        <v>0</v>
      </c>
      <c r="C323" s="1" t="n">
        <v>2</v>
      </c>
      <c r="D323" s="1" t="n">
        <v>60</v>
      </c>
      <c r="E323" s="1" t="n">
        <v>2</v>
      </c>
      <c r="F323" s="3" t="n">
        <f aca="false">F322*H322*survive+(G322+(1-survive)*F322)*I322</f>
        <v>0.998826754217115</v>
      </c>
      <c r="G323" s="3" t="n">
        <f aca="false">1-F323</f>
        <v>0.00117324578288502</v>
      </c>
      <c r="H323" s="2" t="n">
        <v>1</v>
      </c>
      <c r="I323" s="2" t="n">
        <f aca="false">EXP(alpha0+alpha1*TimeETC+alpha2*PriceETC)/(EXP(alpha1*TimeMAN+alpha2*PriceMAN)+EXP(alpha0+alpha1*TimeETC+alpha2*PriceETC))</f>
        <v>0.289050497374996</v>
      </c>
      <c r="J323" s="1" t="n">
        <f aca="false">alphanought</f>
        <v>-2.7</v>
      </c>
    </row>
    <row r="324" customFormat="false" ht="12.75" hidden="false" customHeight="false" outlineLevel="0" collapsed="false">
      <c r="A324" s="1" t="n">
        <f aca="false">A323+1</f>
        <v>318</v>
      </c>
      <c r="B324" s="1" t="n">
        <v>0</v>
      </c>
      <c r="C324" s="1" t="n">
        <v>2</v>
      </c>
      <c r="D324" s="1" t="n">
        <v>60</v>
      </c>
      <c r="E324" s="1" t="n">
        <v>2</v>
      </c>
      <c r="F324" s="3" t="n">
        <f aca="false">F323*H323*survive+(G323+(1-survive)*F323)*I323</f>
        <v>0.998826754217115</v>
      </c>
      <c r="G324" s="3" t="n">
        <f aca="false">1-F324</f>
        <v>0.00117324578288502</v>
      </c>
      <c r="H324" s="2" t="n">
        <v>1</v>
      </c>
      <c r="I324" s="2" t="n">
        <f aca="false">EXP(alpha0+alpha1*TimeETC+alpha2*PriceETC)/(EXP(alpha1*TimeMAN+alpha2*PriceMAN)+EXP(alpha0+alpha1*TimeETC+alpha2*PriceETC))</f>
        <v>0.289050497374996</v>
      </c>
      <c r="J324" s="1" t="n">
        <f aca="false">alphanought</f>
        <v>-2.7</v>
      </c>
    </row>
    <row r="325" customFormat="false" ht="12.75" hidden="false" customHeight="false" outlineLevel="0" collapsed="false">
      <c r="A325" s="1" t="n">
        <f aca="false">A324+1</f>
        <v>319</v>
      </c>
      <c r="B325" s="1" t="n">
        <v>0</v>
      </c>
      <c r="C325" s="1" t="n">
        <v>2</v>
      </c>
      <c r="D325" s="1" t="n">
        <v>60</v>
      </c>
      <c r="E325" s="1" t="n">
        <v>2</v>
      </c>
      <c r="F325" s="3" t="n">
        <f aca="false">F324*H324*survive+(G324+(1-survive)*F324)*I324</f>
        <v>0.998826754217115</v>
      </c>
      <c r="G325" s="3" t="n">
        <f aca="false">1-F325</f>
        <v>0.00117324578288502</v>
      </c>
      <c r="H325" s="2" t="n">
        <v>1</v>
      </c>
      <c r="I325" s="2" t="n">
        <f aca="false">EXP(alpha0+alpha1*TimeETC+alpha2*PriceETC)/(EXP(alpha1*TimeMAN+alpha2*PriceMAN)+EXP(alpha0+alpha1*TimeETC+alpha2*PriceETC))</f>
        <v>0.289050497374996</v>
      </c>
      <c r="J325" s="1" t="n">
        <f aca="false">alphanought</f>
        <v>-2.7</v>
      </c>
    </row>
    <row r="326" customFormat="false" ht="12.75" hidden="false" customHeight="false" outlineLevel="0" collapsed="false">
      <c r="A326" s="1" t="n">
        <f aca="false">A325+1</f>
        <v>320</v>
      </c>
      <c r="B326" s="1" t="n">
        <v>0</v>
      </c>
      <c r="C326" s="1" t="n">
        <v>2</v>
      </c>
      <c r="D326" s="1" t="n">
        <v>60</v>
      </c>
      <c r="E326" s="1" t="n">
        <v>2</v>
      </c>
      <c r="F326" s="3" t="n">
        <f aca="false">F325*H325*survive+(G325+(1-survive)*F325)*I325</f>
        <v>0.998826754217115</v>
      </c>
      <c r="G326" s="3" t="n">
        <f aca="false">1-F326</f>
        <v>0.00117324578288502</v>
      </c>
      <c r="H326" s="2" t="n">
        <v>1</v>
      </c>
      <c r="I326" s="2" t="n">
        <f aca="false">EXP(alpha0+alpha1*TimeETC+alpha2*PriceETC)/(EXP(alpha1*TimeMAN+alpha2*PriceMAN)+EXP(alpha0+alpha1*TimeETC+alpha2*PriceETC))</f>
        <v>0.289050497374996</v>
      </c>
      <c r="J326" s="1" t="n">
        <f aca="false">alphanought</f>
        <v>-2.7</v>
      </c>
    </row>
    <row r="327" customFormat="false" ht="12.75" hidden="false" customHeight="false" outlineLevel="0" collapsed="false">
      <c r="A327" s="1" t="n">
        <f aca="false">A326+1</f>
        <v>321</v>
      </c>
      <c r="B327" s="1" t="n">
        <v>0</v>
      </c>
      <c r="C327" s="1" t="n">
        <v>2</v>
      </c>
      <c r="D327" s="1" t="n">
        <v>60</v>
      </c>
      <c r="E327" s="1" t="n">
        <v>2</v>
      </c>
      <c r="F327" s="3" t="n">
        <f aca="false">F326*H326*survive+(G326+(1-survive)*F326)*I326</f>
        <v>0.998826754217115</v>
      </c>
      <c r="G327" s="3" t="n">
        <f aca="false">1-F327</f>
        <v>0.00117324578288502</v>
      </c>
      <c r="H327" s="2" t="n">
        <v>1</v>
      </c>
      <c r="I327" s="2" t="n">
        <f aca="false">EXP(alpha0+alpha1*TimeETC+alpha2*PriceETC)/(EXP(alpha1*TimeMAN+alpha2*PriceMAN)+EXP(alpha0+alpha1*TimeETC+alpha2*PriceETC))</f>
        <v>0.289050497374996</v>
      </c>
      <c r="J327" s="1" t="n">
        <f aca="false">alphanought</f>
        <v>-2.7</v>
      </c>
    </row>
    <row r="328" customFormat="false" ht="12.75" hidden="false" customHeight="false" outlineLevel="0" collapsed="false">
      <c r="A328" s="1" t="n">
        <f aca="false">A327+1</f>
        <v>322</v>
      </c>
      <c r="B328" s="1" t="n">
        <v>0</v>
      </c>
      <c r="C328" s="1" t="n">
        <v>2</v>
      </c>
      <c r="D328" s="1" t="n">
        <v>60</v>
      </c>
      <c r="E328" s="1" t="n">
        <v>2</v>
      </c>
      <c r="F328" s="3" t="n">
        <f aca="false">F327*H327*survive+(G327+(1-survive)*F327)*I327</f>
        <v>0.998826754217115</v>
      </c>
      <c r="G328" s="3" t="n">
        <f aca="false">1-F328</f>
        <v>0.00117324578288502</v>
      </c>
      <c r="H328" s="2" t="n">
        <v>1</v>
      </c>
      <c r="I328" s="2" t="n">
        <f aca="false">EXP(alpha0+alpha1*TimeETC+alpha2*PriceETC)/(EXP(alpha1*TimeMAN+alpha2*PriceMAN)+EXP(alpha0+alpha1*TimeETC+alpha2*PriceETC))</f>
        <v>0.289050497374996</v>
      </c>
      <c r="J328" s="1" t="n">
        <f aca="false">alphanought</f>
        <v>-2.7</v>
      </c>
    </row>
    <row r="329" customFormat="false" ht="12.75" hidden="false" customHeight="false" outlineLevel="0" collapsed="false">
      <c r="A329" s="1" t="n">
        <f aca="false">A328+1</f>
        <v>323</v>
      </c>
      <c r="B329" s="1" t="n">
        <v>0</v>
      </c>
      <c r="C329" s="1" t="n">
        <v>2</v>
      </c>
      <c r="D329" s="1" t="n">
        <v>60</v>
      </c>
      <c r="E329" s="1" t="n">
        <v>2</v>
      </c>
      <c r="F329" s="3" t="n">
        <f aca="false">F328*H328*survive+(G328+(1-survive)*F328)*I328</f>
        <v>0.998826754217115</v>
      </c>
      <c r="G329" s="3" t="n">
        <f aca="false">1-F329</f>
        <v>0.00117324578288502</v>
      </c>
      <c r="H329" s="2" t="n">
        <v>1</v>
      </c>
      <c r="I329" s="2" t="n">
        <f aca="false">EXP(alpha0+alpha1*TimeETC+alpha2*PriceETC)/(EXP(alpha1*TimeMAN+alpha2*PriceMAN)+EXP(alpha0+alpha1*TimeETC+alpha2*PriceETC))</f>
        <v>0.289050497374996</v>
      </c>
      <c r="J329" s="1" t="n">
        <f aca="false">alphanought</f>
        <v>-2.7</v>
      </c>
    </row>
    <row r="330" customFormat="false" ht="12.75" hidden="false" customHeight="false" outlineLevel="0" collapsed="false">
      <c r="A330" s="1" t="n">
        <f aca="false">A329+1</f>
        <v>324</v>
      </c>
      <c r="B330" s="1" t="n">
        <v>0</v>
      </c>
      <c r="C330" s="1" t="n">
        <v>2</v>
      </c>
      <c r="D330" s="1" t="n">
        <v>60</v>
      </c>
      <c r="E330" s="1" t="n">
        <v>2</v>
      </c>
      <c r="F330" s="3" t="n">
        <f aca="false">F329*H329*survive+(G329+(1-survive)*F329)*I329</f>
        <v>0.998826754217115</v>
      </c>
      <c r="G330" s="3" t="n">
        <f aca="false">1-F330</f>
        <v>0.00117324578288502</v>
      </c>
      <c r="H330" s="2" t="n">
        <v>1</v>
      </c>
      <c r="I330" s="2" t="n">
        <f aca="false">EXP(alpha0+alpha1*TimeETC+alpha2*PriceETC)/(EXP(alpha1*TimeMAN+alpha2*PriceMAN)+EXP(alpha0+alpha1*TimeETC+alpha2*PriceETC))</f>
        <v>0.289050497374996</v>
      </c>
      <c r="J330" s="1" t="n">
        <f aca="false">alphanought</f>
        <v>-2.7</v>
      </c>
    </row>
    <row r="331" customFormat="false" ht="12.75" hidden="false" customHeight="false" outlineLevel="0" collapsed="false">
      <c r="A331" s="1" t="n">
        <f aca="false">A330+1</f>
        <v>325</v>
      </c>
      <c r="B331" s="1" t="n">
        <v>0</v>
      </c>
      <c r="C331" s="1" t="n">
        <v>2</v>
      </c>
      <c r="D331" s="1" t="n">
        <v>60</v>
      </c>
      <c r="E331" s="1" t="n">
        <v>2</v>
      </c>
      <c r="F331" s="3" t="n">
        <f aca="false">F330*H330*survive+(G330+(1-survive)*F330)*I330</f>
        <v>0.998826754217115</v>
      </c>
      <c r="G331" s="3" t="n">
        <f aca="false">1-F331</f>
        <v>0.00117324578288502</v>
      </c>
      <c r="H331" s="2" t="n">
        <v>1</v>
      </c>
      <c r="I331" s="2" t="n">
        <f aca="false">EXP(alpha0+alpha1*TimeETC+alpha2*PriceETC)/(EXP(alpha1*TimeMAN+alpha2*PriceMAN)+EXP(alpha0+alpha1*TimeETC+alpha2*PriceETC))</f>
        <v>0.289050497374996</v>
      </c>
      <c r="J331" s="1" t="n">
        <f aca="false">alphanought</f>
        <v>-2.7</v>
      </c>
    </row>
    <row r="332" customFormat="false" ht="12.75" hidden="false" customHeight="false" outlineLevel="0" collapsed="false">
      <c r="A332" s="1" t="n">
        <f aca="false">A331+1</f>
        <v>326</v>
      </c>
      <c r="B332" s="1" t="n">
        <v>0</v>
      </c>
      <c r="C332" s="1" t="n">
        <v>2</v>
      </c>
      <c r="D332" s="1" t="n">
        <v>60</v>
      </c>
      <c r="E332" s="1" t="n">
        <v>2</v>
      </c>
      <c r="F332" s="3" t="n">
        <f aca="false">F331*H331*survive+(G331+(1-survive)*F331)*I331</f>
        <v>0.998826754217115</v>
      </c>
      <c r="G332" s="3" t="n">
        <f aca="false">1-F332</f>
        <v>0.00117324578288502</v>
      </c>
      <c r="H332" s="2" t="n">
        <v>1</v>
      </c>
      <c r="I332" s="2" t="n">
        <f aca="false">EXP(alpha0+alpha1*TimeETC+alpha2*PriceETC)/(EXP(alpha1*TimeMAN+alpha2*PriceMAN)+EXP(alpha0+alpha1*TimeETC+alpha2*PriceETC))</f>
        <v>0.289050497374996</v>
      </c>
      <c r="J332" s="1" t="n">
        <f aca="false">alphanought</f>
        <v>-2.7</v>
      </c>
    </row>
    <row r="333" customFormat="false" ht="12.75" hidden="false" customHeight="false" outlineLevel="0" collapsed="false">
      <c r="A333" s="1" t="n">
        <f aca="false">A332+1</f>
        <v>327</v>
      </c>
      <c r="B333" s="1" t="n">
        <v>0</v>
      </c>
      <c r="C333" s="1" t="n">
        <v>2</v>
      </c>
      <c r="D333" s="1" t="n">
        <v>60</v>
      </c>
      <c r="E333" s="1" t="n">
        <v>2</v>
      </c>
      <c r="F333" s="3" t="n">
        <f aca="false">F332*H332*survive+(G332+(1-survive)*F332)*I332</f>
        <v>0.998826754217115</v>
      </c>
      <c r="G333" s="3" t="n">
        <f aca="false">1-F333</f>
        <v>0.00117324578288502</v>
      </c>
      <c r="H333" s="2" t="n">
        <v>1</v>
      </c>
      <c r="I333" s="2" t="n">
        <f aca="false">EXP(alpha0+alpha1*TimeETC+alpha2*PriceETC)/(EXP(alpha1*TimeMAN+alpha2*PriceMAN)+EXP(alpha0+alpha1*TimeETC+alpha2*PriceETC))</f>
        <v>0.289050497374996</v>
      </c>
      <c r="J333" s="1" t="n">
        <f aca="false">alphanought</f>
        <v>-2.7</v>
      </c>
    </row>
    <row r="334" customFormat="false" ht="12.75" hidden="false" customHeight="false" outlineLevel="0" collapsed="false">
      <c r="A334" s="1" t="n">
        <f aca="false">A333+1</f>
        <v>328</v>
      </c>
      <c r="B334" s="1" t="n">
        <v>0</v>
      </c>
      <c r="C334" s="1" t="n">
        <v>2</v>
      </c>
      <c r="D334" s="1" t="n">
        <v>60</v>
      </c>
      <c r="E334" s="1" t="n">
        <v>2</v>
      </c>
      <c r="F334" s="3" t="n">
        <f aca="false">F333*H333*survive+(G333+(1-survive)*F333)*I333</f>
        <v>0.998826754217115</v>
      </c>
      <c r="G334" s="3" t="n">
        <f aca="false">1-F334</f>
        <v>0.00117324578288502</v>
      </c>
      <c r="H334" s="2" t="n">
        <v>1</v>
      </c>
      <c r="I334" s="2" t="n">
        <f aca="false">EXP(alpha0+alpha1*TimeETC+alpha2*PriceETC)/(EXP(alpha1*TimeMAN+alpha2*PriceMAN)+EXP(alpha0+alpha1*TimeETC+alpha2*PriceETC))</f>
        <v>0.289050497374996</v>
      </c>
      <c r="J334" s="1" t="n">
        <f aca="false">alphanought</f>
        <v>-2.7</v>
      </c>
    </row>
    <row r="335" customFormat="false" ht="12.75" hidden="false" customHeight="false" outlineLevel="0" collapsed="false">
      <c r="A335" s="1" t="n">
        <f aca="false">A334+1</f>
        <v>329</v>
      </c>
      <c r="B335" s="1" t="n">
        <v>0</v>
      </c>
      <c r="C335" s="1" t="n">
        <v>2</v>
      </c>
      <c r="D335" s="1" t="n">
        <v>60</v>
      </c>
      <c r="E335" s="1" t="n">
        <v>2</v>
      </c>
      <c r="F335" s="3" t="n">
        <f aca="false">F334*H334*survive+(G334+(1-survive)*F334)*I334</f>
        <v>0.998826754217115</v>
      </c>
      <c r="G335" s="3" t="n">
        <f aca="false">1-F335</f>
        <v>0.00117324578288502</v>
      </c>
      <c r="H335" s="2" t="n">
        <v>1</v>
      </c>
      <c r="I335" s="2" t="n">
        <f aca="false">EXP(alpha0+alpha1*TimeETC+alpha2*PriceETC)/(EXP(alpha1*TimeMAN+alpha2*PriceMAN)+EXP(alpha0+alpha1*TimeETC+alpha2*PriceETC))</f>
        <v>0.289050497374996</v>
      </c>
      <c r="J335" s="1" t="n">
        <f aca="false">alphanought</f>
        <v>-2.7</v>
      </c>
    </row>
    <row r="336" customFormat="false" ht="12.75" hidden="false" customHeight="false" outlineLevel="0" collapsed="false">
      <c r="A336" s="1" t="n">
        <f aca="false">A335+1</f>
        <v>330</v>
      </c>
      <c r="B336" s="1" t="n">
        <v>0</v>
      </c>
      <c r="C336" s="1" t="n">
        <v>2</v>
      </c>
      <c r="D336" s="1" t="n">
        <v>60</v>
      </c>
      <c r="E336" s="1" t="n">
        <v>2</v>
      </c>
      <c r="F336" s="3" t="n">
        <f aca="false">F335*H335*survive+(G335+(1-survive)*F335)*I335</f>
        <v>0.998826754217115</v>
      </c>
      <c r="G336" s="3" t="n">
        <f aca="false">1-F336</f>
        <v>0.00117324578288502</v>
      </c>
      <c r="H336" s="2" t="n">
        <v>1</v>
      </c>
      <c r="I336" s="2" t="n">
        <f aca="false">EXP(alpha0+alpha1*TimeETC+alpha2*PriceETC)/(EXP(alpha1*TimeMAN+alpha2*PriceMAN)+EXP(alpha0+alpha1*TimeETC+alpha2*PriceETC))</f>
        <v>0.289050497374996</v>
      </c>
      <c r="J336" s="1" t="n">
        <f aca="false">alphanought</f>
        <v>-2.7</v>
      </c>
    </row>
    <row r="337" customFormat="false" ht="12.75" hidden="false" customHeight="false" outlineLevel="0" collapsed="false">
      <c r="A337" s="1" t="n">
        <f aca="false">A336+1</f>
        <v>331</v>
      </c>
      <c r="B337" s="1" t="n">
        <v>0</v>
      </c>
      <c r="C337" s="1" t="n">
        <v>2</v>
      </c>
      <c r="D337" s="1" t="n">
        <v>60</v>
      </c>
      <c r="E337" s="1" t="n">
        <v>2</v>
      </c>
      <c r="F337" s="3" t="n">
        <f aca="false">F336*H336*survive+(G336+(1-survive)*F336)*I336</f>
        <v>0.998826754217115</v>
      </c>
      <c r="G337" s="3" t="n">
        <f aca="false">1-F337</f>
        <v>0.00117324578288502</v>
      </c>
      <c r="H337" s="2" t="n">
        <v>1</v>
      </c>
      <c r="I337" s="2" t="n">
        <f aca="false">EXP(alpha0+alpha1*TimeETC+alpha2*PriceETC)/(EXP(alpha1*TimeMAN+alpha2*PriceMAN)+EXP(alpha0+alpha1*TimeETC+alpha2*PriceETC))</f>
        <v>0.289050497374996</v>
      </c>
      <c r="J337" s="1" t="n">
        <f aca="false">alphanought</f>
        <v>-2.7</v>
      </c>
    </row>
    <row r="338" customFormat="false" ht="12.75" hidden="false" customHeight="false" outlineLevel="0" collapsed="false">
      <c r="A338" s="1" t="n">
        <f aca="false">A337+1</f>
        <v>332</v>
      </c>
      <c r="B338" s="1" t="n">
        <v>0</v>
      </c>
      <c r="C338" s="1" t="n">
        <v>2</v>
      </c>
      <c r="D338" s="1" t="n">
        <v>60</v>
      </c>
      <c r="E338" s="1" t="n">
        <v>2</v>
      </c>
      <c r="F338" s="3" t="n">
        <f aca="false">F337*H337*survive+(G337+(1-survive)*F337)*I337</f>
        <v>0.998826754217115</v>
      </c>
      <c r="G338" s="3" t="n">
        <f aca="false">1-F338</f>
        <v>0.00117324578288502</v>
      </c>
      <c r="H338" s="2" t="n">
        <v>1</v>
      </c>
      <c r="I338" s="2" t="n">
        <f aca="false">EXP(alpha0+alpha1*TimeETC+alpha2*PriceETC)/(EXP(alpha1*TimeMAN+alpha2*PriceMAN)+EXP(alpha0+alpha1*TimeETC+alpha2*PriceETC))</f>
        <v>0.289050497374996</v>
      </c>
      <c r="J338" s="1" t="n">
        <f aca="false">alphanought</f>
        <v>-2.7</v>
      </c>
    </row>
    <row r="339" customFormat="false" ht="12.75" hidden="false" customHeight="false" outlineLevel="0" collapsed="false">
      <c r="A339" s="1" t="n">
        <f aca="false">A338+1</f>
        <v>333</v>
      </c>
      <c r="B339" s="1" t="n">
        <v>0</v>
      </c>
      <c r="C339" s="1" t="n">
        <v>2</v>
      </c>
      <c r="D339" s="1" t="n">
        <v>60</v>
      </c>
      <c r="E339" s="1" t="n">
        <v>2</v>
      </c>
      <c r="F339" s="3" t="n">
        <f aca="false">F338*H338*survive+(G338+(1-survive)*F338)*I338</f>
        <v>0.998826754217115</v>
      </c>
      <c r="G339" s="3" t="n">
        <f aca="false">1-F339</f>
        <v>0.00117324578288502</v>
      </c>
      <c r="H339" s="2" t="n">
        <v>1</v>
      </c>
      <c r="I339" s="2" t="n">
        <f aca="false">EXP(alpha0+alpha1*TimeETC+alpha2*PriceETC)/(EXP(alpha1*TimeMAN+alpha2*PriceMAN)+EXP(alpha0+alpha1*TimeETC+alpha2*PriceETC))</f>
        <v>0.289050497374996</v>
      </c>
      <c r="J339" s="1" t="n">
        <f aca="false">alphanought</f>
        <v>-2.7</v>
      </c>
    </row>
    <row r="340" customFormat="false" ht="12.75" hidden="false" customHeight="false" outlineLevel="0" collapsed="false">
      <c r="A340" s="1" t="n">
        <f aca="false">A339+1</f>
        <v>334</v>
      </c>
      <c r="B340" s="1" t="n">
        <v>0</v>
      </c>
      <c r="C340" s="1" t="n">
        <v>2</v>
      </c>
      <c r="D340" s="1" t="n">
        <v>60</v>
      </c>
      <c r="E340" s="1" t="n">
        <v>2</v>
      </c>
      <c r="F340" s="3" t="n">
        <f aca="false">F339*H339*survive+(G339+(1-survive)*F339)*I339</f>
        <v>0.998826754217115</v>
      </c>
      <c r="G340" s="3" t="n">
        <f aca="false">1-F340</f>
        <v>0.00117324578288502</v>
      </c>
      <c r="H340" s="2" t="n">
        <v>1</v>
      </c>
      <c r="I340" s="2" t="n">
        <f aca="false">EXP(alpha0+alpha1*TimeETC+alpha2*PriceETC)/(EXP(alpha1*TimeMAN+alpha2*PriceMAN)+EXP(alpha0+alpha1*TimeETC+alpha2*PriceETC))</f>
        <v>0.289050497374996</v>
      </c>
      <c r="J340" s="1" t="n">
        <f aca="false">alphanought</f>
        <v>-2.7</v>
      </c>
    </row>
    <row r="341" customFormat="false" ht="12.75" hidden="false" customHeight="false" outlineLevel="0" collapsed="false">
      <c r="A341" s="1" t="n">
        <f aca="false">A340+1</f>
        <v>335</v>
      </c>
      <c r="B341" s="1" t="n">
        <v>0</v>
      </c>
      <c r="C341" s="1" t="n">
        <v>2</v>
      </c>
      <c r="D341" s="1" t="n">
        <v>60</v>
      </c>
      <c r="E341" s="1" t="n">
        <v>2</v>
      </c>
      <c r="F341" s="3" t="n">
        <f aca="false">F340*H340*survive+(G340+(1-survive)*F340)*I340</f>
        <v>0.998826754217115</v>
      </c>
      <c r="G341" s="3" t="n">
        <f aca="false">1-F341</f>
        <v>0.00117324578288502</v>
      </c>
      <c r="H341" s="2" t="n">
        <v>1</v>
      </c>
      <c r="I341" s="2" t="n">
        <f aca="false">EXP(alpha0+alpha1*TimeETC+alpha2*PriceETC)/(EXP(alpha1*TimeMAN+alpha2*PriceMAN)+EXP(alpha0+alpha1*TimeETC+alpha2*PriceETC))</f>
        <v>0.289050497374996</v>
      </c>
      <c r="J341" s="1" t="n">
        <f aca="false">alphanought</f>
        <v>-2.7</v>
      </c>
    </row>
    <row r="342" customFormat="false" ht="12.75" hidden="false" customHeight="false" outlineLevel="0" collapsed="false">
      <c r="A342" s="1" t="n">
        <f aca="false">A341+1</f>
        <v>336</v>
      </c>
      <c r="B342" s="1" t="n">
        <v>0</v>
      </c>
      <c r="C342" s="1" t="n">
        <v>2</v>
      </c>
      <c r="D342" s="1" t="n">
        <v>60</v>
      </c>
      <c r="E342" s="1" t="n">
        <v>2</v>
      </c>
      <c r="F342" s="3" t="n">
        <f aca="false">F341*H341*survive+(G341+(1-survive)*F341)*I341</f>
        <v>0.998826754217115</v>
      </c>
      <c r="G342" s="3" t="n">
        <f aca="false">1-F342</f>
        <v>0.00117324578288502</v>
      </c>
      <c r="H342" s="2" t="n">
        <v>1</v>
      </c>
      <c r="I342" s="2" t="n">
        <f aca="false">EXP(alpha0+alpha1*TimeETC+alpha2*PriceETC)/(EXP(alpha1*TimeMAN+alpha2*PriceMAN)+EXP(alpha0+alpha1*TimeETC+alpha2*PriceETC))</f>
        <v>0.289050497374996</v>
      </c>
      <c r="J342" s="1" t="n">
        <f aca="false">alphanought</f>
        <v>-2.7</v>
      </c>
    </row>
    <row r="343" customFormat="false" ht="12.75" hidden="false" customHeight="false" outlineLevel="0" collapsed="false">
      <c r="A343" s="1" t="n">
        <f aca="false">A342+1</f>
        <v>337</v>
      </c>
      <c r="B343" s="1" t="n">
        <v>0</v>
      </c>
      <c r="C343" s="1" t="n">
        <v>2</v>
      </c>
      <c r="D343" s="1" t="n">
        <v>60</v>
      </c>
      <c r="E343" s="1" t="n">
        <v>2</v>
      </c>
      <c r="F343" s="3" t="n">
        <f aca="false">F342*H342*survive+(G342+(1-survive)*F342)*I342</f>
        <v>0.998826754217115</v>
      </c>
      <c r="G343" s="3" t="n">
        <f aca="false">1-F343</f>
        <v>0.00117324578288502</v>
      </c>
      <c r="H343" s="2" t="n">
        <v>1</v>
      </c>
      <c r="I343" s="2" t="n">
        <f aca="false">EXP(alpha0+alpha1*TimeETC+alpha2*PriceETC)/(EXP(alpha1*TimeMAN+alpha2*PriceMAN)+EXP(alpha0+alpha1*TimeETC+alpha2*PriceETC))</f>
        <v>0.289050497374996</v>
      </c>
      <c r="J343" s="1" t="n">
        <f aca="false">alphanought</f>
        <v>-2.7</v>
      </c>
    </row>
    <row r="344" customFormat="false" ht="12.75" hidden="false" customHeight="false" outlineLevel="0" collapsed="false">
      <c r="A344" s="1" t="n">
        <f aca="false">A343+1</f>
        <v>338</v>
      </c>
      <c r="B344" s="1" t="n">
        <v>0</v>
      </c>
      <c r="C344" s="1" t="n">
        <v>2</v>
      </c>
      <c r="D344" s="1" t="n">
        <v>60</v>
      </c>
      <c r="E344" s="1" t="n">
        <v>2</v>
      </c>
      <c r="F344" s="3" t="n">
        <f aca="false">F343*H343*survive+(G343+(1-survive)*F343)*I343</f>
        <v>0.998826754217115</v>
      </c>
      <c r="G344" s="3" t="n">
        <f aca="false">1-F344</f>
        <v>0.00117324578288502</v>
      </c>
      <c r="H344" s="2" t="n">
        <v>1</v>
      </c>
      <c r="I344" s="2" t="n">
        <f aca="false">EXP(alpha0+alpha1*TimeETC+alpha2*PriceETC)/(EXP(alpha1*TimeMAN+alpha2*PriceMAN)+EXP(alpha0+alpha1*TimeETC+alpha2*PriceETC))</f>
        <v>0.289050497374996</v>
      </c>
      <c r="J344" s="1" t="n">
        <f aca="false">alphanought</f>
        <v>-2.7</v>
      </c>
    </row>
    <row r="345" customFormat="false" ht="12.75" hidden="false" customHeight="false" outlineLevel="0" collapsed="false">
      <c r="A345" s="1" t="n">
        <f aca="false">A344+1</f>
        <v>339</v>
      </c>
      <c r="B345" s="1" t="n">
        <v>0</v>
      </c>
      <c r="C345" s="1" t="n">
        <v>2</v>
      </c>
      <c r="D345" s="1" t="n">
        <v>60</v>
      </c>
      <c r="E345" s="1" t="n">
        <v>2</v>
      </c>
      <c r="F345" s="3" t="n">
        <f aca="false">F344*H344*survive+(G344+(1-survive)*F344)*I344</f>
        <v>0.998826754217115</v>
      </c>
      <c r="G345" s="3" t="n">
        <f aca="false">1-F345</f>
        <v>0.00117324578288502</v>
      </c>
      <c r="H345" s="2" t="n">
        <v>1</v>
      </c>
      <c r="I345" s="2" t="n">
        <f aca="false">EXP(alpha0+alpha1*TimeETC+alpha2*PriceETC)/(EXP(alpha1*TimeMAN+alpha2*PriceMAN)+EXP(alpha0+alpha1*TimeETC+alpha2*PriceETC))</f>
        <v>0.289050497374996</v>
      </c>
      <c r="J345" s="1" t="n">
        <f aca="false">alphanought</f>
        <v>-2.7</v>
      </c>
    </row>
    <row r="346" customFormat="false" ht="12.75" hidden="false" customHeight="false" outlineLevel="0" collapsed="false">
      <c r="A346" s="1" t="n">
        <f aca="false">A345+1</f>
        <v>340</v>
      </c>
      <c r="B346" s="1" t="n">
        <v>0</v>
      </c>
      <c r="C346" s="1" t="n">
        <v>2</v>
      </c>
      <c r="D346" s="1" t="n">
        <v>60</v>
      </c>
      <c r="E346" s="1" t="n">
        <v>2</v>
      </c>
      <c r="F346" s="3" t="n">
        <f aca="false">F345*H345*survive+(G345+(1-survive)*F345)*I345</f>
        <v>0.998826754217115</v>
      </c>
      <c r="G346" s="3" t="n">
        <f aca="false">1-F346</f>
        <v>0.00117324578288502</v>
      </c>
      <c r="H346" s="2" t="n">
        <v>1</v>
      </c>
      <c r="I346" s="2" t="n">
        <f aca="false">EXP(alpha0+alpha1*TimeETC+alpha2*PriceETC)/(EXP(alpha1*TimeMAN+alpha2*PriceMAN)+EXP(alpha0+alpha1*TimeETC+alpha2*PriceETC))</f>
        <v>0.289050497374996</v>
      </c>
      <c r="J346" s="1" t="n">
        <f aca="false">alphanought</f>
        <v>-2.7</v>
      </c>
    </row>
    <row r="347" customFormat="false" ht="12.75" hidden="false" customHeight="false" outlineLevel="0" collapsed="false">
      <c r="A347" s="1" t="n">
        <f aca="false">A346+1</f>
        <v>341</v>
      </c>
      <c r="B347" s="1" t="n">
        <v>0</v>
      </c>
      <c r="C347" s="1" t="n">
        <v>2</v>
      </c>
      <c r="D347" s="1" t="n">
        <v>60</v>
      </c>
      <c r="E347" s="1" t="n">
        <v>2</v>
      </c>
      <c r="F347" s="3" t="n">
        <f aca="false">F346*H346*survive+(G346+(1-survive)*F346)*I346</f>
        <v>0.998826754217115</v>
      </c>
      <c r="G347" s="3" t="n">
        <f aca="false">1-F347</f>
        <v>0.00117324578288502</v>
      </c>
      <c r="H347" s="2" t="n">
        <v>1</v>
      </c>
      <c r="I347" s="2" t="n">
        <f aca="false">EXP(alpha0+alpha1*TimeETC+alpha2*PriceETC)/(EXP(alpha1*TimeMAN+alpha2*PriceMAN)+EXP(alpha0+alpha1*TimeETC+alpha2*PriceETC))</f>
        <v>0.289050497374996</v>
      </c>
      <c r="J347" s="1" t="n">
        <f aca="false">alphanought</f>
        <v>-2.7</v>
      </c>
    </row>
    <row r="348" customFormat="false" ht="12.75" hidden="false" customHeight="false" outlineLevel="0" collapsed="false">
      <c r="A348" s="1" t="n">
        <f aca="false">A347+1</f>
        <v>342</v>
      </c>
      <c r="B348" s="1" t="n">
        <v>0</v>
      </c>
      <c r="C348" s="1" t="n">
        <v>2</v>
      </c>
      <c r="D348" s="1" t="n">
        <v>60</v>
      </c>
      <c r="E348" s="1" t="n">
        <v>2</v>
      </c>
      <c r="F348" s="3" t="n">
        <f aca="false">F347*H347*survive+(G347+(1-survive)*F347)*I347</f>
        <v>0.998826754217115</v>
      </c>
      <c r="G348" s="3" t="n">
        <f aca="false">1-F348</f>
        <v>0.00117324578288502</v>
      </c>
      <c r="H348" s="2" t="n">
        <v>1</v>
      </c>
      <c r="I348" s="2" t="n">
        <f aca="false">EXP(alpha0+alpha1*TimeETC+alpha2*PriceETC)/(EXP(alpha1*TimeMAN+alpha2*PriceMAN)+EXP(alpha0+alpha1*TimeETC+alpha2*PriceETC))</f>
        <v>0.289050497374996</v>
      </c>
      <c r="J348" s="1" t="n">
        <f aca="false">alphanought</f>
        <v>-2.7</v>
      </c>
    </row>
    <row r="349" customFormat="false" ht="12.75" hidden="false" customHeight="false" outlineLevel="0" collapsed="false">
      <c r="A349" s="1" t="n">
        <f aca="false">A348+1</f>
        <v>343</v>
      </c>
      <c r="B349" s="1" t="n">
        <v>0</v>
      </c>
      <c r="C349" s="1" t="n">
        <v>2</v>
      </c>
      <c r="D349" s="1" t="n">
        <v>60</v>
      </c>
      <c r="E349" s="1" t="n">
        <v>2</v>
      </c>
      <c r="F349" s="3" t="n">
        <f aca="false">F348*H348*survive+(G348+(1-survive)*F348)*I348</f>
        <v>0.998826754217115</v>
      </c>
      <c r="G349" s="3" t="n">
        <f aca="false">1-F349</f>
        <v>0.00117324578288502</v>
      </c>
      <c r="H349" s="2" t="n">
        <v>1</v>
      </c>
      <c r="I349" s="2" t="n">
        <f aca="false">EXP(alpha0+alpha1*TimeETC+alpha2*PriceETC)/(EXP(alpha1*TimeMAN+alpha2*PriceMAN)+EXP(alpha0+alpha1*TimeETC+alpha2*PriceETC))</f>
        <v>0.289050497374996</v>
      </c>
      <c r="J349" s="1" t="n">
        <f aca="false">alphanought</f>
        <v>-2.7</v>
      </c>
    </row>
    <row r="350" customFormat="false" ht="12.75" hidden="false" customHeight="false" outlineLevel="0" collapsed="false">
      <c r="A350" s="1" t="n">
        <f aca="false">A349+1</f>
        <v>344</v>
      </c>
      <c r="B350" s="1" t="n">
        <v>0</v>
      </c>
      <c r="C350" s="1" t="n">
        <v>2</v>
      </c>
      <c r="D350" s="1" t="n">
        <v>60</v>
      </c>
      <c r="E350" s="1" t="n">
        <v>2</v>
      </c>
      <c r="F350" s="3" t="n">
        <f aca="false">F349*H349*survive+(G349+(1-survive)*F349)*I349</f>
        <v>0.998826754217115</v>
      </c>
      <c r="G350" s="3" t="n">
        <f aca="false">1-F350</f>
        <v>0.00117324578288502</v>
      </c>
      <c r="H350" s="2" t="n">
        <v>1</v>
      </c>
      <c r="I350" s="2" t="n">
        <f aca="false">EXP(alpha0+alpha1*TimeETC+alpha2*PriceETC)/(EXP(alpha1*TimeMAN+alpha2*PriceMAN)+EXP(alpha0+alpha1*TimeETC+alpha2*PriceETC))</f>
        <v>0.289050497374996</v>
      </c>
      <c r="J350" s="1" t="n">
        <f aca="false">alphanought</f>
        <v>-2.7</v>
      </c>
    </row>
    <row r="351" customFormat="false" ht="12.75" hidden="false" customHeight="false" outlineLevel="0" collapsed="false">
      <c r="A351" s="1" t="n">
        <f aca="false">A350+1</f>
        <v>345</v>
      </c>
      <c r="B351" s="1" t="n">
        <v>0</v>
      </c>
      <c r="C351" s="1" t="n">
        <v>2</v>
      </c>
      <c r="D351" s="1" t="n">
        <v>60</v>
      </c>
      <c r="E351" s="1" t="n">
        <v>2</v>
      </c>
      <c r="F351" s="3" t="n">
        <f aca="false">F350*H350*survive+(G350+(1-survive)*F350)*I350</f>
        <v>0.998826754217115</v>
      </c>
      <c r="G351" s="3" t="n">
        <f aca="false">1-F351</f>
        <v>0.00117324578288502</v>
      </c>
      <c r="H351" s="2" t="n">
        <v>1</v>
      </c>
      <c r="I351" s="2" t="n">
        <f aca="false">EXP(alpha0+alpha1*TimeETC+alpha2*PriceETC)/(EXP(alpha1*TimeMAN+alpha2*PriceMAN)+EXP(alpha0+alpha1*TimeETC+alpha2*PriceETC))</f>
        <v>0.289050497374996</v>
      </c>
      <c r="J351" s="1" t="n">
        <f aca="false">alphanought</f>
        <v>-2.7</v>
      </c>
    </row>
    <row r="352" customFormat="false" ht="12.75" hidden="false" customHeight="false" outlineLevel="0" collapsed="false">
      <c r="A352" s="1" t="n">
        <f aca="false">A351+1</f>
        <v>346</v>
      </c>
      <c r="B352" s="1" t="n">
        <v>0</v>
      </c>
      <c r="C352" s="1" t="n">
        <v>2</v>
      </c>
      <c r="D352" s="1" t="n">
        <v>60</v>
      </c>
      <c r="E352" s="1" t="n">
        <v>2</v>
      </c>
      <c r="F352" s="3" t="n">
        <f aca="false">F351*H351*survive+(G351+(1-survive)*F351)*I351</f>
        <v>0.998826754217115</v>
      </c>
      <c r="G352" s="3" t="n">
        <f aca="false">1-F352</f>
        <v>0.00117324578288502</v>
      </c>
      <c r="H352" s="2" t="n">
        <v>1</v>
      </c>
      <c r="I352" s="2" t="n">
        <f aca="false">EXP(alpha0+alpha1*TimeETC+alpha2*PriceETC)/(EXP(alpha1*TimeMAN+alpha2*PriceMAN)+EXP(alpha0+alpha1*TimeETC+alpha2*PriceETC))</f>
        <v>0.289050497374996</v>
      </c>
      <c r="J352" s="1" t="n">
        <f aca="false">alphanought</f>
        <v>-2.7</v>
      </c>
    </row>
    <row r="353" customFormat="false" ht="12.75" hidden="false" customHeight="false" outlineLevel="0" collapsed="false">
      <c r="A353" s="1" t="n">
        <f aca="false">A352+1</f>
        <v>347</v>
      </c>
      <c r="B353" s="1" t="n">
        <v>0</v>
      </c>
      <c r="C353" s="1" t="n">
        <v>2</v>
      </c>
      <c r="D353" s="1" t="n">
        <v>60</v>
      </c>
      <c r="E353" s="1" t="n">
        <v>2</v>
      </c>
      <c r="F353" s="3" t="n">
        <f aca="false">F352*H352*survive+(G352+(1-survive)*F352)*I352</f>
        <v>0.998826754217115</v>
      </c>
      <c r="G353" s="3" t="n">
        <f aca="false">1-F353</f>
        <v>0.00117324578288502</v>
      </c>
      <c r="H353" s="2" t="n">
        <v>1</v>
      </c>
      <c r="I353" s="2" t="n">
        <f aca="false">EXP(alpha0+alpha1*TimeETC+alpha2*PriceETC)/(EXP(alpha1*TimeMAN+alpha2*PriceMAN)+EXP(alpha0+alpha1*TimeETC+alpha2*PriceETC))</f>
        <v>0.289050497374996</v>
      </c>
      <c r="J353" s="1" t="n">
        <f aca="false">alphanought</f>
        <v>-2.7</v>
      </c>
    </row>
    <row r="354" customFormat="false" ht="12.75" hidden="false" customHeight="false" outlineLevel="0" collapsed="false">
      <c r="A354" s="1" t="n">
        <f aca="false">A353+1</f>
        <v>348</v>
      </c>
      <c r="B354" s="1" t="n">
        <v>0</v>
      </c>
      <c r="C354" s="1" t="n">
        <v>2</v>
      </c>
      <c r="D354" s="1" t="n">
        <v>60</v>
      </c>
      <c r="E354" s="1" t="n">
        <v>2</v>
      </c>
      <c r="F354" s="3" t="n">
        <f aca="false">F353*H353*survive+(G353+(1-survive)*F353)*I353</f>
        <v>0.998826754217115</v>
      </c>
      <c r="G354" s="3" t="n">
        <f aca="false">1-F354</f>
        <v>0.00117324578288502</v>
      </c>
      <c r="H354" s="2" t="n">
        <v>1</v>
      </c>
      <c r="I354" s="2" t="n">
        <f aca="false">EXP(alpha0+alpha1*TimeETC+alpha2*PriceETC)/(EXP(alpha1*TimeMAN+alpha2*PriceMAN)+EXP(alpha0+alpha1*TimeETC+alpha2*PriceETC))</f>
        <v>0.289050497374996</v>
      </c>
      <c r="J354" s="1" t="n">
        <f aca="false">alphanought</f>
        <v>-2.7</v>
      </c>
    </row>
    <row r="355" customFormat="false" ht="12.75" hidden="false" customHeight="false" outlineLevel="0" collapsed="false">
      <c r="A355" s="1" t="n">
        <f aca="false">A354+1</f>
        <v>349</v>
      </c>
      <c r="B355" s="1" t="n">
        <v>0</v>
      </c>
      <c r="C355" s="1" t="n">
        <v>2</v>
      </c>
      <c r="D355" s="1" t="n">
        <v>60</v>
      </c>
      <c r="E355" s="1" t="n">
        <v>2</v>
      </c>
      <c r="F355" s="3" t="n">
        <f aca="false">F354*H354*survive+(G354+(1-survive)*F354)*I354</f>
        <v>0.998826754217115</v>
      </c>
      <c r="G355" s="3" t="n">
        <f aca="false">1-F355</f>
        <v>0.00117324578288502</v>
      </c>
      <c r="H355" s="2" t="n">
        <v>1</v>
      </c>
      <c r="I355" s="2" t="n">
        <f aca="false">EXP(alpha0+alpha1*TimeETC+alpha2*PriceETC)/(EXP(alpha1*TimeMAN+alpha2*PriceMAN)+EXP(alpha0+alpha1*TimeETC+alpha2*PriceETC))</f>
        <v>0.289050497374996</v>
      </c>
      <c r="J355" s="1" t="n">
        <f aca="false">alphanought</f>
        <v>-2.7</v>
      </c>
    </row>
    <row r="356" customFormat="false" ht="12.75" hidden="false" customHeight="false" outlineLevel="0" collapsed="false">
      <c r="A356" s="1" t="n">
        <f aca="false">A355+1</f>
        <v>350</v>
      </c>
      <c r="B356" s="1" t="n">
        <v>0</v>
      </c>
      <c r="C356" s="1" t="n">
        <v>2</v>
      </c>
      <c r="D356" s="1" t="n">
        <v>60</v>
      </c>
      <c r="E356" s="1" t="n">
        <v>2</v>
      </c>
      <c r="F356" s="3" t="n">
        <f aca="false">F355*H355*survive+(G355+(1-survive)*F355)*I355</f>
        <v>0.998826754217115</v>
      </c>
      <c r="G356" s="3" t="n">
        <f aca="false">1-F356</f>
        <v>0.00117324578288502</v>
      </c>
      <c r="H356" s="2" t="n">
        <v>1</v>
      </c>
      <c r="I356" s="2" t="n">
        <f aca="false">EXP(alpha0+alpha1*TimeETC+alpha2*PriceETC)/(EXP(alpha1*TimeMAN+alpha2*PriceMAN)+EXP(alpha0+alpha1*TimeETC+alpha2*PriceETC))</f>
        <v>0.289050497374996</v>
      </c>
      <c r="J356" s="1" t="n">
        <f aca="false">alphanought</f>
        <v>-2.7</v>
      </c>
    </row>
    <row r="357" customFormat="false" ht="12.75" hidden="false" customHeight="false" outlineLevel="0" collapsed="false">
      <c r="A357" s="1" t="n">
        <f aca="false">A356+1</f>
        <v>351</v>
      </c>
      <c r="B357" s="1" t="n">
        <v>0</v>
      </c>
      <c r="C357" s="1" t="n">
        <v>2</v>
      </c>
      <c r="D357" s="1" t="n">
        <v>60</v>
      </c>
      <c r="E357" s="1" t="n">
        <v>2</v>
      </c>
      <c r="F357" s="3" t="n">
        <f aca="false">F356*H356*survive+(G356+(1-survive)*F356)*I356</f>
        <v>0.998826754217115</v>
      </c>
      <c r="G357" s="3" t="n">
        <f aca="false">1-F357</f>
        <v>0.00117324578288502</v>
      </c>
      <c r="H357" s="2" t="n">
        <v>1</v>
      </c>
      <c r="I357" s="2" t="n">
        <f aca="false">EXP(alpha0+alpha1*TimeETC+alpha2*PriceETC)/(EXP(alpha1*TimeMAN+alpha2*PriceMAN)+EXP(alpha0+alpha1*TimeETC+alpha2*PriceETC))</f>
        <v>0.289050497374996</v>
      </c>
      <c r="J357" s="1" t="n">
        <f aca="false">alphanought</f>
        <v>-2.7</v>
      </c>
    </row>
    <row r="358" customFormat="false" ht="12.75" hidden="false" customHeight="false" outlineLevel="0" collapsed="false">
      <c r="A358" s="1" t="n">
        <f aca="false">A357+1</f>
        <v>352</v>
      </c>
      <c r="B358" s="1" t="n">
        <v>0</v>
      </c>
      <c r="C358" s="1" t="n">
        <v>2</v>
      </c>
      <c r="D358" s="1" t="n">
        <v>60</v>
      </c>
      <c r="E358" s="1" t="n">
        <v>2</v>
      </c>
      <c r="F358" s="3" t="n">
        <f aca="false">F357*H357*survive+(G357+(1-survive)*F357)*I357</f>
        <v>0.998826754217115</v>
      </c>
      <c r="G358" s="3" t="n">
        <f aca="false">1-F358</f>
        <v>0.00117324578288502</v>
      </c>
      <c r="H358" s="2" t="n">
        <v>1</v>
      </c>
      <c r="I358" s="2" t="n">
        <f aca="false">EXP(alpha0+alpha1*TimeETC+alpha2*PriceETC)/(EXP(alpha1*TimeMAN+alpha2*PriceMAN)+EXP(alpha0+alpha1*TimeETC+alpha2*PriceETC))</f>
        <v>0.289050497374996</v>
      </c>
      <c r="J358" s="1" t="n">
        <f aca="false">alphanought</f>
        <v>-2.7</v>
      </c>
    </row>
    <row r="359" customFormat="false" ht="12.75" hidden="false" customHeight="false" outlineLevel="0" collapsed="false">
      <c r="A359" s="1" t="n">
        <f aca="false">A358+1</f>
        <v>353</v>
      </c>
      <c r="B359" s="1" t="n">
        <v>0</v>
      </c>
      <c r="C359" s="1" t="n">
        <v>2</v>
      </c>
      <c r="D359" s="1" t="n">
        <v>60</v>
      </c>
      <c r="E359" s="1" t="n">
        <v>2</v>
      </c>
      <c r="F359" s="3" t="n">
        <f aca="false">F358*H358*survive+(G358+(1-survive)*F358)*I358</f>
        <v>0.998826754217115</v>
      </c>
      <c r="G359" s="3" t="n">
        <f aca="false">1-F359</f>
        <v>0.00117324578288502</v>
      </c>
      <c r="H359" s="2" t="n">
        <v>1</v>
      </c>
      <c r="I359" s="2" t="n">
        <f aca="false">EXP(alpha0+alpha1*TimeETC+alpha2*PriceETC)/(EXP(alpha1*TimeMAN+alpha2*PriceMAN)+EXP(alpha0+alpha1*TimeETC+alpha2*PriceETC))</f>
        <v>0.289050497374996</v>
      </c>
      <c r="J359" s="1" t="n">
        <f aca="false">alphanought</f>
        <v>-2.7</v>
      </c>
    </row>
    <row r="360" customFormat="false" ht="12.75" hidden="false" customHeight="false" outlineLevel="0" collapsed="false">
      <c r="A360" s="1" t="n">
        <f aca="false">A359+1</f>
        <v>354</v>
      </c>
      <c r="B360" s="1" t="n">
        <v>0</v>
      </c>
      <c r="C360" s="1" t="n">
        <v>2</v>
      </c>
      <c r="D360" s="1" t="n">
        <v>60</v>
      </c>
      <c r="E360" s="1" t="n">
        <v>2</v>
      </c>
      <c r="F360" s="3" t="n">
        <f aca="false">F359*H359*survive+(G359+(1-survive)*F359)*I359</f>
        <v>0.998826754217115</v>
      </c>
      <c r="G360" s="3" t="n">
        <f aca="false">1-F360</f>
        <v>0.00117324578288502</v>
      </c>
      <c r="H360" s="2" t="n">
        <v>1</v>
      </c>
      <c r="I360" s="2" t="n">
        <f aca="false">EXP(alpha0+alpha1*TimeETC+alpha2*PriceETC)/(EXP(alpha1*TimeMAN+alpha2*PriceMAN)+EXP(alpha0+alpha1*TimeETC+alpha2*PriceETC))</f>
        <v>0.289050497374996</v>
      </c>
      <c r="J360" s="1" t="n">
        <f aca="false">alphanought</f>
        <v>-2.7</v>
      </c>
    </row>
    <row r="361" customFormat="false" ht="12.75" hidden="false" customHeight="false" outlineLevel="0" collapsed="false">
      <c r="A361" s="1" t="n">
        <f aca="false">A360+1</f>
        <v>355</v>
      </c>
      <c r="B361" s="1" t="n">
        <v>0</v>
      </c>
      <c r="C361" s="1" t="n">
        <v>2</v>
      </c>
      <c r="D361" s="1" t="n">
        <v>60</v>
      </c>
      <c r="E361" s="1" t="n">
        <v>2</v>
      </c>
      <c r="F361" s="3" t="n">
        <f aca="false">F360*H360*survive+(G360+(1-survive)*F360)*I360</f>
        <v>0.998826754217115</v>
      </c>
      <c r="G361" s="3" t="n">
        <f aca="false">1-F361</f>
        <v>0.00117324578288502</v>
      </c>
      <c r="H361" s="2" t="n">
        <v>1</v>
      </c>
      <c r="I361" s="2" t="n">
        <f aca="false">EXP(alpha0+alpha1*TimeETC+alpha2*PriceETC)/(EXP(alpha1*TimeMAN+alpha2*PriceMAN)+EXP(alpha0+alpha1*TimeETC+alpha2*PriceETC))</f>
        <v>0.289050497374996</v>
      </c>
      <c r="J361" s="1" t="n">
        <f aca="false">alphanought</f>
        <v>-2.7</v>
      </c>
    </row>
    <row r="362" customFormat="false" ht="12.75" hidden="false" customHeight="false" outlineLevel="0" collapsed="false">
      <c r="A362" s="1" t="n">
        <f aca="false">A361+1</f>
        <v>356</v>
      </c>
      <c r="B362" s="1" t="n">
        <v>0</v>
      </c>
      <c r="C362" s="1" t="n">
        <v>2</v>
      </c>
      <c r="D362" s="1" t="n">
        <v>60</v>
      </c>
      <c r="E362" s="1" t="n">
        <v>2</v>
      </c>
      <c r="F362" s="3" t="n">
        <f aca="false">F361*H361*survive+(G361+(1-survive)*F361)*I361</f>
        <v>0.998826754217115</v>
      </c>
      <c r="G362" s="3" t="n">
        <f aca="false">1-F362</f>
        <v>0.00117324578288502</v>
      </c>
      <c r="H362" s="2" t="n">
        <v>1</v>
      </c>
      <c r="I362" s="2" t="n">
        <f aca="false">EXP(alpha0+alpha1*TimeETC+alpha2*PriceETC)/(EXP(alpha1*TimeMAN+alpha2*PriceMAN)+EXP(alpha0+alpha1*TimeETC+alpha2*PriceETC))</f>
        <v>0.289050497374996</v>
      </c>
      <c r="J362" s="1" t="n">
        <f aca="false">alphanought</f>
        <v>-2.7</v>
      </c>
    </row>
    <row r="363" customFormat="false" ht="12.75" hidden="false" customHeight="false" outlineLevel="0" collapsed="false">
      <c r="A363" s="1" t="n">
        <f aca="false">A362+1</f>
        <v>357</v>
      </c>
      <c r="B363" s="1" t="n">
        <v>0</v>
      </c>
      <c r="C363" s="1" t="n">
        <v>2</v>
      </c>
      <c r="D363" s="1" t="n">
        <v>60</v>
      </c>
      <c r="E363" s="1" t="n">
        <v>2</v>
      </c>
      <c r="F363" s="3" t="n">
        <f aca="false">F362*H362*survive+(G362+(1-survive)*F362)*I362</f>
        <v>0.998826754217115</v>
      </c>
      <c r="G363" s="3" t="n">
        <f aca="false">1-F363</f>
        <v>0.00117324578288502</v>
      </c>
      <c r="H363" s="2" t="n">
        <v>1</v>
      </c>
      <c r="I363" s="2" t="n">
        <f aca="false">EXP(alpha0+alpha1*TimeETC+alpha2*PriceETC)/(EXP(alpha1*TimeMAN+alpha2*PriceMAN)+EXP(alpha0+alpha1*TimeETC+alpha2*PriceETC))</f>
        <v>0.289050497374996</v>
      </c>
      <c r="J363" s="1" t="n">
        <f aca="false">alphanought</f>
        <v>-2.7</v>
      </c>
    </row>
    <row r="364" customFormat="false" ht="12.75" hidden="false" customHeight="false" outlineLevel="0" collapsed="false">
      <c r="A364" s="1" t="n">
        <f aca="false">A363+1</f>
        <v>358</v>
      </c>
      <c r="B364" s="1" t="n">
        <v>0</v>
      </c>
      <c r="C364" s="1" t="n">
        <v>2</v>
      </c>
      <c r="D364" s="1" t="n">
        <v>60</v>
      </c>
      <c r="E364" s="1" t="n">
        <v>2</v>
      </c>
      <c r="F364" s="3" t="n">
        <f aca="false">F363*H363*survive+(G363+(1-survive)*F363)*I363</f>
        <v>0.998826754217115</v>
      </c>
      <c r="G364" s="3" t="n">
        <f aca="false">1-F364</f>
        <v>0.00117324578288502</v>
      </c>
      <c r="H364" s="2" t="n">
        <v>1</v>
      </c>
      <c r="I364" s="2" t="n">
        <f aca="false">EXP(alpha0+alpha1*TimeETC+alpha2*PriceETC)/(EXP(alpha1*TimeMAN+alpha2*PriceMAN)+EXP(alpha0+alpha1*TimeETC+alpha2*PriceETC))</f>
        <v>0.289050497374996</v>
      </c>
      <c r="J364" s="1" t="n">
        <f aca="false">alphanought</f>
        <v>-2.7</v>
      </c>
    </row>
    <row r="365" customFormat="false" ht="12.75" hidden="false" customHeight="false" outlineLevel="0" collapsed="false">
      <c r="A365" s="1" t="n">
        <f aca="false">A364+1</f>
        <v>359</v>
      </c>
      <c r="B365" s="1" t="n">
        <v>0</v>
      </c>
      <c r="C365" s="1" t="n">
        <v>2</v>
      </c>
      <c r="D365" s="1" t="n">
        <v>60</v>
      </c>
      <c r="E365" s="1" t="n">
        <v>2</v>
      </c>
      <c r="F365" s="3" t="n">
        <f aca="false">F364*H364*survive+(G364+(1-survive)*F364)*I364</f>
        <v>0.998826754217115</v>
      </c>
      <c r="G365" s="3" t="n">
        <f aca="false">1-F365</f>
        <v>0.00117324578288502</v>
      </c>
      <c r="H365" s="2" t="n">
        <v>1</v>
      </c>
      <c r="I365" s="2" t="n">
        <f aca="false">EXP(alpha0+alpha1*TimeETC+alpha2*PriceETC)/(EXP(alpha1*TimeMAN+alpha2*PriceMAN)+EXP(alpha0+alpha1*TimeETC+alpha2*PriceETC))</f>
        <v>0.289050497374996</v>
      </c>
      <c r="J365" s="1" t="n">
        <f aca="false">alphanought</f>
        <v>-2.7</v>
      </c>
    </row>
    <row r="366" customFormat="false" ht="12.75" hidden="false" customHeight="false" outlineLevel="0" collapsed="false">
      <c r="A366" s="1" t="n">
        <f aca="false">A365+1</f>
        <v>360</v>
      </c>
      <c r="B366" s="1" t="n">
        <v>0</v>
      </c>
      <c r="C366" s="1" t="n">
        <v>2</v>
      </c>
      <c r="D366" s="1" t="n">
        <v>60</v>
      </c>
      <c r="E366" s="1" t="n">
        <v>2</v>
      </c>
      <c r="F366" s="3" t="n">
        <f aca="false">F365*H365*survive+(G365+(1-survive)*F365)*I365</f>
        <v>0.998826754217115</v>
      </c>
      <c r="G366" s="3" t="n">
        <f aca="false">1-F366</f>
        <v>0.00117324578288502</v>
      </c>
      <c r="H366" s="2" t="n">
        <v>1</v>
      </c>
      <c r="I366" s="2" t="n">
        <f aca="false">EXP(alpha0+alpha1*TimeETC+alpha2*PriceETC)/(EXP(alpha1*TimeMAN+alpha2*PriceMAN)+EXP(alpha0+alpha1*TimeETC+alpha2*PriceETC))</f>
        <v>0.289050497374996</v>
      </c>
      <c r="J366" s="1" t="n">
        <f aca="false">alphanought</f>
        <v>-2.7</v>
      </c>
    </row>
    <row r="367" customFormat="false" ht="12.75" hidden="false" customHeight="false" outlineLevel="0" collapsed="false">
      <c r="A367" s="1" t="n">
        <f aca="false">A366+1</f>
        <v>361</v>
      </c>
      <c r="B367" s="1" t="n">
        <v>0</v>
      </c>
      <c r="C367" s="1" t="n">
        <v>2</v>
      </c>
      <c r="D367" s="1" t="n">
        <v>60</v>
      </c>
      <c r="E367" s="1" t="n">
        <v>2</v>
      </c>
      <c r="F367" s="3" t="n">
        <f aca="false">F366*H366*survive+(G366+(1-survive)*F366)*I366</f>
        <v>0.998826754217115</v>
      </c>
      <c r="G367" s="3" t="n">
        <f aca="false">1-F367</f>
        <v>0.00117324578288502</v>
      </c>
      <c r="H367" s="2" t="n">
        <v>1</v>
      </c>
      <c r="I367" s="2" t="n">
        <f aca="false">EXP(alpha0+alpha1*TimeETC+alpha2*PriceETC)/(EXP(alpha1*TimeMAN+alpha2*PriceMAN)+EXP(alpha0+alpha1*TimeETC+alpha2*PriceETC))</f>
        <v>0.289050497374996</v>
      </c>
      <c r="J367" s="1" t="n">
        <f aca="false">alphanought</f>
        <v>-2.7</v>
      </c>
    </row>
    <row r="368" customFormat="false" ht="12.75" hidden="false" customHeight="false" outlineLevel="0" collapsed="false">
      <c r="A368" s="1" t="n">
        <f aca="false">A367+1</f>
        <v>362</v>
      </c>
      <c r="B368" s="1" t="n">
        <v>0</v>
      </c>
      <c r="C368" s="1" t="n">
        <v>2</v>
      </c>
      <c r="D368" s="1" t="n">
        <v>60</v>
      </c>
      <c r="E368" s="1" t="n">
        <v>2</v>
      </c>
      <c r="F368" s="3" t="n">
        <f aca="false">F367*H367*survive+(G367+(1-survive)*F367)*I367</f>
        <v>0.998826754217115</v>
      </c>
      <c r="G368" s="3" t="n">
        <f aca="false">1-F368</f>
        <v>0.00117324578288502</v>
      </c>
      <c r="H368" s="2" t="n">
        <v>1</v>
      </c>
      <c r="I368" s="2" t="n">
        <f aca="false">EXP(alpha0+alpha1*TimeETC+alpha2*PriceETC)/(EXP(alpha1*TimeMAN+alpha2*PriceMAN)+EXP(alpha0+alpha1*TimeETC+alpha2*PriceETC))</f>
        <v>0.289050497374996</v>
      </c>
      <c r="J368" s="1" t="n">
        <f aca="false">alphanought</f>
        <v>-2.7</v>
      </c>
    </row>
    <row r="369" customFormat="false" ht="12.75" hidden="false" customHeight="false" outlineLevel="0" collapsed="false">
      <c r="A369" s="1" t="n">
        <f aca="false">A368+1</f>
        <v>363</v>
      </c>
      <c r="B369" s="1" t="n">
        <v>0</v>
      </c>
      <c r="C369" s="1" t="n">
        <v>2</v>
      </c>
      <c r="D369" s="1" t="n">
        <v>60</v>
      </c>
      <c r="E369" s="1" t="n">
        <v>2</v>
      </c>
      <c r="F369" s="3" t="n">
        <f aca="false">F368*H368*survive+(G368+(1-survive)*F368)*I368</f>
        <v>0.998826754217115</v>
      </c>
      <c r="G369" s="3" t="n">
        <f aca="false">1-F369</f>
        <v>0.00117324578288502</v>
      </c>
      <c r="H369" s="2" t="n">
        <v>1</v>
      </c>
      <c r="I369" s="2" t="n">
        <f aca="false">EXP(alpha0+alpha1*TimeETC+alpha2*PriceETC)/(EXP(alpha1*TimeMAN+alpha2*PriceMAN)+EXP(alpha0+alpha1*TimeETC+alpha2*PriceETC))</f>
        <v>0.289050497374996</v>
      </c>
      <c r="J369" s="1" t="n">
        <f aca="false">alphanought</f>
        <v>-2.7</v>
      </c>
    </row>
    <row r="370" customFormat="false" ht="12.75" hidden="false" customHeight="false" outlineLevel="0" collapsed="false">
      <c r="A370" s="1" t="n">
        <f aca="false">A369+1</f>
        <v>364</v>
      </c>
      <c r="B370" s="1" t="n">
        <v>0</v>
      </c>
      <c r="C370" s="1" t="n">
        <v>2</v>
      </c>
      <c r="D370" s="1" t="n">
        <v>60</v>
      </c>
      <c r="E370" s="1" t="n">
        <v>2</v>
      </c>
      <c r="F370" s="3" t="n">
        <f aca="false">F369*H369*survive+(G369+(1-survive)*F369)*I369</f>
        <v>0.998826754217115</v>
      </c>
      <c r="G370" s="3" t="n">
        <f aca="false">1-F370</f>
        <v>0.00117324578288502</v>
      </c>
      <c r="H370" s="2" t="n">
        <v>1</v>
      </c>
      <c r="I370" s="2" t="n">
        <f aca="false">EXP(alpha0+alpha1*TimeETC+alpha2*PriceETC)/(EXP(alpha1*TimeMAN+alpha2*PriceMAN)+EXP(alpha0+alpha1*TimeETC+alpha2*PriceETC))</f>
        <v>0.289050497374996</v>
      </c>
      <c r="J370" s="1" t="n">
        <f aca="false">alphanought</f>
        <v>-2.7</v>
      </c>
    </row>
    <row r="371" customFormat="false" ht="12.75" hidden="false" customHeight="false" outlineLevel="0" collapsed="false">
      <c r="A371" s="1" t="n">
        <f aca="false">A370+1</f>
        <v>365</v>
      </c>
      <c r="B371" s="1" t="n">
        <v>0</v>
      </c>
      <c r="C371" s="1" t="n">
        <v>2</v>
      </c>
      <c r="D371" s="1" t="n">
        <v>60</v>
      </c>
      <c r="E371" s="1" t="n">
        <v>2</v>
      </c>
      <c r="F371" s="3" t="n">
        <f aca="false">F370*H370*survive+(G370+(1-survive)*F370)*I370</f>
        <v>0.998826754217115</v>
      </c>
      <c r="G371" s="3" t="n">
        <f aca="false">1-F371</f>
        <v>0.00117324578288502</v>
      </c>
      <c r="H371" s="2" t="n">
        <v>1</v>
      </c>
      <c r="I371" s="2" t="n">
        <f aca="false">EXP(alpha0+alpha1*TimeETC+alpha2*PriceETC)/(EXP(alpha1*TimeMAN+alpha2*PriceMAN)+EXP(alpha0+alpha1*TimeETC+alpha2*PriceETC))</f>
        <v>0.289050497374996</v>
      </c>
      <c r="J371" s="1" t="n">
        <f aca="false">alphanought</f>
        <v>-2.7</v>
      </c>
    </row>
    <row r="372" customFormat="false" ht="12.75" hidden="false" customHeight="false" outlineLevel="0" collapsed="false">
      <c r="A372" s="1" t="n">
        <f aca="false">A371+1</f>
        <v>366</v>
      </c>
      <c r="B372" s="1" t="n">
        <v>0</v>
      </c>
      <c r="C372" s="1" t="n">
        <v>2</v>
      </c>
      <c r="D372" s="1" t="n">
        <v>60</v>
      </c>
      <c r="E372" s="1" t="n">
        <v>2</v>
      </c>
      <c r="F372" s="3" t="n">
        <f aca="false">F371*H371*survive+(G371+(1-survive)*F371)*I371</f>
        <v>0.998826754217115</v>
      </c>
      <c r="G372" s="3" t="n">
        <f aca="false">1-F372</f>
        <v>0.00117324578288502</v>
      </c>
      <c r="H372" s="2" t="n">
        <v>1</v>
      </c>
      <c r="I372" s="2" t="n">
        <f aca="false">EXP(alpha0+alpha1*TimeETC+alpha2*PriceETC)/(EXP(alpha1*TimeMAN+alpha2*PriceMAN)+EXP(alpha0+alpha1*TimeETC+alpha2*PriceETC))</f>
        <v>0.289050497374996</v>
      </c>
      <c r="J372" s="1" t="n">
        <f aca="false">alphanought</f>
        <v>-2.7</v>
      </c>
    </row>
    <row r="373" customFormat="false" ht="12.75" hidden="false" customHeight="false" outlineLevel="0" collapsed="false">
      <c r="A373" s="1" t="n">
        <f aca="false">A372+1</f>
        <v>367</v>
      </c>
      <c r="B373" s="1" t="n">
        <v>0</v>
      </c>
      <c r="C373" s="1" t="n">
        <v>2</v>
      </c>
      <c r="D373" s="1" t="n">
        <v>60</v>
      </c>
      <c r="E373" s="1" t="n">
        <v>2</v>
      </c>
      <c r="F373" s="3" t="n">
        <f aca="false">F372*H372*survive+(G372+(1-survive)*F372)*I372</f>
        <v>0.998826754217115</v>
      </c>
      <c r="G373" s="3" t="n">
        <f aca="false">1-F373</f>
        <v>0.00117324578288502</v>
      </c>
      <c r="H373" s="2" t="n">
        <v>1</v>
      </c>
      <c r="I373" s="2" t="n">
        <f aca="false">EXP(alpha0+alpha1*TimeETC+alpha2*PriceETC)/(EXP(alpha1*TimeMAN+alpha2*PriceMAN)+EXP(alpha0+alpha1*TimeETC+alpha2*PriceETC))</f>
        <v>0.289050497374996</v>
      </c>
      <c r="J373" s="1" t="n">
        <f aca="false">alphanought</f>
        <v>-2.7</v>
      </c>
    </row>
    <row r="374" customFormat="false" ht="12.75" hidden="false" customHeight="false" outlineLevel="0" collapsed="false">
      <c r="A374" s="1" t="n">
        <f aca="false">A373+1</f>
        <v>368</v>
      </c>
      <c r="B374" s="1" t="n">
        <v>0</v>
      </c>
      <c r="C374" s="1" t="n">
        <v>2</v>
      </c>
      <c r="D374" s="1" t="n">
        <v>60</v>
      </c>
      <c r="E374" s="1" t="n">
        <v>2</v>
      </c>
      <c r="F374" s="3" t="n">
        <f aca="false">F373*H373*survive+(G373+(1-survive)*F373)*I373</f>
        <v>0.998826754217115</v>
      </c>
      <c r="G374" s="3" t="n">
        <f aca="false">1-F374</f>
        <v>0.00117324578288502</v>
      </c>
      <c r="H374" s="2" t="n">
        <v>1</v>
      </c>
      <c r="I374" s="2" t="n">
        <f aca="false">EXP(alpha0+alpha1*TimeETC+alpha2*PriceETC)/(EXP(alpha1*TimeMAN+alpha2*PriceMAN)+EXP(alpha0+alpha1*TimeETC+alpha2*PriceETC))</f>
        <v>0.289050497374996</v>
      </c>
      <c r="J374" s="1" t="n">
        <f aca="false">alphanought</f>
        <v>-2.7</v>
      </c>
    </row>
    <row r="375" customFormat="false" ht="12.75" hidden="false" customHeight="false" outlineLevel="0" collapsed="false">
      <c r="A375" s="1" t="n">
        <f aca="false">A374+1</f>
        <v>369</v>
      </c>
      <c r="B375" s="1" t="n">
        <v>0</v>
      </c>
      <c r="C375" s="1" t="n">
        <v>2</v>
      </c>
      <c r="D375" s="1" t="n">
        <v>60</v>
      </c>
      <c r="E375" s="1" t="n">
        <v>2</v>
      </c>
      <c r="F375" s="3" t="n">
        <f aca="false">F374*H374*survive+(G374+(1-survive)*F374)*I374</f>
        <v>0.998826754217115</v>
      </c>
      <c r="G375" s="3" t="n">
        <f aca="false">1-F375</f>
        <v>0.00117324578288502</v>
      </c>
      <c r="H375" s="2" t="n">
        <v>1</v>
      </c>
      <c r="I375" s="2" t="n">
        <f aca="false">EXP(alpha0+alpha1*TimeETC+alpha2*PriceETC)/(EXP(alpha1*TimeMAN+alpha2*PriceMAN)+EXP(alpha0+alpha1*TimeETC+alpha2*PriceETC))</f>
        <v>0.289050497374996</v>
      </c>
      <c r="J375" s="1" t="n">
        <f aca="false">alphanought</f>
        <v>-2.7</v>
      </c>
    </row>
    <row r="376" customFormat="false" ht="12.75" hidden="false" customHeight="false" outlineLevel="0" collapsed="false">
      <c r="A376" s="1" t="n">
        <f aca="false">A375+1</f>
        <v>370</v>
      </c>
      <c r="B376" s="1" t="n">
        <v>0</v>
      </c>
      <c r="C376" s="1" t="n">
        <v>2</v>
      </c>
      <c r="D376" s="1" t="n">
        <v>60</v>
      </c>
      <c r="E376" s="1" t="n">
        <v>2</v>
      </c>
      <c r="F376" s="3" t="n">
        <f aca="false">F375*H375*survive+(G375+(1-survive)*F375)*I375</f>
        <v>0.998826754217115</v>
      </c>
      <c r="G376" s="3" t="n">
        <f aca="false">1-F376</f>
        <v>0.00117324578288502</v>
      </c>
      <c r="H376" s="2" t="n">
        <v>1</v>
      </c>
      <c r="I376" s="2" t="n">
        <f aca="false">EXP(alpha0+alpha1*TimeETC+alpha2*PriceETC)/(EXP(alpha1*TimeMAN+alpha2*PriceMAN)+EXP(alpha0+alpha1*TimeETC+alpha2*PriceETC))</f>
        <v>0.289050497374996</v>
      </c>
      <c r="J376" s="1" t="n">
        <f aca="false">alphanought</f>
        <v>-2.7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n">
        <v>0.001</v>
      </c>
      <c r="B1" s="1" t="n">
        <f aca="false">1/A1</f>
        <v>1000</v>
      </c>
    </row>
    <row r="2" customFormat="false" ht="12.75" hidden="false" customHeight="false" outlineLevel="0" collapsed="false">
      <c r="A2" s="1" t="n">
        <v>0.1</v>
      </c>
      <c r="B2" s="1" t="n">
        <f aca="false">1/A2</f>
        <v>10</v>
      </c>
    </row>
    <row r="3" customFormat="false" ht="12.75" hidden="false" customHeight="false" outlineLevel="0" collapsed="false">
      <c r="A3" s="1" t="n">
        <v>0.2</v>
      </c>
      <c r="B3" s="1" t="n">
        <f aca="false">1/A3</f>
        <v>5</v>
      </c>
    </row>
    <row r="4" customFormat="false" ht="12.75" hidden="false" customHeight="false" outlineLevel="0" collapsed="false">
      <c r="A4" s="1" t="n">
        <v>0.3</v>
      </c>
      <c r="B4" s="1" t="n">
        <f aca="false">1/A4</f>
        <v>3.33333333333333</v>
      </c>
    </row>
    <row r="5" customFormat="false" ht="12.75" hidden="false" customHeight="false" outlineLevel="0" collapsed="false">
      <c r="A5" s="1" t="n">
        <v>0.5</v>
      </c>
      <c r="B5" s="1" t="n">
        <f aca="false">1/A5</f>
        <v>2</v>
      </c>
    </row>
    <row r="6" customFormat="false" ht="12.75" hidden="false" customHeight="false" outlineLevel="0" collapsed="false">
      <c r="A6" s="1" t="n">
        <v>0.6</v>
      </c>
      <c r="B6" s="1" t="n">
        <f aca="false">1/A6</f>
        <v>1.66666666666667</v>
      </c>
    </row>
    <row r="7" customFormat="false" ht="12.75" hidden="false" customHeight="false" outlineLevel="0" collapsed="false">
      <c r="A7" s="1" t="n">
        <v>0.7</v>
      </c>
      <c r="B7" s="1" t="n">
        <f aca="false">1/A7</f>
        <v>1.42857142857143</v>
      </c>
    </row>
    <row r="8" customFormat="false" ht="12.75" hidden="false" customHeight="false" outlineLevel="0" collapsed="false">
      <c r="A8" s="1" t="n">
        <v>0.8</v>
      </c>
      <c r="B8" s="1" t="n">
        <f aca="false">1/A8</f>
        <v>1.25</v>
      </c>
    </row>
    <row r="9" customFormat="false" ht="12.75" hidden="false" customHeight="false" outlineLevel="0" collapsed="false">
      <c r="A9" s="1" t="n">
        <v>0.9</v>
      </c>
      <c r="B9" s="1" t="n">
        <f aca="false">1/A9</f>
        <v>1.11111111111111</v>
      </c>
    </row>
    <row r="10" customFormat="false" ht="12.75" hidden="false" customHeight="false" outlineLevel="0" collapsed="false">
      <c r="A10" s="1" t="n">
        <v>1</v>
      </c>
      <c r="B10" s="1" t="n">
        <f aca="false">1/A10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1998-11-26T05:50:11Z</dcterms:created>
  <dc:creator>David Levinson</dc:creator>
  <dc:description/>
  <dc:language>en-AU</dc:language>
  <cp:lastModifiedBy>David Levinson</cp:lastModifiedBy>
  <cp:revision>0</cp:revision>
  <dc:subject/>
  <dc:title/>
</cp:coreProperties>
</file>