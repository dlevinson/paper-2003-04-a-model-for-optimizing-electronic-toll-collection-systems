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-Start" sheetId="1" state="visible" r:id="rId3"/>
    <sheet name="Input-Detail" sheetId="2" state="visible" r:id="rId4"/>
    <sheet name="Results Summary" sheetId="3" state="visible" r:id="rId5"/>
    <sheet name="Results-Detail" sheetId="4" state="visible" r:id="rId6"/>
    <sheet name="Agency Costs Reduction" sheetId="5" state="visible" r:id="rId7"/>
    <sheet name="Delay" sheetId="6" state="visible" r:id="rId8"/>
    <sheet name="PY" sheetId="7" state="visible" r:id="rId9"/>
    <sheet name="Interest Gain" sheetId="8" state="visible" r:id="rId10"/>
    <sheet name="Time Value" sheetId="9" state="visible" r:id="rId11"/>
    <sheet name="Fuel &amp; Emission" sheetId="10" state="visible" r:id="rId12"/>
  </sheets>
  <definedNames>
    <definedName function="false" hidden="false" localSheetId="0" name="_xlnm.Print_Area" vbProcedure="false">'Input-Start'!$1:$65536</definedName>
    <definedName function="false" hidden="false" name="Cost_PY" vbProcedure="false">'Input-Detail'!$BV$36</definedName>
    <definedName function="false" hidden="false" name="Discount_Rate" vbProcedure="false">'Results-Detail'!$C$3</definedName>
    <definedName function="false" hidden="false" name="ETC_Service_Rate" vbProcedure="false">#REF!</definedName>
    <definedName function="false" hidden="false" name="Headway_ETC" vbProcedure="false">Delay!$D$9</definedName>
    <definedName function="false" hidden="false" name="Inflation_Rate" vbProcedure="false">'Input-Detail'!$AF$56</definedName>
    <definedName function="false" hidden="false" name="Manual_Service_Rate" vbProcedure="false">#REF!</definedName>
    <definedName function="false" hidden="false" name="Peak_Arrival_Manual" vbProcedure="false">Delay!$BJ$7:$BJ$27</definedName>
    <definedName function="false" hidden="false" name="Peak_Arrival_Manual_Mor" vbProcedure="false">Delay!$BJ$55:$BJ$75</definedName>
    <definedName function="false" hidden="false" name="Peak_Time_Eve" vbProcedure="false">Delay!$AB$7:$AB$27</definedName>
    <definedName function="false" hidden="false" name="Peak_Time_Mor" vbProcedure="false">Delay!$AB$55:$AB$75</definedName>
    <definedName function="false" hidden="false" name="PY_for_Inf" vbProcedure="false">'Input-Detail'!$BV$34</definedName>
    <definedName function="false" hidden="false" name="Total_Lanes" vbProcedure="false">Delay!$D$10</definedName>
    <definedName function="false" hidden="false" name="Trans_Time_Cash" vbProcedure="false">Delay!$D$7</definedName>
    <definedName function="false" hidden="false" name="Trans_Time_Ticket" vbProcedure="false">Delay!$D$8</definedName>
    <definedName function="false" hidden="false" name="Year" vbProcedure="false">'Input-Detail'!$AD$15:$AD$34</definedName>
    <definedName function="false" hidden="false" localSheetId="2" name="Discount_Rate" vbProcedure="false">'Results Summary'!$C$11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<sst xmlns="http://schemas.openxmlformats.org/spreadsheetml/2006/main" count="943" uniqueCount="511">
  <si>
    <t xml:space="preserve">      0.                             &gt;&gt; INSTRUCTION &lt;&lt;</t>
  </si>
  <si>
    <t xml:space="preserve">I.</t>
  </si>
  <si>
    <t xml:space="preserve">TRAFFIC DATA </t>
  </si>
  <si>
    <t xml:space="preserve">IIa.</t>
  </si>
  <si>
    <t xml:space="preserve">COSTS INFORMATION--Baseline (No ETC)  </t>
  </si>
  <si>
    <t xml:space="preserve">IIb.</t>
  </si>
  <si>
    <t xml:space="preserve">   COSTS INFORMATION--ETC Alternative</t>
  </si>
  <si>
    <t xml:space="preserve">III.</t>
  </si>
  <si>
    <t xml:space="preserve">   FACT OF TOLL TRANSACTION</t>
  </si>
  <si>
    <t xml:space="preserve">IV.</t>
  </si>
  <si>
    <t xml:space="preserve">            TRAVEL AT THE TOLL PLAZA</t>
  </si>
  <si>
    <t xml:space="preserve">V.</t>
  </si>
  <si>
    <t xml:space="preserve">      FUEL CONSUMPTION &amp; OTHER ASSUMPTIONS</t>
  </si>
  <si>
    <t xml:space="preserve">This spreadsheet model is designed exclusively for benefit-cost evaluation of </t>
  </si>
  <si>
    <r>
      <rPr>
        <b val="true"/>
        <sz val="10"/>
        <rFont val="Tahoma"/>
        <family val="2"/>
      </rPr>
      <t xml:space="preserve">       </t>
    </r>
    <r>
      <rPr>
        <b val="true"/>
        <u val="single"/>
        <sz val="10"/>
        <rFont val="Tahoma"/>
        <family val="2"/>
      </rPr>
      <t xml:space="preserve">INSTRUCTION:</t>
    </r>
  </si>
  <si>
    <r>
      <rPr>
        <b val="true"/>
        <sz val="10"/>
        <rFont val="Tahoma"/>
        <family val="2"/>
      </rPr>
      <t xml:space="preserve">     </t>
    </r>
    <r>
      <rPr>
        <b val="true"/>
        <u val="single"/>
        <sz val="10"/>
        <rFont val="Tahoma"/>
        <family val="2"/>
      </rPr>
      <t xml:space="preserve">INSTRUCTION:</t>
    </r>
  </si>
  <si>
    <r>
      <rPr>
        <b val="true"/>
        <sz val="10"/>
        <rFont val="Tahoma"/>
        <family val="2"/>
      </rPr>
      <t xml:space="preserve">      </t>
    </r>
    <r>
      <rPr>
        <b val="true"/>
        <u val="single"/>
        <sz val="10"/>
        <rFont val="Tahoma"/>
        <family val="2"/>
      </rPr>
      <t xml:space="preserve">INSTRUCTION:</t>
    </r>
  </si>
  <si>
    <t xml:space="preserve">Electronic Toll Collection system.</t>
  </si>
  <si>
    <r>
      <rPr>
        <sz val="10"/>
        <rFont val="Tahoma"/>
        <family val="2"/>
      </rPr>
      <t xml:space="preserve">In this section, You are asked to give information about </t>
    </r>
    <r>
      <rPr>
        <i val="true"/>
        <sz val="10"/>
        <color rgb="FF800000"/>
        <rFont val="Tahoma"/>
        <family val="2"/>
      </rPr>
      <t xml:space="preserve">annual traffic</t>
    </r>
  </si>
  <si>
    <r>
      <rPr>
        <sz val="10"/>
        <rFont val="Tahoma"/>
        <family val="2"/>
      </rPr>
      <t xml:space="preserve">In this section, You are asked to give information about </t>
    </r>
    <r>
      <rPr>
        <sz val="10"/>
        <color rgb="FF800000"/>
        <rFont val="Tahoma"/>
        <family val="2"/>
      </rPr>
      <t xml:space="preserve">costs for baseline</t>
    </r>
  </si>
  <si>
    <r>
      <rPr>
        <sz val="10"/>
        <rFont val="Tahoma"/>
        <family val="2"/>
      </rPr>
      <t xml:space="preserve">In this section, You are asked to give information about </t>
    </r>
    <r>
      <rPr>
        <sz val="10"/>
        <color rgb="FF800000"/>
        <rFont val="Tahoma"/>
        <family val="2"/>
      </rPr>
      <t xml:space="preserve">costs under ETC scenario.</t>
    </r>
  </si>
  <si>
    <t xml:space="preserve">Required Inputs - white cells</t>
  </si>
  <si>
    <r>
      <rPr>
        <sz val="10"/>
        <rFont val="Tahoma"/>
        <family val="2"/>
      </rPr>
      <t xml:space="preserve">In this section, You are asked to give information about </t>
    </r>
    <r>
      <rPr>
        <sz val="10"/>
        <color rgb="FF800000"/>
        <rFont val="Tahoma"/>
        <family val="2"/>
      </rPr>
      <t xml:space="preserve">travel fact</t>
    </r>
    <r>
      <rPr>
        <sz val="10"/>
        <rFont val="Tahoma"/>
        <family val="2"/>
      </rPr>
      <t xml:space="preserve"> at the toll plaza</t>
    </r>
  </si>
  <si>
    <t xml:space="preserve">In this section, You are asked to give information about fuel consumption in</t>
  </si>
  <si>
    <r>
      <rPr>
        <i val="true"/>
        <sz val="10"/>
        <color rgb="FF800000"/>
        <rFont val="Tahoma"/>
        <family val="2"/>
      </rPr>
      <t xml:space="preserve"> volume</t>
    </r>
    <r>
      <rPr>
        <sz val="10"/>
        <color rgb="FF800000"/>
        <rFont val="Tahoma"/>
        <family val="2"/>
      </rPr>
      <t xml:space="preserve">, </t>
    </r>
    <r>
      <rPr>
        <i val="true"/>
        <sz val="10"/>
        <color rgb="FF800000"/>
        <rFont val="Tahoma"/>
        <family val="2"/>
      </rPr>
      <t xml:space="preserve">peak hour volume</t>
    </r>
    <r>
      <rPr>
        <sz val="10"/>
        <color rgb="FF800000"/>
        <rFont val="Tahoma"/>
        <family val="2"/>
      </rPr>
      <t xml:space="preserve">, D</t>
    </r>
    <r>
      <rPr>
        <i val="true"/>
        <sz val="10"/>
        <color rgb="FF800000"/>
        <rFont val="Tahoma"/>
        <family val="2"/>
      </rPr>
      <t xml:space="preserve"> factor</t>
    </r>
    <r>
      <rPr>
        <sz val="10"/>
        <color rgb="FF800000"/>
        <rFont val="Tahoma"/>
        <family val="2"/>
      </rPr>
      <t xml:space="preserve"> and </t>
    </r>
    <r>
      <rPr>
        <i val="true"/>
        <sz val="10"/>
        <color rgb="FF800000"/>
        <rFont val="Tahoma"/>
        <family val="2"/>
      </rPr>
      <t xml:space="preserve">duration of peak period</t>
    </r>
    <r>
      <rPr>
        <sz val="10"/>
        <color rgb="FF800000"/>
        <rFont val="Tahoma"/>
        <family val="2"/>
      </rPr>
      <t xml:space="preserve"> and </t>
    </r>
    <r>
      <rPr>
        <i val="true"/>
        <sz val="10"/>
        <color rgb="FF800000"/>
        <rFont val="Tahoma"/>
        <family val="2"/>
      </rPr>
      <t xml:space="preserve">ETC</t>
    </r>
  </si>
  <si>
    <r>
      <rPr>
        <sz val="10"/>
        <color rgb="FF800000"/>
        <rFont val="Tahoma"/>
        <family val="2"/>
      </rPr>
      <t xml:space="preserve"> operations.</t>
    </r>
    <r>
      <rPr>
        <sz val="10"/>
        <rFont val="Tahoma"/>
        <family val="2"/>
      </rPr>
      <t xml:space="preserve">  Costs are broken down into two categories: </t>
    </r>
    <r>
      <rPr>
        <sz val="10"/>
        <color rgb="FF800000"/>
        <rFont val="Tahoma"/>
        <family val="2"/>
      </rPr>
      <t xml:space="preserve">one-time costs and</t>
    </r>
  </si>
  <si>
    <r>
      <rPr>
        <sz val="10"/>
        <rFont val="Tahoma"/>
        <family val="2"/>
      </rPr>
      <t xml:space="preserve">Costs are broken down into two categories: </t>
    </r>
    <r>
      <rPr>
        <sz val="10"/>
        <color rgb="FF800000"/>
        <rFont val="Tahoma"/>
        <family val="2"/>
      </rPr>
      <t xml:space="preserve">capital investment </t>
    </r>
    <r>
      <rPr>
        <sz val="10"/>
        <rFont val="Tahoma"/>
        <family val="2"/>
      </rPr>
      <t xml:space="preserve">and</t>
    </r>
    <r>
      <rPr>
        <sz val="10"/>
        <color rgb="FF800000"/>
        <rFont val="Tahoma"/>
        <family val="2"/>
      </rPr>
      <t xml:space="preserve"> operating costs.</t>
    </r>
  </si>
  <si>
    <t xml:space="preserve"> If you have more information about payment split other base year and year 20, go to</t>
  </si>
  <si>
    <t xml:space="preserve"> order to estimate the fuel reduction, and other general assumptions.</t>
  </si>
  <si>
    <t xml:space="preserve">Where to Start?</t>
  </si>
  <si>
    <r>
      <rPr>
        <i val="true"/>
        <sz val="10"/>
        <color rgb="FF800000"/>
        <rFont val="Tahoma"/>
        <family val="2"/>
      </rPr>
      <t xml:space="preserve"> Split</t>
    </r>
    <r>
      <rPr>
        <sz val="10"/>
        <rFont val="Tahoma"/>
        <family val="2"/>
      </rPr>
      <t xml:space="preserve"> both in base year and in year 20 or one of them.</t>
    </r>
  </si>
  <si>
    <r>
      <rPr>
        <sz val="10"/>
        <color rgb="FF800000"/>
        <rFont val="Tahoma"/>
        <family val="2"/>
      </rPr>
      <t xml:space="preserve"> continuing costs</t>
    </r>
    <r>
      <rPr>
        <sz val="10"/>
        <rFont val="Tahoma"/>
        <family val="2"/>
      </rPr>
      <t xml:space="preserve">.  All the costs are presented </t>
    </r>
    <r>
      <rPr>
        <sz val="10"/>
        <color rgb="FF800000"/>
        <rFont val="Tahoma"/>
        <family val="2"/>
      </rPr>
      <t xml:space="preserve">in current value</t>
    </r>
    <r>
      <rPr>
        <sz val="10"/>
        <rFont val="Tahoma"/>
        <family val="2"/>
      </rPr>
      <t xml:space="preserve">.</t>
    </r>
  </si>
  <si>
    <r>
      <rPr>
        <sz val="10"/>
        <rFont val="Tahoma"/>
        <family val="2"/>
      </rPr>
      <t xml:space="preserve">All the costs are presented </t>
    </r>
    <r>
      <rPr>
        <sz val="10"/>
        <color rgb="FF800000"/>
        <rFont val="Tahoma"/>
        <family val="2"/>
      </rPr>
      <t xml:space="preserve">in current value</t>
    </r>
    <r>
      <rPr>
        <sz val="10"/>
        <rFont val="Tahoma"/>
        <family val="2"/>
      </rPr>
      <t xml:space="preserve">.</t>
    </r>
  </si>
  <si>
    <r>
      <rPr>
        <sz val="10"/>
        <rFont val="Tahoma"/>
        <family val="2"/>
      </rPr>
      <t xml:space="preserve">  </t>
    </r>
    <r>
      <rPr>
        <sz val="10"/>
        <color rgb="FF800000"/>
        <rFont val="Tahoma"/>
        <family val="2"/>
      </rPr>
      <t xml:space="preserve">Table IV, </t>
    </r>
    <r>
      <rPr>
        <u val="single"/>
        <sz val="10"/>
        <color rgb="FF800000"/>
        <rFont val="Tahoma"/>
        <family val="2"/>
      </rPr>
      <t xml:space="preserve">expected payment split</t>
    </r>
    <r>
      <rPr>
        <sz val="10"/>
        <color rgb="FF800000"/>
        <rFont val="Tahoma"/>
        <family val="2"/>
      </rPr>
      <t xml:space="preserve">, in sheet"Input-Details"</t>
    </r>
    <r>
      <rPr>
        <sz val="10"/>
        <rFont val="Tahoma"/>
        <family val="2"/>
      </rPr>
      <t xml:space="preserve"> after completing this table</t>
    </r>
    <r>
      <rPr>
        <sz val="10"/>
        <color rgb="FF800000"/>
        <rFont val="Tahoma"/>
        <family val="2"/>
      </rPr>
      <t xml:space="preserve">.</t>
    </r>
  </si>
  <si>
    <r>
      <rPr>
        <sz val="10"/>
        <rFont val="Tahoma"/>
        <family val="2"/>
      </rPr>
      <t xml:space="preserve">a)</t>
    </r>
    <r>
      <rPr>
        <sz val="10"/>
        <color rgb="FF800000"/>
        <rFont val="Tahoma"/>
        <family val="2"/>
      </rPr>
      <t xml:space="preserve">Ramp Distance prior to (leading from) the Toll Plaza</t>
    </r>
    <r>
      <rPr>
        <sz val="10"/>
        <rFont val="Tahoma"/>
        <family val="2"/>
      </rPr>
      <t xml:space="preserve">: </t>
    </r>
    <r>
      <rPr>
        <sz val="10"/>
        <color rgb="FF666699"/>
        <rFont val="Tahoma"/>
        <family val="2"/>
      </rPr>
      <t xml:space="preserve">The distance that a vehicle</t>
    </r>
  </si>
  <si>
    <r>
      <rPr>
        <sz val="10"/>
        <rFont val="Tahoma"/>
        <family val="2"/>
      </rPr>
      <t xml:space="preserve">The Numbers shown in </t>
    </r>
    <r>
      <rPr>
        <b val="true"/>
        <sz val="10"/>
        <rFont val="Tahoma"/>
        <family val="2"/>
      </rPr>
      <t xml:space="preserve">pink cells</t>
    </r>
    <r>
      <rPr>
        <sz val="10"/>
        <rFont val="Tahoma"/>
        <family val="2"/>
      </rPr>
      <t xml:space="preserve"> are the values from previously studies and</t>
    </r>
  </si>
  <si>
    <r>
      <rPr>
        <sz val="12"/>
        <rFont val="Tahoma"/>
        <family val="2"/>
      </rPr>
      <t xml:space="preserve">Please start with sheet</t>
    </r>
    <r>
      <rPr>
        <b val="true"/>
        <sz val="12"/>
        <rFont val="Tahoma"/>
        <family val="2"/>
      </rPr>
      <t xml:space="preserve"> "Input-Start"</t>
    </r>
    <r>
      <rPr>
        <sz val="12"/>
        <rFont val="Tahoma"/>
        <family val="2"/>
      </rPr>
      <t xml:space="preserve"> and</t>
    </r>
    <r>
      <rPr>
        <b val="true"/>
        <sz val="12"/>
        <rFont val="Tahoma"/>
        <family val="2"/>
      </rPr>
      <t xml:space="preserve"> </t>
    </r>
    <r>
      <rPr>
        <sz val="12"/>
        <rFont val="Tahoma"/>
        <family val="2"/>
      </rPr>
      <t xml:space="preserve">fill out all required cells.  You may check</t>
    </r>
  </si>
  <si>
    <r>
      <rPr>
        <sz val="10"/>
        <rFont val="Tahoma"/>
        <family val="2"/>
      </rPr>
      <t xml:space="preserve">If you have information in between, go to sheet "</t>
    </r>
    <r>
      <rPr>
        <sz val="10"/>
        <color rgb="FF800000"/>
        <rFont val="Tahoma"/>
        <family val="2"/>
      </rPr>
      <t xml:space="preserve">Input-Detail" table Ia, Ib, and 1c</t>
    </r>
  </si>
  <si>
    <r>
      <rPr>
        <sz val="10"/>
        <rFont val="Tahoma"/>
        <family val="2"/>
      </rPr>
      <t xml:space="preserve">Go to sheet </t>
    </r>
    <r>
      <rPr>
        <sz val="10"/>
        <color rgb="FF800000"/>
        <rFont val="Tahoma"/>
        <family val="2"/>
      </rPr>
      <t xml:space="preserve">"Input-Detail" table IIa</t>
    </r>
    <r>
      <rPr>
        <sz val="10"/>
        <rFont val="Tahoma"/>
        <family val="2"/>
      </rPr>
      <t xml:space="preserve"> after completing this table if you have</t>
    </r>
  </si>
  <si>
    <r>
      <rPr>
        <sz val="10"/>
        <rFont val="Tahoma"/>
        <family val="2"/>
      </rPr>
      <t xml:space="preserve">If you have more information, go to sheet </t>
    </r>
    <r>
      <rPr>
        <sz val="10"/>
        <color rgb="FF800000"/>
        <rFont val="Tahoma"/>
        <family val="2"/>
      </rPr>
      <t xml:space="preserve">"Input-Detail" table IIb</t>
    </r>
    <r>
      <rPr>
        <sz val="10"/>
        <rFont val="Tahoma"/>
        <family val="2"/>
      </rPr>
      <t xml:space="preserve"> after completing this table.</t>
    </r>
  </si>
  <si>
    <t xml:space="preserve">Default Values - pink cells</t>
  </si>
  <si>
    <r>
      <rPr>
        <sz val="10"/>
        <rFont val="Tahoma"/>
        <family val="2"/>
      </rPr>
      <t xml:space="preserve">   </t>
    </r>
    <r>
      <rPr>
        <sz val="10"/>
        <color rgb="FF666699"/>
        <rFont val="Tahoma"/>
        <family val="2"/>
      </rPr>
      <t xml:space="preserve">starts to slow down from the normal speed (to accelerate from complete stop).</t>
    </r>
  </si>
  <si>
    <t xml:space="preserve"> used as default values to run the model.  Please update it if you have</t>
  </si>
  <si>
    <r>
      <rPr>
        <sz val="12"/>
        <rFont val="Tahoma"/>
        <family val="2"/>
      </rPr>
      <t xml:space="preserve"> "</t>
    </r>
    <r>
      <rPr>
        <b val="true"/>
        <sz val="12"/>
        <rFont val="Tahoma"/>
        <family val="2"/>
      </rPr>
      <t xml:space="preserve">Input-Detail</t>
    </r>
    <r>
      <rPr>
        <sz val="12"/>
        <rFont val="Tahoma"/>
        <family val="2"/>
      </rPr>
      <t xml:space="preserve">" and make some changes based on your own knowledge, or go to the</t>
    </r>
  </si>
  <si>
    <t xml:space="preserve"> after completing this table.</t>
  </si>
  <si>
    <t xml:space="preserve"> detailed information regarding baseline costs.</t>
  </si>
  <si>
    <t xml:space="preserve"> The values shown in the pink cells are the default number we used previously to run</t>
  </si>
  <si>
    <r>
      <rPr>
        <sz val="10"/>
        <rFont val="Tahoma"/>
        <family val="2"/>
      </rPr>
      <t xml:space="preserve">b)</t>
    </r>
    <r>
      <rPr>
        <sz val="10"/>
        <color rgb="FF800000"/>
        <rFont val="Tahoma"/>
        <family val="2"/>
      </rPr>
      <t xml:space="preserve">Prevailing Travel Speed:</t>
    </r>
    <r>
      <rPr>
        <sz val="10"/>
        <rFont val="Tahoma"/>
        <family val="2"/>
      </rPr>
      <t xml:space="preserve">  </t>
    </r>
    <r>
      <rPr>
        <sz val="10"/>
        <color rgb="FF666699"/>
        <rFont val="Tahoma"/>
        <family val="2"/>
      </rPr>
      <t xml:space="preserve">The travel speed in the adjacent highway sections that </t>
    </r>
  </si>
  <si>
    <t xml:space="preserve"> different values in your case.</t>
  </si>
  <si>
    <r>
      <rPr>
        <sz val="12"/>
        <rFont val="Tahoma"/>
        <family val="2"/>
      </rPr>
      <t xml:space="preserve"> "</t>
    </r>
    <r>
      <rPr>
        <b val="true"/>
        <sz val="12"/>
        <rFont val="Tahoma"/>
        <family val="2"/>
      </rPr>
      <t xml:space="preserve">Results Summary</t>
    </r>
    <r>
      <rPr>
        <sz val="12"/>
        <rFont val="Tahoma"/>
        <family val="2"/>
      </rPr>
      <t xml:space="preserve">" and "</t>
    </r>
    <r>
      <rPr>
        <b val="true"/>
        <sz val="12"/>
        <rFont val="Tahoma"/>
        <family val="2"/>
      </rPr>
      <t xml:space="preserve">Results-Detail</t>
    </r>
    <r>
      <rPr>
        <sz val="12"/>
        <rFont val="Tahoma"/>
        <family val="2"/>
      </rPr>
      <t xml:space="preserve">" directly to find out the analytical results.</t>
    </r>
  </si>
  <si>
    <r>
      <rPr>
        <sz val="10"/>
        <rFont val="Tahoma"/>
        <family val="2"/>
      </rPr>
      <t xml:space="preserve">a) </t>
    </r>
    <r>
      <rPr>
        <sz val="10"/>
        <color rgb="FF800000"/>
        <rFont val="Tahoma"/>
        <family val="2"/>
      </rPr>
      <t xml:space="preserve">Capital Investment</t>
    </r>
    <r>
      <rPr>
        <sz val="10"/>
        <rFont val="Tahoma"/>
        <family val="2"/>
      </rPr>
      <t xml:space="preserve">: Initial investment needed to implement ETC project</t>
    </r>
  </si>
  <si>
    <t xml:space="preserve">  the model, please change it if you have different numbers.</t>
  </si>
  <si>
    <t xml:space="preserve">   is not influenced by the existence of the toll plaza.</t>
  </si>
  <si>
    <r>
      <rPr>
        <b val="true"/>
        <sz val="12"/>
        <rFont val="Tahoma"/>
        <family val="2"/>
      </rPr>
      <t xml:space="preserve">Notice that</t>
    </r>
    <r>
      <rPr>
        <sz val="12"/>
        <rFont val="Tahoma"/>
        <family val="2"/>
      </rPr>
      <t xml:space="preserve">:always complete this sheet first.</t>
    </r>
  </si>
  <si>
    <r>
      <rPr>
        <sz val="10"/>
        <rFont val="Tahoma"/>
        <family val="2"/>
      </rPr>
      <t xml:space="preserve">a) </t>
    </r>
    <r>
      <rPr>
        <sz val="10"/>
        <color rgb="FF800000"/>
        <rFont val="Tahoma"/>
        <family val="2"/>
      </rPr>
      <t xml:space="preserve">Annual Traffic Volume in Base Year </t>
    </r>
    <r>
      <rPr>
        <sz val="10"/>
        <rFont val="Tahoma"/>
        <family val="2"/>
      </rPr>
      <t xml:space="preserve">as well as</t>
    </r>
    <r>
      <rPr>
        <sz val="10"/>
        <color rgb="FF800000"/>
        <rFont val="Tahoma"/>
        <family val="2"/>
      </rPr>
      <t xml:space="preserve"> in Year 20:</t>
    </r>
  </si>
  <si>
    <r>
      <rPr>
        <sz val="10"/>
        <rFont val="Tahoma"/>
        <family val="2"/>
      </rPr>
      <t xml:space="preserve">a) </t>
    </r>
    <r>
      <rPr>
        <sz val="10"/>
        <color rgb="FF800000"/>
        <rFont val="Tahoma"/>
        <family val="2"/>
      </rPr>
      <t xml:space="preserve">One-Time Costs</t>
    </r>
    <r>
      <rPr>
        <sz val="10"/>
        <rFont val="Tahoma"/>
        <family val="2"/>
      </rPr>
      <t xml:space="preserve">: Costs which occur only once at a specific point of time.</t>
    </r>
  </si>
  <si>
    <r>
      <rPr>
        <sz val="10"/>
        <rFont val="Tahoma"/>
        <family val="2"/>
      </rPr>
      <t xml:space="preserve">b) </t>
    </r>
    <r>
      <rPr>
        <sz val="10"/>
        <color rgb="FF800000"/>
        <rFont val="Tahoma"/>
        <family val="2"/>
      </rPr>
      <t xml:space="preserve">Operating Costs</t>
    </r>
    <r>
      <rPr>
        <sz val="10"/>
        <rFont val="Tahoma"/>
        <family val="2"/>
      </rPr>
      <t xml:space="preserve">: Costs in order to operate the system under ETC scenario</t>
    </r>
  </si>
  <si>
    <r>
      <rPr>
        <sz val="10"/>
        <rFont val="Tahoma"/>
        <family val="2"/>
      </rPr>
      <t xml:space="preserve">a) </t>
    </r>
    <r>
      <rPr>
        <sz val="10"/>
        <color rgb="FF800000"/>
        <rFont val="Tahoma"/>
        <family val="2"/>
      </rPr>
      <t xml:space="preserve">Avg. Tags per Account:</t>
    </r>
    <r>
      <rPr>
        <sz val="10"/>
        <rFont val="Tahoma"/>
        <family val="2"/>
      </rPr>
      <t xml:space="preserve">  </t>
    </r>
    <r>
      <rPr>
        <sz val="10"/>
        <color rgb="FF666699"/>
        <rFont val="Tahoma"/>
        <family val="2"/>
      </rPr>
      <t xml:space="preserve">The ratio of  the number of transponders issued over</t>
    </r>
  </si>
  <si>
    <t xml:space="preserve">Assumptions about Fuel Consumption</t>
  </si>
  <si>
    <r>
      <rPr>
        <sz val="10"/>
        <color rgb="FF666699"/>
        <rFont val="Tahoma"/>
        <family val="2"/>
      </rPr>
      <t xml:space="preserve">    "</t>
    </r>
    <r>
      <rPr>
        <i val="true"/>
        <sz val="10"/>
        <color rgb="FF666699"/>
        <rFont val="Tahoma"/>
        <family val="2"/>
      </rPr>
      <t xml:space="preserve">Annual Traffic Volume"</t>
    </r>
    <r>
      <rPr>
        <sz val="10"/>
        <rFont val="Tahoma"/>
        <family val="2"/>
      </rPr>
      <t xml:space="preserve"> here is defined as</t>
    </r>
    <r>
      <rPr>
        <sz val="10"/>
        <color rgb="FF666699"/>
        <rFont val="Tahoma"/>
        <family val="2"/>
      </rPr>
      <t xml:space="preserve"> the number of traffic goes </t>
    </r>
  </si>
  <si>
    <t xml:space="preserve">      enter "0" if no costs incurred.</t>
  </si>
  <si>
    <r>
      <rPr>
        <sz val="10"/>
        <rFont val="Tahoma"/>
        <family val="2"/>
      </rPr>
      <t xml:space="preserve">  1) </t>
    </r>
    <r>
      <rPr>
        <sz val="10"/>
        <color rgb="FF800000"/>
        <rFont val="Tahoma"/>
        <family val="2"/>
      </rPr>
      <t xml:space="preserve">One-time costs: </t>
    </r>
    <r>
      <rPr>
        <sz val="10"/>
        <rFont val="Tahoma"/>
        <family val="2"/>
      </rPr>
      <t xml:space="preserve">costs which occur only once at a specific point of time</t>
    </r>
  </si>
  <si>
    <r>
      <rPr>
        <sz val="10"/>
        <rFont val="Tahoma"/>
        <family val="2"/>
      </rPr>
      <t xml:space="preserve">   </t>
    </r>
    <r>
      <rPr>
        <sz val="10"/>
        <color rgb="FF666699"/>
        <rFont val="Tahoma"/>
        <family val="2"/>
      </rPr>
      <t xml:space="preserve">over the number of accounts open</t>
    </r>
    <r>
      <rPr>
        <sz val="10"/>
        <rFont val="Tahoma"/>
        <family val="2"/>
      </rPr>
      <t xml:space="preserve">.  Several cars may share one account.</t>
    </r>
  </si>
  <si>
    <r>
      <rPr>
        <sz val="10"/>
        <rFont val="Tahoma"/>
        <family val="2"/>
      </rPr>
      <t xml:space="preserve">The numbers in </t>
    </r>
    <r>
      <rPr>
        <b val="true"/>
        <sz val="10"/>
        <rFont val="Tahoma"/>
        <family val="2"/>
      </rPr>
      <t xml:space="preserve">pink cells</t>
    </r>
    <r>
      <rPr>
        <sz val="10"/>
        <rFont val="Tahoma"/>
        <family val="2"/>
      </rPr>
      <t xml:space="preserve"> are used previously to run the model, please update it </t>
    </r>
  </si>
  <si>
    <t xml:space="preserve">Other sheets in this files are for the sake of estimation.  You may want to have a</t>
  </si>
  <si>
    <r>
      <rPr>
        <sz val="10"/>
        <rFont val="Tahoma"/>
        <family val="2"/>
      </rPr>
      <t xml:space="preserve">    </t>
    </r>
    <r>
      <rPr>
        <sz val="10"/>
        <color rgb="FF666699"/>
        <rFont val="Tahoma"/>
        <family val="2"/>
      </rPr>
      <t xml:space="preserve">through the Toll Plaza per year.</t>
    </r>
  </si>
  <si>
    <r>
      <rPr>
        <sz val="10"/>
        <rFont val="Tahoma"/>
        <family val="2"/>
      </rPr>
      <t xml:space="preserve">b) </t>
    </r>
    <r>
      <rPr>
        <sz val="10"/>
        <color rgb="FF800000"/>
        <rFont val="Tahoma"/>
        <family val="2"/>
      </rPr>
      <t xml:space="preserve">Continuing Costs</t>
    </r>
    <r>
      <rPr>
        <sz val="10"/>
        <rFont val="Tahoma"/>
        <family val="2"/>
      </rPr>
      <t xml:space="preserve">: Costs incurred every year</t>
    </r>
  </si>
  <si>
    <r>
      <rPr>
        <sz val="10"/>
        <rFont val="Tahoma"/>
        <family val="2"/>
      </rPr>
      <t xml:space="preserve">  2) </t>
    </r>
    <r>
      <rPr>
        <sz val="10"/>
        <color rgb="FF800000"/>
        <rFont val="Tahoma"/>
        <family val="2"/>
      </rPr>
      <t xml:space="preserve">Operations/Materials Costs</t>
    </r>
  </si>
  <si>
    <r>
      <rPr>
        <sz val="10"/>
        <rFont val="Tahoma"/>
        <family val="2"/>
      </rPr>
      <t xml:space="preserve">b)</t>
    </r>
    <r>
      <rPr>
        <sz val="10"/>
        <color rgb="FF800000"/>
        <rFont val="Tahoma"/>
        <family val="2"/>
      </rPr>
      <t xml:space="preserve">Avg. Usage per Year</t>
    </r>
    <r>
      <rPr>
        <sz val="10"/>
        <rFont val="Tahoma"/>
        <family val="2"/>
      </rPr>
      <t xml:space="preserve">:  </t>
    </r>
    <r>
      <rPr>
        <sz val="10"/>
        <color rgb="FF666699"/>
        <rFont val="Tahoma"/>
        <family val="2"/>
      </rPr>
      <t xml:space="preserve">Total number of transactions divided by the total</t>
    </r>
  </si>
  <si>
    <t xml:space="preserve">if your case has different values .</t>
  </si>
  <si>
    <t xml:space="preserve">Average Mileage of Consuming one Gallon of Fuel</t>
  </si>
  <si>
    <t xml:space="preserve"> glance and get a general idea of how to get these numbers.  You can refer to </t>
  </si>
  <si>
    <r>
      <rPr>
        <sz val="10"/>
        <rFont val="Tahoma"/>
        <family val="2"/>
      </rPr>
      <t xml:space="preserve">b) </t>
    </r>
    <r>
      <rPr>
        <sz val="10"/>
        <color rgb="FF800000"/>
        <rFont val="Tahoma"/>
        <family val="2"/>
      </rPr>
      <t xml:space="preserve">Expected ETC Split in Base Year</t>
    </r>
    <r>
      <rPr>
        <sz val="10"/>
        <rFont val="Tahoma"/>
        <family val="2"/>
      </rPr>
      <t xml:space="preserve"> as well as </t>
    </r>
    <r>
      <rPr>
        <sz val="10"/>
        <color rgb="FF800000"/>
        <rFont val="Tahoma"/>
        <family val="2"/>
      </rPr>
      <t xml:space="preserve">in Year 20</t>
    </r>
  </si>
  <si>
    <r>
      <rPr>
        <sz val="10"/>
        <rFont val="Tahoma"/>
        <family val="2"/>
      </rPr>
      <t xml:space="preserve">  1) </t>
    </r>
    <r>
      <rPr>
        <sz val="10"/>
        <color rgb="FF800000"/>
        <rFont val="Tahoma"/>
        <family val="2"/>
      </rPr>
      <t xml:space="preserve">Operations/Materials Costs</t>
    </r>
  </si>
  <si>
    <r>
      <rPr>
        <sz val="10"/>
        <rFont val="Tahoma"/>
        <family val="2"/>
      </rPr>
      <t xml:space="preserve">  3) </t>
    </r>
    <r>
      <rPr>
        <sz val="10"/>
        <color rgb="FF800000"/>
        <rFont val="Tahoma"/>
        <family val="2"/>
      </rPr>
      <t xml:space="preserve">Others</t>
    </r>
  </si>
  <si>
    <r>
      <rPr>
        <sz val="10"/>
        <rFont val="Tahoma"/>
        <family val="2"/>
      </rPr>
      <t xml:space="preserve">   </t>
    </r>
    <r>
      <rPr>
        <sz val="10"/>
        <color rgb="FF666699"/>
        <rFont val="Tahoma"/>
        <family val="2"/>
      </rPr>
      <t xml:space="preserve">number of accounts open.</t>
    </r>
  </si>
  <si>
    <t xml:space="preserve">Fuel Price per Gallon</t>
  </si>
  <si>
    <t xml:space="preserve"> footnotes right below the spreadsheet which provide formula and assumptions </t>
  </si>
  <si>
    <r>
      <rPr>
        <sz val="10"/>
        <rFont val="Tahoma"/>
        <family val="2"/>
      </rPr>
      <t xml:space="preserve">c) </t>
    </r>
    <r>
      <rPr>
        <sz val="10"/>
        <color rgb="FF800000"/>
        <rFont val="Tahoma"/>
        <family val="2"/>
      </rPr>
      <t xml:space="preserve">Peak Hour Volume (PHV) in Base Year.</t>
    </r>
  </si>
  <si>
    <r>
      <rPr>
        <sz val="10"/>
        <rFont val="Tahoma"/>
        <family val="2"/>
      </rPr>
      <t xml:space="preserve">  2) </t>
    </r>
    <r>
      <rPr>
        <sz val="10"/>
        <color rgb="FF800000"/>
        <rFont val="Tahoma"/>
        <family val="2"/>
      </rPr>
      <t xml:space="preserve">Others</t>
    </r>
  </si>
  <si>
    <t xml:space="preserve">Staff Costs is estimated automatically by given units of personal year needed for toll</t>
  </si>
  <si>
    <r>
      <rPr>
        <sz val="10"/>
        <rFont val="Tahoma"/>
        <family val="2"/>
      </rPr>
      <t xml:space="preserve">c)</t>
    </r>
    <r>
      <rPr>
        <sz val="10"/>
        <color rgb="FF800000"/>
        <rFont val="Tahoma"/>
        <family val="2"/>
      </rPr>
      <t xml:space="preserve">Deposits:</t>
    </r>
    <r>
      <rPr>
        <sz val="10"/>
        <color rgb="FF666699"/>
        <rFont val="Tahoma"/>
        <family val="2"/>
      </rPr>
      <t xml:space="preserve">  This number refers to the required deposits for transponders.</t>
    </r>
  </si>
  <si>
    <t xml:space="preserve">Emission Rates during Acceleration (grams/gallon)</t>
  </si>
  <si>
    <t xml:space="preserve"> employed to proceed the clalculation.</t>
  </si>
  <si>
    <r>
      <rPr>
        <sz val="10"/>
        <rFont val="Tahoma"/>
        <family val="2"/>
      </rPr>
      <t xml:space="preserve">   </t>
    </r>
    <r>
      <rPr>
        <i val="true"/>
        <sz val="10"/>
        <rFont val="Tahoma"/>
        <family val="2"/>
      </rPr>
      <t xml:space="preserve"> </t>
    </r>
    <r>
      <rPr>
        <i val="true"/>
        <sz val="10"/>
        <color rgb="FF666699"/>
        <rFont val="Tahoma"/>
        <family val="2"/>
      </rPr>
      <t xml:space="preserve">"Peak Hour Volume"</t>
    </r>
    <r>
      <rPr>
        <sz val="10"/>
        <rFont val="Tahoma"/>
        <family val="2"/>
      </rPr>
      <t xml:space="preserve"> here is defined as</t>
    </r>
    <r>
      <rPr>
        <sz val="10"/>
        <color rgb="FF800000"/>
        <rFont val="Tahoma"/>
        <family val="2"/>
      </rPr>
      <t xml:space="preserve"> </t>
    </r>
    <r>
      <rPr>
        <sz val="10"/>
        <color rgb="FF666699"/>
        <rFont val="Tahoma"/>
        <family val="2"/>
      </rPr>
      <t xml:space="preserve">traffic volume in both direction during</t>
    </r>
  </si>
  <si>
    <t xml:space="preserve">Staff Costs is estimated automatically by given units of personal year needed for</t>
  </si>
  <si>
    <t xml:space="preserve"> collection and information technology,  and costs per personal year.</t>
  </si>
  <si>
    <t xml:space="preserve">Configuration of the Toll Plaza</t>
  </si>
  <si>
    <t xml:space="preserve">Nox</t>
  </si>
  <si>
    <r>
      <rPr>
        <sz val="10"/>
        <color rgb="FF800000"/>
        <rFont val="Tahoma"/>
        <family val="2"/>
      </rPr>
      <t xml:space="preserve">     </t>
    </r>
    <r>
      <rPr>
        <sz val="10"/>
        <color rgb="FF666699"/>
        <rFont val="Tahoma"/>
        <family val="2"/>
      </rPr>
      <t xml:space="preserve">the peak period.</t>
    </r>
  </si>
  <si>
    <t xml:space="preserve"> toll collection and information technology,  and costs per personal year.</t>
  </si>
  <si>
    <t xml:space="preserve">Transaction Time (sec)</t>
  </si>
  <si>
    <t xml:space="preserve">Total Number of Lanes (max 22)</t>
  </si>
  <si>
    <t xml:space="preserve">HC</t>
  </si>
  <si>
    <r>
      <rPr>
        <sz val="10"/>
        <rFont val="Wingdings"/>
        <family val="0"/>
      </rPr>
      <t xml:space="preserve">q</t>
    </r>
    <r>
      <rPr>
        <b val="true"/>
        <sz val="10"/>
        <rFont val="Tahoma"/>
        <family val="2"/>
      </rPr>
      <t xml:space="preserve"> </t>
    </r>
    <r>
      <rPr>
        <b val="true"/>
        <sz val="11"/>
        <rFont val="Tahoma"/>
        <family val="2"/>
      </rPr>
      <t xml:space="preserve">SHEET "Input-Start"</t>
    </r>
  </si>
  <si>
    <r>
      <rPr>
        <sz val="10"/>
        <rFont val="Tahoma"/>
        <family val="2"/>
      </rPr>
      <t xml:space="preserve">d) </t>
    </r>
    <r>
      <rPr>
        <sz val="10"/>
        <color rgb="FF800000"/>
        <rFont val="Tahoma"/>
        <family val="2"/>
      </rPr>
      <t xml:space="preserve">Peak Hour Duration (T) in Base Year</t>
    </r>
  </si>
  <si>
    <t xml:space="preserve">Year</t>
  </si>
  <si>
    <t xml:space="preserve">Capital Investment</t>
  </si>
  <si>
    <t xml:space="preserve">Operating Costs</t>
  </si>
  <si>
    <t xml:space="preserve">Cash</t>
  </si>
  <si>
    <t xml:space="preserve">Ramp Distance prior to the Toll Plaza (miles)</t>
  </si>
  <si>
    <t xml:space="preserve">CO</t>
  </si>
  <si>
    <r>
      <rPr>
        <sz val="11"/>
        <rFont val="Tahoma"/>
        <family val="2"/>
      </rPr>
      <t xml:space="preserve">    In this Sheet, you are asked to give the </t>
    </r>
    <r>
      <rPr>
        <sz val="11"/>
        <color rgb="FF800000"/>
        <rFont val="Tahoma"/>
        <family val="2"/>
      </rPr>
      <t xml:space="preserve">basic information</t>
    </r>
    <r>
      <rPr>
        <sz val="11"/>
        <rFont val="Tahoma"/>
        <family val="2"/>
      </rPr>
      <t xml:space="preserve"> required for Benefit-Cost analysis.</t>
    </r>
  </si>
  <si>
    <r>
      <rPr>
        <sz val="10"/>
        <rFont val="Tahoma"/>
        <family val="2"/>
      </rPr>
      <t xml:space="preserve">e) </t>
    </r>
    <r>
      <rPr>
        <sz val="10"/>
        <color rgb="FF800000"/>
        <rFont val="Tahoma"/>
        <family val="2"/>
      </rPr>
      <t xml:space="preserve">D factor (D) in Base Year - directional split</t>
    </r>
  </si>
  <si>
    <t xml:space="preserve">One-Time Costs</t>
  </si>
  <si>
    <t xml:space="preserve">Continuing Costs:</t>
  </si>
  <si>
    <t xml:space="preserve">Staff</t>
  </si>
  <si>
    <t xml:space="preserve">Operations/Materials</t>
  </si>
  <si>
    <t xml:space="preserve">Other</t>
  </si>
  <si>
    <t xml:space="preserve">Ticket</t>
  </si>
  <si>
    <t xml:space="preserve">Ramp Distance leading from the toll Plaza (miles)</t>
  </si>
  <si>
    <t xml:space="preserve">Emission Rates during Idling (grams/minute)</t>
  </si>
  <si>
    <t xml:space="preserve">     Basically, you have to provide the data for Base Year as well as for Year 20.</t>
  </si>
  <si>
    <t xml:space="preserve"> </t>
  </si>
  <si>
    <t xml:space="preserve">Base</t>
  </si>
  <si>
    <t xml:space="preserve">ETC (headway)</t>
  </si>
  <si>
    <t xml:space="preserve">     Then, the model estimates the numbers in between automatically by linear interpolation.</t>
  </si>
  <si>
    <t xml:space="preserve">Estimated Annual Traffic Volume (ATV)</t>
  </si>
  <si>
    <t xml:space="preserve">Payment Split</t>
  </si>
  <si>
    <t xml:space="preserve">Prevailing Travel Speed (mph)</t>
  </si>
  <si>
    <t xml:space="preserve">    If you have more data regarding information required other than base in year and in year 20, </t>
  </si>
  <si>
    <t xml:space="preserve">Base Year</t>
  </si>
  <si>
    <t xml:space="preserve">Year 20</t>
  </si>
  <si>
    <r>
      <rPr>
        <sz val="11"/>
        <color rgb="FF800000"/>
        <rFont val="Tahoma"/>
        <family val="2"/>
      </rPr>
      <t xml:space="preserve">     </t>
    </r>
    <r>
      <rPr>
        <u val="single"/>
        <sz val="11"/>
        <color rgb="FF800000"/>
        <rFont val="Tahoma"/>
        <family val="2"/>
      </rPr>
      <t xml:space="preserve">Manual Lane-Baseline</t>
    </r>
  </si>
  <si>
    <r>
      <rPr>
        <sz val="11"/>
        <rFont val="Tahoma"/>
        <family val="2"/>
      </rPr>
      <t xml:space="preserve">     </t>
    </r>
    <r>
      <rPr>
        <sz val="11"/>
        <color rgb="FF800000"/>
        <rFont val="Tahoma"/>
        <family val="2"/>
      </rPr>
      <t xml:space="preserve">enter the basic data required in this sheet first;</t>
    </r>
  </si>
  <si>
    <t xml:space="preserve">Traffic Volume</t>
  </si>
  <si>
    <t xml:space="preserve">Mode Split among ETC Users</t>
  </si>
  <si>
    <t xml:space="preserve">Cost of Air Polution ($/kg of pollutant)</t>
  </si>
  <si>
    <t xml:space="preserve">     then, go to the sheet "Input-Detail" to change the number shown in blue cells. </t>
  </si>
  <si>
    <t xml:space="preserve">ETC Split</t>
  </si>
  <si>
    <t xml:space="preserve">Auto</t>
  </si>
  <si>
    <r>
      <rPr>
        <sz val="11"/>
        <color rgb="FF800000"/>
        <rFont val="Tahoma"/>
        <family val="2"/>
      </rPr>
      <t xml:space="preserve">     </t>
    </r>
    <r>
      <rPr>
        <u val="single"/>
        <sz val="11"/>
        <color rgb="FF800000"/>
        <rFont val="Tahoma"/>
        <family val="2"/>
      </rPr>
      <t xml:space="preserve">Manual Lane-ETC Alternative</t>
    </r>
  </si>
  <si>
    <t xml:space="preserve">Truck</t>
  </si>
  <si>
    <r>
      <rPr>
        <sz val="10"/>
        <rFont val="Wingdings"/>
        <family val="0"/>
      </rPr>
      <t xml:space="preserve">q</t>
    </r>
    <r>
      <rPr>
        <b val="true"/>
        <sz val="10"/>
        <rFont val="Tahoma"/>
        <family val="2"/>
      </rPr>
      <t xml:space="preserve"> </t>
    </r>
    <r>
      <rPr>
        <b val="true"/>
        <sz val="11"/>
        <rFont val="Tahoma"/>
        <family val="2"/>
      </rPr>
      <t xml:space="preserve">SHEET "Input-Detail"</t>
    </r>
  </si>
  <si>
    <t xml:space="preserve">Peak Hour Statistics in Base Year</t>
  </si>
  <si>
    <t xml:space="preserve">Bus</t>
  </si>
  <si>
    <r>
      <rPr>
        <sz val="11"/>
        <rFont val="Tahoma"/>
        <family val="2"/>
      </rPr>
      <t xml:space="preserve">    In this Sheet, you you may change the numbers estimated automatically by this model based</t>
    </r>
    <r>
      <rPr>
        <sz val="11"/>
        <color rgb="FF800000"/>
        <rFont val="Tahoma"/>
        <family val="2"/>
      </rPr>
      <t xml:space="preserve"> </t>
    </r>
  </si>
  <si>
    <t xml:space="preserve">Morning</t>
  </si>
  <si>
    <t xml:space="preserve">Evening</t>
  </si>
  <si>
    <t xml:space="preserve">Average Vehicle Occupancy</t>
  </si>
  <si>
    <t xml:space="preserve">     on the numbers you enter in "Input-Start".</t>
  </si>
  <si>
    <t xml:space="preserve">PHV (veh/hr)</t>
  </si>
  <si>
    <r>
      <rPr>
        <sz val="11"/>
        <color rgb="FF800000"/>
        <rFont val="Tahoma"/>
        <family val="2"/>
      </rPr>
      <t xml:space="preserve">     </t>
    </r>
    <r>
      <rPr>
        <u val="single"/>
        <sz val="11"/>
        <color rgb="FF800000"/>
        <rFont val="Tahoma"/>
        <family val="2"/>
      </rPr>
      <t xml:space="preserve">ETC Lane-ETC Alternative</t>
    </r>
  </si>
  <si>
    <t xml:space="preserve">T (hr)</t>
  </si>
  <si>
    <t xml:space="preserve">Cash, Checks</t>
  </si>
  <si>
    <t xml:space="preserve">General Assumptions</t>
  </si>
  <si>
    <r>
      <rPr>
        <sz val="10"/>
        <rFont val="Wingdings"/>
        <family val="0"/>
      </rPr>
      <t xml:space="preserve">q</t>
    </r>
    <r>
      <rPr>
        <b val="true"/>
        <sz val="10"/>
        <rFont val="Tahoma"/>
        <family val="2"/>
      </rPr>
      <t xml:space="preserve"> </t>
    </r>
    <r>
      <rPr>
        <b val="true"/>
        <sz val="11"/>
        <rFont val="Tahoma"/>
        <family val="2"/>
      </rPr>
      <t xml:space="preserve">SHEET "Results Summary"</t>
    </r>
  </si>
  <si>
    <t xml:space="preserve">D factor</t>
  </si>
  <si>
    <t xml:space="preserve">Credit Card</t>
  </si>
  <si>
    <t xml:space="preserve">    In this Sheet, , overall analytical results are presented as well as benefit-cost ratio and </t>
  </si>
  <si>
    <t xml:space="preserve">ETC Account Fact</t>
  </si>
  <si>
    <t xml:space="preserve">Inflation Rate</t>
  </si>
  <si>
    <t xml:space="preserve">     estimated internal interest rate.</t>
  </si>
  <si>
    <r>
      <rPr>
        <sz val="11"/>
        <color rgb="FF800000"/>
        <rFont val="Tahoma"/>
        <family val="2"/>
      </rPr>
      <t xml:space="preserve">     </t>
    </r>
    <r>
      <rPr>
        <u val="single"/>
        <sz val="11"/>
        <color rgb="FF800000"/>
        <rFont val="Tahoma"/>
        <family val="2"/>
      </rPr>
      <t xml:space="preserve">Cash &amp; Checks Account</t>
    </r>
  </si>
  <si>
    <t xml:space="preserve">Time Value of a User for Each Mode ($/hr)</t>
  </si>
  <si>
    <t xml:space="preserve">Annual Interest Rate</t>
  </si>
  <si>
    <t xml:space="preserve">Avg. Tags per Accout</t>
  </si>
  <si>
    <t xml:space="preserve">Discount Rate</t>
  </si>
  <si>
    <r>
      <rPr>
        <sz val="10"/>
        <rFont val="Wingdings"/>
        <family val="0"/>
      </rPr>
      <t xml:space="preserve">q</t>
    </r>
    <r>
      <rPr>
        <b val="true"/>
        <sz val="10"/>
        <rFont val="Tahoma"/>
        <family val="2"/>
      </rPr>
      <t xml:space="preserve"> </t>
    </r>
    <r>
      <rPr>
        <b val="true"/>
        <sz val="11"/>
        <rFont val="Tahoma"/>
        <family val="2"/>
      </rPr>
      <t xml:space="preserve">SHEET "Results-Detail"</t>
    </r>
  </si>
  <si>
    <t xml:space="preserve">Avg. Usage per Year</t>
  </si>
  <si>
    <t xml:space="preserve">Personal Year (PY)</t>
  </si>
  <si>
    <t xml:space="preserve">    In this Sheet, benefit-cost analyses are shown for Toll Agency, Users, and Community.</t>
  </si>
  <si>
    <t xml:space="preserve">Deposits</t>
  </si>
  <si>
    <t xml:space="preserve">Bus (per rider)</t>
  </si>
  <si>
    <t xml:space="preserve">Hours per Unit Personal Year</t>
  </si>
  <si>
    <t xml:space="preserve">     respectively.</t>
  </si>
  <si>
    <t xml:space="preserve">Avg. Balance other than Deposit</t>
  </si>
  <si>
    <t xml:space="preserve">PY for Information Technology</t>
  </si>
  <si>
    <r>
      <rPr>
        <sz val="11"/>
        <color rgb="FF800000"/>
        <rFont val="Tahoma"/>
        <family val="2"/>
      </rPr>
      <t xml:space="preserve">     </t>
    </r>
    <r>
      <rPr>
        <u val="single"/>
        <sz val="11"/>
        <color rgb="FF800000"/>
        <rFont val="Tahoma"/>
        <family val="2"/>
      </rPr>
      <t xml:space="preserve">Credit Card Account</t>
    </r>
  </si>
  <si>
    <t xml:space="preserve">PY for Program Costs (Toll Collection)</t>
  </si>
  <si>
    <t xml:space="preserve">Unit Cost per Personal Year</t>
  </si>
  <si>
    <t xml:space="preserve">Ia.</t>
  </si>
  <si>
    <t xml:space="preserve">       TRAFFIC DATA - Annual</t>
  </si>
  <si>
    <t xml:space="preserve">Ib.</t>
  </si>
  <si>
    <t xml:space="preserve">   TRAFFIC DATA - Morning Peak</t>
  </si>
  <si>
    <t xml:space="preserve">Ic.</t>
  </si>
  <si>
    <t xml:space="preserve">        TRAFFIC DATA - Evening Peak</t>
  </si>
  <si>
    <t xml:space="preserve">   COSTS INFORMATION--ETC Alternative       </t>
  </si>
  <si>
    <t xml:space="preserve">   FACT OF TOLL TRANSACTION &amp; Travel at Toll Plaza</t>
  </si>
  <si>
    <t xml:space="preserve">EXPECTED PAYMENT SPLIT</t>
  </si>
  <si>
    <t xml:space="preserve">  FUEL CONSUMPTION &amp; OTHER ASSUMPTIONS</t>
  </si>
  <si>
    <t xml:space="preserve">Change the numbers in blue cells only -</t>
  </si>
  <si>
    <t xml:space="preserve">The values shown in pink cells are the default number we used to run the model.</t>
  </si>
  <si>
    <t xml:space="preserve"> The data in Base Year and Year 20 you enter in sheet "Input-Start" are </t>
  </si>
  <si>
    <t xml:space="preserve"> The data in Base Year and Year 20 you enter in sheet "Input-Start" are shown</t>
  </si>
  <si>
    <t xml:space="preserve">  The data in Base Year and Year 20 you enter in sheet "Input-Start" are </t>
  </si>
  <si>
    <t xml:space="preserve">The numbers in white cells are those you entered in Table III &amp;IV in "Input-Start" Sheet.</t>
  </si>
  <si>
    <t xml:space="preserve">the numbers in white cells are those you entered in "Input-Start" Sheet about .</t>
  </si>
  <si>
    <t xml:space="preserve">The numbers in white cells are those you entered in Table V in "Input-Start" Sheet.</t>
  </si>
  <si>
    <r>
      <rPr>
        <sz val="10"/>
        <rFont val="Tahoma"/>
        <family val="2"/>
      </rPr>
      <t xml:space="preserve">   shown on </t>
    </r>
    <r>
      <rPr>
        <b val="true"/>
        <sz val="10"/>
        <rFont val="Tahoma"/>
        <family val="2"/>
      </rPr>
      <t xml:space="preserve">white cells</t>
    </r>
    <r>
      <rPr>
        <sz val="10"/>
        <rFont val="Tahoma"/>
        <family val="2"/>
      </rPr>
      <t xml:space="preserve">.  </t>
    </r>
  </si>
  <si>
    <r>
      <rPr>
        <sz val="10"/>
        <rFont val="Tahoma"/>
        <family val="2"/>
      </rPr>
      <t xml:space="preserve">  shown on </t>
    </r>
    <r>
      <rPr>
        <b val="true"/>
        <sz val="10"/>
        <rFont val="Tahoma"/>
        <family val="2"/>
      </rPr>
      <t xml:space="preserve">white cells</t>
    </r>
    <r>
      <rPr>
        <sz val="10"/>
        <rFont val="Tahoma"/>
        <family val="2"/>
      </rPr>
      <t xml:space="preserve">.  </t>
    </r>
  </si>
  <si>
    <r>
      <rPr>
        <sz val="10"/>
        <rFont val="Tahoma"/>
        <family val="2"/>
      </rPr>
      <t xml:space="preserve">  on </t>
    </r>
    <r>
      <rPr>
        <b val="true"/>
        <sz val="10"/>
        <rFont val="Tahoma"/>
        <family val="2"/>
      </rPr>
      <t xml:space="preserve">white cells after inflation effect</t>
    </r>
    <r>
      <rPr>
        <sz val="10"/>
        <rFont val="Tahoma"/>
        <family val="2"/>
      </rPr>
      <t xml:space="preserve">.  That is, the number show on this table</t>
    </r>
  </si>
  <si>
    <r>
      <rPr>
        <sz val="10"/>
        <rFont val="Tahoma"/>
        <family val="2"/>
      </rPr>
      <t xml:space="preserve">   shown on </t>
    </r>
    <r>
      <rPr>
        <b val="true"/>
        <sz val="10"/>
        <rFont val="Tahoma"/>
        <family val="2"/>
      </rPr>
      <t xml:space="preserve">white cells after inflation effect</t>
    </r>
    <r>
      <rPr>
        <sz val="10"/>
        <rFont val="Tahoma"/>
        <family val="2"/>
      </rPr>
      <t xml:space="preserve">.  That is, the number show on this </t>
    </r>
  </si>
  <si>
    <t xml:space="preserve">You can not make any change here.</t>
  </si>
  <si>
    <t xml:space="preserve">payment split among Manual Users as well as among ETC Users.</t>
  </si>
  <si>
    <t xml:space="preserve"> Based on these data, the model estimated automatically annual traffic volume</t>
  </si>
  <si>
    <r>
      <rPr>
        <sz val="10"/>
        <rFont val="Tahoma"/>
        <family val="2"/>
      </rPr>
      <t xml:space="preserve">  Based on these data, the model estimated automatically </t>
    </r>
    <r>
      <rPr>
        <sz val="10"/>
        <color rgb="FF800000"/>
        <rFont val="Tahoma"/>
        <family val="2"/>
      </rPr>
      <t xml:space="preserve">peak hour traffic</t>
    </r>
  </si>
  <si>
    <r>
      <rPr>
        <sz val="10"/>
        <rFont val="Tahoma"/>
        <family val="2"/>
      </rPr>
      <t xml:space="preserve"> Based on these data, the model estimated automatically </t>
    </r>
    <r>
      <rPr>
        <sz val="10"/>
        <color rgb="FF800000"/>
        <rFont val="Tahoma"/>
        <family val="2"/>
      </rPr>
      <t xml:space="preserve">peak hour traffic</t>
    </r>
    <r>
      <rPr>
        <sz val="10"/>
        <rFont val="Tahoma"/>
        <family val="2"/>
      </rPr>
      <t xml:space="preserve"> </t>
    </r>
  </si>
  <si>
    <r>
      <rPr>
        <sz val="10"/>
        <rFont val="Tahoma"/>
        <family val="2"/>
      </rPr>
      <t xml:space="preserve">  are no longer current value but </t>
    </r>
    <r>
      <rPr>
        <sz val="10"/>
        <color rgb="FF800000"/>
        <rFont val="Tahoma"/>
        <family val="2"/>
      </rPr>
      <t xml:space="preserve">nominal value in year i</t>
    </r>
    <r>
      <rPr>
        <sz val="10"/>
        <rFont val="Tahoma"/>
        <family val="2"/>
      </rPr>
      <t xml:space="preserve">.  </t>
    </r>
  </si>
  <si>
    <r>
      <rPr>
        <sz val="10"/>
        <rFont val="Tahoma"/>
        <family val="2"/>
      </rPr>
      <t xml:space="preserve">    table are no longer current value but </t>
    </r>
    <r>
      <rPr>
        <sz val="10"/>
        <color rgb="FF800000"/>
        <rFont val="Tahoma"/>
        <family val="2"/>
      </rPr>
      <t xml:space="preserve">nominal value</t>
    </r>
    <r>
      <rPr>
        <sz val="10"/>
        <rFont val="Tahoma"/>
        <family val="2"/>
      </rPr>
      <t xml:space="preserve">.  </t>
    </r>
  </si>
  <si>
    <t xml:space="preserve">If you would like to make any change, go back to the sheet "Input-Start".</t>
  </si>
  <si>
    <t xml:space="preserve">  and ETC Split in between by interpolation.</t>
  </si>
  <si>
    <r>
      <rPr>
        <sz val="10"/>
        <rFont val="Tahoma"/>
        <family val="2"/>
      </rPr>
      <t xml:space="preserve">   </t>
    </r>
    <r>
      <rPr>
        <sz val="10"/>
        <color rgb="FF800000"/>
        <rFont val="Tahoma"/>
        <family val="2"/>
      </rPr>
      <t xml:space="preserve">volume,  duration of peak period</t>
    </r>
    <r>
      <rPr>
        <sz val="10"/>
        <rFont val="Tahoma"/>
        <family val="2"/>
      </rPr>
      <t xml:space="preserve">, and </t>
    </r>
    <r>
      <rPr>
        <sz val="10"/>
        <color rgb="FF800000"/>
        <rFont val="Tahoma"/>
        <family val="2"/>
      </rPr>
      <t xml:space="preserve">D factor for each year</t>
    </r>
    <r>
      <rPr>
        <sz val="10"/>
        <rFont val="Tahoma"/>
        <family val="2"/>
      </rPr>
      <t xml:space="preserve">.</t>
    </r>
  </si>
  <si>
    <r>
      <rPr>
        <sz val="10"/>
        <color rgb="FF800000"/>
        <rFont val="Tahoma"/>
        <family val="2"/>
      </rPr>
      <t xml:space="preserve">  volume, duration of peak period</t>
    </r>
    <r>
      <rPr>
        <sz val="10"/>
        <rFont val="Tahoma"/>
        <family val="2"/>
      </rPr>
      <t xml:space="preserve">, and </t>
    </r>
    <r>
      <rPr>
        <sz val="10"/>
        <color rgb="FF800000"/>
        <rFont val="Tahoma"/>
        <family val="2"/>
      </rPr>
      <t xml:space="preserve">D factor</t>
    </r>
    <r>
      <rPr>
        <sz val="10"/>
        <rFont val="Tahoma"/>
        <family val="2"/>
      </rPr>
      <t xml:space="preserve">.</t>
    </r>
  </si>
  <si>
    <r>
      <rPr>
        <sz val="10"/>
        <rFont val="Tahoma"/>
        <family val="2"/>
      </rPr>
      <t xml:space="preserve"> Based on these data, the model estimates </t>
    </r>
    <r>
      <rPr>
        <sz val="10"/>
        <color rgb="FF800000"/>
        <rFont val="Tahoma"/>
        <family val="2"/>
      </rPr>
      <t xml:space="preserve">continuing costs </t>
    </r>
    <r>
      <rPr>
        <sz val="10"/>
        <rFont val="Tahoma"/>
        <family val="2"/>
      </rPr>
      <t xml:space="preserve">automatically</t>
    </r>
    <r>
      <rPr>
        <sz val="10"/>
        <color rgb="FF800000"/>
        <rFont val="Tahoma"/>
        <family val="2"/>
      </rPr>
      <t xml:space="preserve">.</t>
    </r>
  </si>
  <si>
    <r>
      <rPr>
        <sz val="10"/>
        <rFont val="Tahoma"/>
        <family val="2"/>
      </rPr>
      <t xml:space="preserve">   Based on these data, the model estimated </t>
    </r>
    <r>
      <rPr>
        <sz val="10"/>
        <color rgb="FF800000"/>
        <rFont val="Tahoma"/>
        <family val="2"/>
      </rPr>
      <t xml:space="preserve">continuing cost </t>
    </r>
    <r>
      <rPr>
        <sz val="10"/>
        <rFont val="Tahoma"/>
        <family val="2"/>
      </rPr>
      <t xml:space="preserve">automatically</t>
    </r>
    <r>
      <rPr>
        <sz val="10"/>
        <color rgb="FF800000"/>
        <rFont val="Tahoma"/>
        <family val="2"/>
      </rPr>
      <t xml:space="preserve">.</t>
    </r>
  </si>
  <si>
    <r>
      <rPr>
        <sz val="10"/>
        <rFont val="Tahoma"/>
        <family val="2"/>
      </rPr>
      <t xml:space="preserve"> Please make reasonable adjustions in </t>
    </r>
    <r>
      <rPr>
        <b val="true"/>
        <sz val="10"/>
        <rFont val="Tahoma"/>
        <family val="2"/>
      </rPr>
      <t xml:space="preserve">blue cells</t>
    </r>
    <r>
      <rPr>
        <sz val="10"/>
        <rFont val="Tahoma"/>
        <family val="2"/>
      </rPr>
      <t xml:space="preserve">.</t>
    </r>
  </si>
  <si>
    <r>
      <rPr>
        <sz val="10"/>
        <rFont val="Tahoma"/>
        <family val="2"/>
      </rPr>
      <t xml:space="preserve">a)</t>
    </r>
    <r>
      <rPr>
        <sz val="10"/>
        <color rgb="FF800000"/>
        <rFont val="Tahoma"/>
        <family val="2"/>
      </rPr>
      <t xml:space="preserve"> Peak Hour Volume (PHV): </t>
    </r>
    <r>
      <rPr>
        <sz val="10"/>
        <rFont val="Tahoma"/>
        <family val="2"/>
      </rPr>
      <t xml:space="preserve">assume that ATV/PHV  remains constant over</t>
    </r>
  </si>
  <si>
    <r>
      <rPr>
        <sz val="10"/>
        <rFont val="Tahoma"/>
        <family val="2"/>
      </rPr>
      <t xml:space="preserve">a)</t>
    </r>
    <r>
      <rPr>
        <sz val="10"/>
        <color rgb="FF800000"/>
        <rFont val="Tahoma"/>
        <family val="2"/>
      </rPr>
      <t xml:space="preserve"> Peak Hour Volume (PHV) - </t>
    </r>
    <r>
      <rPr>
        <sz val="10"/>
        <rFont val="Tahoma"/>
        <family val="2"/>
      </rPr>
      <t xml:space="preserve">assume that ATV/PHV  remains constant over</t>
    </r>
  </si>
  <si>
    <t xml:space="preserve"> For the knowledge of estimation, check the footnote right below the table.</t>
  </si>
  <si>
    <t xml:space="preserve">For the knowledge of estimation, check the footnote right below the table.</t>
  </si>
  <si>
    <t xml:space="preserve">    the analysis period.  Thus, peak hour volume in year i is estimated by</t>
  </si>
  <si>
    <t xml:space="preserve">    the analysis period.  Thus, peak hour volume in year i is estimated by </t>
  </si>
  <si>
    <r>
      <rPr>
        <sz val="10"/>
        <rFont val="Tahoma"/>
        <family val="2"/>
      </rPr>
      <t xml:space="preserve">Please make reasonable adjustions in </t>
    </r>
    <r>
      <rPr>
        <b val="true"/>
        <sz val="10"/>
        <rFont val="Tahoma"/>
        <family val="2"/>
      </rPr>
      <t xml:space="preserve">blue cells</t>
    </r>
    <r>
      <rPr>
        <sz val="10"/>
        <rFont val="Tahoma"/>
        <family val="2"/>
      </rPr>
      <t xml:space="preserve">.</t>
    </r>
  </si>
  <si>
    <r>
      <rPr>
        <sz val="10"/>
        <rFont val="Tahoma"/>
        <family val="2"/>
      </rPr>
      <t xml:space="preserve">  Please make reasonable adjustions in </t>
    </r>
    <r>
      <rPr>
        <b val="true"/>
        <sz val="10"/>
        <rFont val="Tahoma"/>
        <family val="2"/>
      </rPr>
      <t xml:space="preserve">blue cells</t>
    </r>
    <r>
      <rPr>
        <sz val="10"/>
        <rFont val="Tahoma"/>
        <family val="2"/>
      </rPr>
      <t xml:space="preserve">.</t>
    </r>
  </si>
  <si>
    <t xml:space="preserve">Baseline</t>
  </si>
  <si>
    <t xml:space="preserve">ETC Alternative</t>
  </si>
  <si>
    <t xml:space="preserve">    estimated annual traffic volume times ATV/PHV.</t>
  </si>
  <si>
    <t xml:space="preserve">Manual Users</t>
  </si>
  <si>
    <t xml:space="preserve">ETC Users</t>
  </si>
  <si>
    <t xml:space="preserve">Average Milage of Consuming one Gallon of Fuel</t>
  </si>
  <si>
    <r>
      <rPr>
        <sz val="10"/>
        <rFont val="Tahoma"/>
        <family val="2"/>
      </rPr>
      <t xml:space="preserve">b)</t>
    </r>
    <r>
      <rPr>
        <sz val="10"/>
        <color rgb="FF800000"/>
        <rFont val="Tahoma"/>
        <family val="2"/>
      </rPr>
      <t xml:space="preserve"> ATV/PHV - </t>
    </r>
    <r>
      <rPr>
        <sz val="10"/>
        <rFont val="Tahoma"/>
        <family val="2"/>
      </rPr>
      <t xml:space="preserve">the ratio of annual traffic volume over peak hour volume.</t>
    </r>
  </si>
  <si>
    <t xml:space="preserve">Cash &amp;Checks</t>
  </si>
  <si>
    <t xml:space="preserve">Traffic Vol.</t>
  </si>
  <si>
    <r>
      <rPr>
        <sz val="10"/>
        <rFont val="Tahoma"/>
        <family val="2"/>
      </rPr>
      <t xml:space="preserve">c)</t>
    </r>
    <r>
      <rPr>
        <sz val="10"/>
        <color rgb="FF800000"/>
        <rFont val="Tahoma"/>
        <family val="2"/>
      </rPr>
      <t xml:space="preserve"> Duration of Peak Period (T) in the morning peak in Based Year, hrs/day.</t>
    </r>
  </si>
  <si>
    <r>
      <rPr>
        <sz val="10"/>
        <rFont val="Tahoma"/>
        <family val="2"/>
      </rPr>
      <t xml:space="preserve">c) </t>
    </r>
    <r>
      <rPr>
        <sz val="10"/>
        <color rgb="FF800000"/>
        <rFont val="Tahoma"/>
        <family val="2"/>
      </rPr>
      <t xml:space="preserve">Duration of Peak Period (T) in the evening peak in Based Year, hrs/day</t>
    </r>
  </si>
  <si>
    <t xml:space="preserve">Staff*</t>
  </si>
  <si>
    <r>
      <rPr>
        <sz val="10"/>
        <rFont val="Tahoma"/>
        <family val="2"/>
      </rPr>
      <t xml:space="preserve">d)</t>
    </r>
    <r>
      <rPr>
        <sz val="10"/>
        <color rgb="FF800000"/>
        <rFont val="Tahoma"/>
        <family val="2"/>
      </rPr>
      <t xml:space="preserve"> Direction Factor (D) during the morning peak in Base Year</t>
    </r>
  </si>
  <si>
    <r>
      <rPr>
        <sz val="10"/>
        <rFont val="Tahoma"/>
        <family val="2"/>
      </rPr>
      <t xml:space="preserve">d)</t>
    </r>
    <r>
      <rPr>
        <sz val="10"/>
        <color rgb="FF800000"/>
        <rFont val="Tahoma"/>
        <family val="2"/>
      </rPr>
      <t xml:space="preserve"> Direction Factor (D) during the evening peak in Base Year</t>
    </r>
  </si>
  <si>
    <t xml:space="preserve">     Cash &amp; Checks</t>
  </si>
  <si>
    <t xml:space="preserve">PHV</t>
  </si>
  <si>
    <t xml:space="preserve">ATV/PHV</t>
  </si>
  <si>
    <t xml:space="preserve">K</t>
  </si>
  <si>
    <t xml:space="preserve">     Credit Card</t>
  </si>
  <si>
    <t xml:space="preserve">Total Number of Lanes</t>
  </si>
  <si>
    <t xml:space="preserve">Time Value for Each Mode ($/hr)</t>
  </si>
  <si>
    <t xml:space="preserve">Footnote:</t>
  </si>
  <si>
    <t xml:space="preserve">For costs other than staff:</t>
  </si>
  <si>
    <r>
      <rPr>
        <sz val="10"/>
        <rFont val="Tahoma"/>
        <family val="2"/>
      </rPr>
      <t xml:space="preserve">  </t>
    </r>
    <r>
      <rPr>
        <b val="true"/>
        <i val="true"/>
        <sz val="10"/>
        <color rgb="FF800000"/>
        <rFont val="Tahoma"/>
        <family val="2"/>
      </rPr>
      <t xml:space="preserve">C(m,n) of item m in year n</t>
    </r>
    <r>
      <rPr>
        <sz val="10"/>
        <rFont val="Tahoma"/>
        <family val="2"/>
      </rPr>
      <t xml:space="preserve"> = C(m,n-1)*(1+ inflation rate), given the amount of cost (m,o)</t>
    </r>
  </si>
  <si>
    <t xml:space="preserve">   in base year</t>
  </si>
  <si>
    <t xml:space="preserve">For staff costs,</t>
  </si>
  <si>
    <r>
      <rPr>
        <sz val="10"/>
        <rFont val="Tahoma"/>
        <family val="2"/>
      </rPr>
      <t xml:space="preserve">  </t>
    </r>
    <r>
      <rPr>
        <b val="true"/>
        <i val="true"/>
        <sz val="10"/>
        <color rgb="FF800000"/>
        <rFont val="Tahoma"/>
        <family val="2"/>
      </rPr>
      <t xml:space="preserve">SC(n) of staff costs in year n</t>
    </r>
    <r>
      <rPr>
        <sz val="10"/>
        <rFont val="Tahoma"/>
        <family val="2"/>
      </rPr>
      <t xml:space="preserve"> =</t>
    </r>
  </si>
  <si>
    <r>
      <rPr>
        <sz val="10"/>
        <rFont val="Tahoma"/>
        <family val="2"/>
      </rPr>
      <t xml:space="preserve">   ($/PY in base year)*[(PY for information technology)+(PY for toll collection)]*(1+inflation rate)</t>
    </r>
    <r>
      <rPr>
        <vertAlign val="superscript"/>
        <sz val="10"/>
        <rFont val="Tahoma"/>
        <family val="2"/>
      </rPr>
      <t xml:space="preserve">n</t>
    </r>
    <r>
      <rPr>
        <sz val="10"/>
        <rFont val="Tahoma"/>
        <family val="2"/>
      </rPr>
      <t xml:space="preserve">       </t>
    </r>
  </si>
  <si>
    <t xml:space="preserve">   Assumpions:</t>
  </si>
  <si>
    <t xml:space="preserve">      a. PY needed for technology information doesn't change over time.</t>
  </si>
  <si>
    <t xml:space="preserve">      b. PYs needed for toll collection are estimated in sheet "PY" based on traffic level.</t>
  </si>
  <si>
    <r>
      <rPr>
        <sz val="10"/>
        <rFont val="Tahoma"/>
        <family val="2"/>
      </rPr>
      <t xml:space="preserve">Inflation Rate (I</t>
    </r>
    <r>
      <rPr>
        <vertAlign val="subscript"/>
        <sz val="10"/>
        <rFont val="Tahoma"/>
        <family val="2"/>
      </rPr>
      <t xml:space="preserve">f</t>
    </r>
    <r>
      <rPr>
        <sz val="10"/>
        <rFont val="Tahoma"/>
        <family val="2"/>
      </rPr>
      <t xml:space="preserve">)</t>
    </r>
  </si>
  <si>
    <t xml:space="preserve">$/PY(unit cost of personal year):</t>
  </si>
  <si>
    <t xml:space="preserve">PY for Information Technology:</t>
  </si>
  <si>
    <t xml:space="preserve"> Analytical Result:</t>
  </si>
  <si>
    <r>
      <rPr>
        <sz val="10"/>
        <rFont val="Times New Roman"/>
        <family val="1"/>
      </rPr>
      <t xml:space="preserve">NPV</t>
    </r>
    <r>
      <rPr>
        <vertAlign val="superscript"/>
        <sz val="10"/>
        <rFont val="Times New Roman"/>
        <family val="1"/>
      </rPr>
      <t xml:space="preserve">1</t>
    </r>
    <r>
      <rPr>
        <sz val="10"/>
        <rFont val="Times New Roman"/>
        <family val="1"/>
      </rPr>
      <t xml:space="preserve"> = </t>
    </r>
  </si>
  <si>
    <r>
      <rPr>
        <sz val="10"/>
        <rFont val="Times New Roman"/>
        <family val="1"/>
      </rPr>
      <t xml:space="preserve">PVB</t>
    </r>
    <r>
      <rPr>
        <vertAlign val="superscript"/>
        <sz val="10"/>
        <rFont val="Times New Roman"/>
        <family val="1"/>
      </rPr>
      <t xml:space="preserve">2</t>
    </r>
    <r>
      <rPr>
        <sz val="10"/>
        <rFont val="Times New Roman"/>
        <family val="1"/>
      </rPr>
      <t xml:space="preserve"> = </t>
    </r>
  </si>
  <si>
    <r>
      <rPr>
        <sz val="10"/>
        <rFont val="Times New Roman"/>
        <family val="1"/>
      </rPr>
      <t xml:space="preserve">NPC</t>
    </r>
    <r>
      <rPr>
        <vertAlign val="superscript"/>
        <sz val="10"/>
        <rFont val="Times New Roman"/>
        <family val="1"/>
      </rPr>
      <t xml:space="preserve">3</t>
    </r>
    <r>
      <rPr>
        <sz val="10"/>
        <rFont val="Times New Roman"/>
        <family val="1"/>
      </rPr>
      <t xml:space="preserve"> =</t>
    </r>
  </si>
  <si>
    <r>
      <rPr>
        <sz val="10"/>
        <rFont val="Times New Roman"/>
        <family val="1"/>
      </rPr>
      <t xml:space="preserve">B/C</t>
    </r>
    <r>
      <rPr>
        <vertAlign val="superscript"/>
        <sz val="10"/>
        <rFont val="Times New Roman"/>
        <family val="1"/>
      </rPr>
      <t xml:space="preserve">4</t>
    </r>
    <r>
      <rPr>
        <sz val="10"/>
        <rFont val="Times New Roman"/>
        <family val="1"/>
      </rPr>
      <t xml:space="preserve"> = </t>
    </r>
  </si>
  <si>
    <r>
      <rPr>
        <sz val="10"/>
        <rFont val="Times New Roman"/>
        <family val="1"/>
      </rPr>
      <t xml:space="preserve">IRR</t>
    </r>
    <r>
      <rPr>
        <vertAlign val="superscript"/>
        <sz val="10"/>
        <rFont val="Times New Roman"/>
        <family val="1"/>
      </rPr>
      <t xml:space="preserve">5</t>
    </r>
    <r>
      <rPr>
        <sz val="10"/>
        <rFont val="Times New Roman"/>
        <family val="1"/>
      </rPr>
      <t xml:space="preserve">=</t>
    </r>
  </si>
  <si>
    <r>
      <rPr>
        <vertAlign val="superscript"/>
        <sz val="10"/>
        <rFont val="Times New Roman"/>
        <family val="1"/>
      </rPr>
      <t xml:space="preserve">1</t>
    </r>
    <r>
      <rPr>
        <sz val="10"/>
        <rFont val="Times New Roman"/>
        <family val="1"/>
      </rPr>
      <t xml:space="preserve">NPV: net present value, NPV = PVB - PVC</t>
    </r>
  </si>
  <si>
    <r>
      <rPr>
        <vertAlign val="superscript"/>
        <sz val="10"/>
        <rFont val="Times New Roman"/>
        <family val="1"/>
      </rPr>
      <t xml:space="preserve">2</t>
    </r>
    <r>
      <rPr>
        <sz val="10"/>
        <rFont val="Times New Roman"/>
        <family val="1"/>
      </rPr>
      <t xml:space="preserve">PVB: present value of benefits</t>
    </r>
  </si>
  <si>
    <r>
      <rPr>
        <vertAlign val="superscript"/>
        <sz val="10"/>
        <rFont val="Times New Roman"/>
        <family val="1"/>
      </rPr>
      <t xml:space="preserve">3</t>
    </r>
    <r>
      <rPr>
        <sz val="10"/>
        <rFont val="Times New Roman"/>
        <family val="1"/>
      </rPr>
      <t xml:space="preserve">PVC: present value of costs</t>
    </r>
  </si>
  <si>
    <r>
      <rPr>
        <vertAlign val="superscript"/>
        <sz val="10"/>
        <rFont val="Times New Roman"/>
        <family val="1"/>
      </rPr>
      <t xml:space="preserve">4</t>
    </r>
    <r>
      <rPr>
        <sz val="10"/>
        <rFont val="Times New Roman"/>
        <family val="1"/>
      </rPr>
      <t xml:space="preserve">B/C: Total benefit over capital investment, B/C = PVB/PVC</t>
    </r>
  </si>
  <si>
    <r>
      <rPr>
        <vertAlign val="superscript"/>
        <sz val="10"/>
        <rFont val="Times New Roman"/>
        <family val="1"/>
      </rPr>
      <t xml:space="preserve">5</t>
    </r>
    <r>
      <rPr>
        <sz val="10"/>
        <rFont val="Times New Roman"/>
        <family val="1"/>
      </rPr>
      <t xml:space="preserve">IRR: Internal Rate of Return</t>
    </r>
  </si>
  <si>
    <r>
      <rPr>
        <b val="true"/>
        <sz val="10"/>
        <rFont val="Wingdings"/>
        <family val="0"/>
      </rPr>
      <t xml:space="preserve">y</t>
    </r>
    <r>
      <rPr>
        <b val="true"/>
        <sz val="10"/>
        <rFont val="Times New Roman"/>
        <family val="1"/>
      </rPr>
      <t xml:space="preserve"> Overall Values of Benefits &amp; Costs ($ in base year)</t>
    </r>
  </si>
  <si>
    <t xml:space="preserve">Discount Rate: </t>
  </si>
  <si>
    <t xml:space="preserve">B-C</t>
  </si>
  <si>
    <t xml:space="preserve">NPV</t>
  </si>
  <si>
    <t xml:space="preserve">Capital Invesment</t>
  </si>
  <si>
    <t xml:space="preserve">PVC                   ($ in Base Year)</t>
  </si>
  <si>
    <r>
      <rPr>
        <b val="true"/>
        <sz val="10"/>
        <color rgb="FF800000"/>
        <rFont val="Symbol"/>
        <family val="1"/>
      </rPr>
      <t xml:space="preserve">D</t>
    </r>
    <r>
      <rPr>
        <b val="true"/>
        <sz val="10"/>
        <color rgb="FF800000"/>
        <rFont val="Times New Roman"/>
        <family val="1"/>
      </rPr>
      <t xml:space="preserve">Fuel Value*</t>
    </r>
  </si>
  <si>
    <r>
      <rPr>
        <b val="true"/>
        <sz val="10"/>
        <color rgb="FF800000"/>
        <rFont val="Symbol"/>
        <family val="1"/>
      </rPr>
      <t xml:space="preserve">D</t>
    </r>
    <r>
      <rPr>
        <b val="true"/>
        <sz val="10"/>
        <color rgb="FF800000"/>
        <rFont val="Times New Roman"/>
        <family val="1"/>
      </rPr>
      <t xml:space="preserve">time Value</t>
    </r>
  </si>
  <si>
    <r>
      <rPr>
        <b val="true"/>
        <sz val="10"/>
        <color rgb="FF800000"/>
        <rFont val="Symbol"/>
        <family val="1"/>
      </rPr>
      <t xml:space="preserve">D</t>
    </r>
    <r>
      <rPr>
        <b val="true"/>
        <sz val="10"/>
        <color rgb="FF800000"/>
        <rFont val="Times New Roman"/>
        <family val="1"/>
      </rPr>
      <t xml:space="preserve">Env Value**</t>
    </r>
  </si>
  <si>
    <r>
      <rPr>
        <b val="true"/>
        <sz val="10"/>
        <color rgb="FF800000"/>
        <rFont val="Symbol"/>
        <family val="1"/>
      </rPr>
      <t xml:space="preserve">D</t>
    </r>
    <r>
      <rPr>
        <b val="true"/>
        <sz val="10"/>
        <color rgb="FF800000"/>
        <rFont val="Times New Roman"/>
        <family val="1"/>
      </rPr>
      <t xml:space="preserve">Cost Reduction</t>
    </r>
  </si>
  <si>
    <r>
      <rPr>
        <b val="true"/>
        <sz val="10"/>
        <color rgb="FF800000"/>
        <rFont val="Symbol"/>
        <family val="1"/>
      </rPr>
      <t xml:space="preserve">DO</t>
    </r>
    <r>
      <rPr>
        <b val="true"/>
        <sz val="10"/>
        <color rgb="FF800000"/>
        <rFont val="Times New Roman"/>
        <family val="1"/>
      </rPr>
      <t xml:space="preserve">perational Revenue***</t>
    </r>
  </si>
  <si>
    <r>
      <rPr>
        <b val="true"/>
        <sz val="10"/>
        <color rgb="FF800000"/>
        <rFont val="Symbol"/>
        <family val="1"/>
      </rPr>
      <t xml:space="preserve">D</t>
    </r>
    <r>
      <rPr>
        <b val="true"/>
        <sz val="10"/>
        <color rgb="FF800000"/>
        <rFont val="Times New Roman"/>
        <family val="1"/>
      </rPr>
      <t xml:space="preserve">Interest Gain</t>
    </r>
  </si>
  <si>
    <t xml:space="preserve">Total Benefit</t>
  </si>
  <si>
    <t xml:space="preserve">PVB                  ($ in Base Year)</t>
  </si>
  <si>
    <t xml:space="preserve">Total</t>
  </si>
  <si>
    <t xml:space="preserve">b/c</t>
  </si>
  <si>
    <t xml:space="preserve">*Fuel Value is the costs reduction of purchasing fuels.</t>
  </si>
  <si>
    <t xml:space="preserve">** Environmental Value is estimated by the value of reduction in fuel emission.</t>
  </si>
  <si>
    <t xml:space="preserve">*** Agency's operational revenue is equal to user's loss in interest gain.</t>
  </si>
  <si>
    <r>
      <rPr>
        <sz val="10"/>
        <rFont val="Wingdings"/>
        <family val="0"/>
      </rPr>
      <t xml:space="preserve">y</t>
    </r>
    <r>
      <rPr>
        <sz val="10"/>
        <rFont val="Tahoma"/>
        <family val="2"/>
      </rPr>
      <t xml:space="preserve"> Total Cost Streams of Baseline and ETC </t>
    </r>
  </si>
  <si>
    <r>
      <rPr>
        <sz val="10"/>
        <rFont val="Wingdings"/>
        <family val="0"/>
      </rPr>
      <t xml:space="preserve">y</t>
    </r>
    <r>
      <rPr>
        <sz val="10"/>
        <rFont val="Tahoma"/>
        <family val="2"/>
      </rPr>
      <t xml:space="preserve"> Total Benefit Streams</t>
    </r>
  </si>
  <si>
    <r>
      <rPr>
        <sz val="10"/>
        <rFont val="Wingdings"/>
        <family val="0"/>
      </rPr>
      <t xml:space="preserve">y</t>
    </r>
    <r>
      <rPr>
        <sz val="10"/>
        <rFont val="Tahoma"/>
        <family val="2"/>
      </rPr>
      <t xml:space="preserve"> Total Net Benefit ($ in base year)</t>
    </r>
  </si>
  <si>
    <t xml:space="preserve">PVC                          ($ in Base Year)</t>
  </si>
  <si>
    <r>
      <rPr>
        <b val="true"/>
        <sz val="10"/>
        <color rgb="FF800000"/>
        <rFont val="Symbol"/>
        <family val="1"/>
      </rPr>
      <t xml:space="preserve">D</t>
    </r>
    <r>
      <rPr>
        <b val="true"/>
        <sz val="10"/>
        <color rgb="FF800000"/>
        <rFont val="Times New Roman"/>
        <family val="1"/>
      </rPr>
      <t xml:space="preserve">Fuel Value</t>
    </r>
  </si>
  <si>
    <r>
      <rPr>
        <b val="true"/>
        <sz val="10"/>
        <color rgb="FF800000"/>
        <rFont val="Symbol"/>
        <family val="1"/>
      </rPr>
      <t xml:space="preserve">D</t>
    </r>
    <r>
      <rPr>
        <b val="true"/>
        <sz val="10"/>
        <color rgb="FF800000"/>
        <rFont val="Times New Roman"/>
        <family val="1"/>
      </rPr>
      <t xml:space="preserve">Time Value</t>
    </r>
  </si>
  <si>
    <r>
      <rPr>
        <b val="true"/>
        <sz val="10"/>
        <color rgb="FF800000"/>
        <rFont val="Symbol"/>
        <family val="1"/>
      </rPr>
      <t xml:space="preserve">D</t>
    </r>
    <r>
      <rPr>
        <b val="true"/>
        <sz val="10"/>
        <color rgb="FF800000"/>
        <rFont val="Times New Roman"/>
        <family val="1"/>
      </rPr>
      <t xml:space="preserve">Env Value</t>
    </r>
  </si>
  <si>
    <t xml:space="preserve">Agency Cost Reduction</t>
  </si>
  <si>
    <r>
      <rPr>
        <b val="true"/>
        <sz val="10"/>
        <color rgb="FF800000"/>
        <rFont val="Symbol"/>
        <family val="1"/>
      </rPr>
      <t xml:space="preserve">DO</t>
    </r>
    <r>
      <rPr>
        <b val="true"/>
        <sz val="10"/>
        <color rgb="FF800000"/>
        <rFont val="Times New Roman"/>
        <family val="1"/>
      </rPr>
      <t xml:space="preserve">perational Revenue</t>
    </r>
  </si>
  <si>
    <t xml:space="preserve">PVB                          ($ in Base Year)</t>
  </si>
  <si>
    <t xml:space="preserve">PVC</t>
  </si>
  <si>
    <t xml:space="preserve">PVB</t>
  </si>
  <si>
    <r>
      <rPr>
        <sz val="10"/>
        <rFont val="Wingdings"/>
        <family val="0"/>
      </rPr>
      <t xml:space="preserve">a</t>
    </r>
    <r>
      <rPr>
        <sz val="10"/>
        <rFont val="Tahoma"/>
        <family val="2"/>
      </rPr>
      <t xml:space="preserve">  Cost Streams of Toll Agency</t>
    </r>
  </si>
  <si>
    <r>
      <rPr>
        <sz val="10"/>
        <rFont val="Wingdings"/>
        <family val="0"/>
      </rPr>
      <t xml:space="preserve">a</t>
    </r>
    <r>
      <rPr>
        <sz val="10"/>
        <rFont val="Tahoma"/>
        <family val="2"/>
      </rPr>
      <t xml:space="preserve">  Benefit Streams of Toll Agency</t>
    </r>
  </si>
  <si>
    <r>
      <rPr>
        <sz val="10"/>
        <rFont val="Wingdings"/>
        <family val="0"/>
      </rPr>
      <t xml:space="preserve">a</t>
    </r>
    <r>
      <rPr>
        <sz val="10"/>
        <rFont val="Tahoma"/>
        <family val="2"/>
      </rPr>
      <t xml:space="preserve"> Net Benefit of Toll Agency ($ in base year)</t>
    </r>
  </si>
  <si>
    <t xml:space="preserve">PVC                           ($ in Base Year)</t>
  </si>
  <si>
    <t xml:space="preserve">Cost Reduction</t>
  </si>
  <si>
    <r>
      <rPr>
        <b val="true"/>
        <sz val="10"/>
        <color rgb="FF800000"/>
        <rFont val="Symbol"/>
        <family val="1"/>
      </rPr>
      <t xml:space="preserve">D</t>
    </r>
    <r>
      <rPr>
        <b val="true"/>
        <sz val="10"/>
        <color rgb="FF800000"/>
        <rFont val="Times New Roman"/>
        <family val="1"/>
      </rPr>
      <t xml:space="preserve">Operational Revenue*</t>
    </r>
  </si>
  <si>
    <t xml:space="preserve">PVB                    ($ in Base Year)</t>
  </si>
  <si>
    <r>
      <rPr>
        <sz val="10"/>
        <rFont val="Tahoma"/>
        <family val="2"/>
      </rPr>
      <t xml:space="preserve">*</t>
    </r>
    <r>
      <rPr>
        <sz val="10"/>
        <rFont val="Symbol"/>
        <family val="1"/>
      </rPr>
      <t xml:space="preserve">D</t>
    </r>
    <r>
      <rPr>
        <sz val="10"/>
        <rFont val="Times New Roman"/>
        <family val="1"/>
      </rPr>
      <t xml:space="preserve">Operational Benefit = the amount of DInterest Gain of users</t>
    </r>
  </si>
  <si>
    <r>
      <rPr>
        <sz val="10"/>
        <rFont val="Wingdings"/>
        <family val="0"/>
      </rPr>
      <t xml:space="preserve">a</t>
    </r>
    <r>
      <rPr>
        <sz val="10"/>
        <rFont val="Tahoma"/>
        <family val="2"/>
      </rPr>
      <t xml:space="preserve">  Cost Streams of Users</t>
    </r>
  </si>
  <si>
    <r>
      <rPr>
        <sz val="10"/>
        <rFont val="Wingdings"/>
        <family val="0"/>
      </rPr>
      <t xml:space="preserve">a</t>
    </r>
    <r>
      <rPr>
        <sz val="10"/>
        <rFont val="Tahoma"/>
        <family val="2"/>
      </rPr>
      <t xml:space="preserve">  Benefit Streams of Users</t>
    </r>
  </si>
  <si>
    <r>
      <rPr>
        <sz val="10"/>
        <rFont val="Wingdings"/>
        <family val="0"/>
      </rPr>
      <t xml:space="preserve">a</t>
    </r>
    <r>
      <rPr>
        <sz val="10"/>
        <rFont val="Tahoma"/>
        <family val="2"/>
      </rPr>
      <t xml:space="preserve"> Net Benefit of Users ($ in base year)</t>
    </r>
  </si>
  <si>
    <t xml:space="preserve">PVC                        ($ in Base Year)</t>
  </si>
  <si>
    <r>
      <rPr>
        <b val="true"/>
        <sz val="10"/>
        <color rgb="FF800000"/>
        <rFont val="Symbol"/>
        <family val="1"/>
      </rPr>
      <t xml:space="preserve">D</t>
    </r>
    <r>
      <rPr>
        <b val="true"/>
        <sz val="10"/>
        <color rgb="FF800000"/>
        <rFont val="Times New Roman"/>
        <family val="1"/>
      </rPr>
      <t xml:space="preserve">Total</t>
    </r>
  </si>
  <si>
    <r>
      <rPr>
        <sz val="10"/>
        <rFont val="Wingdings"/>
        <family val="0"/>
      </rPr>
      <t xml:space="preserve">a</t>
    </r>
    <r>
      <rPr>
        <sz val="10"/>
        <rFont val="Tahoma"/>
        <family val="2"/>
      </rPr>
      <t xml:space="preserve">  Cost Streams of Community</t>
    </r>
  </si>
  <si>
    <r>
      <rPr>
        <sz val="10"/>
        <rFont val="Wingdings"/>
        <family val="0"/>
      </rPr>
      <t xml:space="preserve">a</t>
    </r>
    <r>
      <rPr>
        <sz val="10"/>
        <rFont val="Tahoma"/>
        <family val="2"/>
      </rPr>
      <t xml:space="preserve">  Benefit Streams of Community</t>
    </r>
  </si>
  <si>
    <r>
      <rPr>
        <sz val="10"/>
        <rFont val="Wingdings"/>
        <family val="0"/>
      </rPr>
      <t xml:space="preserve">a</t>
    </r>
    <r>
      <rPr>
        <sz val="10"/>
        <rFont val="Tahoma"/>
        <family val="2"/>
      </rPr>
      <t xml:space="preserve"> Net Benefit of Community ($ in base year)</t>
    </r>
  </si>
  <si>
    <r>
      <rPr>
        <b val="true"/>
        <sz val="10"/>
        <color rgb="FF800000"/>
        <rFont val="Symbol"/>
        <family val="1"/>
      </rPr>
      <t xml:space="preserve">D</t>
    </r>
    <r>
      <rPr>
        <b val="true"/>
        <sz val="10"/>
        <color rgb="FF800000"/>
        <rFont val="Times New Roman"/>
        <family val="1"/>
      </rPr>
      <t xml:space="preserve">Env. Value**</t>
    </r>
  </si>
  <si>
    <t xml:space="preserve">** Environmental value is estimated by the value of emission reduction.</t>
  </si>
  <si>
    <r>
      <rPr>
        <sz val="10"/>
        <rFont val="Wingdings"/>
        <family val="0"/>
      </rPr>
      <t xml:space="preserve">y</t>
    </r>
    <r>
      <rPr>
        <sz val="10"/>
        <rFont val="Tahoma"/>
        <family val="2"/>
      </rPr>
      <t xml:space="preserve"> Reduction of Operating Costs</t>
    </r>
  </si>
  <si>
    <t xml:space="preserve">Cost Saving</t>
  </si>
  <si>
    <t xml:space="preserve">One-Time</t>
  </si>
  <si>
    <t xml:space="preserve">Others</t>
  </si>
  <si>
    <t xml:space="preserve">Optimal Number of ETC Lanes</t>
  </si>
  <si>
    <r>
      <rPr>
        <sz val="10"/>
        <rFont val="Wingdings"/>
        <family val="0"/>
      </rPr>
      <t xml:space="preserve">1</t>
    </r>
    <r>
      <rPr>
        <sz val="10"/>
        <rFont val="Tahoma"/>
        <family val="2"/>
      </rPr>
      <t xml:space="preserve"> Transaction Facts</t>
    </r>
  </si>
  <si>
    <r>
      <rPr>
        <sz val="10"/>
        <rFont val="Wingdings"/>
        <family val="0"/>
      </rPr>
      <t xml:space="preserve">y</t>
    </r>
    <r>
      <rPr>
        <sz val="10"/>
        <rFont val="Tahoma"/>
        <family val="2"/>
      </rPr>
      <t xml:space="preserve"> Queueing Delayper Year (hrs)</t>
    </r>
  </si>
  <si>
    <t xml:space="preserve">a) Random and Stop Delay in the System during the Evening Peak per Day (hr)</t>
  </si>
  <si>
    <t xml:space="preserve">b) Average Random Delay per Manual User (sec)</t>
  </si>
  <si>
    <t xml:space="preserve">c) Average Random Delay per ETC User (sec)</t>
  </si>
  <si>
    <t xml:space="preserve">ETC (%)</t>
  </si>
  <si>
    <t xml:space="preserve">Peak Arrival Rate in the evening</t>
  </si>
  <si>
    <t xml:space="preserve">Suggeted Number of ETC Lanes</t>
  </si>
  <si>
    <t xml:space="preserve">Delay per Day (Baseline)</t>
  </si>
  <si>
    <t xml:space="preserve">Delay Per Year* (hr)</t>
  </si>
  <si>
    <t xml:space="preserve">Delay per Day (ETC)</t>
  </si>
  <si>
    <t xml:space="preserve">Total Arrival Rate</t>
  </si>
  <si>
    <t xml:space="preserve">Number of ETC Lanes</t>
  </si>
  <si>
    <t xml:space="preserve">Optimal # of ETC Ln*</t>
  </si>
  <si>
    <t xml:space="preserve">Delay per Day**(hr)</t>
  </si>
  <si>
    <t xml:space="preserve">Suggested # of ETC Ln***</t>
  </si>
  <si>
    <t xml:space="preserve">Arrival Rate for Manual Lanes</t>
  </si>
  <si>
    <t xml:space="preserve">Mean Transaction Time (sec)</t>
  </si>
  <si>
    <t xml:space="preserve">Arrival Rate for ETC Users</t>
  </si>
  <si>
    <t xml:space="preserve">Mean Headway (sec)</t>
  </si>
  <si>
    <t xml:space="preserve">Manual Only</t>
  </si>
  <si>
    <r>
      <rPr>
        <b val="true"/>
        <sz val="10"/>
        <color rgb="FF800000"/>
        <rFont val="Symbol"/>
        <family val="1"/>
      </rPr>
      <t xml:space="preserve">l</t>
    </r>
    <r>
      <rPr>
        <b val="true"/>
        <sz val="10"/>
        <color rgb="FF800000"/>
        <rFont val="Times New Roman"/>
        <family val="1"/>
      </rPr>
      <t xml:space="preserve">/sc for no ETC</t>
    </r>
  </si>
  <si>
    <r>
      <rPr>
        <b val="true"/>
        <sz val="10"/>
        <color rgb="FF800000"/>
        <rFont val="Symbol"/>
        <family val="1"/>
      </rPr>
      <t xml:space="preserve">l</t>
    </r>
    <r>
      <rPr>
        <b val="true"/>
        <sz val="10"/>
        <color rgb="FF800000"/>
        <rFont val="Times New Roman"/>
        <family val="1"/>
      </rPr>
      <t xml:space="preserve">/sc under ETC</t>
    </r>
  </si>
  <si>
    <t xml:space="preserve">ETC</t>
  </si>
  <si>
    <t xml:space="preserve">*Suppose peak hours happen in weekdays. Therefore, 5 weekdays per week.</t>
  </si>
  <si>
    <t xml:space="preserve">*Criterion of Choosing Optimal Number of ETC Lanes--Minimize Total Delay in the System During the Peak Hour</t>
  </si>
  <si>
    <t xml:space="preserve">  Or you can change the number of days (in white cell)</t>
  </si>
  <si>
    <r>
      <rPr>
        <i val="true"/>
        <sz val="10"/>
        <color rgb="FF800000"/>
        <rFont val="Tahoma"/>
        <family val="2"/>
      </rPr>
      <t xml:space="preserve">Average Delay Formula</t>
    </r>
    <r>
      <rPr>
        <sz val="10"/>
        <rFont val="Tahoma"/>
        <family val="2"/>
      </rPr>
      <t xml:space="preserve">: AD</t>
    </r>
    <r>
      <rPr>
        <vertAlign val="subscript"/>
        <sz val="10"/>
        <rFont val="Tahoma"/>
        <family val="2"/>
      </rPr>
      <t xml:space="preserve">i</t>
    </r>
    <r>
      <rPr>
        <sz val="10"/>
        <rFont val="Tahoma"/>
        <family val="2"/>
      </rPr>
      <t xml:space="preserve"> = (3600/</t>
    </r>
    <r>
      <rPr>
        <sz val="10"/>
        <rFont val="Symbol"/>
        <family val="1"/>
      </rPr>
      <t xml:space="preserve">m</t>
    </r>
    <r>
      <rPr>
        <vertAlign val="subscript"/>
        <sz val="10"/>
        <rFont val="Tahoma"/>
        <family val="2"/>
      </rPr>
      <t xml:space="preserve">i</t>
    </r>
    <r>
      <rPr>
        <sz val="10"/>
        <rFont val="Tahoma"/>
        <family val="2"/>
      </rPr>
      <t xml:space="preserve">) + 900* (T)*{(</t>
    </r>
    <r>
      <rPr>
        <sz val="10"/>
        <rFont val="Symbol"/>
        <family val="1"/>
      </rPr>
      <t xml:space="preserve">r</t>
    </r>
    <r>
      <rPr>
        <sz val="10"/>
        <rFont val="Tahoma"/>
        <family val="2"/>
      </rPr>
      <t xml:space="preserve">-1)+[(</t>
    </r>
    <r>
      <rPr>
        <sz val="10"/>
        <rFont val="Symbol"/>
        <family val="1"/>
      </rPr>
      <t xml:space="preserve">r</t>
    </r>
    <r>
      <rPr>
        <sz val="10"/>
        <rFont val="Tahoma"/>
        <family val="2"/>
      </rPr>
      <t xml:space="preserve">-1)</t>
    </r>
    <r>
      <rPr>
        <vertAlign val="superscript"/>
        <sz val="10"/>
        <rFont val="Tahoma"/>
        <family val="2"/>
      </rPr>
      <t xml:space="preserve">2</t>
    </r>
    <r>
      <rPr>
        <sz val="10"/>
        <rFont val="Tahoma"/>
        <family val="2"/>
      </rPr>
      <t xml:space="preserve">+8*k*I*</t>
    </r>
    <r>
      <rPr>
        <sz val="10"/>
        <rFont val="Symbol"/>
        <family val="1"/>
      </rPr>
      <t xml:space="preserve">r</t>
    </r>
    <r>
      <rPr>
        <sz val="10"/>
        <rFont val="Tahoma"/>
        <family val="2"/>
      </rPr>
      <t xml:space="preserve">/(T*m</t>
    </r>
    <r>
      <rPr>
        <vertAlign val="subscript"/>
        <sz val="10"/>
        <rFont val="Tahoma"/>
        <family val="2"/>
      </rPr>
      <t xml:space="preserve">i</t>
    </r>
    <r>
      <rPr>
        <sz val="10"/>
        <rFont val="Symbol"/>
        <family val="1"/>
      </rPr>
      <t xml:space="preserve">m</t>
    </r>
    <r>
      <rPr>
        <vertAlign val="subscript"/>
        <sz val="10"/>
        <rFont val="Tahoma"/>
        <family val="2"/>
      </rPr>
      <t xml:space="preserve">i</t>
    </r>
    <r>
      <rPr>
        <sz val="10"/>
        <rFont val="Tahoma"/>
        <family val="2"/>
      </rPr>
      <t xml:space="preserve">)]</t>
    </r>
    <r>
      <rPr>
        <vertAlign val="superscript"/>
        <sz val="10"/>
        <rFont val="Tahoma"/>
        <family val="2"/>
      </rPr>
      <t xml:space="preserve">0.5</t>
    </r>
    <r>
      <rPr>
        <sz val="10"/>
        <rFont val="Tahoma"/>
        <family val="2"/>
      </rPr>
      <t xml:space="preserve">}</t>
    </r>
  </si>
  <si>
    <t xml:space="preserve">  # of weeks per year</t>
  </si>
  <si>
    <t xml:space="preserve">where </t>
  </si>
  <si>
    <t xml:space="preserve">  # of weekdays per year</t>
  </si>
  <si>
    <r>
      <rPr>
        <sz val="10"/>
        <rFont val="Tahoma"/>
        <family val="2"/>
      </rPr>
      <t xml:space="preserve">  1/</t>
    </r>
    <r>
      <rPr>
        <sz val="10"/>
        <rFont val="Symbol"/>
        <family val="1"/>
      </rPr>
      <t xml:space="preserve">m</t>
    </r>
    <r>
      <rPr>
        <sz val="10"/>
        <rFont val="Tahoma"/>
        <family val="2"/>
      </rPr>
      <t xml:space="preserve"> : mean transaction time (hr)</t>
    </r>
  </si>
  <si>
    <t xml:space="preserve">  i  : 1 for manual lane and 2 for ETC lane.</t>
  </si>
  <si>
    <t xml:space="preserve">  T : duration of peak period (hr) per day,</t>
  </si>
  <si>
    <r>
      <rPr>
        <sz val="10"/>
        <rFont val="Wingdings"/>
        <family val="0"/>
      </rPr>
      <t xml:space="preserve">y</t>
    </r>
    <r>
      <rPr>
        <sz val="10"/>
        <rFont val="Tahoma"/>
        <family val="2"/>
      </rPr>
      <t xml:space="preserve"> Estimated Mean Service Rate (vhe/hrs) given payment split</t>
    </r>
  </si>
  <si>
    <r>
      <rPr>
        <sz val="10"/>
        <rFont val="Tahoma"/>
        <family val="2"/>
      </rPr>
      <t xml:space="preserve">  </t>
    </r>
    <r>
      <rPr>
        <sz val="10"/>
        <rFont val="Symbol"/>
        <family val="1"/>
      </rPr>
      <t xml:space="preserve">r</t>
    </r>
    <r>
      <rPr>
        <sz val="10"/>
        <rFont val="Tahoma"/>
        <family val="2"/>
      </rPr>
      <t xml:space="preserve">  : degree of saturation, </t>
    </r>
    <r>
      <rPr>
        <sz val="10"/>
        <rFont val="Symbol"/>
        <family val="1"/>
      </rPr>
      <t xml:space="preserve">r</t>
    </r>
    <r>
      <rPr>
        <vertAlign val="subscript"/>
        <sz val="10"/>
        <rFont val="Tahoma"/>
        <family val="2"/>
      </rPr>
      <t xml:space="preserve">i</t>
    </r>
    <r>
      <rPr>
        <sz val="10"/>
        <rFont val="Tahoma"/>
        <family val="2"/>
      </rPr>
      <t xml:space="preserve"> = </t>
    </r>
    <r>
      <rPr>
        <sz val="10"/>
        <rFont val="Symbol"/>
        <family val="1"/>
      </rPr>
      <t xml:space="preserve">l</t>
    </r>
    <r>
      <rPr>
        <sz val="10"/>
        <rFont val="Tahoma"/>
        <family val="2"/>
      </rPr>
      <t xml:space="preserve">i/m</t>
    </r>
    <r>
      <rPr>
        <vertAlign val="subscript"/>
        <sz val="10"/>
        <rFont val="Tahoma"/>
        <family val="2"/>
      </rPr>
      <t xml:space="preserve">i</t>
    </r>
    <r>
      <rPr>
        <sz val="10"/>
        <rFont val="Symbol"/>
        <family val="1"/>
      </rPr>
      <t xml:space="preserve">m</t>
    </r>
    <r>
      <rPr>
        <vertAlign val="subscript"/>
        <sz val="10"/>
        <rFont val="Tahoma"/>
        <family val="2"/>
      </rPr>
      <t xml:space="preserve">i</t>
    </r>
  </si>
  <si>
    <t xml:space="preserve">Payment Split (Baseline)-Manual</t>
  </si>
  <si>
    <t xml:space="preserve">Payment Split (ETC Alternative)-Manual</t>
  </si>
  <si>
    <t xml:space="preserve">Mean Capacity per Lane-ETC</t>
  </si>
  <si>
    <t xml:space="preserve">  m : number of lanes,</t>
  </si>
  <si>
    <t xml:space="preserve">Cash/Chect</t>
  </si>
  <si>
    <t xml:space="preserve">Mean Service Rate</t>
  </si>
  <si>
    <t xml:space="preserve">Cash/Check</t>
  </si>
  <si>
    <r>
      <rPr>
        <sz val="10"/>
        <rFont val="Tahoma"/>
        <family val="2"/>
      </rPr>
      <t xml:space="preserve">  </t>
    </r>
    <r>
      <rPr>
        <sz val="10"/>
        <rFont val="Symbol"/>
        <family val="1"/>
      </rPr>
      <t xml:space="preserve">l</t>
    </r>
    <r>
      <rPr>
        <sz val="10"/>
        <rFont val="Tahoma"/>
        <family val="2"/>
      </rPr>
      <t xml:space="preserve">  : arrival rate during the peak period (veh/hr),</t>
    </r>
  </si>
  <si>
    <t xml:space="preserve">  k  : parameter for given arrival and service distribution, k = 1 for Poisson Arrivals and exponentil service time,</t>
  </si>
  <si>
    <t xml:space="preserve">  I  : variance to mean ratio of arrivals; I = 1 for Poisson Arrivals.</t>
  </si>
  <si>
    <t xml:space="preserve">For ETC lanes,no stop needed; mean transaction time is zero.</t>
  </si>
  <si>
    <r>
      <rPr>
        <i val="true"/>
        <sz val="10"/>
        <color rgb="FF800000"/>
        <rFont val="Tahoma"/>
        <family val="2"/>
      </rPr>
      <t xml:space="preserve">Total Delay (hr) Occurs in the System per da</t>
    </r>
    <r>
      <rPr>
        <sz val="10"/>
        <color rgb="FF800000"/>
        <rFont val="Tahoma"/>
        <family val="2"/>
      </rPr>
      <t xml:space="preserve">y</t>
    </r>
    <r>
      <rPr>
        <sz val="10"/>
        <rFont val="Tahoma"/>
        <family val="2"/>
      </rPr>
      <t xml:space="preserve">: (AD</t>
    </r>
    <r>
      <rPr>
        <vertAlign val="subscript"/>
        <sz val="10"/>
        <rFont val="Tahoma"/>
        <family val="2"/>
      </rPr>
      <t xml:space="preserve">1</t>
    </r>
    <r>
      <rPr>
        <sz val="10"/>
        <rFont val="Tahoma"/>
        <family val="2"/>
      </rPr>
      <t xml:space="preserve">*</t>
    </r>
    <r>
      <rPr>
        <sz val="10"/>
        <rFont val="Symbol"/>
        <family val="1"/>
      </rPr>
      <t xml:space="preserve">l</t>
    </r>
    <r>
      <rPr>
        <vertAlign val="subscript"/>
        <sz val="10"/>
        <rFont val="Tahoma"/>
        <family val="2"/>
      </rPr>
      <t xml:space="preserve">1</t>
    </r>
    <r>
      <rPr>
        <sz val="10"/>
        <rFont val="Tahoma"/>
        <family val="2"/>
      </rPr>
      <t xml:space="preserve">+AD</t>
    </r>
    <r>
      <rPr>
        <vertAlign val="subscript"/>
        <sz val="10"/>
        <rFont val="Tahoma"/>
        <family val="2"/>
      </rPr>
      <t xml:space="preserve">2</t>
    </r>
    <r>
      <rPr>
        <sz val="10"/>
        <rFont val="Tahoma"/>
        <family val="2"/>
      </rPr>
      <t xml:space="preserve">*</t>
    </r>
    <r>
      <rPr>
        <sz val="10"/>
        <rFont val="Symbol"/>
        <family val="1"/>
      </rPr>
      <t xml:space="preserve">l</t>
    </r>
    <r>
      <rPr>
        <vertAlign val="subscript"/>
        <sz val="10"/>
        <rFont val="Tahoma"/>
        <family val="2"/>
      </rPr>
      <t xml:space="preserve">2</t>
    </r>
    <r>
      <rPr>
        <sz val="10"/>
        <rFont val="Tahoma"/>
        <family val="2"/>
      </rPr>
      <t xml:space="preserve">)*T/3600</t>
    </r>
  </si>
  <si>
    <t xml:space="preserve">Given total number of lanes, peak hour traffic and ETC split, we can find out the optimal number of ETC lanes.</t>
  </si>
  <si>
    <t xml:space="preserve">** Delay happens to those people who arrival during the evening peak period.</t>
  </si>
  <si>
    <r>
      <rPr>
        <sz val="10"/>
        <color rgb="FF800000"/>
        <rFont val="Tahoma"/>
        <family val="2"/>
      </rPr>
      <t xml:space="preserve">***Suggested Number of ETC Lanes:</t>
    </r>
    <r>
      <rPr>
        <sz val="10"/>
        <rFont val="Tahoma"/>
        <family val="2"/>
      </rPr>
      <t xml:space="preserve">The number of ETC Lanes, which is close to optimal number of ETC Lanes, such that average delay in ETC lanes is less than average delay in Manual Lanes.</t>
    </r>
  </si>
  <si>
    <t xml:space="preserve">a) Random and Stop Delay in the System during the Morning Peak per Day (hr)</t>
  </si>
  <si>
    <t xml:space="preserve">Arrival Rate for Manual Users</t>
  </si>
  <si>
    <t xml:space="preserve">** Delay happens to those people who arrival during the morning peak period.</t>
  </si>
  <si>
    <t xml:space="preserve">     Here, the number of ETC lanes is decided corresponding to evening condition.  Therefore, we use the combination got from evening peak to estimate the delay in the morning peak.</t>
  </si>
  <si>
    <r>
      <rPr>
        <sz val="10"/>
        <rFont val="Wingdings"/>
        <family val="0"/>
      </rPr>
      <t xml:space="preserve">1</t>
    </r>
    <r>
      <rPr>
        <sz val="10"/>
        <rFont val="Tahoma"/>
        <family val="2"/>
      </rPr>
      <t xml:space="preserve"> Personal Year Related Information</t>
    </r>
  </si>
  <si>
    <r>
      <rPr>
        <sz val="10"/>
        <rFont val="Wingdings"/>
        <family val="0"/>
      </rPr>
      <t xml:space="preserve">y</t>
    </r>
    <r>
      <rPr>
        <sz val="10"/>
        <rFont val="Tahoma"/>
        <family val="2"/>
      </rPr>
      <t xml:space="preserve"> Personal Year Estimation</t>
    </r>
  </si>
  <si>
    <r>
      <rPr>
        <sz val="10"/>
        <rFont val="Wingdings"/>
        <family val="0"/>
      </rPr>
      <t xml:space="preserve">y</t>
    </r>
    <r>
      <rPr>
        <sz val="10"/>
        <rFont val="Tahoma"/>
        <family val="2"/>
      </rPr>
      <t xml:space="preserve"> Estimates of personal year reduction</t>
    </r>
  </si>
  <si>
    <t xml:space="preserve">Annual Traffic Vol.</t>
  </si>
  <si>
    <t xml:space="preserve">AADT</t>
  </si>
  <si>
    <t xml:space="preserve">Suggested Number of ETC Ln</t>
  </si>
  <si>
    <t xml:space="preserve">PY Reduction</t>
  </si>
  <si>
    <t xml:space="preserve">PHV per year</t>
  </si>
  <si>
    <t xml:space="preserve">Off-Peak Traffic per Year</t>
  </si>
  <si>
    <t xml:space="preserve">PY</t>
  </si>
  <si>
    <t xml:space="preserve">PHV (Manual) per year</t>
  </si>
  <si>
    <t xml:space="preserve">Off-Peak Traffic (Manual)             per Year</t>
  </si>
  <si>
    <r>
      <rPr>
        <b val="true"/>
        <sz val="10"/>
        <rFont val="Times New Roman"/>
        <family val="1"/>
      </rPr>
      <t xml:space="preserve">PY for Peak Hour</t>
    </r>
    <r>
      <rPr>
        <b val="true"/>
        <vertAlign val="superscript"/>
        <sz val="10"/>
        <rFont val="Times New Roman"/>
        <family val="1"/>
      </rPr>
      <t xml:space="preserve">1</t>
    </r>
  </si>
  <si>
    <r>
      <rPr>
        <b val="true"/>
        <sz val="10"/>
        <rFont val="Times New Roman"/>
        <family val="1"/>
      </rPr>
      <t xml:space="preserve">PY for Off-Peak per Year</t>
    </r>
    <r>
      <rPr>
        <b val="true"/>
        <vertAlign val="superscript"/>
        <sz val="10"/>
        <rFont val="Times New Roman"/>
        <family val="1"/>
      </rPr>
      <t xml:space="preserve">2</t>
    </r>
  </si>
  <si>
    <t xml:space="preserve">PY for Information Technology in Base Year</t>
  </si>
  <si>
    <t xml:space="preserve">PY for Program Costs (Toll Collection) in Base Year</t>
  </si>
  <si>
    <r>
      <rPr>
        <vertAlign val="superscript"/>
        <sz val="10"/>
        <rFont val="Tahoma"/>
        <family val="2"/>
      </rPr>
      <t xml:space="preserve">1  </t>
    </r>
    <r>
      <rPr>
        <b val="true"/>
        <sz val="10"/>
        <color rgb="FF800000"/>
        <rFont val="Tahoma"/>
        <family val="2"/>
      </rPr>
      <t xml:space="preserve">PY Estimation for peak hours</t>
    </r>
  </si>
  <si>
    <r>
      <rPr>
        <sz val="10"/>
        <rFont val="Tahoma"/>
        <family val="2"/>
      </rPr>
      <t xml:space="preserve">   </t>
    </r>
    <r>
      <rPr>
        <b val="true"/>
        <i val="true"/>
        <sz val="10"/>
        <color rgb="FF800000"/>
        <rFont val="Tahoma"/>
        <family val="2"/>
      </rPr>
      <t xml:space="preserve">Units of PY for peak hour operation per year (H</t>
    </r>
    <r>
      <rPr>
        <b val="true"/>
        <i val="true"/>
        <vertAlign val="subscript"/>
        <sz val="10"/>
        <color rgb="FF800000"/>
        <rFont val="Tahoma"/>
        <family val="2"/>
      </rPr>
      <t xml:space="preserve">p</t>
    </r>
    <r>
      <rPr>
        <sz val="10"/>
        <color rgb="FF800000"/>
        <rFont val="Tahoma"/>
        <family val="2"/>
      </rPr>
      <t xml:space="preserve">)</t>
    </r>
    <r>
      <rPr>
        <sz val="10"/>
        <rFont val="Tahoma"/>
        <family val="2"/>
      </rPr>
      <t xml:space="preserve">: (T</t>
    </r>
    <r>
      <rPr>
        <vertAlign val="subscript"/>
        <sz val="10"/>
        <rFont val="Tahoma"/>
        <family val="2"/>
      </rPr>
      <t xml:space="preserve">m</t>
    </r>
    <r>
      <rPr>
        <sz val="10"/>
        <rFont val="Tahoma"/>
        <family val="2"/>
      </rPr>
      <t xml:space="preserve">+T</t>
    </r>
    <r>
      <rPr>
        <vertAlign val="subscript"/>
        <sz val="10"/>
        <rFont val="Tahoma"/>
        <family val="2"/>
      </rPr>
      <t xml:space="preserve">e</t>
    </r>
    <r>
      <rPr>
        <sz val="10"/>
        <rFont val="Tahoma"/>
        <family val="2"/>
      </rPr>
      <t xml:space="preserve">)*D</t>
    </r>
    <r>
      <rPr>
        <vertAlign val="subscript"/>
        <sz val="10"/>
        <rFont val="Tahoma"/>
        <family val="2"/>
      </rPr>
      <t xml:space="preserve">w</t>
    </r>
    <r>
      <rPr>
        <sz val="10"/>
        <rFont val="Tahoma"/>
        <family val="2"/>
      </rPr>
      <t xml:space="preserve">*N</t>
    </r>
    <r>
      <rPr>
        <vertAlign val="subscript"/>
        <sz val="10"/>
        <rFont val="Tahoma"/>
        <family val="2"/>
      </rPr>
      <t xml:space="preserve">m</t>
    </r>
    <r>
      <rPr>
        <sz val="10"/>
        <rFont val="Tahoma"/>
        <family val="2"/>
      </rPr>
      <t xml:space="preserve">/H</t>
    </r>
    <r>
      <rPr>
        <vertAlign val="subscript"/>
        <sz val="10"/>
        <rFont val="Tahoma"/>
        <family val="2"/>
      </rPr>
      <t xml:space="preserve">py</t>
    </r>
  </si>
  <si>
    <t xml:space="preserve">   Where,</t>
  </si>
  <si>
    <r>
      <rPr>
        <sz val="10"/>
        <rFont val="Tahoma"/>
        <family val="2"/>
      </rPr>
      <t xml:space="preserve">       T</t>
    </r>
    <r>
      <rPr>
        <vertAlign val="subscript"/>
        <sz val="10"/>
        <rFont val="Tahoma"/>
        <family val="2"/>
      </rPr>
      <t xml:space="preserve">m</t>
    </r>
    <r>
      <rPr>
        <sz val="10"/>
        <rFont val="Tahoma"/>
        <family val="2"/>
      </rPr>
      <t xml:space="preserve">: duration of morning peak</t>
    </r>
  </si>
  <si>
    <r>
      <rPr>
        <sz val="10"/>
        <rFont val="Tahoma"/>
        <family val="2"/>
      </rPr>
      <t xml:space="preserve">       T</t>
    </r>
    <r>
      <rPr>
        <vertAlign val="subscript"/>
        <sz val="10"/>
        <rFont val="Tahoma"/>
        <family val="2"/>
      </rPr>
      <t xml:space="preserve">e</t>
    </r>
    <r>
      <rPr>
        <sz val="10"/>
        <rFont val="Tahoma"/>
        <family val="2"/>
      </rPr>
      <t xml:space="preserve">:</t>
    </r>
    <r>
      <rPr>
        <vertAlign val="subscript"/>
        <sz val="10"/>
        <rFont val="Tahoma"/>
        <family val="2"/>
      </rPr>
      <t xml:space="preserve">  </t>
    </r>
    <r>
      <rPr>
        <sz val="10"/>
        <rFont val="Tahoma"/>
        <family val="2"/>
      </rPr>
      <t xml:space="preserve">duration of morning peak</t>
    </r>
  </si>
  <si>
    <r>
      <rPr>
        <sz val="10"/>
        <rFont val="Tahoma"/>
        <family val="2"/>
      </rPr>
      <t xml:space="preserve">       D</t>
    </r>
    <r>
      <rPr>
        <vertAlign val="subscript"/>
        <sz val="10"/>
        <rFont val="Tahoma"/>
        <family val="2"/>
      </rPr>
      <t xml:space="preserve">w</t>
    </r>
    <r>
      <rPr>
        <sz val="10"/>
        <rFont val="Tahoma"/>
        <family val="2"/>
      </rPr>
      <t xml:space="preserve">: number of weekdays per year</t>
    </r>
  </si>
  <si>
    <r>
      <rPr>
        <sz val="10"/>
        <rFont val="Tahoma"/>
        <family val="2"/>
      </rPr>
      <t xml:space="preserve">       N</t>
    </r>
    <r>
      <rPr>
        <vertAlign val="subscript"/>
        <sz val="10"/>
        <rFont val="Tahoma"/>
        <family val="2"/>
      </rPr>
      <t xml:space="preserve">m</t>
    </r>
    <r>
      <rPr>
        <sz val="10"/>
        <rFont val="Tahoma"/>
        <family val="2"/>
      </rPr>
      <t xml:space="preserve">: number of manual channels; suppose that all manual channels are open during the peak hours</t>
    </r>
  </si>
  <si>
    <r>
      <rPr>
        <sz val="10"/>
        <rFont val="Tahoma"/>
        <family val="2"/>
      </rPr>
      <t xml:space="preserve">       H</t>
    </r>
    <r>
      <rPr>
        <vertAlign val="subscript"/>
        <sz val="10"/>
        <rFont val="Tahoma"/>
        <family val="2"/>
      </rPr>
      <t xml:space="preserve">py</t>
    </r>
    <r>
      <rPr>
        <sz val="10"/>
        <rFont val="Tahoma"/>
        <family val="2"/>
      </rPr>
      <t xml:space="preserve">: hours per unit PY</t>
    </r>
  </si>
  <si>
    <r>
      <rPr>
        <vertAlign val="superscript"/>
        <sz val="10"/>
        <rFont val="Tahoma"/>
        <family val="2"/>
      </rPr>
      <t xml:space="preserve">2  </t>
    </r>
    <r>
      <rPr>
        <b val="true"/>
        <sz val="10"/>
        <color rgb="FF800000"/>
        <rFont val="Tahoma"/>
        <family val="2"/>
      </rPr>
      <t xml:space="preserve">PY Estimation for off-peak hours</t>
    </r>
  </si>
  <si>
    <r>
      <rPr>
        <sz val="10"/>
        <rFont val="Tahoma"/>
        <family val="2"/>
      </rPr>
      <t xml:space="preserve">   </t>
    </r>
    <r>
      <rPr>
        <u val="single"/>
        <sz val="10"/>
        <rFont val="Tahoma"/>
        <family val="2"/>
      </rPr>
      <t xml:space="preserve">Assumptions</t>
    </r>
    <r>
      <rPr>
        <sz val="10"/>
        <rFont val="Tahoma"/>
        <family val="2"/>
      </rPr>
      <t xml:space="preserve">: </t>
    </r>
  </si>
  <si>
    <t xml:space="preserve">      a. the units of PY needed for off-peak period is uniform across the time,</t>
  </si>
  <si>
    <t xml:space="preserve">      b. the units of PY needed for off-peak period is proportional to annual off-peak traffic volume, </t>
  </si>
  <si>
    <r>
      <rPr>
        <sz val="10"/>
        <rFont val="Tahoma"/>
        <family val="2"/>
      </rPr>
      <t xml:space="preserve">          which we estimate from substracting annual traffic volume by </t>
    </r>
    <r>
      <rPr>
        <sz val="10"/>
        <color rgb="FF800000"/>
        <rFont val="Tahoma"/>
        <family val="2"/>
      </rPr>
      <t xml:space="preserve">peak traffic volume.</t>
    </r>
  </si>
  <si>
    <r>
      <rPr>
        <sz val="10"/>
        <rFont val="Tahoma"/>
        <family val="2"/>
      </rPr>
      <t xml:space="preserve">      c.  </t>
    </r>
    <r>
      <rPr>
        <sz val="10"/>
        <color rgb="FF800000"/>
        <rFont val="Tahoma"/>
        <family val="2"/>
      </rPr>
      <t xml:space="preserve">Peak traffic volume</t>
    </r>
    <r>
      <rPr>
        <sz val="10"/>
        <rFont val="Tahoma"/>
        <family val="2"/>
      </rPr>
      <t xml:space="preserve"> is estimated by (daily peak volume)*(# of weekdays in a year)</t>
    </r>
  </si>
  <si>
    <r>
      <rPr>
        <sz val="10"/>
        <rFont val="Tahoma"/>
        <family val="2"/>
      </rPr>
      <t xml:space="preserve">   </t>
    </r>
    <r>
      <rPr>
        <b val="true"/>
        <i val="true"/>
        <sz val="10"/>
        <color rgb="FF800000"/>
        <rFont val="Tahoma"/>
        <family val="2"/>
      </rPr>
      <t xml:space="preserve">Units of PY for off-peak hour operation per year (H</t>
    </r>
    <r>
      <rPr>
        <b val="true"/>
        <i val="true"/>
        <vertAlign val="subscript"/>
        <sz val="10"/>
        <color rgb="FF800000"/>
        <rFont val="Tahoma"/>
        <family val="2"/>
      </rPr>
      <t xml:space="preserve">op</t>
    </r>
    <r>
      <rPr>
        <b val="true"/>
        <i val="true"/>
        <sz val="10"/>
        <color rgb="FF800000"/>
        <rFont val="Tahoma"/>
        <family val="2"/>
      </rPr>
      <t xml:space="preserve">):</t>
    </r>
  </si>
  <si>
    <r>
      <rPr>
        <sz val="10"/>
        <rFont val="Tahoma"/>
        <family val="2"/>
      </rPr>
      <t xml:space="preserve">       (H</t>
    </r>
    <r>
      <rPr>
        <vertAlign val="subscript"/>
        <sz val="10"/>
        <rFont val="Tahoma"/>
        <family val="2"/>
      </rPr>
      <t xml:space="preserve">op</t>
    </r>
    <r>
      <rPr>
        <sz val="10"/>
        <rFont val="Tahoma"/>
        <family val="2"/>
      </rPr>
      <t xml:space="preserve"> in base year) *(annual off-peak volume in year i)/(annual off-peak volume in base year) </t>
    </r>
  </si>
  <si>
    <r>
      <rPr>
        <sz val="10"/>
        <rFont val="Wingdings"/>
        <family val="0"/>
      </rPr>
      <t xml:space="preserve">1</t>
    </r>
    <r>
      <rPr>
        <sz val="10"/>
        <rFont val="Tahoma"/>
        <family val="2"/>
      </rPr>
      <t xml:space="preserve"> Payment Facts</t>
    </r>
  </si>
  <si>
    <r>
      <rPr>
        <sz val="10"/>
        <rFont val="Wingdings"/>
        <family val="0"/>
      </rPr>
      <t xml:space="preserve">y</t>
    </r>
    <r>
      <rPr>
        <sz val="10"/>
        <rFont val="Tahoma"/>
        <family val="2"/>
      </rPr>
      <t xml:space="preserve"> User Costs Estimates - Loss of Interests (per year)</t>
    </r>
  </si>
  <si>
    <t xml:space="preserve">ETC Transaction</t>
  </si>
  <si>
    <t xml:space="preserve">Payment Split among ETC Users</t>
  </si>
  <si>
    <r>
      <rPr>
        <b val="true"/>
        <sz val="10"/>
        <color rgb="FF800000"/>
        <rFont val="Times New Roman"/>
        <family val="1"/>
      </rPr>
      <t xml:space="preserve">Number of ETC Account</t>
    </r>
    <r>
      <rPr>
        <b val="true"/>
        <vertAlign val="superscript"/>
        <sz val="10"/>
        <color rgb="FF800000"/>
        <rFont val="Times New Roman"/>
        <family val="1"/>
      </rPr>
      <t xml:space="preserve">1</t>
    </r>
  </si>
  <si>
    <r>
      <rPr>
        <b val="true"/>
        <sz val="10"/>
        <color rgb="FF800000"/>
        <rFont val="Times New Roman"/>
        <family val="1"/>
      </rPr>
      <t xml:space="preserve">Total Balance</t>
    </r>
    <r>
      <rPr>
        <b val="true"/>
        <vertAlign val="superscript"/>
        <sz val="10"/>
        <color rgb="FF800000"/>
        <rFont val="Times New Roman"/>
        <family val="1"/>
      </rPr>
      <t xml:space="preserve">2</t>
    </r>
  </si>
  <si>
    <t xml:space="preserve">Annual Interest*</t>
  </si>
  <si>
    <t xml:space="preserve">Cash &amp; Checks</t>
  </si>
  <si>
    <t xml:space="preserve">*Estimation of the Values of Annual Interest Loss by ETC Users (Nondiscounted) </t>
  </si>
  <si>
    <r>
      <rPr>
        <i val="true"/>
        <sz val="10"/>
        <color rgb="FF800000"/>
        <rFont val="Tahoma"/>
        <family val="2"/>
      </rPr>
      <t xml:space="preserve">  The Values of Interest Generated per Year by the ETC Account (undiscounted) in Year i (I</t>
    </r>
    <r>
      <rPr>
        <i val="true"/>
        <vertAlign val="subscript"/>
        <sz val="10"/>
        <color rgb="FF800000"/>
        <rFont val="Tahoma"/>
        <family val="2"/>
      </rPr>
      <t xml:space="preserve">i</t>
    </r>
    <r>
      <rPr>
        <i val="true"/>
        <sz val="10"/>
        <color rgb="FF800000"/>
        <rFont val="Tahoma"/>
        <family val="2"/>
      </rPr>
      <t xml:space="preserve">):</t>
    </r>
  </si>
  <si>
    <r>
      <rPr>
        <sz val="10"/>
        <rFont val="Tahoma"/>
        <family val="2"/>
      </rPr>
      <t xml:space="preserve">   I</t>
    </r>
    <r>
      <rPr>
        <vertAlign val="subscript"/>
        <sz val="10"/>
        <rFont val="Tahoma"/>
        <family val="2"/>
      </rPr>
      <t xml:space="preserve">i</t>
    </r>
    <r>
      <rPr>
        <sz val="10"/>
        <rFont val="Tahoma"/>
        <family val="2"/>
      </rPr>
      <t xml:space="preserve"> = (AC</t>
    </r>
    <r>
      <rPr>
        <vertAlign val="subscript"/>
        <sz val="10"/>
        <rFont val="Tahoma"/>
        <family val="2"/>
      </rPr>
      <t xml:space="preserve">i1</t>
    </r>
    <r>
      <rPr>
        <sz val="10"/>
        <rFont val="Tahoma"/>
        <family val="2"/>
      </rPr>
      <t xml:space="preserve">*AB</t>
    </r>
    <r>
      <rPr>
        <vertAlign val="subscript"/>
        <sz val="10"/>
        <rFont val="Tahoma"/>
        <family val="2"/>
      </rPr>
      <t xml:space="preserve">i1</t>
    </r>
    <r>
      <rPr>
        <sz val="10"/>
        <rFont val="Tahoma"/>
        <family val="2"/>
      </rPr>
      <t xml:space="preserve"> + AC</t>
    </r>
    <r>
      <rPr>
        <vertAlign val="subscript"/>
        <sz val="10"/>
        <rFont val="Tahoma"/>
        <family val="2"/>
      </rPr>
      <t xml:space="preserve">i2</t>
    </r>
    <r>
      <rPr>
        <sz val="10"/>
        <rFont val="Tahoma"/>
        <family val="2"/>
      </rPr>
      <t xml:space="preserve">*AB</t>
    </r>
    <r>
      <rPr>
        <vertAlign val="subscript"/>
        <sz val="10"/>
        <rFont val="Tahoma"/>
        <family val="2"/>
      </rPr>
      <t xml:space="preserve">i2)</t>
    </r>
    <r>
      <rPr>
        <sz val="10"/>
        <rFont val="Tahoma"/>
        <family val="2"/>
      </rPr>
      <t xml:space="preserve">*Iv</t>
    </r>
  </si>
  <si>
    <r>
      <rPr>
        <sz val="10"/>
        <rFont val="Tahoma"/>
        <family val="2"/>
      </rPr>
      <t xml:space="preserve">       AC</t>
    </r>
    <r>
      <rPr>
        <vertAlign val="subscript"/>
        <sz val="10"/>
        <rFont val="Tahoma"/>
        <family val="2"/>
      </rPr>
      <t xml:space="preserve">ij</t>
    </r>
    <r>
      <rPr>
        <sz val="10"/>
        <rFont val="Tahoma"/>
        <family val="2"/>
      </rPr>
      <t xml:space="preserve">: number of ETC account set up in payment type j in Year i, where cash &amp; checks = 1, and credit card = 2</t>
    </r>
  </si>
  <si>
    <r>
      <rPr>
        <sz val="10"/>
        <rFont val="Tahoma"/>
        <family val="2"/>
      </rPr>
      <t xml:space="preserve">       AB</t>
    </r>
    <r>
      <rPr>
        <vertAlign val="subscript"/>
        <sz val="10"/>
        <rFont val="Tahoma"/>
        <family val="2"/>
      </rPr>
      <t xml:space="preserve">ij</t>
    </r>
    <r>
      <rPr>
        <sz val="10"/>
        <rFont val="Tahoma"/>
        <family val="2"/>
      </rPr>
      <t xml:space="preserve">: average balance, including deposits, of payment type j in Year i, where cash &amp; checks = 1, and credit card = 2</t>
    </r>
  </si>
  <si>
    <t xml:space="preserve">        Iv  : annual interest rate</t>
  </si>
  <si>
    <r>
      <rPr>
        <vertAlign val="superscript"/>
        <sz val="10"/>
        <rFont val="Tahoma"/>
        <family val="2"/>
      </rPr>
      <t xml:space="preserve">1  </t>
    </r>
    <r>
      <rPr>
        <i val="true"/>
        <sz val="10"/>
        <color rgb="FF800000"/>
        <rFont val="Tahoma"/>
        <family val="2"/>
      </rPr>
      <t xml:space="preserve">Number of ETC Account set up in Payment Type j in Year I</t>
    </r>
    <r>
      <rPr>
        <sz val="10"/>
        <color rgb="FF800000"/>
        <rFont val="Tahoma"/>
        <family val="2"/>
      </rPr>
      <t xml:space="preserve"> (</t>
    </r>
    <r>
      <rPr>
        <i val="true"/>
        <sz val="10"/>
        <color rgb="FF800000"/>
        <rFont val="Tahoma"/>
        <family val="2"/>
      </rPr>
      <t xml:space="preserve">Ac</t>
    </r>
    <r>
      <rPr>
        <i val="true"/>
        <vertAlign val="subscript"/>
        <sz val="10"/>
        <color rgb="FF800000"/>
        <rFont val="Tahoma"/>
        <family val="2"/>
      </rPr>
      <t xml:space="preserve">ij</t>
    </r>
    <r>
      <rPr>
        <i val="true"/>
        <sz val="10"/>
        <color rgb="FF800000"/>
        <rFont val="Tahoma"/>
        <family val="2"/>
      </rPr>
      <t xml:space="preserve">):</t>
    </r>
    <r>
      <rPr>
        <sz val="10"/>
        <color rgb="FF800000"/>
        <rFont val="Tahoma"/>
        <family val="2"/>
      </rPr>
      <t xml:space="preserve"> AC</t>
    </r>
    <r>
      <rPr>
        <vertAlign val="subscript"/>
        <sz val="10"/>
        <color rgb="FF800000"/>
        <rFont val="Tahoma"/>
        <family val="2"/>
      </rPr>
      <t xml:space="preserve">ij</t>
    </r>
    <r>
      <rPr>
        <sz val="10"/>
        <color rgb="FF800000"/>
        <rFont val="Tahoma"/>
        <family val="2"/>
      </rPr>
      <t xml:space="preserve"> = ET</t>
    </r>
    <r>
      <rPr>
        <vertAlign val="subscript"/>
        <sz val="10"/>
        <color rgb="FF800000"/>
        <rFont val="Tahoma"/>
        <family val="2"/>
      </rPr>
      <t xml:space="preserve">i</t>
    </r>
    <r>
      <rPr>
        <sz val="10"/>
        <color rgb="FF800000"/>
        <rFont val="Tahoma"/>
        <family val="2"/>
      </rPr>
      <t xml:space="preserve">*SP</t>
    </r>
    <r>
      <rPr>
        <vertAlign val="subscript"/>
        <sz val="10"/>
        <color rgb="FF800000"/>
        <rFont val="Tahoma"/>
        <family val="2"/>
      </rPr>
      <t xml:space="preserve">j </t>
    </r>
    <r>
      <rPr>
        <sz val="10"/>
        <color rgb="FF800000"/>
        <rFont val="Tahoma"/>
        <family val="2"/>
      </rPr>
      <t xml:space="preserve">/ AU</t>
    </r>
    <r>
      <rPr>
        <vertAlign val="subscript"/>
        <sz val="10"/>
        <color rgb="FF800000"/>
        <rFont val="Tahoma"/>
        <family val="2"/>
      </rPr>
      <t xml:space="preserve">j</t>
    </r>
  </si>
  <si>
    <r>
      <rPr>
        <vertAlign val="superscript"/>
        <sz val="10"/>
        <rFont val="Tahoma"/>
        <family val="2"/>
      </rPr>
      <t xml:space="preserve">    </t>
    </r>
    <r>
      <rPr>
        <sz val="10"/>
        <rFont val="Tahoma"/>
        <family val="2"/>
      </rPr>
      <t xml:space="preserve">Where,</t>
    </r>
  </si>
  <si>
    <r>
      <rPr>
        <sz val="10"/>
        <rFont val="Tahoma"/>
        <family val="2"/>
      </rPr>
      <t xml:space="preserve">       ET</t>
    </r>
    <r>
      <rPr>
        <vertAlign val="subscript"/>
        <sz val="10"/>
        <rFont val="Tahoma"/>
        <family val="2"/>
      </rPr>
      <t xml:space="preserve">i</t>
    </r>
    <r>
      <rPr>
        <sz val="10"/>
        <rFont val="Tahoma"/>
        <family val="2"/>
      </rPr>
      <t xml:space="preserve">: total number of ETC transaction in year i = (forecast annual traffic volume in year i) *(forecast ETC split in Year i)</t>
    </r>
  </si>
  <si>
    <r>
      <rPr>
        <vertAlign val="superscript"/>
        <sz val="10"/>
        <rFont val="Tahoma"/>
        <family val="2"/>
      </rPr>
      <t xml:space="preserve">        </t>
    </r>
    <r>
      <rPr>
        <sz val="10"/>
        <rFont val="Tahoma"/>
        <family val="2"/>
      </rPr>
      <t xml:space="preserve"> SP</t>
    </r>
    <r>
      <rPr>
        <vertAlign val="subscript"/>
        <sz val="10"/>
        <rFont val="Tahoma"/>
        <family val="2"/>
      </rPr>
      <t xml:space="preserve">j</t>
    </r>
    <r>
      <rPr>
        <sz val="10"/>
        <rFont val="Tahoma"/>
        <family val="2"/>
      </rPr>
      <t xml:space="preserve">: split of payment type j, where cash &amp; checks = 1, credit card =2</t>
    </r>
  </si>
  <si>
    <r>
      <rPr>
        <vertAlign val="superscript"/>
        <sz val="10"/>
        <rFont val="Tahoma"/>
        <family val="2"/>
      </rPr>
      <t xml:space="preserve">        </t>
    </r>
    <r>
      <rPr>
        <sz val="10"/>
        <rFont val="Tahoma"/>
        <family val="2"/>
      </rPr>
      <t xml:space="preserve"> AU</t>
    </r>
    <r>
      <rPr>
        <vertAlign val="subscript"/>
        <sz val="10"/>
        <rFont val="Tahoma"/>
        <family val="2"/>
      </rPr>
      <t xml:space="preserve">j</t>
    </r>
    <r>
      <rPr>
        <sz val="10"/>
        <rFont val="Tahoma"/>
        <family val="2"/>
      </rPr>
      <t xml:space="preserve">: average usage per account per year, where cash &amp; checks = 1, credit card =2</t>
    </r>
  </si>
  <si>
    <r>
      <rPr>
        <vertAlign val="superscript"/>
        <sz val="10"/>
        <rFont val="Tahoma"/>
        <family val="2"/>
      </rPr>
      <t xml:space="preserve">2  </t>
    </r>
    <r>
      <rPr>
        <sz val="10"/>
        <color rgb="FF800000"/>
        <rFont val="Tahoma"/>
        <family val="2"/>
      </rPr>
      <t xml:space="preserve"> </t>
    </r>
    <r>
      <rPr>
        <i val="true"/>
        <sz val="10"/>
        <color rgb="FF800000"/>
        <rFont val="Tahoma"/>
        <family val="2"/>
      </rPr>
      <t xml:space="preserve">Average Balance for Payment Type j in Year i </t>
    </r>
    <r>
      <rPr>
        <sz val="10"/>
        <color rgb="FF800000"/>
        <rFont val="Tahoma"/>
        <family val="2"/>
      </rPr>
      <t xml:space="preserve">(</t>
    </r>
    <r>
      <rPr>
        <i val="true"/>
        <sz val="10"/>
        <color rgb="FF800000"/>
        <rFont val="Tahoma"/>
        <family val="2"/>
      </rPr>
      <t xml:space="preserve">ABij</t>
    </r>
    <r>
      <rPr>
        <sz val="10"/>
        <color rgb="FF800000"/>
        <rFont val="Tahoma"/>
        <family val="2"/>
      </rPr>
      <t xml:space="preserve">): ABij = ATAG</t>
    </r>
    <r>
      <rPr>
        <vertAlign val="subscript"/>
        <sz val="10"/>
        <color rgb="FF800000"/>
        <rFont val="Tahoma"/>
        <family val="2"/>
      </rPr>
      <t xml:space="preserve">j</t>
    </r>
    <r>
      <rPr>
        <sz val="10"/>
        <color rgb="FF800000"/>
        <rFont val="Tahoma"/>
        <family val="2"/>
      </rPr>
      <t xml:space="preserve">*DT</t>
    </r>
    <r>
      <rPr>
        <vertAlign val="subscript"/>
        <sz val="10"/>
        <color rgb="FF800000"/>
        <rFont val="Tahoma"/>
        <family val="2"/>
      </rPr>
      <t xml:space="preserve">j</t>
    </r>
    <r>
      <rPr>
        <sz val="10"/>
        <color rgb="FF800000"/>
        <rFont val="Tahoma"/>
        <family val="2"/>
      </rPr>
      <t xml:space="preserve"> + ABXT</t>
    </r>
    <r>
      <rPr>
        <vertAlign val="subscript"/>
        <sz val="10"/>
        <color rgb="FF800000"/>
        <rFont val="Tahoma"/>
        <family val="2"/>
      </rPr>
      <t xml:space="preserve">j</t>
    </r>
  </si>
  <si>
    <r>
      <rPr>
        <sz val="10"/>
        <rFont val="Tahoma"/>
        <family val="2"/>
      </rPr>
      <t xml:space="preserve">       ATAG</t>
    </r>
    <r>
      <rPr>
        <vertAlign val="subscript"/>
        <sz val="10"/>
        <rFont val="Tahoma"/>
        <family val="2"/>
      </rPr>
      <t xml:space="preserve">j</t>
    </r>
    <r>
      <rPr>
        <sz val="10"/>
        <rFont val="Tahoma"/>
        <family val="2"/>
      </rPr>
      <t xml:space="preserve">: average tags per account for payment type j, where cash &amp; checks = 1, credit card =2</t>
    </r>
  </si>
  <si>
    <r>
      <rPr>
        <sz val="10"/>
        <rFont val="Tahoma"/>
        <family val="2"/>
      </rPr>
      <t xml:space="preserve">       DT</t>
    </r>
    <r>
      <rPr>
        <vertAlign val="subscript"/>
        <sz val="10"/>
        <rFont val="Tahoma"/>
        <family val="2"/>
      </rPr>
      <t xml:space="preserve">j     </t>
    </r>
    <r>
      <rPr>
        <sz val="10"/>
        <rFont val="Tahoma"/>
        <family val="2"/>
      </rPr>
      <t xml:space="preserve">: required amount of deposits for transponders in payment type j, where cash &amp; checks = 1, credit card =2</t>
    </r>
  </si>
  <si>
    <r>
      <rPr>
        <sz val="10"/>
        <rFont val="Tahoma"/>
        <family val="2"/>
      </rPr>
      <t xml:space="preserve">       ABXT</t>
    </r>
    <r>
      <rPr>
        <vertAlign val="subscript"/>
        <sz val="10"/>
        <rFont val="Tahoma"/>
        <family val="2"/>
      </rPr>
      <t xml:space="preserve">j</t>
    </r>
    <r>
      <rPr>
        <sz val="10"/>
        <rFont val="Tahoma"/>
        <family val="2"/>
      </rPr>
      <t xml:space="preserve">: average amount of balance other than deposits per account in payment type j, where cash &amp; checks = 1, credit card =2</t>
    </r>
  </si>
  <si>
    <r>
      <rPr>
        <vertAlign val="superscript"/>
        <sz val="10"/>
        <rFont val="Tahoma"/>
        <family val="2"/>
      </rPr>
      <t xml:space="preserve">   </t>
    </r>
    <r>
      <rPr>
        <sz val="10"/>
        <color rgb="FF800000"/>
        <rFont val="Tahoma"/>
        <family val="2"/>
      </rPr>
      <t xml:space="preserve"> </t>
    </r>
    <r>
      <rPr>
        <i val="true"/>
        <sz val="10"/>
        <color rgb="FF800000"/>
        <rFont val="Tahoma"/>
        <family val="2"/>
      </rPr>
      <t xml:space="preserve">Total Balance for Payment Type j in Year i</t>
    </r>
    <r>
      <rPr>
        <sz val="10"/>
        <color rgb="FF800000"/>
        <rFont val="Tahoma"/>
        <family val="2"/>
      </rPr>
      <t xml:space="preserve"> : AB</t>
    </r>
    <r>
      <rPr>
        <vertAlign val="subscript"/>
        <sz val="10"/>
        <color rgb="FF800000"/>
        <rFont val="Tahoma"/>
        <family val="2"/>
      </rPr>
      <t xml:space="preserve">ij</t>
    </r>
    <r>
      <rPr>
        <sz val="10"/>
        <color rgb="FF800000"/>
        <rFont val="Tahoma"/>
        <family val="2"/>
      </rPr>
      <t xml:space="preserve"> * AC</t>
    </r>
    <r>
      <rPr>
        <vertAlign val="subscript"/>
        <sz val="10"/>
        <color rgb="FF800000"/>
        <rFont val="Tahoma"/>
        <family val="2"/>
      </rPr>
      <t xml:space="preserve">ij</t>
    </r>
  </si>
  <si>
    <r>
      <rPr>
        <sz val="10"/>
        <rFont val="Wingdings"/>
        <family val="0"/>
      </rPr>
      <t xml:space="preserve">1</t>
    </r>
    <r>
      <rPr>
        <sz val="10"/>
        <rFont val="Tahoma"/>
        <family val="2"/>
      </rPr>
      <t xml:space="preserve"> Transaction and Travel Facts at the Toll Plaza</t>
    </r>
  </si>
  <si>
    <r>
      <rPr>
        <sz val="10"/>
        <rFont val="Wingdings"/>
        <family val="0"/>
      </rPr>
      <t xml:space="preserve">y</t>
    </r>
    <r>
      <rPr>
        <sz val="10"/>
        <rFont val="Tahoma"/>
        <family val="2"/>
      </rPr>
      <t xml:space="preserve"> Valuation of Time Saving per Year</t>
    </r>
  </si>
  <si>
    <t xml:space="preserve">a) Estimation of Time Saving as a Result of Introducing ETC System per Year (hrs)</t>
  </si>
  <si>
    <t xml:space="preserve">Total Time Saving (hrs)</t>
  </si>
  <si>
    <r>
      <rPr>
        <b val="true"/>
        <sz val="10"/>
        <color rgb="FF800000"/>
        <rFont val="Times New Roman"/>
        <family val="1"/>
      </rPr>
      <t xml:space="preserve">Factor of Time Value</t>
    </r>
    <r>
      <rPr>
        <b val="true"/>
        <vertAlign val="superscript"/>
        <sz val="10"/>
        <color rgb="FF800000"/>
        <rFont val="Times New Roman"/>
        <family val="1"/>
      </rPr>
      <t xml:space="preserve">1</t>
    </r>
  </si>
  <si>
    <t xml:space="preserve">Total Value of Time Saving*</t>
  </si>
  <si>
    <t xml:space="preserve">ETC Traffic</t>
  </si>
  <si>
    <r>
      <rPr>
        <b val="true"/>
        <sz val="10"/>
        <color rgb="FF800000"/>
        <rFont val="Times New Roman"/>
        <family val="1"/>
      </rPr>
      <t xml:space="preserve">Idling Time (hrs/yr)</t>
    </r>
    <r>
      <rPr>
        <b val="true"/>
        <vertAlign val="superscript"/>
        <sz val="10"/>
        <color rgb="FF800000"/>
        <rFont val="Times New Roman"/>
        <family val="1"/>
      </rPr>
      <t xml:space="preserve">2</t>
    </r>
  </si>
  <si>
    <r>
      <rPr>
        <b val="true"/>
        <sz val="10"/>
        <color rgb="FF800000"/>
        <rFont val="Times New Roman"/>
        <family val="1"/>
      </rPr>
      <t xml:space="preserve">Time Difference due to Deceleration (hrs/yr)</t>
    </r>
    <r>
      <rPr>
        <b val="true"/>
        <vertAlign val="superscript"/>
        <sz val="10"/>
        <color rgb="FF800000"/>
        <rFont val="Times New Roman"/>
        <family val="1"/>
      </rPr>
      <t xml:space="preserve">3</t>
    </r>
  </si>
  <si>
    <r>
      <rPr>
        <b val="true"/>
        <sz val="10"/>
        <color rgb="FF800000"/>
        <rFont val="Times New Roman"/>
        <family val="1"/>
      </rPr>
      <t xml:space="preserve">Time Difference due to Acceleration (hrs/yr)</t>
    </r>
    <r>
      <rPr>
        <b val="true"/>
        <vertAlign val="superscript"/>
        <sz val="10"/>
        <color rgb="FF800000"/>
        <rFont val="Times New Roman"/>
        <family val="1"/>
      </rPr>
      <t xml:space="preserve">4</t>
    </r>
  </si>
  <si>
    <t xml:space="preserve">Total Time Saving** (hrs/yr)</t>
  </si>
  <si>
    <t xml:space="preserve"> From Idling</t>
  </si>
  <si>
    <t xml:space="preserve">Deceleration</t>
  </si>
  <si>
    <t xml:space="preserve">Acceleration</t>
  </si>
  <si>
    <r>
      <rPr>
        <b val="true"/>
        <i val="true"/>
        <sz val="10"/>
        <color rgb="FF800000"/>
        <rFont val="Times New Roman"/>
        <family val="1"/>
      </rPr>
      <t xml:space="preserve">Total</t>
    </r>
    <r>
      <rPr>
        <b val="true"/>
        <sz val="10"/>
        <color rgb="FF800000"/>
        <rFont val="Times New Roman"/>
        <family val="1"/>
      </rPr>
      <t xml:space="preserve"> (hrs)</t>
    </r>
  </si>
  <si>
    <t xml:space="preserve">Time Saving</t>
  </si>
  <si>
    <t xml:space="preserve">Avg. Speed (mph)</t>
  </si>
  <si>
    <t xml:space="preserve">Time  Saving</t>
  </si>
  <si>
    <t xml:space="preserve">Avg. Speed (mph</t>
  </si>
  <si>
    <t xml:space="preserve">Average Travel Speed (mph)</t>
  </si>
  <si>
    <t xml:space="preserve">Split among ETC Users</t>
  </si>
  <si>
    <t xml:space="preserve">* Estimation of the Value of Total Time Saving</t>
  </si>
  <si>
    <t xml:space="preserve">**Estimation the Amount of Time Differences Spent in ETC Alternative and Baseline System</t>
  </si>
  <si>
    <r>
      <rPr>
        <vertAlign val="superscript"/>
        <sz val="10"/>
        <color rgb="FF800000"/>
        <rFont val="Tahoma"/>
        <family val="2"/>
      </rPr>
      <t xml:space="preserve">1 </t>
    </r>
    <r>
      <rPr>
        <sz val="10"/>
        <color rgb="FF800000"/>
        <rFont val="Tahoma"/>
        <family val="2"/>
      </rPr>
      <t xml:space="preserve"> Factor of Time Value</t>
    </r>
  </si>
  <si>
    <r>
      <rPr>
        <vertAlign val="superscript"/>
        <sz val="10"/>
        <color rgb="FF800000"/>
        <rFont val="Tahoma"/>
        <family val="2"/>
      </rPr>
      <t xml:space="preserve">2</t>
    </r>
    <r>
      <rPr>
        <b val="true"/>
        <i val="true"/>
        <sz val="10"/>
        <color rgb="FF800000"/>
        <rFont val="Tahoma"/>
        <family val="2"/>
      </rPr>
      <t xml:space="preserve"> Idling Time:</t>
    </r>
  </si>
  <si>
    <r>
      <rPr>
        <sz val="10"/>
        <color rgb="FF800000"/>
        <rFont val="Tahoma"/>
        <family val="2"/>
      </rPr>
      <t xml:space="preserve">   </t>
    </r>
    <r>
      <rPr>
        <u val="single"/>
        <sz val="10"/>
        <rFont val="Tahoma"/>
        <family val="2"/>
      </rPr>
      <t xml:space="preserve">Assumptions</t>
    </r>
    <r>
      <rPr>
        <sz val="10"/>
        <rFont val="Tahoma"/>
        <family val="2"/>
      </rPr>
      <t xml:space="preserve">:</t>
    </r>
  </si>
  <si>
    <t xml:space="preserve">   This category includes the amount of time to wait in queue and processing transaction.</t>
  </si>
  <si>
    <t xml:space="preserve">   a. Unit time values for each mode don't change over time during the analysis period</t>
  </si>
  <si>
    <r>
      <rPr>
        <sz val="10"/>
        <rFont val="Tahoma"/>
        <family val="2"/>
      </rPr>
      <t xml:space="preserve">   The number is calculated by HCM Formula done in Sheet"Optimal ETC Lanes" called "</t>
    </r>
    <r>
      <rPr>
        <u val="single"/>
        <sz val="10"/>
        <color rgb="FF800000"/>
        <rFont val="Tahoma"/>
        <family val="2"/>
      </rPr>
      <t xml:space="preserve">queueing delay</t>
    </r>
    <r>
      <rPr>
        <sz val="10"/>
        <rFont val="Tahoma"/>
        <family val="2"/>
      </rPr>
      <t xml:space="preserve">".</t>
    </r>
  </si>
  <si>
    <t xml:space="preserve">   b. The percentage of mode split doesn't change significantly during the analysis period</t>
  </si>
  <si>
    <t xml:space="preserve">   c. Average occupancy per vehicle for each mode doesn't change significantly during the analysis period</t>
  </si>
  <si>
    <r>
      <rPr>
        <vertAlign val="superscript"/>
        <sz val="10"/>
        <color rgb="FF800000"/>
        <rFont val="Tahoma"/>
        <family val="2"/>
      </rPr>
      <t xml:space="preserve">3</t>
    </r>
    <r>
      <rPr>
        <b val="true"/>
        <i val="true"/>
        <sz val="10"/>
        <color rgb="FF800000"/>
        <rFont val="Tahoma"/>
        <family val="2"/>
      </rPr>
      <t xml:space="preserve"> Time Difference due to Decelaration: the difference of time spent during the deceleration process between Baseline and ETC Alternative.</t>
    </r>
  </si>
  <si>
    <r>
      <rPr>
        <sz val="10"/>
        <rFont val="Tahoma"/>
        <family val="2"/>
      </rPr>
      <t xml:space="preserve">   </t>
    </r>
    <r>
      <rPr>
        <b val="true"/>
        <i val="true"/>
        <sz val="10"/>
        <color rgb="FF800000"/>
        <rFont val="Tahoma"/>
        <family val="2"/>
      </rPr>
      <t xml:space="preserve">F</t>
    </r>
    <r>
      <rPr>
        <b val="true"/>
        <i val="true"/>
        <vertAlign val="subscript"/>
        <sz val="10"/>
        <color rgb="FF800000"/>
        <rFont val="Tahoma"/>
        <family val="2"/>
      </rPr>
      <t xml:space="preserve">i</t>
    </r>
    <r>
      <rPr>
        <i val="true"/>
        <sz val="10"/>
        <color rgb="FF800000"/>
        <rFont val="Tahoma"/>
        <family val="2"/>
      </rPr>
      <t xml:space="preserve"> = (U</t>
    </r>
    <r>
      <rPr>
        <i val="true"/>
        <vertAlign val="subscript"/>
        <sz val="10"/>
        <color rgb="FF800000"/>
        <rFont val="Tahoma"/>
        <family val="2"/>
      </rPr>
      <t xml:space="preserve">1</t>
    </r>
    <r>
      <rPr>
        <i val="true"/>
        <sz val="10"/>
        <color rgb="FF800000"/>
        <rFont val="Tahoma"/>
        <family val="2"/>
      </rPr>
      <t xml:space="preserve">*VOC</t>
    </r>
    <r>
      <rPr>
        <i val="true"/>
        <vertAlign val="subscript"/>
        <sz val="10"/>
        <color rgb="FF800000"/>
        <rFont val="Tahoma"/>
        <family val="2"/>
      </rPr>
      <t xml:space="preserve">1</t>
    </r>
    <r>
      <rPr>
        <i val="true"/>
        <sz val="10"/>
        <color rgb="FF800000"/>
        <rFont val="Tahoma"/>
        <family val="2"/>
      </rPr>
      <t xml:space="preserve">*SU</t>
    </r>
    <r>
      <rPr>
        <i val="true"/>
        <vertAlign val="subscript"/>
        <sz val="10"/>
        <color rgb="FF800000"/>
        <rFont val="Tahoma"/>
        <family val="2"/>
      </rPr>
      <t xml:space="preserve">1</t>
    </r>
    <r>
      <rPr>
        <i val="true"/>
        <sz val="10"/>
        <color rgb="FF800000"/>
        <rFont val="Tahoma"/>
        <family val="2"/>
      </rPr>
      <t xml:space="preserve">+ U</t>
    </r>
    <r>
      <rPr>
        <i val="true"/>
        <vertAlign val="subscript"/>
        <sz val="10"/>
        <color rgb="FF800000"/>
        <rFont val="Tahoma"/>
        <family val="2"/>
      </rPr>
      <t xml:space="preserve">2</t>
    </r>
    <r>
      <rPr>
        <i val="true"/>
        <sz val="10"/>
        <color rgb="FF800000"/>
        <rFont val="Tahoma"/>
        <family val="2"/>
      </rPr>
      <t xml:space="preserve">*VOC</t>
    </r>
    <r>
      <rPr>
        <i val="true"/>
        <vertAlign val="subscript"/>
        <sz val="10"/>
        <color rgb="FF800000"/>
        <rFont val="Tahoma"/>
        <family val="2"/>
      </rPr>
      <t xml:space="preserve">2</t>
    </r>
    <r>
      <rPr>
        <i val="true"/>
        <sz val="10"/>
        <color rgb="FF800000"/>
        <rFont val="Tahoma"/>
        <family val="2"/>
      </rPr>
      <t xml:space="preserve">*SU</t>
    </r>
    <r>
      <rPr>
        <i val="true"/>
        <vertAlign val="subscript"/>
        <sz val="10"/>
        <color rgb="FF800000"/>
        <rFont val="Tahoma"/>
        <family val="2"/>
      </rPr>
      <t xml:space="preserve">2</t>
    </r>
    <r>
      <rPr>
        <i val="true"/>
        <sz val="10"/>
        <color rgb="FF800000"/>
        <rFont val="Tahoma"/>
        <family val="2"/>
      </rPr>
      <t xml:space="preserve">+ U</t>
    </r>
    <r>
      <rPr>
        <i val="true"/>
        <vertAlign val="subscript"/>
        <sz val="10"/>
        <color rgb="FF800000"/>
        <rFont val="Tahoma"/>
        <family val="2"/>
      </rPr>
      <t xml:space="preserve">3</t>
    </r>
    <r>
      <rPr>
        <i val="true"/>
        <sz val="10"/>
        <color rgb="FF800000"/>
        <rFont val="Tahoma"/>
        <family val="2"/>
      </rPr>
      <t xml:space="preserve">*VOC</t>
    </r>
    <r>
      <rPr>
        <i val="true"/>
        <vertAlign val="subscript"/>
        <sz val="10"/>
        <color rgb="FF800000"/>
        <rFont val="Tahoma"/>
        <family val="2"/>
      </rPr>
      <t xml:space="preserve">3</t>
    </r>
    <r>
      <rPr>
        <i val="true"/>
        <sz val="10"/>
        <color rgb="FF800000"/>
        <rFont val="Tahoma"/>
        <family val="2"/>
      </rPr>
      <t xml:space="preserve">*SU</t>
    </r>
    <r>
      <rPr>
        <i val="true"/>
        <vertAlign val="subscript"/>
        <sz val="10"/>
        <color rgb="FF800000"/>
        <rFont val="Tahoma"/>
        <family val="2"/>
      </rPr>
      <t xml:space="preserve">3</t>
    </r>
    <r>
      <rPr>
        <i val="true"/>
        <sz val="10"/>
        <color rgb="FF800000"/>
        <rFont val="Tahoma"/>
        <family val="2"/>
      </rPr>
      <t xml:space="preserve">)*(1+I</t>
    </r>
    <r>
      <rPr>
        <i val="true"/>
        <vertAlign val="subscript"/>
        <sz val="10"/>
        <color rgb="FF800000"/>
        <rFont val="Tahoma"/>
        <family val="2"/>
      </rPr>
      <t xml:space="preserve">f</t>
    </r>
    <r>
      <rPr>
        <i val="true"/>
        <sz val="10"/>
        <color rgb="FF800000"/>
        <rFont val="Tahoma"/>
        <family val="2"/>
      </rPr>
      <t xml:space="preserve">)</t>
    </r>
    <r>
      <rPr>
        <i val="true"/>
        <vertAlign val="superscript"/>
        <sz val="10"/>
        <color rgb="FF800000"/>
        <rFont val="Tahoma"/>
        <family val="2"/>
      </rPr>
      <t xml:space="preserve">i</t>
    </r>
    <r>
      <rPr>
        <i val="true"/>
        <sz val="10"/>
        <color rgb="FF800000"/>
        <rFont val="Tahoma"/>
        <family val="2"/>
      </rPr>
      <t xml:space="preserve"> </t>
    </r>
  </si>
  <si>
    <t xml:space="preserve">   Due to the existence of the toll plaza, manual users have to slow down from prevailing travel speed to zero to proceed toll transaction.</t>
  </si>
  <si>
    <t xml:space="preserve">   where,</t>
  </si>
  <si>
    <r>
      <rPr>
        <sz val="10"/>
        <rFont val="Tahoma"/>
        <family val="2"/>
      </rPr>
      <t xml:space="preserve">   </t>
    </r>
    <r>
      <rPr>
        <u val="single"/>
        <sz val="10"/>
        <rFont val="Tahoma"/>
        <family val="2"/>
      </rPr>
      <t xml:space="preserve">Assumptions</t>
    </r>
    <r>
      <rPr>
        <sz val="10"/>
        <rFont val="Tahoma"/>
        <family val="2"/>
      </rPr>
      <t xml:space="preserve">:</t>
    </r>
  </si>
  <si>
    <r>
      <rPr>
        <sz val="10"/>
        <rFont val="Tahoma"/>
        <family val="2"/>
      </rPr>
      <t xml:space="preserve">       U</t>
    </r>
    <r>
      <rPr>
        <vertAlign val="subscript"/>
        <sz val="10"/>
        <rFont val="Tahoma"/>
        <family val="2"/>
      </rPr>
      <t xml:space="preserve">k</t>
    </r>
    <r>
      <rPr>
        <sz val="10"/>
        <rFont val="Tahoma"/>
        <family val="2"/>
      </rPr>
      <t xml:space="preserve">     : time value per hour for mode k, in dollars.  Auto=1, truck=2, and bus=3 </t>
    </r>
  </si>
  <si>
    <t xml:space="preserve">      a. Queue doesn't occupy physical space.</t>
  </si>
  <si>
    <r>
      <rPr>
        <sz val="10"/>
        <rFont val="Tahoma"/>
        <family val="2"/>
      </rPr>
      <t xml:space="preserve">       VOC</t>
    </r>
    <r>
      <rPr>
        <vertAlign val="subscript"/>
        <sz val="10"/>
        <rFont val="Tahoma"/>
        <family val="2"/>
      </rPr>
      <t xml:space="preserve">k</t>
    </r>
    <r>
      <rPr>
        <sz val="10"/>
        <rFont val="Tahoma"/>
        <family val="2"/>
      </rPr>
      <t xml:space="preserve"> : average vehicle occupancy for mode k, where auto=1, truck=2, and bus=3</t>
    </r>
  </si>
  <si>
    <t xml:space="preserve">          That is, imagine that drivers who use manual booths begin to decelerate at certain point and stop completely right before toll plaza</t>
  </si>
  <si>
    <r>
      <rPr>
        <sz val="10"/>
        <rFont val="Tahoma"/>
        <family val="2"/>
      </rPr>
      <t xml:space="preserve">       SU</t>
    </r>
    <r>
      <rPr>
        <vertAlign val="subscript"/>
        <sz val="10"/>
        <rFont val="Tahoma"/>
        <family val="2"/>
      </rPr>
      <t xml:space="preserve">k</t>
    </r>
    <r>
      <rPr>
        <sz val="10"/>
        <rFont val="Tahoma"/>
        <family val="2"/>
      </rPr>
      <t xml:space="preserve">   : mode split among ETC Users for mode k, where auto=1, truck=2, and bus=3</t>
    </r>
  </si>
  <si>
    <r>
      <rPr>
        <sz val="10"/>
        <rFont val="Tahoma"/>
        <family val="2"/>
      </rPr>
      <t xml:space="preserve">          where vehicle stack one another vertically.  The length of the deceleration process is defined as "</t>
    </r>
    <r>
      <rPr>
        <i val="true"/>
        <sz val="10"/>
        <rFont val="Tahoma"/>
        <family val="2"/>
      </rPr>
      <t xml:space="preserve">ramp prior to toll plaza</t>
    </r>
    <r>
      <rPr>
        <sz val="10"/>
        <rFont val="Tahoma"/>
        <family val="2"/>
      </rPr>
      <t xml:space="preserve">". </t>
    </r>
  </si>
  <si>
    <r>
      <rPr>
        <sz val="10"/>
        <rFont val="Tahoma"/>
        <family val="2"/>
      </rPr>
      <t xml:space="preserve">       I</t>
    </r>
    <r>
      <rPr>
        <vertAlign val="subscript"/>
        <sz val="10"/>
        <rFont val="Tahoma"/>
        <family val="2"/>
      </rPr>
      <t xml:space="preserve">f</t>
    </r>
    <r>
      <rPr>
        <sz val="10"/>
        <rFont val="Tahoma"/>
        <family val="2"/>
      </rPr>
      <t xml:space="preserve">      : Inflation Rate</t>
    </r>
  </si>
  <si>
    <t xml:space="preserve">      b. Constant deceleration rate.  Hence, average speed during the deceleration process is equal to one half of prevailing travel speed.</t>
  </si>
  <si>
    <r>
      <rPr>
        <sz val="10"/>
        <rFont val="Tahoma"/>
        <family val="2"/>
      </rPr>
      <t xml:space="preserve">   </t>
    </r>
    <r>
      <rPr>
        <b val="true"/>
        <i val="true"/>
        <sz val="10"/>
        <color rgb="FF800000"/>
        <rFont val="Tahoma"/>
        <family val="2"/>
      </rPr>
      <t xml:space="preserve">For Manual Users, total time spent during the decelaration in year i (T</t>
    </r>
    <r>
      <rPr>
        <b val="true"/>
        <i val="true"/>
        <vertAlign val="subscript"/>
        <sz val="10"/>
        <color rgb="FF800000"/>
        <rFont val="Tahoma"/>
        <family val="2"/>
      </rPr>
      <t xml:space="preserve">ami</t>
    </r>
    <r>
      <rPr>
        <b val="true"/>
        <i val="true"/>
        <sz val="10"/>
        <color rgb="FF800000"/>
        <rFont val="Tahoma"/>
        <family val="2"/>
      </rPr>
      <t xml:space="preserve">)</t>
    </r>
    <r>
      <rPr>
        <sz val="10"/>
        <rFont val="Tahoma"/>
        <family val="2"/>
      </rPr>
      <t xml:space="preserve">:</t>
    </r>
    <r>
      <rPr>
        <sz val="10"/>
        <color rgb="FF800000"/>
        <rFont val="Tahoma"/>
        <family val="2"/>
      </rPr>
      <t xml:space="preserve"> (ATV</t>
    </r>
    <r>
      <rPr>
        <vertAlign val="subscript"/>
        <sz val="10"/>
        <color rgb="FF800000"/>
        <rFont val="Tahoma"/>
        <family val="2"/>
      </rPr>
      <t xml:space="preserve">i </t>
    </r>
    <r>
      <rPr>
        <sz val="10"/>
        <color rgb="FF800000"/>
        <rFont val="Tahoma"/>
        <family val="2"/>
      </rPr>
      <t xml:space="preserve">- ET</t>
    </r>
    <r>
      <rPr>
        <vertAlign val="subscript"/>
        <sz val="10"/>
        <color rgb="FF800000"/>
        <rFont val="Tahoma"/>
        <family val="2"/>
      </rPr>
      <t xml:space="preserve">i</t>
    </r>
    <r>
      <rPr>
        <sz val="10"/>
        <color rgb="FF800000"/>
        <rFont val="Tahoma"/>
        <family val="2"/>
      </rPr>
      <t xml:space="preserve">) * D</t>
    </r>
    <r>
      <rPr>
        <vertAlign val="subscript"/>
        <sz val="10"/>
        <color rgb="FF800000"/>
        <rFont val="Tahoma"/>
        <family val="2"/>
      </rPr>
      <t xml:space="preserve">d </t>
    </r>
    <r>
      <rPr>
        <sz val="10"/>
        <color rgb="FF800000"/>
        <rFont val="Tahoma"/>
        <family val="2"/>
      </rPr>
      <t xml:space="preserve">/ V</t>
    </r>
    <r>
      <rPr>
        <vertAlign val="subscript"/>
        <sz val="10"/>
        <color rgb="FF800000"/>
        <rFont val="Tahoma"/>
        <family val="2"/>
      </rPr>
      <t xml:space="preserve">d</t>
    </r>
  </si>
  <si>
    <r>
      <rPr>
        <sz val="10"/>
        <rFont val="Tahoma"/>
        <family val="2"/>
      </rPr>
      <t xml:space="preserve">       ATV</t>
    </r>
    <r>
      <rPr>
        <vertAlign val="subscript"/>
        <sz val="10"/>
        <rFont val="Tahoma"/>
        <family val="2"/>
      </rPr>
      <t xml:space="preserve">i </t>
    </r>
    <r>
      <rPr>
        <sz val="10"/>
        <rFont val="Tahoma"/>
        <family val="2"/>
      </rPr>
      <t xml:space="preserve">: annual traffic volume in year i </t>
    </r>
  </si>
  <si>
    <r>
      <rPr>
        <sz val="10"/>
        <rFont val="Tahoma"/>
        <family val="2"/>
      </rPr>
      <t xml:space="preserve">       ET</t>
    </r>
    <r>
      <rPr>
        <vertAlign val="subscript"/>
        <sz val="10"/>
        <rFont val="Tahoma"/>
        <family val="2"/>
      </rPr>
      <t xml:space="preserve">i</t>
    </r>
    <r>
      <rPr>
        <sz val="10"/>
        <rFont val="Tahoma"/>
        <family val="2"/>
      </rPr>
      <t xml:space="preserve">   : total number of ETC transaction in year i = ATVi * (forecast ETC split in Year i)</t>
    </r>
  </si>
  <si>
    <r>
      <rPr>
        <sz val="10"/>
        <rFont val="Tahoma"/>
        <family val="2"/>
      </rPr>
      <t xml:space="preserve">       D</t>
    </r>
    <r>
      <rPr>
        <vertAlign val="subscript"/>
        <sz val="10"/>
        <rFont val="Tahoma"/>
        <family val="2"/>
      </rPr>
      <t xml:space="preserve">d</t>
    </r>
    <r>
      <rPr>
        <sz val="10"/>
        <rFont val="Tahoma"/>
        <family val="2"/>
      </rPr>
      <t xml:space="preserve">    : The length of ramp prior to toll plaza, in miles</t>
    </r>
  </si>
  <si>
    <r>
      <rPr>
        <sz val="10"/>
        <rFont val="Tahoma"/>
        <family val="2"/>
      </rPr>
      <t xml:space="preserve">       V</t>
    </r>
    <r>
      <rPr>
        <vertAlign val="subscript"/>
        <sz val="10"/>
        <rFont val="Tahoma"/>
        <family val="2"/>
      </rPr>
      <t xml:space="preserve">n</t>
    </r>
    <r>
      <rPr>
        <sz val="10"/>
        <rFont val="Tahoma"/>
        <family val="2"/>
      </rPr>
      <t xml:space="preserve">    : Prevailing Travel Speed on highway, in mph</t>
    </r>
  </si>
  <si>
    <r>
      <rPr>
        <sz val="10"/>
        <rFont val="Tahoma"/>
        <family val="2"/>
      </rPr>
      <t xml:space="preserve">       V</t>
    </r>
    <r>
      <rPr>
        <vertAlign val="subscript"/>
        <sz val="10"/>
        <rFont val="Tahoma"/>
        <family val="2"/>
      </rPr>
      <t xml:space="preserve">d</t>
    </r>
    <r>
      <rPr>
        <sz val="10"/>
        <rFont val="Tahoma"/>
        <family val="2"/>
      </rPr>
      <t xml:space="preserve">    : Average speed during the deceleration process, V</t>
    </r>
    <r>
      <rPr>
        <vertAlign val="subscript"/>
        <sz val="10"/>
        <rFont val="Tahoma"/>
        <family val="2"/>
      </rPr>
      <t xml:space="preserve">d</t>
    </r>
    <r>
      <rPr>
        <sz val="10"/>
        <rFont val="Tahoma"/>
        <family val="2"/>
      </rPr>
      <t xml:space="preserve"> = 0.5 * V</t>
    </r>
    <r>
      <rPr>
        <vertAlign val="subscript"/>
        <sz val="10"/>
        <rFont val="Tahoma"/>
        <family val="2"/>
      </rPr>
      <t xml:space="preserve">n</t>
    </r>
  </si>
  <si>
    <t xml:space="preserve">    For ETC Users, they don't need to slow down.</t>
  </si>
  <si>
    <r>
      <rPr>
        <sz val="10"/>
        <rFont val="Tahoma"/>
        <family val="2"/>
      </rPr>
      <t xml:space="preserve">    </t>
    </r>
    <r>
      <rPr>
        <b val="true"/>
        <i val="true"/>
        <sz val="10"/>
        <color rgb="FF800000"/>
        <rFont val="Tahoma"/>
        <family val="2"/>
      </rPr>
      <t xml:space="preserve">Hence, total time spent in "ramp prior to toll plaza"  in year i (T</t>
    </r>
    <r>
      <rPr>
        <b val="true"/>
        <i val="true"/>
        <vertAlign val="subscript"/>
        <sz val="10"/>
        <color rgb="FF800000"/>
        <rFont val="Tahoma"/>
        <family val="2"/>
      </rPr>
      <t xml:space="preserve">dei</t>
    </r>
    <r>
      <rPr>
        <b val="true"/>
        <i val="true"/>
        <sz val="10"/>
        <color rgb="FF800000"/>
        <rFont val="Tahoma"/>
        <family val="2"/>
      </rPr>
      <t xml:space="preserve">)</t>
    </r>
    <r>
      <rPr>
        <i val="true"/>
        <sz val="10"/>
        <color rgb="FF800000"/>
        <rFont val="Tahoma"/>
        <family val="2"/>
      </rPr>
      <t xml:space="preserve">: ET</t>
    </r>
    <r>
      <rPr>
        <i val="true"/>
        <vertAlign val="subscript"/>
        <sz val="10"/>
        <color rgb="FF800000"/>
        <rFont val="Tahoma"/>
        <family val="2"/>
      </rPr>
      <t xml:space="preserve">i</t>
    </r>
    <r>
      <rPr>
        <i val="true"/>
        <sz val="10"/>
        <color rgb="FF800000"/>
        <rFont val="Tahoma"/>
        <family val="2"/>
      </rPr>
      <t xml:space="preserve"> * D</t>
    </r>
    <r>
      <rPr>
        <i val="true"/>
        <vertAlign val="subscript"/>
        <sz val="10"/>
        <color rgb="FF800000"/>
        <rFont val="Tahoma"/>
        <family val="2"/>
      </rPr>
      <t xml:space="preserve">d</t>
    </r>
    <r>
      <rPr>
        <i val="true"/>
        <sz val="10"/>
        <color rgb="FF800000"/>
        <rFont val="Tahoma"/>
        <family val="2"/>
      </rPr>
      <t xml:space="preserve"> / V</t>
    </r>
    <r>
      <rPr>
        <i val="true"/>
        <vertAlign val="subscript"/>
        <sz val="10"/>
        <color rgb="FF800000"/>
        <rFont val="Tahoma"/>
        <family val="2"/>
      </rPr>
      <t xml:space="preserve">n</t>
    </r>
  </si>
  <si>
    <r>
      <rPr>
        <vertAlign val="superscript"/>
        <sz val="10"/>
        <color rgb="FF800000"/>
        <rFont val="Tahoma"/>
        <family val="2"/>
      </rPr>
      <t xml:space="preserve">4</t>
    </r>
    <r>
      <rPr>
        <b val="true"/>
        <i val="true"/>
        <sz val="10"/>
        <color rgb="FF800000"/>
        <rFont val="Tahoma"/>
        <family val="2"/>
      </rPr>
      <t xml:space="preserve"> Time Difference due to Accelaration: the difference of time spent during the acceleration process between Baseline and ETC Alternative.</t>
    </r>
  </si>
  <si>
    <t xml:space="preserve">   Due to the existence of the toll plaza, manual users have to accelerate from zero to prevailing travel speed after toll transactions.</t>
  </si>
  <si>
    <t xml:space="preserve">      a. Constant acceleration rate.  Hence, average speed during the deceleration process is equal to one half of prevailing travel speed.</t>
  </si>
  <si>
    <r>
      <rPr>
        <sz val="10"/>
        <rFont val="Tahoma"/>
        <family val="2"/>
      </rPr>
      <t xml:space="preserve">   </t>
    </r>
    <r>
      <rPr>
        <b val="true"/>
        <i val="true"/>
        <sz val="10"/>
        <color rgb="FF800000"/>
        <rFont val="Tahoma"/>
        <family val="2"/>
      </rPr>
      <t xml:space="preserve">For Manual Users, total time spent during the accelaration in year i (T</t>
    </r>
    <r>
      <rPr>
        <b val="true"/>
        <i val="true"/>
        <vertAlign val="subscript"/>
        <sz val="10"/>
        <color rgb="FF800000"/>
        <rFont val="Tahoma"/>
        <family val="2"/>
      </rPr>
      <t xml:space="preserve">ami</t>
    </r>
    <r>
      <rPr>
        <b val="true"/>
        <i val="true"/>
        <sz val="10"/>
        <color rgb="FF800000"/>
        <rFont val="Tahoma"/>
        <family val="2"/>
      </rPr>
      <t xml:space="preserve">)</t>
    </r>
    <r>
      <rPr>
        <sz val="10"/>
        <rFont val="Tahoma"/>
        <family val="2"/>
      </rPr>
      <t xml:space="preserve">:</t>
    </r>
    <r>
      <rPr>
        <sz val="10"/>
        <color rgb="FF800000"/>
        <rFont val="Tahoma"/>
        <family val="2"/>
      </rPr>
      <t xml:space="preserve"> (ATV</t>
    </r>
    <r>
      <rPr>
        <vertAlign val="subscript"/>
        <sz val="10"/>
        <color rgb="FF800000"/>
        <rFont val="Tahoma"/>
        <family val="2"/>
      </rPr>
      <t xml:space="preserve">i </t>
    </r>
    <r>
      <rPr>
        <sz val="10"/>
        <color rgb="FF800000"/>
        <rFont val="Tahoma"/>
        <family val="2"/>
      </rPr>
      <t xml:space="preserve">- ET</t>
    </r>
    <r>
      <rPr>
        <vertAlign val="subscript"/>
        <sz val="10"/>
        <color rgb="FF800000"/>
        <rFont val="Tahoma"/>
        <family val="2"/>
      </rPr>
      <t xml:space="preserve">i</t>
    </r>
    <r>
      <rPr>
        <sz val="10"/>
        <color rgb="FF800000"/>
        <rFont val="Tahoma"/>
        <family val="2"/>
      </rPr>
      <t xml:space="preserve">) * D</t>
    </r>
    <r>
      <rPr>
        <vertAlign val="subscript"/>
        <sz val="10"/>
        <color rgb="FF800000"/>
        <rFont val="Tahoma"/>
        <family val="2"/>
      </rPr>
      <t xml:space="preserve">a </t>
    </r>
    <r>
      <rPr>
        <sz val="10"/>
        <color rgb="FF800000"/>
        <rFont val="Tahoma"/>
        <family val="2"/>
      </rPr>
      <t xml:space="preserve">/ V</t>
    </r>
    <r>
      <rPr>
        <vertAlign val="subscript"/>
        <sz val="10"/>
        <color rgb="FF800000"/>
        <rFont val="Tahoma"/>
        <family val="2"/>
      </rPr>
      <t xml:space="preserve">a</t>
    </r>
  </si>
  <si>
    <r>
      <rPr>
        <sz val="10"/>
        <rFont val="Tahoma"/>
        <family val="2"/>
      </rPr>
      <t xml:space="preserve">       D</t>
    </r>
    <r>
      <rPr>
        <vertAlign val="subscript"/>
        <sz val="10"/>
        <rFont val="Tahoma"/>
        <family val="2"/>
      </rPr>
      <t xml:space="preserve">a</t>
    </r>
    <r>
      <rPr>
        <sz val="10"/>
        <rFont val="Tahoma"/>
        <family val="2"/>
      </rPr>
      <t xml:space="preserve">    : The length of ramp leading from toll plaza, in miles.  I.e. the distance required to achieve prevailing travel speed</t>
    </r>
  </si>
  <si>
    <r>
      <rPr>
        <sz val="10"/>
        <rFont val="Tahoma"/>
        <family val="2"/>
      </rPr>
      <t xml:space="preserve">       V</t>
    </r>
    <r>
      <rPr>
        <vertAlign val="subscript"/>
        <sz val="10"/>
        <rFont val="Tahoma"/>
        <family val="2"/>
      </rPr>
      <t xml:space="preserve">a</t>
    </r>
    <r>
      <rPr>
        <sz val="10"/>
        <rFont val="Tahoma"/>
        <family val="2"/>
      </rPr>
      <t xml:space="preserve">    : Average speed during the acceleration process, V</t>
    </r>
    <r>
      <rPr>
        <vertAlign val="subscript"/>
        <sz val="10"/>
        <rFont val="Tahoma"/>
        <family val="2"/>
      </rPr>
      <t xml:space="preserve">d</t>
    </r>
    <r>
      <rPr>
        <sz val="10"/>
        <rFont val="Tahoma"/>
        <family val="2"/>
      </rPr>
      <t xml:space="preserve"> = 0.5 * V</t>
    </r>
    <r>
      <rPr>
        <vertAlign val="subscript"/>
        <sz val="10"/>
        <rFont val="Tahoma"/>
        <family val="2"/>
      </rPr>
      <t xml:space="preserve">n</t>
    </r>
  </si>
  <si>
    <t xml:space="preserve">    For ETC Users, they don't need to slow down, and therefore, they don't need to speed up.</t>
  </si>
  <si>
    <r>
      <rPr>
        <sz val="10"/>
        <rFont val="Tahoma"/>
        <family val="2"/>
      </rPr>
      <t xml:space="preserve">   </t>
    </r>
    <r>
      <rPr>
        <b val="true"/>
        <i val="true"/>
        <sz val="10"/>
        <color rgb="FF800000"/>
        <rFont val="Tahoma"/>
        <family val="2"/>
      </rPr>
      <t xml:space="preserve"> Total time spent in "ramp prior to toll plaza"  in year i (T</t>
    </r>
    <r>
      <rPr>
        <b val="true"/>
        <i val="true"/>
        <vertAlign val="subscript"/>
        <sz val="10"/>
        <color rgb="FF800000"/>
        <rFont val="Tahoma"/>
        <family val="2"/>
      </rPr>
      <t xml:space="preserve">dei</t>
    </r>
    <r>
      <rPr>
        <b val="true"/>
        <i val="true"/>
        <sz val="10"/>
        <color rgb="FF800000"/>
        <rFont val="Tahoma"/>
        <family val="2"/>
      </rPr>
      <t xml:space="preserve">)</t>
    </r>
    <r>
      <rPr>
        <i val="true"/>
        <sz val="10"/>
        <color rgb="FF800000"/>
        <rFont val="Tahoma"/>
        <family val="2"/>
      </rPr>
      <t xml:space="preserve">: ET</t>
    </r>
    <r>
      <rPr>
        <i val="true"/>
        <vertAlign val="subscript"/>
        <sz val="10"/>
        <color rgb="FF800000"/>
        <rFont val="Tahoma"/>
        <family val="2"/>
      </rPr>
      <t xml:space="preserve">i</t>
    </r>
    <r>
      <rPr>
        <i val="true"/>
        <sz val="10"/>
        <color rgb="FF800000"/>
        <rFont val="Tahoma"/>
        <family val="2"/>
      </rPr>
      <t xml:space="preserve"> * D</t>
    </r>
    <r>
      <rPr>
        <i val="true"/>
        <vertAlign val="subscript"/>
        <sz val="10"/>
        <color rgb="FF800000"/>
        <rFont val="Tahoma"/>
        <family val="2"/>
      </rPr>
      <t xml:space="preserve">a</t>
    </r>
    <r>
      <rPr>
        <i val="true"/>
        <sz val="10"/>
        <color rgb="FF800000"/>
        <rFont val="Tahoma"/>
        <family val="2"/>
      </rPr>
      <t xml:space="preserve"> / V</t>
    </r>
    <r>
      <rPr>
        <i val="true"/>
        <vertAlign val="subscript"/>
        <sz val="10"/>
        <color rgb="FF800000"/>
        <rFont val="Tahoma"/>
        <family val="2"/>
      </rPr>
      <t xml:space="preserve">n</t>
    </r>
  </si>
  <si>
    <r>
      <rPr>
        <sz val="10"/>
        <rFont val="Wingdings"/>
        <family val="0"/>
      </rPr>
      <t xml:space="preserve">y</t>
    </r>
    <r>
      <rPr>
        <sz val="10"/>
        <rFont val="Tahoma"/>
        <family val="2"/>
      </rPr>
      <t xml:space="preserve"> Valuation of Emission Reduction per Year</t>
    </r>
  </si>
  <si>
    <r>
      <rPr>
        <sz val="10"/>
        <rFont val="Wingdings"/>
        <family val="0"/>
      </rPr>
      <t xml:space="preserve">y</t>
    </r>
    <r>
      <rPr>
        <sz val="10"/>
        <rFont val="Tahoma"/>
        <family val="2"/>
      </rPr>
      <t xml:space="preserve"> Estimates of Vehicle Emissions Reduction per Year</t>
    </r>
  </si>
  <si>
    <t xml:space="preserve">Total Emission Reduction (kgs)</t>
  </si>
  <si>
    <t xml:space="preserve">Value of Emission Reduction</t>
  </si>
  <si>
    <t xml:space="preserve">Value of Fuel Reduction</t>
  </si>
  <si>
    <t xml:space="preserve">Total Time Saving per Year (hrs)</t>
  </si>
  <si>
    <r>
      <rPr>
        <b val="true"/>
        <sz val="10"/>
        <color rgb="FF800000"/>
        <rFont val="Times New Roman"/>
        <family val="1"/>
      </rPr>
      <t xml:space="preserve">Emission Reduction from Idling (kgs)</t>
    </r>
    <r>
      <rPr>
        <b val="true"/>
        <vertAlign val="superscript"/>
        <sz val="10"/>
        <color rgb="FF800000"/>
        <rFont val="Times New Roman"/>
        <family val="1"/>
      </rPr>
      <t xml:space="preserve">1</t>
    </r>
  </si>
  <si>
    <r>
      <rPr>
        <b val="true"/>
        <sz val="10"/>
        <color rgb="FF800000"/>
        <rFont val="Times New Roman"/>
        <family val="1"/>
      </rPr>
      <t xml:space="preserve">Emission Reduction from Acceleration(kgs)</t>
    </r>
    <r>
      <rPr>
        <b val="true"/>
        <vertAlign val="superscript"/>
        <sz val="10"/>
        <color rgb="FF800000"/>
        <rFont val="Times New Roman"/>
        <family val="1"/>
      </rPr>
      <t xml:space="preserve">2</t>
    </r>
  </si>
  <si>
    <t xml:space="preserve">Total Emission Reduction (kgs)**</t>
  </si>
  <si>
    <t xml:space="preserve"> Idling</t>
  </si>
  <si>
    <t xml:space="preserve">Average Fuel Consumption per gallon (miles)</t>
  </si>
  <si>
    <t xml:space="preserve">Average Fuel consumption per hour (gallons)</t>
  </si>
  <si>
    <t xml:space="preserve">Acceleration Emissions Rates (grams/gallon)</t>
  </si>
  <si>
    <t xml:space="preserve">Idle Emission Rates (grams/minute)</t>
  </si>
  <si>
    <t xml:space="preserve">Costs of Air Pollution ($ / kg pollutant)</t>
  </si>
  <si>
    <t xml:space="preserve">Fuel Price per Gallon </t>
  </si>
  <si>
    <t xml:space="preserve">** Estimation of the Emission Reduction</t>
  </si>
  <si>
    <r>
      <rPr>
        <vertAlign val="superscript"/>
        <sz val="10"/>
        <color rgb="FF800000"/>
        <rFont val="Tahoma"/>
        <family val="2"/>
      </rPr>
      <t xml:space="preserve">1 </t>
    </r>
    <r>
      <rPr>
        <sz val="10"/>
        <color rgb="FF800000"/>
        <rFont val="Tahoma"/>
        <family val="2"/>
      </rPr>
      <t xml:space="preserve"> Emission Reduction from Idling (ER_</t>
    </r>
    <r>
      <rPr>
        <vertAlign val="subscript"/>
        <sz val="10"/>
        <color rgb="FF800000"/>
        <rFont val="Tahoma"/>
        <family val="2"/>
      </rPr>
      <t xml:space="preserve">idle</t>
    </r>
    <r>
      <rPr>
        <sz val="10"/>
        <color rgb="FF800000"/>
        <rFont val="Tahoma"/>
        <family val="2"/>
      </rPr>
      <t xml:space="preserve">) for pollutant type r : </t>
    </r>
  </si>
  <si>
    <r>
      <rPr>
        <i val="true"/>
        <sz val="10"/>
        <color rgb="FF800000"/>
        <rFont val="Tahoma"/>
        <family val="2"/>
      </rPr>
      <t xml:space="preserve">    ER_</t>
    </r>
    <r>
      <rPr>
        <i val="true"/>
        <vertAlign val="subscript"/>
        <sz val="10"/>
        <color rgb="FF800000"/>
        <rFont val="Tahoma"/>
        <family val="2"/>
      </rPr>
      <t xml:space="preserve">idle,r</t>
    </r>
    <r>
      <rPr>
        <i val="true"/>
        <sz val="10"/>
        <color rgb="FF800000"/>
        <rFont val="Tahoma"/>
        <family val="2"/>
      </rPr>
      <t xml:space="preserve"> = T</t>
    </r>
    <r>
      <rPr>
        <i val="true"/>
        <vertAlign val="subscript"/>
        <sz val="10"/>
        <color rgb="FF800000"/>
        <rFont val="Tahoma"/>
        <family val="2"/>
      </rPr>
      <t xml:space="preserve">idle</t>
    </r>
    <r>
      <rPr>
        <i val="true"/>
        <sz val="10"/>
        <color rgb="FF800000"/>
        <rFont val="Tahoma"/>
        <family val="2"/>
      </rPr>
      <t xml:space="preserve"> * E</t>
    </r>
    <r>
      <rPr>
        <i val="true"/>
        <vertAlign val="subscript"/>
        <sz val="10"/>
        <color rgb="FF800000"/>
        <rFont val="Tahoma"/>
        <family val="2"/>
      </rPr>
      <t xml:space="preserve">_idle</t>
    </r>
    <r>
      <rPr>
        <i val="true"/>
        <sz val="10"/>
        <color rgb="FF800000"/>
        <rFont val="Tahoma"/>
        <family val="2"/>
      </rPr>
      <t xml:space="preserve">* 60 / 1000</t>
    </r>
  </si>
  <si>
    <r>
      <rPr>
        <sz val="10"/>
        <rFont val="Tahoma"/>
        <family val="2"/>
      </rPr>
      <t xml:space="preserve">       T</t>
    </r>
    <r>
      <rPr>
        <vertAlign val="subscript"/>
        <sz val="10"/>
        <rFont val="Tahoma"/>
        <family val="2"/>
      </rPr>
      <t xml:space="preserve">idle</t>
    </r>
    <r>
      <rPr>
        <sz val="10"/>
        <rFont val="Tahoma"/>
        <family val="2"/>
      </rPr>
      <t xml:space="preserve"> : time saved in the idling event per year, in hr</t>
    </r>
  </si>
  <si>
    <r>
      <rPr>
        <sz val="10"/>
        <rFont val="Tahoma"/>
        <family val="2"/>
      </rPr>
      <t xml:space="preserve">       E</t>
    </r>
    <r>
      <rPr>
        <vertAlign val="subscript"/>
        <sz val="10"/>
        <rFont val="Tahoma"/>
        <family val="2"/>
      </rPr>
      <t xml:space="preserve">_idle,r</t>
    </r>
    <r>
      <rPr>
        <sz val="10"/>
        <rFont val="Tahoma"/>
        <family val="2"/>
      </rPr>
      <t xml:space="preserve"> : Emission rate for pollutant type r during the idling event, in grams per minute</t>
    </r>
  </si>
  <si>
    <r>
      <rPr>
        <vertAlign val="superscript"/>
        <sz val="10"/>
        <color rgb="FF800000"/>
        <rFont val="Tahoma"/>
        <family val="2"/>
      </rPr>
      <t xml:space="preserve">2 </t>
    </r>
    <r>
      <rPr>
        <sz val="10"/>
        <color rgb="FF800000"/>
        <rFont val="Tahoma"/>
        <family val="2"/>
      </rPr>
      <t xml:space="preserve"> Emission Reduction from Acceleration (ER_acc) for pollutant type r : </t>
    </r>
  </si>
  <si>
    <r>
      <rPr>
        <i val="true"/>
        <sz val="10"/>
        <color rgb="FF800000"/>
        <rFont val="Tahoma"/>
        <family val="2"/>
      </rPr>
      <t xml:space="preserve">    ET_</t>
    </r>
    <r>
      <rPr>
        <i val="true"/>
        <vertAlign val="subscript"/>
        <sz val="10"/>
        <color rgb="FF800000"/>
        <rFont val="Tahoma"/>
        <family val="2"/>
      </rPr>
      <t xml:space="preserve">acc,r</t>
    </r>
    <r>
      <rPr>
        <i val="true"/>
        <sz val="10"/>
        <color rgb="FF800000"/>
        <rFont val="Tahoma"/>
        <family val="2"/>
      </rPr>
      <t xml:space="preserve"> = T</t>
    </r>
    <r>
      <rPr>
        <i val="true"/>
        <vertAlign val="subscript"/>
        <sz val="10"/>
        <color rgb="FF800000"/>
        <rFont val="Tahoma"/>
        <family val="2"/>
      </rPr>
      <t xml:space="preserve">a</t>
    </r>
    <r>
      <rPr>
        <i val="true"/>
        <sz val="10"/>
        <color rgb="FF800000"/>
        <rFont val="Tahoma"/>
        <family val="2"/>
      </rPr>
      <t xml:space="preserve"> * FG</t>
    </r>
    <r>
      <rPr>
        <i val="true"/>
        <vertAlign val="subscript"/>
        <sz val="10"/>
        <color rgb="FF800000"/>
        <rFont val="Tahoma"/>
        <family val="2"/>
      </rPr>
      <t xml:space="preserve">a</t>
    </r>
    <r>
      <rPr>
        <i val="true"/>
        <sz val="10"/>
        <color rgb="FF800000"/>
        <rFont val="Tahoma"/>
        <family val="2"/>
      </rPr>
      <t xml:space="preserve"> * E_</t>
    </r>
    <r>
      <rPr>
        <i val="true"/>
        <vertAlign val="subscript"/>
        <sz val="10"/>
        <color rgb="FF800000"/>
        <rFont val="Tahoma"/>
        <family val="2"/>
      </rPr>
      <t xml:space="preserve">acc,r</t>
    </r>
    <r>
      <rPr>
        <i val="true"/>
        <sz val="10"/>
        <color rgb="FF800000"/>
        <rFont val="Tahoma"/>
        <family val="2"/>
      </rPr>
      <t xml:space="preserve"> / 1000</t>
    </r>
  </si>
  <si>
    <r>
      <rPr>
        <sz val="10"/>
        <rFont val="Tahoma"/>
        <family val="2"/>
      </rPr>
      <t xml:space="preserve">       T</t>
    </r>
    <r>
      <rPr>
        <vertAlign val="subscript"/>
        <sz val="10"/>
        <rFont val="Tahoma"/>
        <family val="2"/>
      </rPr>
      <t xml:space="preserve">a</t>
    </r>
    <r>
      <rPr>
        <sz val="10"/>
        <rFont val="Tahoma"/>
        <family val="2"/>
      </rPr>
      <t xml:space="preserve">    : time saved in the acceleration process per year, in hr</t>
    </r>
  </si>
  <si>
    <r>
      <rPr>
        <sz val="10"/>
        <rFont val="Tahoma"/>
        <family val="2"/>
      </rPr>
      <t xml:space="preserve">       FG</t>
    </r>
    <r>
      <rPr>
        <vertAlign val="subscript"/>
        <sz val="10"/>
        <rFont val="Tahoma"/>
        <family val="2"/>
      </rPr>
      <t xml:space="preserve">a</t>
    </r>
    <r>
      <rPr>
        <sz val="10"/>
        <rFont val="Tahoma"/>
        <family val="2"/>
      </rPr>
      <t xml:space="preserve">    : average fuel consumption per hour, in gallon</t>
    </r>
  </si>
  <si>
    <r>
      <rPr>
        <sz val="10"/>
        <rFont val="Tahoma"/>
        <family val="2"/>
      </rPr>
      <t xml:space="preserve">       E_</t>
    </r>
    <r>
      <rPr>
        <vertAlign val="subscript"/>
        <sz val="10"/>
        <rFont val="Tahoma"/>
        <family val="2"/>
      </rPr>
      <t xml:space="preserve">acc,r</t>
    </r>
    <r>
      <rPr>
        <sz val="10"/>
        <rFont val="Tahoma"/>
        <family val="2"/>
      </rPr>
      <t xml:space="preserve"> : Emission rate for pollutant type r during the acceleration process, in grams per gallon</t>
    </r>
  </si>
</sst>
</file>

<file path=xl/styles.xml><?xml version="1.0" encoding="utf-8"?>
<styleSheet xmlns="http://schemas.openxmlformats.org/spreadsheetml/2006/main">
  <numFmts count="25">
    <numFmt numFmtId="164" formatCode="General"/>
    <numFmt numFmtId="165" formatCode="\$#,##0\ ;&quot;($&quot;#,##0\)"/>
    <numFmt numFmtId="166" formatCode="0.00"/>
    <numFmt numFmtId="167" formatCode="0.00000"/>
    <numFmt numFmtId="168" formatCode="#,##0"/>
    <numFmt numFmtId="169" formatCode="\$#,##0.00_);[RED]&quot;($&quot;#,##0.00\)"/>
    <numFmt numFmtId="170" formatCode="#,##0.0"/>
    <numFmt numFmtId="171" formatCode="\$#,##0"/>
    <numFmt numFmtId="172" formatCode="#,##0.00"/>
    <numFmt numFmtId="173" formatCode="0%"/>
    <numFmt numFmtId="174" formatCode="0.0%"/>
    <numFmt numFmtId="175" formatCode="0.00%"/>
    <numFmt numFmtId="176" formatCode="#,##0.000"/>
    <numFmt numFmtId="177" formatCode="#,##0.0000"/>
    <numFmt numFmtId="178" formatCode="0.0"/>
    <numFmt numFmtId="179" formatCode="\$#,##0.00"/>
    <numFmt numFmtId="180" formatCode="\$#,##0_);[RED]&quot;($&quot;#,##0\)"/>
    <numFmt numFmtId="181" formatCode="_(* #,##0.00_);_(* \(#,##0.00\);_(* \-??_);_(@_)"/>
    <numFmt numFmtId="182" formatCode="#,##0;\-#,##0"/>
    <numFmt numFmtId="183" formatCode="0"/>
    <numFmt numFmtId="184" formatCode="#,##0.0_);\(#,##0.0\)"/>
    <numFmt numFmtId="185" formatCode="#,##0;[RED]\-#,##0"/>
    <numFmt numFmtId="186" formatCode="\$#,##0.000"/>
    <numFmt numFmtId="187" formatCode="\$#,##0.0000"/>
    <numFmt numFmtId="188" formatCode="\$#,##0.0"/>
  </numFmts>
  <fonts count="8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ahoma"/>
      <family val="2"/>
    </font>
    <font>
      <sz val="10"/>
      <name val="CG Times"/>
      <family val="0"/>
    </font>
    <font>
      <sz val="10"/>
      <name val="Times New Roman"/>
      <family val="1"/>
    </font>
    <font>
      <b val="true"/>
      <sz val="12"/>
      <name val="Tahoma"/>
      <family val="2"/>
    </font>
    <font>
      <b val="true"/>
      <sz val="14"/>
      <color rgb="FF000080"/>
      <name val="Tahoma"/>
      <family val="2"/>
    </font>
    <font>
      <sz val="8"/>
      <name val="CG Times"/>
      <family val="0"/>
    </font>
    <font>
      <b val="true"/>
      <sz val="10"/>
      <name val="Tahoma"/>
      <family val="2"/>
    </font>
    <font>
      <b val="true"/>
      <u val="single"/>
      <sz val="10"/>
      <name val="Tahoma"/>
      <family val="2"/>
    </font>
    <font>
      <sz val="8"/>
      <name val="Tahoma"/>
      <family val="2"/>
    </font>
    <font>
      <b val="true"/>
      <sz val="10"/>
      <name val="Times New Roman"/>
      <family val="1"/>
    </font>
    <font>
      <i val="true"/>
      <sz val="10"/>
      <color rgb="FF800000"/>
      <name val="Tahoma"/>
      <family val="2"/>
    </font>
    <font>
      <sz val="10"/>
      <color rgb="FF800000"/>
      <name val="Tahoma"/>
      <family val="2"/>
    </font>
    <font>
      <sz val="12"/>
      <name val="Tahoma"/>
      <family val="2"/>
    </font>
    <font>
      <sz val="10"/>
      <name val="NewsGothic"/>
      <family val="2"/>
    </font>
    <font>
      <u val="single"/>
      <sz val="10"/>
      <color rgb="FF800000"/>
      <name val="Tahoma"/>
      <family val="2"/>
    </font>
    <font>
      <sz val="10"/>
      <color rgb="FF666699"/>
      <name val="Tahoma"/>
      <family val="2"/>
    </font>
    <font>
      <b val="true"/>
      <sz val="10"/>
      <name val="NewsGothic"/>
      <family val="2"/>
    </font>
    <font>
      <i val="true"/>
      <sz val="10"/>
      <color rgb="FF666699"/>
      <name val="Tahoma"/>
      <family val="2"/>
    </font>
    <font>
      <sz val="11"/>
      <name val="Tahoma"/>
      <family val="2"/>
    </font>
    <font>
      <i val="true"/>
      <u val="single"/>
      <sz val="11"/>
      <color rgb="FF800000"/>
      <name val="Tahoma"/>
      <family val="2"/>
    </font>
    <font>
      <sz val="12"/>
      <color rgb="FF000080"/>
      <name val="Tahoma"/>
      <family val="2"/>
    </font>
    <font>
      <sz val="10"/>
      <color rgb="FF993300"/>
      <name val="Tahoma"/>
      <family val="2"/>
    </font>
    <font>
      <i val="true"/>
      <sz val="10"/>
      <name val="Tahoma"/>
      <family val="2"/>
    </font>
    <font>
      <sz val="10"/>
      <color rgb="FF000080"/>
      <name val="Tahoma"/>
      <family val="2"/>
    </font>
    <font>
      <b val="true"/>
      <sz val="11"/>
      <name val="Tahoma"/>
      <family val="2"/>
    </font>
    <font>
      <b val="true"/>
      <i val="true"/>
      <u val="single"/>
      <sz val="12"/>
      <color rgb="FF800000"/>
      <name val="Times New Roman"/>
      <family val="1"/>
    </font>
    <font>
      <sz val="10"/>
      <name val="Wingdings"/>
      <family val="0"/>
    </font>
    <font>
      <b val="true"/>
      <sz val="11"/>
      <color rgb="FF800000"/>
      <name val="Times New Roman"/>
      <family val="1"/>
    </font>
    <font>
      <sz val="11"/>
      <color rgb="FF800000"/>
      <name val="Tahoma"/>
      <family val="2"/>
    </font>
    <font>
      <i val="true"/>
      <sz val="11"/>
      <color rgb="FF993300"/>
      <name val="Times New Roman"/>
      <family val="1"/>
    </font>
    <font>
      <sz val="10"/>
      <color rgb="FF333399"/>
      <name val="Tahoma"/>
      <family val="2"/>
    </font>
    <font>
      <sz val="12"/>
      <color rgb="FF993300"/>
      <name val="Tahoma"/>
      <family val="2"/>
    </font>
    <font>
      <b val="true"/>
      <u val="single"/>
      <sz val="12"/>
      <color rgb="FF000000"/>
      <name val="Times New Roman"/>
      <family val="1"/>
    </font>
    <font>
      <b val="true"/>
      <i val="true"/>
      <sz val="10"/>
      <name val="Tahoma"/>
      <family val="2"/>
    </font>
    <font>
      <sz val="11"/>
      <name val="Times New Roman"/>
      <family val="1"/>
    </font>
    <font>
      <b val="true"/>
      <sz val="12"/>
      <color rgb="FF000000"/>
      <name val="Times New Roman"/>
      <family val="1"/>
    </font>
    <font>
      <i val="true"/>
      <sz val="11"/>
      <color rgb="FF800000"/>
      <name val="Times New Roman"/>
      <family val="1"/>
    </font>
    <font>
      <u val="single"/>
      <sz val="11"/>
      <color rgb="FF800000"/>
      <name val="Tahoma"/>
      <family val="2"/>
    </font>
    <font>
      <b val="true"/>
      <i val="true"/>
      <sz val="11"/>
      <color rgb="FF800000"/>
      <name val="Times New Roman"/>
      <family val="1"/>
    </font>
    <font>
      <sz val="11"/>
      <color rgb="FF333399"/>
      <name val="Times New Roman"/>
      <family val="1"/>
    </font>
    <font>
      <i val="true"/>
      <sz val="11"/>
      <name val="Tahoma"/>
      <family val="2"/>
    </font>
    <font>
      <b val="true"/>
      <sz val="12"/>
      <color rgb="FF000000"/>
      <name val="Tahoma"/>
      <family val="2"/>
    </font>
    <font>
      <sz val="11"/>
      <color rgb="FF0000FF"/>
      <name val="Times New Roman"/>
      <family val="1"/>
    </font>
    <font>
      <sz val="10"/>
      <name val="OG Times"/>
      <family val="0"/>
    </font>
    <font>
      <i val="true"/>
      <u val="single"/>
      <sz val="11"/>
      <name val="Tahoma"/>
      <family val="2"/>
    </font>
    <font>
      <sz val="12"/>
      <color rgb="FF333399"/>
      <name val="Tahoma"/>
      <family val="2"/>
    </font>
    <font>
      <b val="true"/>
      <sz val="10"/>
      <color rgb="FF800000"/>
      <name val="Tahoma"/>
      <family val="2"/>
    </font>
    <font>
      <sz val="10"/>
      <color rgb="FF800000"/>
      <name val="Arial"/>
      <family val="0"/>
    </font>
    <font>
      <sz val="12"/>
      <color rgb="FF800000"/>
      <name val="Tahoma"/>
      <family val="2"/>
    </font>
    <font>
      <sz val="9"/>
      <color rgb="FFFF0000"/>
      <name val="Tahoma"/>
      <family val="2"/>
    </font>
    <font>
      <b val="true"/>
      <i val="true"/>
      <sz val="10"/>
      <name val="Bookman"/>
      <family val="1"/>
    </font>
    <font>
      <b val="true"/>
      <i val="true"/>
      <sz val="10"/>
      <color rgb="FF800000"/>
      <name val="Tahoma"/>
      <family val="2"/>
    </font>
    <font>
      <vertAlign val="superscript"/>
      <sz val="10"/>
      <name val="Tahoma"/>
      <family val="2"/>
    </font>
    <font>
      <vertAlign val="subscript"/>
      <sz val="10"/>
      <name val="Tahoma"/>
      <family val="2"/>
    </font>
    <font>
      <vertAlign val="superscript"/>
      <sz val="10"/>
      <name val="Times New Roman"/>
      <family val="1"/>
    </font>
    <font>
      <sz val="10"/>
      <color rgb="FF333399"/>
      <name val="Times New Roman"/>
      <family val="1"/>
    </font>
    <font>
      <b val="true"/>
      <sz val="10"/>
      <name val="Wingdings"/>
      <family val="0"/>
    </font>
    <font>
      <b val="true"/>
      <sz val="10"/>
      <color rgb="FF800000"/>
      <name val="Times New Roman"/>
      <family val="1"/>
    </font>
    <font>
      <b val="true"/>
      <i val="true"/>
      <sz val="10"/>
      <color rgb="FF800000"/>
      <name val="Times New Roman"/>
      <family val="1"/>
    </font>
    <font>
      <b val="true"/>
      <sz val="10"/>
      <color rgb="FF800000"/>
      <name val="Symbol"/>
      <family val="1"/>
    </font>
    <font>
      <i val="true"/>
      <sz val="10"/>
      <color rgb="FF993300"/>
      <name val="Times New Roman"/>
      <family val="1"/>
    </font>
    <font>
      <sz val="10"/>
      <color rgb="FF993300"/>
      <name val="Times New Roman"/>
      <family val="1"/>
    </font>
    <font>
      <sz val="10"/>
      <color rgb="FF800000"/>
      <name val="Times New Roman"/>
      <family val="1"/>
    </font>
    <font>
      <sz val="10"/>
      <name val="Arial"/>
      <family val="2"/>
    </font>
    <font>
      <sz val="10"/>
      <name val="Symbol"/>
      <family val="1"/>
    </font>
    <font>
      <u val="single"/>
      <sz val="10"/>
      <name val="Arial"/>
      <family val="2"/>
    </font>
    <font>
      <b val="true"/>
      <i val="true"/>
      <sz val="12"/>
      <color rgb="FF9999FF"/>
      <name val="Times New Roman"/>
      <family val="1"/>
    </font>
    <font>
      <u val="single"/>
      <sz val="10"/>
      <name val="Tahoma"/>
      <family val="2"/>
    </font>
    <font>
      <i val="true"/>
      <u val="single"/>
      <sz val="10"/>
      <name val="Tahoma"/>
      <family val="2"/>
    </font>
    <font>
      <sz val="10"/>
      <color rgb="FFFF0000"/>
      <name val="Times New Roman"/>
      <family val="1"/>
    </font>
    <font>
      <b val="true"/>
      <vertAlign val="superscript"/>
      <sz val="10"/>
      <name val="Times New Roman"/>
      <family val="1"/>
    </font>
    <font>
      <b val="true"/>
      <i val="true"/>
      <sz val="10"/>
      <name val="Times New Roman"/>
      <family val="1"/>
    </font>
    <font>
      <b val="true"/>
      <i val="true"/>
      <vertAlign val="subscript"/>
      <sz val="10"/>
      <color rgb="FF800000"/>
      <name val="Tahoma"/>
      <family val="2"/>
    </font>
    <font>
      <sz val="10"/>
      <color rgb="FF333399"/>
      <name val="Arial"/>
      <family val="2"/>
    </font>
    <font>
      <b val="true"/>
      <vertAlign val="superscript"/>
      <sz val="10"/>
      <color rgb="FF800000"/>
      <name val="Times New Roman"/>
      <family val="1"/>
    </font>
    <font>
      <b val="true"/>
      <sz val="10"/>
      <name val="Arial"/>
      <family val="2"/>
    </font>
    <font>
      <i val="true"/>
      <vertAlign val="subscript"/>
      <sz val="10"/>
      <color rgb="FF800000"/>
      <name val="Tahoma"/>
      <family val="2"/>
    </font>
    <font>
      <vertAlign val="subscript"/>
      <sz val="10"/>
      <color rgb="FF800000"/>
      <name val="Tahoma"/>
      <family val="2"/>
    </font>
    <font>
      <sz val="10"/>
      <name val="Bookman"/>
      <family val="1"/>
    </font>
    <font>
      <vertAlign val="superscript"/>
      <sz val="10"/>
      <color rgb="FF800000"/>
      <name val="Tahoma"/>
      <family val="2"/>
    </font>
    <font>
      <i val="true"/>
      <vertAlign val="superscript"/>
      <sz val="10"/>
      <color rgb="FF800000"/>
      <name val="Tahoma"/>
      <family val="2"/>
    </font>
    <font>
      <b val="true"/>
      <sz val="10"/>
      <color rgb="FF9933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8080"/>
        <bgColor rgb="FFFF99CC"/>
      </patternFill>
    </fill>
    <fill>
      <patternFill patternType="solid">
        <fgColor rgb="FF99BFBF"/>
        <bgColor rgb="FF99CCFF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CC99"/>
        <bgColor rgb="FFFFFF99"/>
      </patternFill>
    </fill>
  </fills>
  <borders count="82">
    <border diagonalUp="false" diagonalDown="false">
      <left/>
      <right/>
      <top/>
      <bottom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 style="double"/>
      <right/>
      <top style="double"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double"/>
      <right style="double"/>
      <top/>
      <bottom/>
      <diagonal/>
    </border>
    <border diagonalUp="false" diagonalDown="false">
      <left style="double"/>
      <right/>
      <top/>
      <bottom/>
      <diagonal/>
    </border>
    <border diagonalUp="false" diagonalDown="false">
      <left/>
      <right style="double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/>
      <right style="double"/>
      <top style="thin"/>
      <bottom style="double"/>
      <diagonal/>
    </border>
    <border diagonalUp="false" diagonalDown="false">
      <left style="double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thin"/>
      <right style="double"/>
      <top style="double"/>
      <bottom/>
      <diagonal/>
    </border>
    <border diagonalUp="false" diagonalDown="false">
      <left style="double"/>
      <right style="thin"/>
      <top style="double"/>
      <bottom/>
      <diagonal/>
    </border>
    <border diagonalUp="false" diagonalDown="false">
      <left style="thin"/>
      <right style="thin"/>
      <top style="double"/>
      <bottom/>
      <diagonal/>
    </border>
    <border diagonalUp="false" diagonalDown="false">
      <left style="thin"/>
      <right style="double"/>
      <top/>
      <bottom/>
      <diagonal/>
    </border>
    <border diagonalUp="false" diagonalDown="false">
      <left style="double"/>
      <right style="thin"/>
      <top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 style="double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 style="double"/>
      <right style="double"/>
      <top/>
      <bottom style="double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double"/>
      <top/>
      <bottom style="thin"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thin"/>
      <right style="double"/>
      <top style="thin"/>
      <bottom style="double"/>
      <diagonal/>
    </border>
    <border diagonalUp="false" diagonalDown="false">
      <left style="thin"/>
      <right style="hair"/>
      <top style="hair"/>
      <bottom style="double"/>
      <diagonal/>
    </border>
    <border diagonalUp="false" diagonalDown="false">
      <left/>
      <right style="thin"/>
      <top style="hair"/>
      <bottom style="double"/>
      <diagonal/>
    </border>
    <border diagonalUp="false" diagonalDown="false">
      <left style="hair"/>
      <right style="hair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 style="double"/>
      <right style="thin"/>
      <top/>
      <bottom style="double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thin"/>
      <top/>
      <bottom style="hair"/>
      <diagonal/>
    </border>
    <border diagonalUp="false" diagonalDown="false">
      <left/>
      <right style="thin"/>
      <top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thin"/>
      <top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hair"/>
      <right style="hair"/>
      <top style="double"/>
      <bottom style="hair"/>
      <diagonal/>
    </border>
    <border diagonalUp="false" diagonalDown="false">
      <left style="hair"/>
      <right style="double"/>
      <top style="double"/>
      <bottom style="hair"/>
      <diagonal/>
    </border>
    <border diagonalUp="false" diagonalDown="false">
      <left style="hair"/>
      <right style="hair"/>
      <top style="hair"/>
      <bottom style="double"/>
      <diagonal/>
    </border>
    <border diagonalUp="false" diagonalDown="false">
      <left style="double"/>
      <right style="thin"/>
      <top style="double"/>
      <bottom style="double"/>
      <diagonal/>
    </border>
    <border diagonalUp="false" diagonalDown="false">
      <left/>
      <right/>
      <top style="double"/>
      <bottom style="double"/>
      <diagonal/>
    </border>
    <border diagonalUp="false" diagonalDown="false">
      <left style="thin"/>
      <right style="double"/>
      <top style="double"/>
      <bottom style="double"/>
      <diagonal/>
    </border>
    <border diagonalUp="false" diagonalDown="false">
      <left style="thin"/>
      <right style="thin"/>
      <top style="double"/>
      <bottom style="double"/>
      <diagonal/>
    </border>
    <border diagonalUp="false" diagonalDown="false">
      <left style="thin"/>
      <right/>
      <top style="double"/>
      <bottom style="double"/>
      <diagonal/>
    </border>
    <border diagonalUp="false" diagonalDown="false">
      <left/>
      <right style="thin"/>
      <top style="double"/>
      <bottom style="double"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thin"/>
      <right style="double"/>
      <top style="double"/>
      <bottom style="hair"/>
      <diagonal/>
    </border>
    <border diagonalUp="false" diagonalDown="false">
      <left/>
      <right style="thin"/>
      <top style="double"/>
      <bottom style="hair"/>
      <diagonal/>
    </border>
    <border diagonalUp="false" diagonalDown="false">
      <left style="thin"/>
      <right style="double"/>
      <top style="hair"/>
      <bottom style="double"/>
      <diagonal/>
    </border>
    <border diagonalUp="false" diagonalDown="false">
      <left style="thin"/>
      <right style="double"/>
      <top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double"/>
      <right style="double"/>
      <top style="thin"/>
      <bottom style="hair"/>
      <diagonal/>
    </border>
    <border diagonalUp="false" diagonalDown="false">
      <left style="double"/>
      <right style="thin"/>
      <top style="thin"/>
      <bottom style="double"/>
      <diagonal/>
    </border>
    <border diagonalUp="false" diagonalDown="false">
      <left style="thin"/>
      <right style="thin"/>
      <top style="hair"/>
      <bottom style="double"/>
      <diagonal/>
    </border>
    <border diagonalUp="false" diagonalDown="false">
      <left/>
      <right style="thin"/>
      <top style="double"/>
      <bottom/>
      <diagonal/>
    </border>
    <border diagonalUp="false" diagonalDown="false">
      <left/>
      <right style="double"/>
      <top/>
      <bottom style="thin"/>
      <diagonal/>
    </border>
    <border diagonalUp="false" diagonalDown="false">
      <left style="hair"/>
      <right style="double"/>
      <top style="hair"/>
      <bottom style="double"/>
      <diagonal/>
    </border>
    <border diagonalUp="false" diagonalDown="false">
      <left style="double"/>
      <right style="thin"/>
      <top style="hair"/>
      <bottom style="double"/>
      <diagonal/>
    </border>
    <border diagonalUp="false" diagonalDown="false">
      <left style="hair"/>
      <right style="thin"/>
      <top/>
      <bottom/>
      <diagonal/>
    </border>
    <border diagonalUp="false" diagonalDown="false">
      <left/>
      <right/>
      <top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81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</cellStyleXfs>
  <cellXfs count="6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4" fillId="3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4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4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3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7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4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9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7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4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4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5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6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4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4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4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4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8" fillId="4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4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9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3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2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43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24" fillId="5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4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24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8" fillId="2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36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24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4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24" fillId="2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5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6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2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38" fillId="4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5" fillId="2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8" fillId="2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4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7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7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22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4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4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24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8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3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2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4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8" fillId="4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4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0" borderId="3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5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3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2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1" fillId="2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38" fillId="0" borderId="4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8" fillId="5" borderId="4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8" fillId="5" borderId="4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38" fillId="0" borderId="1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8" fillId="0" borderId="4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8" fillId="5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8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8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5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38" fillId="6" borderId="50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2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8" fillId="6" borderId="14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38" fillId="6" borderId="51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8" fillId="6" borderId="2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6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6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6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6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3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8" fillId="5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8" fillId="0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38" fillId="0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8" fillId="5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8" fillId="6" borderId="1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38" fillId="5" borderId="2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38" fillId="6" borderId="2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38" fillId="6" borderId="2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3" fillId="2" borderId="2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38" fillId="5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8" fillId="0" borderId="5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8" fillId="5" borderId="5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8" fillId="5" borderId="3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38" fillId="0" borderId="52" xfId="1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38" fillId="0" borderId="5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4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8" fillId="6" borderId="37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6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6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6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6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8" fillId="6" borderId="3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38" fillId="5" borderId="37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38" fillId="6" borderId="37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38" fillId="6" borderId="37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3" fillId="2" borderId="3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8" fontId="38" fillId="5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7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7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9" fillId="8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9" fillId="8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9" fillId="8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9" fillId="8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2" borderId="5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2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2" borderId="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2" borderId="6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2" borderId="6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2" borderId="6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3" fillId="2" borderId="6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5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5" fillId="8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5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5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4" fillId="2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5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5" fillId="8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5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6" fillId="8" borderId="6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6" fillId="8" borderId="6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6" fillId="8" borderId="6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2" borderId="6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8" borderId="3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6" fillId="0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6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6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2" borderId="6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6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2" borderId="6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2" borderId="6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2" borderId="6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1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2" borderId="69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2" fillId="2" borderId="2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1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6" fillId="5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6" fillId="8" borderId="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66" fillId="5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6" fillId="5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6" fillId="8" borderId="3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2" borderId="7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2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2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2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2" borderId="7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1" fillId="2" borderId="7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2" fillId="2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1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2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1" fillId="2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3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2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2" borderId="3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1" fillId="2" borderId="2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3" fillId="2" borderId="7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4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6" fillId="5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6" fillId="5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6" fillId="5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6" fillId="8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6" fillId="8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5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8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8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24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5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5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7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5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8" borderId="26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8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0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6" fillId="0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3" fillId="8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8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2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5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5" borderId="2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5" borderId="1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5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3" fontId="3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4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4" fillId="2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6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6" fillId="5" borderId="3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3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5" borderId="39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8" borderId="3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8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6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8" fontId="6" fillId="0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3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5" borderId="7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3" fillId="8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8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38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5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5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5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5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5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5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5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6" fillId="5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7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1" fillId="2" borderId="4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1" fillId="2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1" fillId="2" borderId="6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84" fontId="6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5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5" borderId="2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5" borderId="25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2" fontId="6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6" fillId="5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6" fillId="5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6" fillId="8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3" fontId="6" fillId="5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6" fillId="5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5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5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5" borderId="3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7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7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2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2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2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2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7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2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5" borderId="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5" borderId="2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" fillId="5" borderId="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8" borderId="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6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2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8" borderId="2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5" borderId="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8" borderId="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7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" fillId="5" borderId="2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8" borderId="26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" fillId="8" borderId="2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7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5" fontId="27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2" fillId="2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3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5" borderId="3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" fillId="5" borderId="3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" fillId="5" borderId="3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8" borderId="3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6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39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" fillId="8" borderId="3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6" fillId="5" borderId="3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6" fillId="8" borderId="37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6" fillId="7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7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7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7" fillId="7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7" fillId="0" borderId="7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6" fillId="7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7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1" fillId="2" borderId="7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1" fillId="2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2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2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2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2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6" fillId="0" borderId="7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5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34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6" fillId="0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6" fillId="0" borderId="1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4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4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34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4" fillId="2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6" fillId="0" borderId="3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6" fillId="0" borderId="3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5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7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2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61" fillId="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62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2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2" borderId="4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1" fillId="2" borderId="7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5" borderId="24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6" fillId="5" borderId="7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5" borderId="2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2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5" borderId="1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3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3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8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3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5" borderId="37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5" borderId="3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5" borderId="3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3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5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8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3" fontId="6" fillId="8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6" fillId="8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12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34" fillId="5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34" fillId="2" borderId="8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3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34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4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8" fontId="34" fillId="2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6" fillId="8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3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0" xfId="20"/>
    <cellStyle name="Fixed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9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480600</xdr:colOff>
      <xdr:row>1</xdr:row>
      <xdr:rowOff>0</xdr:rowOff>
    </xdr:from>
    <xdr:to>
      <xdr:col>4</xdr:col>
      <xdr:colOff>95040</xdr:colOff>
      <xdr:row>1</xdr:row>
      <xdr:rowOff>228600</xdr:rowOff>
    </xdr:to>
    <xdr:sp>
      <xdr:nvSpPr>
        <xdr:cNvPr id="1" name="Oval 1"/>
        <xdr:cNvSpPr/>
      </xdr:nvSpPr>
      <xdr:spPr>
        <a:xfrm>
          <a:off x="7351920" y="177840"/>
          <a:ext cx="599400" cy="22860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17</xdr:row>
      <xdr:rowOff>203400</xdr:rowOff>
    </xdr:from>
    <xdr:to>
      <xdr:col>0</xdr:col>
      <xdr:colOff>6480</xdr:colOff>
      <xdr:row>18</xdr:row>
      <xdr:rowOff>177840</xdr:rowOff>
    </xdr:to>
    <xdr:sp>
      <xdr:nvSpPr>
        <xdr:cNvPr id="2" name="Oval 2"/>
        <xdr:cNvSpPr/>
      </xdr:nvSpPr>
      <xdr:spPr>
        <a:xfrm>
          <a:off x="0" y="3730680"/>
          <a:ext cx="6480" cy="19044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17</xdr:row>
      <xdr:rowOff>203400</xdr:rowOff>
    </xdr:from>
    <xdr:to>
      <xdr:col>0</xdr:col>
      <xdr:colOff>6480</xdr:colOff>
      <xdr:row>18</xdr:row>
      <xdr:rowOff>177840</xdr:rowOff>
    </xdr:to>
    <xdr:sp>
      <xdr:nvSpPr>
        <xdr:cNvPr id="3" name="Oval 3"/>
        <xdr:cNvSpPr/>
      </xdr:nvSpPr>
      <xdr:spPr>
        <a:xfrm>
          <a:off x="0" y="3730680"/>
          <a:ext cx="6480" cy="19044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351360</xdr:colOff>
      <xdr:row>0</xdr:row>
      <xdr:rowOff>165240</xdr:rowOff>
    </xdr:from>
    <xdr:to>
      <xdr:col>13</xdr:col>
      <xdr:colOff>83160</xdr:colOff>
      <xdr:row>1</xdr:row>
      <xdr:rowOff>203400</xdr:rowOff>
    </xdr:to>
    <xdr:sp>
      <xdr:nvSpPr>
        <xdr:cNvPr id="4" name="Oval 4"/>
        <xdr:cNvSpPr/>
      </xdr:nvSpPr>
      <xdr:spPr>
        <a:xfrm>
          <a:off x="13723200" y="165240"/>
          <a:ext cx="646200" cy="21600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316440</xdr:colOff>
      <xdr:row>0</xdr:row>
      <xdr:rowOff>165240</xdr:rowOff>
    </xdr:from>
    <xdr:to>
      <xdr:col>22</xdr:col>
      <xdr:colOff>47880</xdr:colOff>
      <xdr:row>1</xdr:row>
      <xdr:rowOff>228600</xdr:rowOff>
    </xdr:to>
    <xdr:sp>
      <xdr:nvSpPr>
        <xdr:cNvPr id="5" name="Oval 5"/>
        <xdr:cNvSpPr/>
      </xdr:nvSpPr>
      <xdr:spPr>
        <a:xfrm>
          <a:off x="19731600" y="165240"/>
          <a:ext cx="552600" cy="24120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0</xdr:colOff>
      <xdr:row>0</xdr:row>
      <xdr:rowOff>165240</xdr:rowOff>
    </xdr:from>
    <xdr:to>
      <xdr:col>31</xdr:col>
      <xdr:colOff>658080</xdr:colOff>
      <xdr:row>1</xdr:row>
      <xdr:rowOff>228600</xdr:rowOff>
    </xdr:to>
    <xdr:sp>
      <xdr:nvSpPr>
        <xdr:cNvPr id="6" name="Oval 7"/>
        <xdr:cNvSpPr/>
      </xdr:nvSpPr>
      <xdr:spPr>
        <a:xfrm>
          <a:off x="26222400" y="165240"/>
          <a:ext cx="658080" cy="24120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0</xdr:colOff>
      <xdr:row>0</xdr:row>
      <xdr:rowOff>165240</xdr:rowOff>
    </xdr:from>
    <xdr:to>
      <xdr:col>41</xdr:col>
      <xdr:colOff>47880</xdr:colOff>
      <xdr:row>1</xdr:row>
      <xdr:rowOff>228600</xdr:rowOff>
    </xdr:to>
    <xdr:sp>
      <xdr:nvSpPr>
        <xdr:cNvPr id="7" name="Oval 8"/>
        <xdr:cNvSpPr/>
      </xdr:nvSpPr>
      <xdr:spPr>
        <a:xfrm>
          <a:off x="32748840" y="165240"/>
          <a:ext cx="576360" cy="24120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49</xdr:col>
      <xdr:colOff>0</xdr:colOff>
      <xdr:row>0</xdr:row>
      <xdr:rowOff>165240</xdr:rowOff>
    </xdr:from>
    <xdr:to>
      <xdr:col>50</xdr:col>
      <xdr:colOff>48240</xdr:colOff>
      <xdr:row>1</xdr:row>
      <xdr:rowOff>228600</xdr:rowOff>
    </xdr:to>
    <xdr:sp>
      <xdr:nvSpPr>
        <xdr:cNvPr id="8" name="Oval 10"/>
        <xdr:cNvSpPr/>
      </xdr:nvSpPr>
      <xdr:spPr>
        <a:xfrm>
          <a:off x="38815560" y="165240"/>
          <a:ext cx="482040" cy="24120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191160</xdr:colOff>
      <xdr:row>1</xdr:row>
      <xdr:rowOff>0</xdr:rowOff>
    </xdr:from>
    <xdr:to>
      <xdr:col>0</xdr:col>
      <xdr:colOff>770400</xdr:colOff>
      <xdr:row>1</xdr:row>
      <xdr:rowOff>216000</xdr:rowOff>
    </xdr:to>
    <xdr:sp>
      <xdr:nvSpPr>
        <xdr:cNvPr id="9" name="Oval 12"/>
        <xdr:cNvSpPr/>
      </xdr:nvSpPr>
      <xdr:spPr>
        <a:xfrm>
          <a:off x="191160" y="177840"/>
          <a:ext cx="579240" cy="216000"/>
        </a:xfrm>
        <a:prstGeom prst="ellipse">
          <a:avLst/>
        </a:prstGeom>
        <a:noFill/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34920</xdr:colOff>
      <xdr:row>1</xdr:row>
      <xdr:rowOff>12600</xdr:rowOff>
    </xdr:from>
    <xdr:to>
      <xdr:col>3</xdr:col>
      <xdr:colOff>36000</xdr:colOff>
      <xdr:row>1</xdr:row>
      <xdr:rowOff>228600</xdr:rowOff>
    </xdr:to>
    <xdr:sp>
      <xdr:nvSpPr>
        <xdr:cNvPr id="10" name="Oval 1"/>
        <xdr:cNvSpPr/>
      </xdr:nvSpPr>
      <xdr:spPr>
        <a:xfrm>
          <a:off x="1079640" y="190440"/>
          <a:ext cx="622440" cy="21600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29</xdr:col>
      <xdr:colOff>0</xdr:colOff>
      <xdr:row>1</xdr:row>
      <xdr:rowOff>0</xdr:rowOff>
    </xdr:from>
    <xdr:to>
      <xdr:col>30</xdr:col>
      <xdr:colOff>70920</xdr:colOff>
      <xdr:row>2</xdr:row>
      <xdr:rowOff>12600</xdr:rowOff>
    </xdr:to>
    <xdr:sp>
      <xdr:nvSpPr>
        <xdr:cNvPr id="11" name="Oval 7"/>
        <xdr:cNvSpPr/>
      </xdr:nvSpPr>
      <xdr:spPr>
        <a:xfrm>
          <a:off x="19388520" y="177840"/>
          <a:ext cx="692640" cy="24120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11</xdr:col>
      <xdr:colOff>0</xdr:colOff>
      <xdr:row>1</xdr:row>
      <xdr:rowOff>12600</xdr:rowOff>
    </xdr:from>
    <xdr:to>
      <xdr:col>12</xdr:col>
      <xdr:colOff>47520</xdr:colOff>
      <xdr:row>1</xdr:row>
      <xdr:rowOff>228600</xdr:rowOff>
    </xdr:to>
    <xdr:sp>
      <xdr:nvSpPr>
        <xdr:cNvPr id="12" name="Oval 9"/>
        <xdr:cNvSpPr/>
      </xdr:nvSpPr>
      <xdr:spPr>
        <a:xfrm>
          <a:off x="7206480" y="190440"/>
          <a:ext cx="669240" cy="21600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48</xdr:col>
      <xdr:colOff>0</xdr:colOff>
      <xdr:row>0</xdr:row>
      <xdr:rowOff>165240</xdr:rowOff>
    </xdr:from>
    <xdr:to>
      <xdr:col>49</xdr:col>
      <xdr:colOff>106200</xdr:colOff>
      <xdr:row>1</xdr:row>
      <xdr:rowOff>228600</xdr:rowOff>
    </xdr:to>
    <xdr:sp>
      <xdr:nvSpPr>
        <xdr:cNvPr id="13" name="Oval 10"/>
        <xdr:cNvSpPr/>
      </xdr:nvSpPr>
      <xdr:spPr>
        <a:xfrm>
          <a:off x="31991400" y="165240"/>
          <a:ext cx="516240" cy="24120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56</xdr:col>
      <xdr:colOff>222840</xdr:colOff>
      <xdr:row>1</xdr:row>
      <xdr:rowOff>12600</xdr:rowOff>
    </xdr:from>
    <xdr:to>
      <xdr:col>58</xdr:col>
      <xdr:colOff>82440</xdr:colOff>
      <xdr:row>1</xdr:row>
      <xdr:rowOff>228600</xdr:rowOff>
    </xdr:to>
    <xdr:sp>
      <xdr:nvSpPr>
        <xdr:cNvPr id="14" name="Oval 12"/>
        <xdr:cNvSpPr/>
      </xdr:nvSpPr>
      <xdr:spPr>
        <a:xfrm>
          <a:off x="38223000" y="190440"/>
          <a:ext cx="516240" cy="21600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70</xdr:col>
      <xdr:colOff>0</xdr:colOff>
      <xdr:row>0</xdr:row>
      <xdr:rowOff>165240</xdr:rowOff>
    </xdr:from>
    <xdr:to>
      <xdr:col>70</xdr:col>
      <xdr:colOff>621720</xdr:colOff>
      <xdr:row>1</xdr:row>
      <xdr:rowOff>228600</xdr:rowOff>
    </xdr:to>
    <xdr:sp>
      <xdr:nvSpPr>
        <xdr:cNvPr id="15" name="Oval 13"/>
        <xdr:cNvSpPr/>
      </xdr:nvSpPr>
      <xdr:spPr>
        <a:xfrm>
          <a:off x="44815680" y="165240"/>
          <a:ext cx="621720" cy="24120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19</xdr:col>
      <xdr:colOff>480960</xdr:colOff>
      <xdr:row>0</xdr:row>
      <xdr:rowOff>152280</xdr:rowOff>
    </xdr:from>
    <xdr:to>
      <xdr:col>21</xdr:col>
      <xdr:colOff>47520</xdr:colOff>
      <xdr:row>1</xdr:row>
      <xdr:rowOff>216000</xdr:rowOff>
    </xdr:to>
    <xdr:sp>
      <xdr:nvSpPr>
        <xdr:cNvPr id="16" name="Oval 15"/>
        <xdr:cNvSpPr/>
      </xdr:nvSpPr>
      <xdr:spPr>
        <a:xfrm>
          <a:off x="13308480" y="152280"/>
          <a:ext cx="681840" cy="24156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38</xdr:col>
      <xdr:colOff>0</xdr:colOff>
      <xdr:row>1</xdr:row>
      <xdr:rowOff>0</xdr:rowOff>
    </xdr:from>
    <xdr:to>
      <xdr:col>38</xdr:col>
      <xdr:colOff>446040</xdr:colOff>
      <xdr:row>2</xdr:row>
      <xdr:rowOff>12600</xdr:rowOff>
    </xdr:to>
    <xdr:sp>
      <xdr:nvSpPr>
        <xdr:cNvPr id="17" name="Oval 16"/>
        <xdr:cNvSpPr/>
      </xdr:nvSpPr>
      <xdr:spPr>
        <a:xfrm>
          <a:off x="25513560" y="177840"/>
          <a:ext cx="446040" cy="241200"/>
        </a:xfrm>
        <a:prstGeom prst="ellipse">
          <a:avLst/>
        </a:prstGeom>
        <a:noFill/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2421875" defaultRowHeight="13" customHeight="false" zeroHeight="false" outlineLevelRow="0" outlineLevelCol="0"/>
  <cols>
    <col collapsed="false" customWidth="true" hidden="false" outlineLevel="0" max="1" min="1" style="1" width="92.5"/>
    <col collapsed="false" customWidth="true" hidden="false" outlineLevel="0" max="2" min="2" style="2" width="4.99"/>
    <col collapsed="false" customWidth="true" hidden="false" outlineLevel="0" max="3" min="3" style="0" width="7.16"/>
    <col collapsed="false" customWidth="true" hidden="false" outlineLevel="0" max="4" min="4" style="0" width="6.82"/>
    <col collapsed="false" customWidth="true" hidden="false" outlineLevel="0" max="5" min="5" style="0" width="16.82"/>
    <col collapsed="false" customWidth="true" hidden="false" outlineLevel="0" max="7" min="6" style="0" width="15.82"/>
    <col collapsed="false" customWidth="true" hidden="false" outlineLevel="0" max="9" min="9" style="0" width="7.5"/>
    <col collapsed="false" customWidth="true" hidden="false" outlineLevel="0" max="10" min="10" style="0" width="6.15"/>
    <col collapsed="false" customWidth="true" hidden="false" outlineLevel="0" max="11" min="11" style="0" width="7.32"/>
    <col collapsed="false" customWidth="true" hidden="false" outlineLevel="0" max="12" min="12" style="0" width="6.15"/>
    <col collapsed="false" customWidth="true" hidden="false" outlineLevel="0" max="13" min="13" style="0" width="6.82"/>
    <col collapsed="false" customWidth="true" hidden="false" outlineLevel="0" max="14" min="14" style="0" width="11.5"/>
    <col collapsed="false" customWidth="true" hidden="false" outlineLevel="0" max="15" min="15" style="0" width="11.15"/>
    <col collapsed="false" customWidth="true" hidden="false" outlineLevel="0" max="16" min="16" style="0" width="21.82"/>
    <col collapsed="false" customWidth="true" hidden="false" outlineLevel="0" max="17" min="17" style="0" width="9.49"/>
    <col collapsed="false" customWidth="true" hidden="false" outlineLevel="0" max="18" min="18" style="0" width="8.15"/>
    <col collapsed="false" customWidth="true" hidden="false" outlineLevel="0" max="19" min="19" style="0" width="7.32"/>
    <col collapsed="false" customWidth="true" hidden="false" outlineLevel="0" max="20" min="20" style="0" width="3.32"/>
    <col collapsed="false" customWidth="true" hidden="false" outlineLevel="0" max="21" min="21" style="0" width="5.15"/>
    <col collapsed="false" customWidth="true" hidden="false" outlineLevel="0" max="22" min="22" style="0" width="6.5"/>
    <col collapsed="false" customWidth="true" hidden="false" outlineLevel="0" max="23" min="23" style="0" width="12.5"/>
    <col collapsed="false" customWidth="true" hidden="false" outlineLevel="0" max="24" min="24" style="0" width="17.32"/>
    <col collapsed="false" customWidth="true" hidden="false" outlineLevel="0" max="25" min="25" style="0" width="6.5"/>
    <col collapsed="false" customWidth="true" hidden="false" outlineLevel="0" max="26" min="26" style="0" width="21.82"/>
    <col collapsed="false" customWidth="true" hidden="false" outlineLevel="0" max="27" min="27" style="0" width="8.99"/>
    <col collapsed="false" customWidth="true" hidden="false" outlineLevel="0" max="28" min="28" style="0" width="5.15"/>
    <col collapsed="false" customWidth="true" hidden="false" outlineLevel="0" max="29" min="29" style="0" width="2.66"/>
    <col collapsed="false" customWidth="true" hidden="false" outlineLevel="0" max="30" min="30" style="0" width="3.49"/>
    <col collapsed="false" customWidth="true" hidden="false" outlineLevel="0" max="31" min="31" style="0" width="6.5"/>
    <col collapsed="false" customWidth="true" hidden="false" outlineLevel="0" max="32" min="32" style="0" width="11.66"/>
    <col collapsed="false" customWidth="true" hidden="false" outlineLevel="0" max="34" min="33" style="0" width="14.49"/>
    <col collapsed="false" customWidth="true" hidden="false" outlineLevel="0" max="35" min="35" style="0" width="14.66"/>
    <col collapsed="false" customWidth="true" hidden="false" outlineLevel="0" max="36" min="36" style="0" width="11.5"/>
    <col collapsed="false" customWidth="true" hidden="false" outlineLevel="0" max="37" min="37" style="0" width="9.49"/>
    <col collapsed="false" customWidth="true" hidden="false" outlineLevel="0" max="38" min="38" style="0" width="3.82"/>
    <col collapsed="false" customWidth="true" hidden="false" outlineLevel="0" max="39" min="39" style="0" width="5.82"/>
    <col collapsed="false" customWidth="true" hidden="false" outlineLevel="0" max="40" min="40" style="0" width="6.66"/>
    <col collapsed="false" customWidth="true" hidden="false" outlineLevel="0" max="41" min="41" style="0" width="7.5"/>
    <col collapsed="false" customWidth="true" hidden="false" outlineLevel="0" max="42" min="42" style="0" width="15.82"/>
    <col collapsed="false" customWidth="true" hidden="false" outlineLevel="0" max="43" min="43" style="0" width="26.66"/>
    <col collapsed="false" customWidth="true" hidden="false" outlineLevel="0" max="44" min="44" style="0" width="9.82"/>
    <col collapsed="false" customWidth="true" hidden="false" outlineLevel="0" max="45" min="45" style="0" width="6.99"/>
    <col collapsed="false" customWidth="true" hidden="false" outlineLevel="0" max="46" min="46" style="0" width="5.99"/>
    <col collapsed="false" customWidth="true" hidden="false" outlineLevel="0" max="47" min="47" style="0" width="3.82"/>
    <col collapsed="false" customWidth="true" hidden="false" outlineLevel="0" max="48" min="48" style="0" width="2.82"/>
    <col collapsed="false" customWidth="true" hidden="false" outlineLevel="0" max="49" min="49" style="0" width="6.66"/>
    <col collapsed="false" customWidth="true" hidden="false" outlineLevel="0" max="50" min="50" style="0" width="6.15"/>
    <col collapsed="false" customWidth="true" hidden="false" outlineLevel="0" max="51" min="51" style="0" width="17.15"/>
    <col collapsed="false" customWidth="true" hidden="false" outlineLevel="0" max="52" min="52" style="0" width="23.66"/>
    <col collapsed="false" customWidth="true" hidden="false" outlineLevel="0" max="53" min="53" style="0" width="11.66"/>
    <col collapsed="false" customWidth="true" hidden="false" outlineLevel="0" max="54" min="54" style="0" width="4.82"/>
    <col collapsed="false" customWidth="true" hidden="false" outlineLevel="0" max="55" min="55" style="0" width="7.32"/>
    <col collapsed="false" customWidth="true" hidden="false" outlineLevel="0" max="56" min="56" style="0" width="3.99"/>
  </cols>
  <sheetData>
    <row r="1" customFormat="false" ht="14" hidden="false" customHeight="false" outlineLevel="0" collapsed="false">
      <c r="A1" s="3"/>
      <c r="B1" s="1"/>
      <c r="C1" s="4"/>
      <c r="D1" s="5"/>
      <c r="E1" s="5"/>
      <c r="F1" s="5"/>
      <c r="G1" s="5"/>
      <c r="H1" s="5"/>
      <c r="I1" s="6"/>
      <c r="K1" s="7"/>
      <c r="L1" s="4"/>
      <c r="M1" s="5"/>
      <c r="N1" s="5"/>
      <c r="O1" s="5"/>
      <c r="P1" s="5"/>
      <c r="Q1" s="5"/>
      <c r="R1" s="8"/>
      <c r="S1" s="7"/>
      <c r="U1" s="4"/>
      <c r="V1" s="5"/>
      <c r="W1" s="5"/>
      <c r="X1" s="5"/>
      <c r="Y1" s="5"/>
      <c r="Z1" s="5"/>
      <c r="AA1" s="5"/>
      <c r="AB1" s="6"/>
      <c r="AC1" s="9"/>
      <c r="AE1" s="10"/>
      <c r="AF1" s="11"/>
      <c r="AG1" s="11"/>
      <c r="AH1" s="11"/>
      <c r="AI1" s="11"/>
      <c r="AJ1" s="11"/>
      <c r="AK1" s="12"/>
      <c r="AN1" s="10"/>
      <c r="AO1" s="11"/>
      <c r="AP1" s="11"/>
      <c r="AQ1" s="11"/>
      <c r="AR1" s="11"/>
      <c r="AS1" s="11"/>
      <c r="AT1" s="12"/>
      <c r="AW1" s="10"/>
      <c r="AX1" s="11"/>
      <c r="AY1" s="11"/>
      <c r="AZ1" s="11"/>
      <c r="BA1" s="11"/>
      <c r="BB1" s="11"/>
      <c r="BC1" s="12"/>
    </row>
    <row r="2" customFormat="false" ht="18" hidden="false" customHeight="false" outlineLevel="0" collapsed="false">
      <c r="A2" s="13" t="s">
        <v>0</v>
      </c>
      <c r="C2" s="14"/>
      <c r="D2" s="15" t="s">
        <v>1</v>
      </c>
      <c r="E2" s="16"/>
      <c r="F2" s="17" t="s">
        <v>2</v>
      </c>
      <c r="G2" s="1"/>
      <c r="H2" s="18"/>
      <c r="I2" s="19"/>
      <c r="J2" s="20"/>
      <c r="K2" s="21"/>
      <c r="L2" s="14"/>
      <c r="M2" s="15" t="s">
        <v>3</v>
      </c>
      <c r="N2" s="22" t="s">
        <v>4</v>
      </c>
      <c r="O2" s="22"/>
      <c r="P2" s="22"/>
      <c r="Q2" s="22"/>
      <c r="R2" s="22"/>
      <c r="S2" s="7"/>
      <c r="U2" s="14"/>
      <c r="V2" s="15" t="s">
        <v>5</v>
      </c>
      <c r="W2" s="17" t="s">
        <v>6</v>
      </c>
      <c r="X2" s="17"/>
      <c r="Y2" s="17"/>
      <c r="Z2" s="17"/>
      <c r="AA2" s="17"/>
      <c r="AB2" s="22"/>
      <c r="AC2" s="23"/>
      <c r="AE2" s="24"/>
      <c r="AF2" s="17" t="s">
        <v>7</v>
      </c>
      <c r="AG2" s="25" t="s">
        <v>8</v>
      </c>
      <c r="AH2" s="17"/>
      <c r="AI2" s="26"/>
      <c r="AJ2" s="18"/>
      <c r="AK2" s="27"/>
      <c r="AN2" s="24"/>
      <c r="AO2" s="15" t="s">
        <v>9</v>
      </c>
      <c r="AP2" s="25" t="s">
        <v>10</v>
      </c>
      <c r="AQ2" s="17"/>
      <c r="AR2" s="26"/>
      <c r="AS2" s="18"/>
      <c r="AT2" s="27"/>
      <c r="AW2" s="26"/>
      <c r="AX2" s="15" t="s">
        <v>11</v>
      </c>
      <c r="AY2" s="25" t="s">
        <v>12</v>
      </c>
      <c r="AZ2" s="17"/>
      <c r="BA2" s="26"/>
      <c r="BB2" s="18"/>
      <c r="BC2" s="27"/>
    </row>
    <row r="3" customFormat="false" ht="18" hidden="false" customHeight="false" outlineLevel="0" collapsed="false">
      <c r="A3" s="13" t="s">
        <v>13</v>
      </c>
      <c r="C3" s="28" t="s">
        <v>14</v>
      </c>
      <c r="D3" s="29"/>
      <c r="E3" s="16"/>
      <c r="F3" s="30"/>
      <c r="G3" s="18"/>
      <c r="H3" s="18"/>
      <c r="I3" s="19"/>
      <c r="K3" s="7"/>
      <c r="L3" s="28" t="s">
        <v>14</v>
      </c>
      <c r="M3" s="29"/>
      <c r="N3" s="16"/>
      <c r="O3" s="30"/>
      <c r="P3" s="18"/>
      <c r="Q3" s="18"/>
      <c r="R3" s="31"/>
      <c r="S3" s="7"/>
      <c r="U3" s="28" t="s">
        <v>15</v>
      </c>
      <c r="V3" s="29"/>
      <c r="W3" s="29"/>
      <c r="X3" s="16"/>
      <c r="Y3" s="30"/>
      <c r="Z3" s="18"/>
      <c r="AA3" s="18"/>
      <c r="AB3" s="19"/>
      <c r="AC3" s="23"/>
      <c r="AE3" s="28" t="s">
        <v>16</v>
      </c>
      <c r="AF3" s="29"/>
      <c r="AG3" s="16"/>
      <c r="AH3" s="30"/>
      <c r="AI3" s="18"/>
      <c r="AJ3" s="18"/>
      <c r="AK3" s="31"/>
      <c r="AN3" s="28" t="s">
        <v>14</v>
      </c>
      <c r="AO3" s="29"/>
      <c r="AP3" s="16"/>
      <c r="AQ3" s="30"/>
      <c r="AR3" s="18"/>
      <c r="AS3" s="18"/>
      <c r="AT3" s="31"/>
      <c r="AW3" s="28" t="s">
        <v>14</v>
      </c>
      <c r="AX3" s="29"/>
      <c r="AY3" s="16"/>
      <c r="AZ3" s="30"/>
      <c r="BA3" s="18"/>
      <c r="BB3" s="18"/>
      <c r="BC3" s="31"/>
    </row>
    <row r="4" customFormat="false" ht="13.5" hidden="false" customHeight="true" outlineLevel="0" collapsed="false">
      <c r="A4" s="13" t="s">
        <v>17</v>
      </c>
      <c r="B4" s="32"/>
      <c r="C4" s="33"/>
      <c r="D4" s="34" t="s">
        <v>18</v>
      </c>
      <c r="E4" s="34"/>
      <c r="F4" s="34"/>
      <c r="G4" s="34"/>
      <c r="H4" s="34"/>
      <c r="I4" s="34"/>
      <c r="K4" s="7"/>
      <c r="L4" s="28"/>
      <c r="M4" s="34" t="s">
        <v>19</v>
      </c>
      <c r="N4" s="34"/>
      <c r="O4" s="34"/>
      <c r="P4" s="34"/>
      <c r="Q4" s="34"/>
      <c r="R4" s="34"/>
      <c r="S4" s="7"/>
      <c r="U4" s="33"/>
      <c r="V4" s="35" t="s">
        <v>20</v>
      </c>
      <c r="W4" s="35"/>
      <c r="X4" s="35"/>
      <c r="Y4" s="35"/>
      <c r="Z4" s="35"/>
      <c r="AA4" s="35"/>
      <c r="AB4" s="34"/>
      <c r="AC4" s="35"/>
      <c r="AE4" s="36"/>
      <c r="AF4" s="37" t="s">
        <v>21</v>
      </c>
      <c r="AG4" s="37"/>
      <c r="AH4" s="37"/>
      <c r="AI4" s="37"/>
      <c r="AJ4" s="37"/>
      <c r="AK4" s="37"/>
      <c r="AN4" s="28"/>
      <c r="AO4" s="34" t="s">
        <v>22</v>
      </c>
      <c r="AP4" s="34"/>
      <c r="AQ4" s="34"/>
      <c r="AR4" s="34"/>
      <c r="AS4" s="34"/>
      <c r="AT4" s="34"/>
      <c r="AW4" s="28"/>
      <c r="AX4" s="34" t="s">
        <v>23</v>
      </c>
      <c r="AY4" s="34"/>
      <c r="AZ4" s="34"/>
      <c r="BA4" s="34"/>
      <c r="BB4" s="34"/>
      <c r="BC4" s="34"/>
    </row>
    <row r="5" customFormat="false" ht="16" hidden="false" customHeight="false" outlineLevel="0" collapsed="false">
      <c r="A5" s="38"/>
      <c r="B5" s="39"/>
      <c r="C5" s="33"/>
      <c r="D5" s="40" t="s">
        <v>24</v>
      </c>
      <c r="E5" s="40"/>
      <c r="F5" s="40"/>
      <c r="G5" s="40"/>
      <c r="H5" s="40"/>
      <c r="I5" s="40"/>
      <c r="K5" s="7"/>
      <c r="L5" s="28"/>
      <c r="M5" s="41" t="s">
        <v>25</v>
      </c>
      <c r="N5" s="41"/>
      <c r="O5" s="41"/>
      <c r="P5" s="41"/>
      <c r="Q5" s="41"/>
      <c r="R5" s="41"/>
      <c r="S5" s="7"/>
      <c r="U5" s="33"/>
      <c r="V5" s="35" t="s">
        <v>26</v>
      </c>
      <c r="W5" s="42"/>
      <c r="X5" s="42"/>
      <c r="Y5" s="42"/>
      <c r="Z5" s="42"/>
      <c r="AA5" s="42"/>
      <c r="AB5" s="41"/>
      <c r="AC5" s="42"/>
      <c r="AE5" s="36"/>
      <c r="AF5" s="35" t="s">
        <v>27</v>
      </c>
      <c r="AG5" s="43"/>
      <c r="AH5" s="43"/>
      <c r="AI5" s="43"/>
      <c r="AJ5" s="43"/>
      <c r="AK5" s="37"/>
      <c r="AN5" s="36"/>
      <c r="AO5" s="37" t="s">
        <v>21</v>
      </c>
      <c r="AP5" s="37"/>
      <c r="AQ5" s="37"/>
      <c r="AR5" s="37"/>
      <c r="AS5" s="37"/>
      <c r="AT5" s="37"/>
      <c r="AW5" s="36"/>
      <c r="AX5" s="44" t="s">
        <v>28</v>
      </c>
      <c r="AY5" s="44"/>
      <c r="AZ5" s="44"/>
      <c r="BA5" s="44"/>
      <c r="BB5" s="44"/>
      <c r="BC5" s="45"/>
    </row>
    <row r="6" customFormat="false" ht="18.75" hidden="false" customHeight="true" outlineLevel="0" collapsed="false">
      <c r="A6" s="13" t="s">
        <v>29</v>
      </c>
      <c r="B6" s="46"/>
      <c r="C6" s="33"/>
      <c r="D6" s="47" t="s">
        <v>30</v>
      </c>
      <c r="E6" s="42"/>
      <c r="F6" s="42"/>
      <c r="G6" s="42"/>
      <c r="H6" s="42"/>
      <c r="I6" s="41"/>
      <c r="K6" s="7"/>
      <c r="L6" s="28"/>
      <c r="M6" s="42" t="s">
        <v>31</v>
      </c>
      <c r="N6" s="42"/>
      <c r="O6" s="42"/>
      <c r="P6" s="42"/>
      <c r="Q6" s="42"/>
      <c r="R6" s="41"/>
      <c r="S6" s="7"/>
      <c r="U6" s="33"/>
      <c r="V6" s="35" t="s">
        <v>32</v>
      </c>
      <c r="W6" s="35"/>
      <c r="X6" s="35"/>
      <c r="Y6" s="35"/>
      <c r="Z6" s="35"/>
      <c r="AA6" s="35"/>
      <c r="AB6" s="34"/>
      <c r="AC6" s="35"/>
      <c r="AE6" s="36"/>
      <c r="AF6" s="35" t="s">
        <v>33</v>
      </c>
      <c r="AG6" s="43"/>
      <c r="AH6" s="43"/>
      <c r="AI6" s="43"/>
      <c r="AJ6" s="43"/>
      <c r="AK6" s="37"/>
      <c r="AN6" s="36"/>
      <c r="AO6" s="44" t="s">
        <v>34</v>
      </c>
      <c r="AP6" s="26"/>
      <c r="AQ6" s="26"/>
      <c r="AR6" s="26"/>
      <c r="AS6" s="26"/>
      <c r="AT6" s="27"/>
      <c r="AW6" s="36"/>
      <c r="AX6" s="44" t="s">
        <v>35</v>
      </c>
      <c r="AY6" s="44"/>
      <c r="AZ6" s="44"/>
      <c r="BA6" s="44"/>
      <c r="BB6" s="44"/>
      <c r="BC6" s="45"/>
    </row>
    <row r="7" customFormat="false" ht="18" hidden="false" customHeight="true" outlineLevel="0" collapsed="false">
      <c r="A7" s="38" t="s">
        <v>36</v>
      </c>
      <c r="B7" s="46"/>
      <c r="C7" s="33"/>
      <c r="D7" s="35" t="s">
        <v>37</v>
      </c>
      <c r="E7" s="42"/>
      <c r="F7" s="42"/>
      <c r="G7" s="42"/>
      <c r="H7" s="42"/>
      <c r="I7" s="41"/>
      <c r="K7" s="7"/>
      <c r="L7" s="33"/>
      <c r="M7" s="35" t="s">
        <v>38</v>
      </c>
      <c r="N7" s="42"/>
      <c r="O7" s="42"/>
      <c r="P7" s="42"/>
      <c r="Q7" s="42"/>
      <c r="R7" s="41"/>
      <c r="S7" s="7"/>
      <c r="U7" s="33"/>
      <c r="V7" s="35" t="s">
        <v>39</v>
      </c>
      <c r="W7" s="35"/>
      <c r="X7" s="42"/>
      <c r="Y7" s="42"/>
      <c r="Z7" s="42"/>
      <c r="AA7" s="42"/>
      <c r="AB7" s="41"/>
      <c r="AC7" s="43"/>
      <c r="AE7" s="36"/>
      <c r="AF7" s="37" t="s">
        <v>40</v>
      </c>
      <c r="AG7" s="37"/>
      <c r="AH7" s="37"/>
      <c r="AI7" s="37"/>
      <c r="AJ7" s="37"/>
      <c r="AK7" s="37"/>
      <c r="AN7" s="36"/>
      <c r="AO7" s="44" t="s">
        <v>41</v>
      </c>
      <c r="AP7" s="26"/>
      <c r="AQ7" s="26"/>
      <c r="AR7" s="26"/>
      <c r="AS7" s="26"/>
      <c r="AT7" s="27"/>
      <c r="AW7" s="36"/>
      <c r="AX7" s="48" t="s">
        <v>42</v>
      </c>
      <c r="AY7" s="26"/>
      <c r="AZ7" s="26"/>
      <c r="BA7" s="26"/>
      <c r="BB7" s="26"/>
      <c r="BC7" s="27"/>
    </row>
    <row r="8" customFormat="false" ht="18" hidden="false" customHeight="true" outlineLevel="0" collapsed="false">
      <c r="A8" s="38" t="s">
        <v>43</v>
      </c>
      <c r="B8" s="46"/>
      <c r="C8" s="33"/>
      <c r="D8" s="35" t="s">
        <v>44</v>
      </c>
      <c r="E8" s="42"/>
      <c r="F8" s="42"/>
      <c r="G8" s="42"/>
      <c r="H8" s="42"/>
      <c r="I8" s="41"/>
      <c r="K8" s="7"/>
      <c r="L8" s="33"/>
      <c r="M8" s="35" t="s">
        <v>45</v>
      </c>
      <c r="N8" s="42"/>
      <c r="O8" s="42"/>
      <c r="P8" s="42"/>
      <c r="Q8" s="42"/>
      <c r="R8" s="41"/>
      <c r="S8" s="7"/>
      <c r="U8" s="36"/>
      <c r="V8" s="43" t="s">
        <v>21</v>
      </c>
      <c r="W8" s="43"/>
      <c r="X8" s="43"/>
      <c r="Y8" s="43"/>
      <c r="Z8" s="43"/>
      <c r="AA8" s="43"/>
      <c r="AB8" s="37"/>
      <c r="AC8" s="49"/>
      <c r="AE8" s="36"/>
      <c r="AF8" s="35" t="s">
        <v>46</v>
      </c>
      <c r="AG8" s="43"/>
      <c r="AH8" s="43"/>
      <c r="AI8" s="43"/>
      <c r="AJ8" s="43"/>
      <c r="AK8" s="37"/>
      <c r="AN8" s="36"/>
      <c r="AO8" s="26" t="s">
        <v>47</v>
      </c>
      <c r="AP8" s="26"/>
      <c r="AQ8" s="26"/>
      <c r="AR8" s="26"/>
      <c r="AS8" s="26"/>
      <c r="AT8" s="27"/>
      <c r="AW8" s="36"/>
      <c r="AX8" s="26" t="s">
        <v>48</v>
      </c>
      <c r="AY8" s="26"/>
      <c r="AZ8" s="26"/>
      <c r="BA8" s="26"/>
      <c r="BB8" s="26"/>
      <c r="BC8" s="27"/>
    </row>
    <row r="9" customFormat="false" ht="16" hidden="false" customHeight="false" outlineLevel="0" collapsed="false">
      <c r="A9" s="38" t="s">
        <v>49</v>
      </c>
      <c r="B9" s="46"/>
      <c r="C9" s="33"/>
      <c r="D9" s="37" t="s">
        <v>21</v>
      </c>
      <c r="E9" s="37"/>
      <c r="F9" s="37"/>
      <c r="G9" s="37"/>
      <c r="H9" s="37"/>
      <c r="I9" s="37"/>
      <c r="K9" s="7"/>
      <c r="L9" s="36"/>
      <c r="M9" s="37" t="s">
        <v>21</v>
      </c>
      <c r="N9" s="37"/>
      <c r="O9" s="37"/>
      <c r="P9" s="37"/>
      <c r="Q9" s="37"/>
      <c r="R9" s="37"/>
      <c r="S9" s="7"/>
      <c r="U9" s="33"/>
      <c r="V9" s="35" t="s">
        <v>50</v>
      </c>
      <c r="W9" s="43"/>
      <c r="X9" s="43"/>
      <c r="Y9" s="43"/>
      <c r="Z9" s="43"/>
      <c r="AA9" s="43"/>
      <c r="AB9" s="37"/>
      <c r="AC9" s="43"/>
      <c r="AE9" s="36"/>
      <c r="AF9" s="35" t="s">
        <v>51</v>
      </c>
      <c r="AG9" s="43"/>
      <c r="AH9" s="43"/>
      <c r="AI9" s="43"/>
      <c r="AJ9" s="43"/>
      <c r="AK9" s="37"/>
      <c r="AN9" s="36"/>
      <c r="AO9" s="50" t="s">
        <v>52</v>
      </c>
      <c r="AP9" s="26"/>
      <c r="AQ9" s="26"/>
      <c r="AR9" s="26"/>
      <c r="AS9" s="26"/>
      <c r="AT9" s="27"/>
      <c r="AW9" s="36"/>
      <c r="AX9" s="51"/>
      <c r="AY9" s="51"/>
      <c r="AZ9" s="51"/>
      <c r="BA9" s="51"/>
      <c r="BB9" s="51"/>
      <c r="BC9" s="52"/>
    </row>
    <row r="10" customFormat="false" ht="16" hidden="false" customHeight="false" outlineLevel="0" collapsed="false">
      <c r="A10" s="13" t="s">
        <v>53</v>
      </c>
      <c r="B10" s="53"/>
      <c r="C10" s="36"/>
      <c r="D10" s="34" t="s">
        <v>54</v>
      </c>
      <c r="E10" s="34"/>
      <c r="F10" s="34"/>
      <c r="G10" s="34"/>
      <c r="H10" s="34"/>
      <c r="I10" s="34"/>
      <c r="K10" s="7"/>
      <c r="L10" s="28"/>
      <c r="M10" s="34" t="s">
        <v>55</v>
      </c>
      <c r="N10" s="34"/>
      <c r="O10" s="34"/>
      <c r="P10" s="34"/>
      <c r="Q10" s="34"/>
      <c r="R10" s="34"/>
      <c r="S10" s="7"/>
      <c r="U10" s="36"/>
      <c r="V10" s="51" t="s">
        <v>56</v>
      </c>
      <c r="W10" s="54"/>
      <c r="X10" s="49"/>
      <c r="Y10" s="49"/>
      <c r="Z10" s="49"/>
      <c r="AA10" s="49"/>
      <c r="AB10" s="55"/>
      <c r="AC10" s="48"/>
      <c r="AE10" s="36"/>
      <c r="AF10" s="26" t="s">
        <v>57</v>
      </c>
      <c r="AG10" s="26"/>
      <c r="AH10" s="26"/>
      <c r="AI10" s="26"/>
      <c r="AJ10" s="26"/>
      <c r="AK10" s="27"/>
      <c r="AN10" s="36"/>
      <c r="AO10" s="37" t="s">
        <v>40</v>
      </c>
      <c r="AP10" s="37"/>
      <c r="AQ10" s="37"/>
      <c r="AR10" s="37"/>
      <c r="AS10" s="37"/>
      <c r="AT10" s="37"/>
      <c r="AW10" s="36"/>
      <c r="AX10" s="56" t="s">
        <v>58</v>
      </c>
      <c r="AY10" s="57"/>
      <c r="AZ10" s="57"/>
      <c r="BA10" s="57"/>
      <c r="BB10" s="58"/>
      <c r="BC10" s="27"/>
    </row>
    <row r="11" customFormat="false" ht="16" hidden="false" customHeight="false" outlineLevel="0" collapsed="false">
      <c r="A11" s="38"/>
      <c r="B11" s="53"/>
      <c r="C11" s="36"/>
      <c r="D11" s="59" t="s">
        <v>59</v>
      </c>
      <c r="E11" s="60"/>
      <c r="F11" s="60"/>
      <c r="G11" s="60"/>
      <c r="H11" s="60"/>
      <c r="I11" s="55"/>
      <c r="K11" s="7"/>
      <c r="L11" s="36"/>
      <c r="M11" s="52" t="s">
        <v>60</v>
      </c>
      <c r="N11" s="52"/>
      <c r="O11" s="52"/>
      <c r="P11" s="52"/>
      <c r="Q11" s="52"/>
      <c r="R11" s="52"/>
      <c r="S11" s="7"/>
      <c r="U11" s="36"/>
      <c r="V11" s="51" t="s">
        <v>61</v>
      </c>
      <c r="W11" s="54"/>
      <c r="X11" s="49"/>
      <c r="Y11" s="49"/>
      <c r="Z11" s="49"/>
      <c r="AA11" s="49"/>
      <c r="AB11" s="55"/>
      <c r="AC11" s="49"/>
      <c r="AE11" s="36"/>
      <c r="AF11" s="26" t="s">
        <v>62</v>
      </c>
      <c r="AG11" s="26"/>
      <c r="AH11" s="26"/>
      <c r="AI11" s="26"/>
      <c r="AJ11" s="26"/>
      <c r="AK11" s="27"/>
      <c r="AN11" s="36"/>
      <c r="AO11" s="61" t="s">
        <v>63</v>
      </c>
      <c r="AP11" s="62"/>
      <c r="AQ11" s="44"/>
      <c r="AR11" s="44"/>
      <c r="AS11" s="44"/>
      <c r="AT11" s="45"/>
      <c r="AW11" s="36"/>
      <c r="AX11" s="63"/>
      <c r="AY11" s="64"/>
      <c r="AZ11" s="64"/>
      <c r="BA11" s="64"/>
      <c r="BB11" s="65"/>
      <c r="BC11" s="27"/>
    </row>
    <row r="12" customFormat="false" ht="16" hidden="false" customHeight="false" outlineLevel="0" collapsed="false">
      <c r="A12" s="38" t="s">
        <v>64</v>
      </c>
      <c r="B12" s="53"/>
      <c r="C12" s="36"/>
      <c r="D12" s="35" t="s">
        <v>65</v>
      </c>
      <c r="E12" s="60"/>
      <c r="F12" s="60"/>
      <c r="G12" s="60"/>
      <c r="H12" s="60"/>
      <c r="I12" s="55"/>
      <c r="K12" s="7"/>
      <c r="L12" s="36"/>
      <c r="M12" s="52" t="s">
        <v>66</v>
      </c>
      <c r="N12" s="52"/>
      <c r="O12" s="52"/>
      <c r="P12" s="52"/>
      <c r="Q12" s="52"/>
      <c r="R12" s="52"/>
      <c r="S12" s="7"/>
      <c r="U12" s="36"/>
      <c r="V12" s="44" t="s">
        <v>67</v>
      </c>
      <c r="W12" s="44"/>
      <c r="X12" s="44"/>
      <c r="Y12" s="44"/>
      <c r="Z12" s="44"/>
      <c r="AA12" s="44"/>
      <c r="AB12" s="45"/>
      <c r="AC12" s="49"/>
      <c r="AE12" s="36"/>
      <c r="AF12" s="45" t="s">
        <v>68</v>
      </c>
      <c r="AG12" s="45"/>
      <c r="AH12" s="45"/>
      <c r="AI12" s="45"/>
      <c r="AJ12" s="45"/>
      <c r="AK12" s="45"/>
      <c r="AN12" s="36"/>
      <c r="AO12" s="66" t="s">
        <v>69</v>
      </c>
      <c r="AP12" s="62"/>
      <c r="AQ12" s="44"/>
      <c r="AR12" s="44"/>
      <c r="AS12" s="44"/>
      <c r="AT12" s="45"/>
      <c r="AW12" s="36"/>
      <c r="AX12" s="67" t="s">
        <v>70</v>
      </c>
      <c r="AY12" s="64"/>
      <c r="AZ12" s="64"/>
      <c r="BA12" s="68" t="n">
        <v>25</v>
      </c>
      <c r="BB12" s="65"/>
      <c r="BC12" s="27"/>
    </row>
    <row r="13" customFormat="false" ht="16" hidden="false" customHeight="false" outlineLevel="0" collapsed="false">
      <c r="A13" s="38" t="s">
        <v>71</v>
      </c>
      <c r="B13" s="39"/>
      <c r="C13" s="36"/>
      <c r="D13" s="34" t="s">
        <v>72</v>
      </c>
      <c r="E13" s="34"/>
      <c r="F13" s="34"/>
      <c r="G13" s="34"/>
      <c r="H13" s="34"/>
      <c r="I13" s="34"/>
      <c r="K13" s="7"/>
      <c r="L13" s="36"/>
      <c r="M13" s="26" t="s">
        <v>73</v>
      </c>
      <c r="N13" s="26"/>
      <c r="O13" s="26"/>
      <c r="P13" s="26"/>
      <c r="Q13" s="26"/>
      <c r="R13" s="27"/>
      <c r="S13" s="7"/>
      <c r="U13" s="36"/>
      <c r="V13" s="44" t="s">
        <v>74</v>
      </c>
      <c r="W13" s="44"/>
      <c r="X13" s="44"/>
      <c r="Y13" s="44"/>
      <c r="Z13" s="44"/>
      <c r="AA13" s="44"/>
      <c r="AB13" s="45"/>
      <c r="AC13" s="49"/>
      <c r="AE13" s="36"/>
      <c r="AF13" s="69" t="s">
        <v>75</v>
      </c>
      <c r="AG13" s="69"/>
      <c r="AH13" s="69"/>
      <c r="AI13" s="69"/>
      <c r="AJ13" s="69"/>
      <c r="AK13" s="69"/>
      <c r="AN13" s="36"/>
      <c r="AO13" s="70"/>
      <c r="AP13" s="70"/>
      <c r="AQ13" s="70"/>
      <c r="AR13" s="70"/>
      <c r="AS13" s="70"/>
      <c r="AT13" s="70"/>
      <c r="AW13" s="24"/>
      <c r="AX13" s="67" t="s">
        <v>76</v>
      </c>
      <c r="AY13" s="71"/>
      <c r="AZ13" s="71"/>
      <c r="BA13" s="72" t="n">
        <v>1.1</v>
      </c>
      <c r="BB13" s="73"/>
      <c r="BC13" s="27"/>
    </row>
    <row r="14" customFormat="false" ht="16" hidden="false" customHeight="false" outlineLevel="0" collapsed="false">
      <c r="A14" s="38" t="s">
        <v>77</v>
      </c>
      <c r="B14" s="74"/>
      <c r="C14" s="36"/>
      <c r="D14" s="34" t="s">
        <v>78</v>
      </c>
      <c r="E14" s="34"/>
      <c r="F14" s="34"/>
      <c r="G14" s="34"/>
      <c r="H14" s="34"/>
      <c r="I14" s="34"/>
      <c r="K14" s="7"/>
      <c r="L14" s="36"/>
      <c r="M14" s="26" t="s">
        <v>79</v>
      </c>
      <c r="N14" s="26"/>
      <c r="O14" s="26"/>
      <c r="P14" s="26"/>
      <c r="Q14" s="26"/>
      <c r="R14" s="27"/>
      <c r="S14" s="7"/>
      <c r="U14" s="36"/>
      <c r="V14" s="44" t="s">
        <v>80</v>
      </c>
      <c r="W14" s="44"/>
      <c r="X14" s="44"/>
      <c r="Y14" s="44"/>
      <c r="Z14" s="44"/>
      <c r="AA14" s="44"/>
      <c r="AB14" s="45"/>
      <c r="AC14" s="49"/>
      <c r="AE14" s="36"/>
      <c r="AF14" s="69" t="s">
        <v>81</v>
      </c>
      <c r="AG14" s="69"/>
      <c r="AH14" s="69"/>
      <c r="AI14" s="69"/>
      <c r="AJ14" s="69"/>
      <c r="AK14" s="69"/>
      <c r="AN14" s="36"/>
      <c r="AO14" s="75"/>
      <c r="AP14" s="57"/>
      <c r="AQ14" s="57"/>
      <c r="AR14" s="57"/>
      <c r="AS14" s="58"/>
      <c r="AT14" s="27"/>
      <c r="AW14" s="24"/>
      <c r="AX14" s="67" t="s">
        <v>82</v>
      </c>
      <c r="AY14" s="71"/>
      <c r="AZ14" s="71"/>
      <c r="BA14" s="76"/>
      <c r="BB14" s="73"/>
      <c r="BC14" s="27"/>
    </row>
    <row r="15" customFormat="false" ht="16" hidden="false" customHeight="false" outlineLevel="0" collapsed="false">
      <c r="A15" s="38" t="s">
        <v>83</v>
      </c>
      <c r="B15" s="32"/>
      <c r="C15" s="36"/>
      <c r="D15" s="35" t="s">
        <v>84</v>
      </c>
      <c r="E15" s="60"/>
      <c r="F15" s="60"/>
      <c r="G15" s="60"/>
      <c r="H15" s="60"/>
      <c r="I15" s="55"/>
      <c r="K15" s="7"/>
      <c r="L15" s="36"/>
      <c r="M15" s="26" t="s">
        <v>85</v>
      </c>
      <c r="N15" s="26"/>
      <c r="O15" s="26"/>
      <c r="P15" s="26"/>
      <c r="Q15" s="26"/>
      <c r="R15" s="27"/>
      <c r="S15" s="7"/>
      <c r="U15" s="36"/>
      <c r="V15" s="44" t="s">
        <v>86</v>
      </c>
      <c r="W15" s="44"/>
      <c r="X15" s="44"/>
      <c r="Y15" s="44"/>
      <c r="Z15" s="44"/>
      <c r="AA15" s="44"/>
      <c r="AB15" s="45"/>
      <c r="AC15" s="48"/>
      <c r="AE15" s="36"/>
      <c r="AF15" s="51"/>
      <c r="AG15" s="51"/>
      <c r="AH15" s="51"/>
      <c r="AI15" s="51"/>
      <c r="AJ15" s="51"/>
      <c r="AK15" s="52"/>
      <c r="AN15" s="36"/>
      <c r="AO15" s="77" t="s">
        <v>87</v>
      </c>
      <c r="AP15" s="78"/>
      <c r="AQ15" s="78"/>
      <c r="AR15" s="78"/>
      <c r="AS15" s="79"/>
      <c r="AT15" s="27"/>
      <c r="AW15" s="24"/>
      <c r="AX15" s="80"/>
      <c r="AY15" s="71" t="s">
        <v>88</v>
      </c>
      <c r="AZ15" s="71"/>
      <c r="BA15" s="81" t="n">
        <v>24.7</v>
      </c>
      <c r="BB15" s="73"/>
      <c r="BC15" s="27"/>
    </row>
    <row r="16" customFormat="false" ht="15" hidden="false" customHeight="true" outlineLevel="0" collapsed="false">
      <c r="A16" s="38"/>
      <c r="B16" s="46"/>
      <c r="C16" s="36"/>
      <c r="D16" s="41" t="s">
        <v>89</v>
      </c>
      <c r="E16" s="41"/>
      <c r="F16" s="41"/>
      <c r="G16" s="41"/>
      <c r="H16" s="41"/>
      <c r="I16" s="41"/>
      <c r="K16" s="7"/>
      <c r="L16" s="36"/>
      <c r="M16" s="26" t="s">
        <v>90</v>
      </c>
      <c r="N16" s="26"/>
      <c r="O16" s="26"/>
      <c r="P16" s="26"/>
      <c r="Q16" s="26"/>
      <c r="R16" s="27"/>
      <c r="S16" s="7"/>
      <c r="U16" s="20"/>
      <c r="V16" s="48"/>
      <c r="W16" s="48"/>
      <c r="X16" s="48"/>
      <c r="Y16" s="48"/>
      <c r="Z16" s="48"/>
      <c r="AA16" s="48"/>
      <c r="AB16" s="82"/>
      <c r="AC16" s="48"/>
      <c r="AE16" s="36"/>
      <c r="AF16" s="83" t="s">
        <v>91</v>
      </c>
      <c r="AG16" s="84"/>
      <c r="AH16" s="84"/>
      <c r="AI16" s="84"/>
      <c r="AJ16" s="85"/>
      <c r="AK16" s="27"/>
      <c r="AN16" s="36"/>
      <c r="AO16" s="80"/>
      <c r="AP16" s="71" t="s">
        <v>92</v>
      </c>
      <c r="AQ16" s="71"/>
      <c r="AR16" s="86" t="n">
        <v>12</v>
      </c>
      <c r="AS16" s="73"/>
      <c r="AT16" s="27"/>
      <c r="AW16" s="24"/>
      <c r="AX16" s="80"/>
      <c r="AY16" s="71" t="s">
        <v>93</v>
      </c>
      <c r="AZ16" s="71"/>
      <c r="BA16" s="81" t="n">
        <v>9.5</v>
      </c>
      <c r="BB16" s="73"/>
      <c r="BC16" s="27"/>
    </row>
    <row r="17" customFormat="false" ht="16.5" hidden="false" customHeight="true" outlineLevel="0" collapsed="false">
      <c r="A17" s="87" t="s">
        <v>94</v>
      </c>
      <c r="B17" s="74"/>
      <c r="C17" s="36"/>
      <c r="D17" s="34" t="s">
        <v>95</v>
      </c>
      <c r="E17" s="34"/>
      <c r="F17" s="34"/>
      <c r="G17" s="34"/>
      <c r="H17" s="34"/>
      <c r="I17" s="34"/>
      <c r="K17" s="7"/>
      <c r="L17" s="36"/>
      <c r="M17" s="34"/>
      <c r="N17" s="34"/>
      <c r="O17" s="34"/>
      <c r="P17" s="34"/>
      <c r="Q17" s="34"/>
      <c r="R17" s="34"/>
      <c r="S17" s="7"/>
      <c r="U17" s="20"/>
      <c r="V17" s="88" t="s">
        <v>96</v>
      </c>
      <c r="W17" s="89" t="s">
        <v>97</v>
      </c>
      <c r="X17" s="90" t="s">
        <v>98</v>
      </c>
      <c r="Y17" s="90"/>
      <c r="Z17" s="90"/>
      <c r="AA17" s="90"/>
      <c r="AB17" s="82"/>
      <c r="AC17" s="48"/>
      <c r="AE17" s="36"/>
      <c r="AF17" s="80"/>
      <c r="AG17" s="71" t="s">
        <v>99</v>
      </c>
      <c r="AH17" s="71"/>
      <c r="AI17" s="86" t="n">
        <v>7</v>
      </c>
      <c r="AJ17" s="73"/>
      <c r="AK17" s="27"/>
      <c r="AN17" s="24"/>
      <c r="AO17" s="80"/>
      <c r="AP17" s="71" t="s">
        <v>100</v>
      </c>
      <c r="AQ17" s="71"/>
      <c r="AR17" s="86" t="n">
        <v>0.2</v>
      </c>
      <c r="AS17" s="73"/>
      <c r="AT17" s="27"/>
      <c r="AW17" s="24"/>
      <c r="AX17" s="80"/>
      <c r="AY17" s="71" t="s">
        <v>101</v>
      </c>
      <c r="AZ17" s="71"/>
      <c r="BA17" s="81" t="n">
        <v>209</v>
      </c>
      <c r="BB17" s="73"/>
      <c r="BC17" s="27"/>
    </row>
    <row r="18" customFormat="false" ht="17" hidden="false" customHeight="true" outlineLevel="0" collapsed="false">
      <c r="A18" s="91" t="s">
        <v>102</v>
      </c>
      <c r="C18" s="36"/>
      <c r="D18" s="35" t="s">
        <v>103</v>
      </c>
      <c r="E18" s="60"/>
      <c r="F18" s="60"/>
      <c r="G18" s="60"/>
      <c r="H18" s="60"/>
      <c r="I18" s="55"/>
      <c r="K18" s="7"/>
      <c r="L18" s="36"/>
      <c r="M18" s="88" t="s">
        <v>96</v>
      </c>
      <c r="N18" s="88" t="s">
        <v>104</v>
      </c>
      <c r="O18" s="92" t="s">
        <v>105</v>
      </c>
      <c r="P18" s="92"/>
      <c r="Q18" s="92"/>
      <c r="R18" s="27"/>
      <c r="S18" s="7"/>
      <c r="U18" s="20"/>
      <c r="V18" s="88"/>
      <c r="W18" s="89"/>
      <c r="X18" s="93" t="s">
        <v>104</v>
      </c>
      <c r="Y18" s="94" t="s">
        <v>106</v>
      </c>
      <c r="Z18" s="95" t="s">
        <v>107</v>
      </c>
      <c r="AA18" s="95" t="s">
        <v>108</v>
      </c>
      <c r="AB18" s="82"/>
      <c r="AC18" s="48"/>
      <c r="AE18" s="36"/>
      <c r="AF18" s="80"/>
      <c r="AG18" s="71" t="s">
        <v>109</v>
      </c>
      <c r="AH18" s="71"/>
      <c r="AI18" s="86" t="n">
        <v>4.5</v>
      </c>
      <c r="AJ18" s="73"/>
      <c r="AK18" s="27"/>
      <c r="AN18" s="24"/>
      <c r="AO18" s="80"/>
      <c r="AP18" s="71" t="s">
        <v>110</v>
      </c>
      <c r="AQ18" s="71"/>
      <c r="AR18" s="86" t="n">
        <v>0.2</v>
      </c>
      <c r="AS18" s="73"/>
      <c r="AT18" s="27"/>
      <c r="AW18" s="24"/>
      <c r="AX18" s="67" t="s">
        <v>111</v>
      </c>
      <c r="AY18" s="71"/>
      <c r="AZ18" s="71"/>
      <c r="BA18" s="76"/>
      <c r="BB18" s="73"/>
      <c r="BC18" s="27"/>
    </row>
    <row r="19" customFormat="false" ht="15.5" hidden="false" customHeight="true" outlineLevel="0" collapsed="false">
      <c r="A19" s="91" t="s">
        <v>112</v>
      </c>
      <c r="C19" s="96"/>
      <c r="D19" s="97" t="s">
        <v>113</v>
      </c>
      <c r="E19" s="97"/>
      <c r="F19" s="97"/>
      <c r="G19" s="98"/>
      <c r="H19" s="98"/>
      <c r="I19" s="19"/>
      <c r="K19" s="7"/>
      <c r="L19" s="24"/>
      <c r="M19" s="88"/>
      <c r="N19" s="88"/>
      <c r="O19" s="95" t="s">
        <v>106</v>
      </c>
      <c r="P19" s="95" t="s">
        <v>107</v>
      </c>
      <c r="Q19" s="95" t="s">
        <v>108</v>
      </c>
      <c r="R19" s="27"/>
      <c r="S19" s="7"/>
      <c r="U19" s="20"/>
      <c r="V19" s="99" t="s">
        <v>114</v>
      </c>
      <c r="W19" s="100" t="n">
        <v>3009339.704</v>
      </c>
      <c r="X19" s="101" t="n">
        <v>0</v>
      </c>
      <c r="Y19" s="102"/>
      <c r="Z19" s="103" t="n">
        <v>8356</v>
      </c>
      <c r="AA19" s="103" t="n">
        <v>301760</v>
      </c>
      <c r="AB19" s="82"/>
      <c r="AC19" s="48"/>
      <c r="AE19" s="24"/>
      <c r="AF19" s="80"/>
      <c r="AG19" s="71" t="s">
        <v>115</v>
      </c>
      <c r="AH19" s="71"/>
      <c r="AI19" s="86" t="n">
        <v>2.4</v>
      </c>
      <c r="AJ19" s="73"/>
      <c r="AK19" s="27"/>
      <c r="AN19" s="24"/>
      <c r="AO19" s="80"/>
      <c r="AP19" s="71"/>
      <c r="AQ19" s="71"/>
      <c r="AR19" s="104"/>
      <c r="AS19" s="73"/>
      <c r="AT19" s="27"/>
      <c r="AW19" s="24"/>
      <c r="AX19" s="80"/>
      <c r="AY19" s="71" t="s">
        <v>88</v>
      </c>
      <c r="AZ19" s="71"/>
      <c r="BA19" s="105" t="n">
        <v>0</v>
      </c>
      <c r="BB19" s="73"/>
      <c r="BC19" s="27"/>
    </row>
    <row r="20" customFormat="false" ht="17" hidden="false" customHeight="false" outlineLevel="0" collapsed="false">
      <c r="A20" s="91" t="s">
        <v>116</v>
      </c>
      <c r="C20" s="96"/>
      <c r="D20" s="106" t="s">
        <v>117</v>
      </c>
      <c r="E20" s="107"/>
      <c r="F20" s="107"/>
      <c r="G20" s="108"/>
      <c r="H20" s="109"/>
      <c r="I20" s="19"/>
      <c r="K20" s="7"/>
      <c r="L20" s="24"/>
      <c r="M20" s="99" t="s">
        <v>114</v>
      </c>
      <c r="N20" s="110" t="n">
        <v>0</v>
      </c>
      <c r="O20" s="111"/>
      <c r="P20" s="112" t="n">
        <v>8356.16</v>
      </c>
      <c r="Q20" s="113" t="n">
        <v>297120</v>
      </c>
      <c r="R20" s="27"/>
      <c r="S20" s="7"/>
      <c r="U20" s="20"/>
      <c r="V20" s="99" t="n">
        <v>1</v>
      </c>
      <c r="W20" s="114" t="n">
        <v>0</v>
      </c>
      <c r="X20" s="115" t="n">
        <v>0</v>
      </c>
      <c r="Y20" s="116"/>
      <c r="Z20" s="117"/>
      <c r="AA20" s="117"/>
      <c r="AB20" s="82"/>
      <c r="AC20" s="48"/>
      <c r="AE20" s="24"/>
      <c r="AF20" s="118" t="s">
        <v>118</v>
      </c>
      <c r="AG20" s="71"/>
      <c r="AH20" s="71"/>
      <c r="AI20" s="71"/>
      <c r="AJ20" s="119"/>
      <c r="AK20" s="27"/>
      <c r="AN20" s="24"/>
      <c r="AO20" s="67" t="s">
        <v>119</v>
      </c>
      <c r="AP20" s="71"/>
      <c r="AQ20" s="71"/>
      <c r="AR20" s="86" t="n">
        <v>55</v>
      </c>
      <c r="AS20" s="73"/>
      <c r="AT20" s="27"/>
      <c r="AW20" s="24"/>
      <c r="AX20" s="80"/>
      <c r="AY20" s="71" t="s">
        <v>93</v>
      </c>
      <c r="AZ20" s="71"/>
      <c r="BA20" s="120" t="n">
        <v>0.15</v>
      </c>
      <c r="BB20" s="73"/>
      <c r="BC20" s="27"/>
    </row>
    <row r="21" customFormat="false" ht="16" hidden="false" customHeight="false" outlineLevel="0" collapsed="false">
      <c r="A21" s="121" t="s">
        <v>120</v>
      </c>
      <c r="C21" s="96"/>
      <c r="D21" s="122"/>
      <c r="E21" s="123"/>
      <c r="F21" s="124" t="s">
        <v>121</v>
      </c>
      <c r="G21" s="124" t="s">
        <v>122</v>
      </c>
      <c r="H21" s="125"/>
      <c r="I21" s="19"/>
      <c r="K21" s="7"/>
      <c r="L21" s="24"/>
      <c r="M21" s="99" t="n">
        <v>1</v>
      </c>
      <c r="N21" s="110" t="n">
        <v>0</v>
      </c>
      <c r="O21" s="117"/>
      <c r="P21" s="117"/>
      <c r="Q21" s="117"/>
      <c r="R21" s="27"/>
      <c r="S21" s="7"/>
      <c r="U21" s="20"/>
      <c r="V21" s="99" t="n">
        <v>2</v>
      </c>
      <c r="W21" s="114" t="n">
        <v>284813</v>
      </c>
      <c r="X21" s="115" t="n">
        <v>0</v>
      </c>
      <c r="Y21" s="116"/>
      <c r="Z21" s="117"/>
      <c r="AA21" s="117"/>
      <c r="AB21" s="82"/>
      <c r="AC21" s="48"/>
      <c r="AE21" s="24"/>
      <c r="AF21" s="126" t="s">
        <v>123</v>
      </c>
      <c r="AG21" s="71"/>
      <c r="AH21" s="124" t="s">
        <v>121</v>
      </c>
      <c r="AI21" s="124" t="s">
        <v>122</v>
      </c>
      <c r="AJ21" s="119"/>
      <c r="AK21" s="27"/>
      <c r="AN21" s="24"/>
      <c r="AO21" s="67"/>
      <c r="AP21" s="71"/>
      <c r="AQ21" s="71"/>
      <c r="AR21" s="104"/>
      <c r="AS21" s="73"/>
      <c r="AT21" s="27"/>
      <c r="AW21" s="24"/>
      <c r="AX21" s="80"/>
      <c r="AY21" s="71" t="s">
        <v>101</v>
      </c>
      <c r="AZ21" s="71"/>
      <c r="BA21" s="81" t="n">
        <v>2.5</v>
      </c>
      <c r="BB21" s="73"/>
      <c r="BC21" s="27"/>
    </row>
    <row r="22" customFormat="false" ht="16" hidden="false" customHeight="false" outlineLevel="0" collapsed="false">
      <c r="A22" s="91" t="s">
        <v>124</v>
      </c>
      <c r="C22" s="96"/>
      <c r="D22" s="122"/>
      <c r="E22" s="127" t="s">
        <v>125</v>
      </c>
      <c r="F22" s="128" t="n">
        <v>19016173</v>
      </c>
      <c r="G22" s="128" t="n">
        <v>30000000</v>
      </c>
      <c r="H22" s="125"/>
      <c r="I22" s="19"/>
      <c r="K22" s="7"/>
      <c r="L22" s="24"/>
      <c r="M22" s="99" t="n">
        <v>2</v>
      </c>
      <c r="N22" s="110" t="n">
        <v>0</v>
      </c>
      <c r="O22" s="117"/>
      <c r="P22" s="117"/>
      <c r="Q22" s="117"/>
      <c r="R22" s="27"/>
      <c r="S22" s="7"/>
      <c r="U22" s="20"/>
      <c r="V22" s="99" t="n">
        <v>3</v>
      </c>
      <c r="W22" s="114" t="n">
        <v>448581</v>
      </c>
      <c r="X22" s="115" t="n">
        <v>0</v>
      </c>
      <c r="Y22" s="116"/>
      <c r="Z22" s="117"/>
      <c r="AA22" s="117"/>
      <c r="AB22" s="82"/>
      <c r="AC22" s="48"/>
      <c r="AE22" s="24"/>
      <c r="AF22" s="129"/>
      <c r="AG22" s="71" t="s">
        <v>99</v>
      </c>
      <c r="AH22" s="130" t="n">
        <v>0.83</v>
      </c>
      <c r="AI22" s="130" t="n">
        <v>0.83</v>
      </c>
      <c r="AJ22" s="73"/>
      <c r="AK22" s="27"/>
      <c r="AN22" s="24"/>
      <c r="AO22" s="67" t="s">
        <v>126</v>
      </c>
      <c r="AP22" s="71"/>
      <c r="AQ22" s="71"/>
      <c r="AR22" s="104"/>
      <c r="AS22" s="73"/>
      <c r="AT22" s="27"/>
      <c r="AW22" s="24"/>
      <c r="AX22" s="67" t="s">
        <v>127</v>
      </c>
      <c r="AY22" s="71"/>
      <c r="AZ22" s="71"/>
      <c r="BA22" s="76"/>
      <c r="BB22" s="73"/>
      <c r="BC22" s="27"/>
    </row>
    <row r="23" customFormat="false" ht="16" hidden="false" customHeight="false" outlineLevel="0" collapsed="false">
      <c r="A23" s="121" t="s">
        <v>128</v>
      </c>
      <c r="C23" s="96"/>
      <c r="D23" s="122"/>
      <c r="E23" s="127" t="s">
        <v>129</v>
      </c>
      <c r="F23" s="131" t="n">
        <v>0</v>
      </c>
      <c r="G23" s="131" t="n">
        <v>0.99</v>
      </c>
      <c r="H23" s="125"/>
      <c r="I23" s="19"/>
      <c r="K23" s="7"/>
      <c r="L23" s="24"/>
      <c r="M23" s="99" t="n">
        <v>3</v>
      </c>
      <c r="N23" s="110" t="n">
        <v>0</v>
      </c>
      <c r="O23" s="117"/>
      <c r="P23" s="117"/>
      <c r="Q23" s="117"/>
      <c r="R23" s="27"/>
      <c r="S23" s="7"/>
      <c r="U23" s="20"/>
      <c r="V23" s="99" t="n">
        <v>4</v>
      </c>
      <c r="W23" s="114" t="n">
        <v>273801</v>
      </c>
      <c r="X23" s="115" t="n">
        <v>0</v>
      </c>
      <c r="Y23" s="116"/>
      <c r="Z23" s="117"/>
      <c r="AA23" s="117"/>
      <c r="AB23" s="82"/>
      <c r="AC23" s="48"/>
      <c r="AE23" s="24"/>
      <c r="AF23" s="129"/>
      <c r="AG23" s="71" t="s">
        <v>109</v>
      </c>
      <c r="AH23" s="132" t="n">
        <f aca="false">1-AH22</f>
        <v>0.17</v>
      </c>
      <c r="AI23" s="132" t="n">
        <f aca="false">1-AI22</f>
        <v>0.17</v>
      </c>
      <c r="AJ23" s="73"/>
      <c r="AK23" s="27"/>
      <c r="AN23" s="24"/>
      <c r="AO23" s="80"/>
      <c r="AP23" s="71" t="s">
        <v>130</v>
      </c>
      <c r="AQ23" s="71"/>
      <c r="AR23" s="133" t="n">
        <v>0.9476</v>
      </c>
      <c r="AS23" s="73"/>
      <c r="AT23" s="27"/>
      <c r="AW23" s="24"/>
      <c r="AX23" s="80"/>
      <c r="AY23" s="71" t="s">
        <v>88</v>
      </c>
      <c r="AZ23" s="71"/>
      <c r="BA23" s="134" t="n">
        <v>1.275</v>
      </c>
      <c r="BB23" s="73"/>
      <c r="BC23" s="27"/>
    </row>
    <row r="24" customFormat="false" ht="16" hidden="false" customHeight="false" outlineLevel="0" collapsed="false">
      <c r="A24" s="135"/>
      <c r="C24" s="96"/>
      <c r="D24" s="122"/>
      <c r="E24" s="127"/>
      <c r="F24" s="136"/>
      <c r="G24" s="136"/>
      <c r="H24" s="125"/>
      <c r="I24" s="19"/>
      <c r="K24" s="7"/>
      <c r="L24" s="24"/>
      <c r="M24" s="99" t="n">
        <v>4</v>
      </c>
      <c r="N24" s="110" t="n">
        <v>0</v>
      </c>
      <c r="O24" s="117"/>
      <c r="P24" s="117"/>
      <c r="Q24" s="117"/>
      <c r="R24" s="27"/>
      <c r="S24" s="7"/>
      <c r="U24" s="20"/>
      <c r="V24" s="99" t="n">
        <v>5</v>
      </c>
      <c r="W24" s="114" t="n">
        <v>289568</v>
      </c>
      <c r="X24" s="115" t="n">
        <v>0</v>
      </c>
      <c r="Y24" s="116"/>
      <c r="Z24" s="117"/>
      <c r="AA24" s="117"/>
      <c r="AB24" s="82"/>
      <c r="AC24" s="48"/>
      <c r="AE24" s="24"/>
      <c r="AF24" s="126" t="s">
        <v>131</v>
      </c>
      <c r="AG24" s="71"/>
      <c r="AH24" s="124"/>
      <c r="AI24" s="124"/>
      <c r="AJ24" s="119"/>
      <c r="AK24" s="27"/>
      <c r="AN24" s="24"/>
      <c r="AO24" s="80"/>
      <c r="AP24" s="71" t="s">
        <v>132</v>
      </c>
      <c r="AQ24" s="71"/>
      <c r="AR24" s="133" t="n">
        <v>0.0511</v>
      </c>
      <c r="AS24" s="73"/>
      <c r="AT24" s="27"/>
      <c r="AW24" s="24"/>
      <c r="AX24" s="80"/>
      <c r="AY24" s="71" t="s">
        <v>93</v>
      </c>
      <c r="AZ24" s="71"/>
      <c r="BA24" s="134" t="n">
        <v>1.275</v>
      </c>
      <c r="BB24" s="73"/>
      <c r="BC24" s="27"/>
    </row>
    <row r="25" customFormat="false" ht="16" hidden="false" customHeight="false" outlineLevel="0" collapsed="false">
      <c r="A25" s="87" t="s">
        <v>133</v>
      </c>
      <c r="C25" s="96"/>
      <c r="D25" s="137" t="s">
        <v>134</v>
      </c>
      <c r="E25" s="127"/>
      <c r="F25" s="138"/>
      <c r="G25" s="138"/>
      <c r="H25" s="125"/>
      <c r="I25" s="19"/>
      <c r="K25" s="7"/>
      <c r="L25" s="24"/>
      <c r="M25" s="99" t="n">
        <v>5</v>
      </c>
      <c r="N25" s="110" t="n">
        <v>0</v>
      </c>
      <c r="O25" s="117"/>
      <c r="P25" s="117"/>
      <c r="Q25" s="117"/>
      <c r="R25" s="27"/>
      <c r="S25" s="7"/>
      <c r="U25" s="20"/>
      <c r="V25" s="99" t="n">
        <v>6</v>
      </c>
      <c r="W25" s="114" t="n">
        <v>306036</v>
      </c>
      <c r="X25" s="115" t="n">
        <v>0</v>
      </c>
      <c r="Y25" s="116"/>
      <c r="Z25" s="117"/>
      <c r="AA25" s="117"/>
      <c r="AB25" s="82"/>
      <c r="AC25" s="48"/>
      <c r="AE25" s="24"/>
      <c r="AF25" s="129"/>
      <c r="AG25" s="71" t="s">
        <v>99</v>
      </c>
      <c r="AH25" s="130" t="n">
        <v>0.83</v>
      </c>
      <c r="AI25" s="130" t="n">
        <v>1</v>
      </c>
      <c r="AJ25" s="73"/>
      <c r="AK25" s="27"/>
      <c r="AN25" s="24"/>
      <c r="AO25" s="80"/>
      <c r="AP25" s="71" t="s">
        <v>135</v>
      </c>
      <c r="AQ25" s="71"/>
      <c r="AR25" s="133" t="n">
        <v>0.0013</v>
      </c>
      <c r="AS25" s="73"/>
      <c r="AT25" s="27"/>
      <c r="AW25" s="24"/>
      <c r="AX25" s="80"/>
      <c r="AY25" s="71" t="s">
        <v>101</v>
      </c>
      <c r="AZ25" s="71"/>
      <c r="BA25" s="139" t="n">
        <v>0.0063</v>
      </c>
      <c r="BB25" s="73"/>
      <c r="BC25" s="27"/>
    </row>
    <row r="26" customFormat="false" ht="16" hidden="false" customHeight="false" outlineLevel="0" collapsed="false">
      <c r="A26" s="91" t="s">
        <v>136</v>
      </c>
      <c r="C26" s="96"/>
      <c r="D26" s="122"/>
      <c r="E26" s="127"/>
      <c r="F26" s="124" t="s">
        <v>137</v>
      </c>
      <c r="G26" s="124" t="s">
        <v>138</v>
      </c>
      <c r="H26" s="125"/>
      <c r="I26" s="19"/>
      <c r="K26" s="7"/>
      <c r="L26" s="24"/>
      <c r="M26" s="99" t="n">
        <v>6</v>
      </c>
      <c r="N26" s="110" t="n">
        <v>0</v>
      </c>
      <c r="O26" s="117"/>
      <c r="P26" s="117"/>
      <c r="Q26" s="117"/>
      <c r="R26" s="27"/>
      <c r="S26" s="7"/>
      <c r="U26" s="20"/>
      <c r="V26" s="99" t="n">
        <v>7</v>
      </c>
      <c r="W26" s="114" t="n">
        <v>323231</v>
      </c>
      <c r="X26" s="115" t="n">
        <v>0</v>
      </c>
      <c r="Y26" s="116"/>
      <c r="Z26" s="117"/>
      <c r="AA26" s="117"/>
      <c r="AB26" s="82"/>
      <c r="AC26" s="48"/>
      <c r="AE26" s="24"/>
      <c r="AF26" s="129"/>
      <c r="AG26" s="71" t="s">
        <v>109</v>
      </c>
      <c r="AH26" s="132" t="n">
        <f aca="false">1-AH25</f>
        <v>0.17</v>
      </c>
      <c r="AI26" s="132" t="n">
        <f aca="false">1-AI25</f>
        <v>0</v>
      </c>
      <c r="AJ26" s="73"/>
      <c r="AK26" s="27"/>
      <c r="AN26" s="24"/>
      <c r="AO26" s="67" t="s">
        <v>139</v>
      </c>
      <c r="AP26" s="71"/>
      <c r="AQ26" s="71"/>
      <c r="AR26" s="104"/>
      <c r="AS26" s="73"/>
      <c r="AT26" s="27"/>
      <c r="AW26" s="24"/>
      <c r="AX26" s="140"/>
      <c r="AY26" s="141"/>
      <c r="AZ26" s="141"/>
      <c r="BA26" s="142"/>
      <c r="BB26" s="143"/>
      <c r="BC26" s="27"/>
    </row>
    <row r="27" customFormat="false" ht="16" hidden="false" customHeight="false" outlineLevel="0" collapsed="false">
      <c r="A27" s="91" t="s">
        <v>140</v>
      </c>
      <c r="C27" s="96"/>
      <c r="D27" s="144"/>
      <c r="E27" s="127" t="s">
        <v>141</v>
      </c>
      <c r="F27" s="145" t="n">
        <v>8200</v>
      </c>
      <c r="G27" s="145" t="n">
        <v>8200</v>
      </c>
      <c r="H27" s="125"/>
      <c r="I27" s="19"/>
      <c r="K27" s="7"/>
      <c r="L27" s="24"/>
      <c r="M27" s="99" t="n">
        <v>7</v>
      </c>
      <c r="N27" s="110" t="n">
        <v>0</v>
      </c>
      <c r="O27" s="117"/>
      <c r="P27" s="117"/>
      <c r="Q27" s="117"/>
      <c r="R27" s="27"/>
      <c r="S27" s="7"/>
      <c r="U27" s="20"/>
      <c r="V27" s="99" t="n">
        <v>8</v>
      </c>
      <c r="W27" s="114" t="n">
        <v>341183</v>
      </c>
      <c r="X27" s="115" t="n">
        <v>0</v>
      </c>
      <c r="Y27" s="116"/>
      <c r="Z27" s="117"/>
      <c r="AA27" s="117"/>
      <c r="AB27" s="82"/>
      <c r="AC27" s="48"/>
      <c r="AE27" s="24"/>
      <c r="AF27" s="126" t="s">
        <v>142</v>
      </c>
      <c r="AG27" s="71"/>
      <c r="AH27" s="71"/>
      <c r="AI27" s="146"/>
      <c r="AJ27" s="73"/>
      <c r="AK27" s="27"/>
      <c r="AN27" s="24"/>
      <c r="AO27" s="80"/>
      <c r="AP27" s="71" t="s">
        <v>130</v>
      </c>
      <c r="AQ27" s="71"/>
      <c r="AR27" s="86" t="n">
        <v>1.8</v>
      </c>
      <c r="AS27" s="73"/>
      <c r="AT27" s="27"/>
      <c r="AW27" s="24"/>
      <c r="AX27" s="26"/>
      <c r="AY27" s="26"/>
      <c r="AZ27" s="26"/>
      <c r="BA27" s="26"/>
      <c r="BB27" s="26"/>
      <c r="BC27" s="27"/>
    </row>
    <row r="28" customFormat="false" ht="16" hidden="false" customHeight="false" outlineLevel="0" collapsed="false">
      <c r="A28" s="135"/>
      <c r="C28" s="96"/>
      <c r="D28" s="144"/>
      <c r="E28" s="127" t="s">
        <v>143</v>
      </c>
      <c r="F28" s="145" t="n">
        <v>2</v>
      </c>
      <c r="G28" s="145" t="n">
        <v>2</v>
      </c>
      <c r="H28" s="125"/>
      <c r="I28" s="19"/>
      <c r="K28" s="7"/>
      <c r="L28" s="24"/>
      <c r="M28" s="99" t="n">
        <v>8</v>
      </c>
      <c r="N28" s="110" t="n">
        <v>0</v>
      </c>
      <c r="O28" s="117"/>
      <c r="P28" s="117"/>
      <c r="Q28" s="117"/>
      <c r="R28" s="27"/>
      <c r="S28" s="7"/>
      <c r="U28" s="20"/>
      <c r="V28" s="99" t="n">
        <v>9</v>
      </c>
      <c r="W28" s="114" t="n">
        <v>359920</v>
      </c>
      <c r="X28" s="115" t="n">
        <v>0</v>
      </c>
      <c r="Y28" s="116"/>
      <c r="Z28" s="117"/>
      <c r="AA28" s="117"/>
      <c r="AB28" s="82"/>
      <c r="AC28" s="48"/>
      <c r="AE28" s="24"/>
      <c r="AF28" s="129"/>
      <c r="AG28" s="71" t="s">
        <v>144</v>
      </c>
      <c r="AH28" s="130" t="n">
        <v>0.64</v>
      </c>
      <c r="AI28" s="130" t="n">
        <v>0.64</v>
      </c>
      <c r="AJ28" s="73"/>
      <c r="AK28" s="27"/>
      <c r="AN28" s="24"/>
      <c r="AO28" s="80"/>
      <c r="AP28" s="71" t="s">
        <v>132</v>
      </c>
      <c r="AQ28" s="71"/>
      <c r="AR28" s="86" t="n">
        <v>1.1</v>
      </c>
      <c r="AS28" s="73"/>
      <c r="AT28" s="27"/>
      <c r="AW28" s="24"/>
      <c r="AX28" s="147" t="s">
        <v>145</v>
      </c>
      <c r="AY28" s="148"/>
      <c r="AZ28" s="148"/>
      <c r="BA28" s="148"/>
      <c r="BB28" s="149"/>
      <c r="BC28" s="27"/>
    </row>
    <row r="29" customFormat="false" ht="16" hidden="false" customHeight="false" outlineLevel="0" collapsed="false">
      <c r="A29" s="87" t="s">
        <v>146</v>
      </c>
      <c r="C29" s="96"/>
      <c r="D29" s="144"/>
      <c r="E29" s="127" t="s">
        <v>147</v>
      </c>
      <c r="F29" s="150" t="n">
        <v>0.3</v>
      </c>
      <c r="G29" s="150" t="n">
        <v>0.7</v>
      </c>
      <c r="H29" s="125"/>
      <c r="I29" s="19"/>
      <c r="K29" s="7"/>
      <c r="L29" s="24"/>
      <c r="M29" s="99" t="n">
        <v>9</v>
      </c>
      <c r="N29" s="110" t="n">
        <v>0</v>
      </c>
      <c r="O29" s="117"/>
      <c r="P29" s="117"/>
      <c r="Q29" s="117"/>
      <c r="R29" s="27"/>
      <c r="S29" s="7"/>
      <c r="U29" s="20"/>
      <c r="V29" s="99" t="n">
        <v>10</v>
      </c>
      <c r="W29" s="114" t="n">
        <v>379475</v>
      </c>
      <c r="X29" s="115" t="n">
        <v>0</v>
      </c>
      <c r="Y29" s="116"/>
      <c r="Z29" s="151"/>
      <c r="AA29" s="117"/>
      <c r="AB29" s="82"/>
      <c r="AC29" s="48"/>
      <c r="AE29" s="24"/>
      <c r="AF29" s="129"/>
      <c r="AG29" s="71" t="s">
        <v>148</v>
      </c>
      <c r="AH29" s="132" t="n">
        <f aca="false">1-AH28</f>
        <v>0.36</v>
      </c>
      <c r="AI29" s="132" t="n">
        <f aca="false">1-AI28</f>
        <v>0.36</v>
      </c>
      <c r="AJ29" s="73"/>
      <c r="AK29" s="27"/>
      <c r="AN29" s="24"/>
      <c r="AO29" s="80"/>
      <c r="AP29" s="71" t="s">
        <v>135</v>
      </c>
      <c r="AQ29" s="71"/>
      <c r="AR29" s="86" t="n">
        <v>20</v>
      </c>
      <c r="AS29" s="73"/>
      <c r="AT29" s="27"/>
      <c r="AW29" s="24"/>
      <c r="AX29" s="152"/>
      <c r="AY29" s="153"/>
      <c r="AZ29" s="153"/>
      <c r="BA29" s="153"/>
      <c r="BB29" s="73"/>
      <c r="BC29" s="27"/>
    </row>
    <row r="30" customFormat="false" ht="16" hidden="false" customHeight="false" outlineLevel="0" collapsed="false">
      <c r="A30" s="91" t="s">
        <v>149</v>
      </c>
      <c r="C30" s="96"/>
      <c r="D30" s="154"/>
      <c r="E30" s="155"/>
      <c r="F30" s="156"/>
      <c r="G30" s="157"/>
      <c r="H30" s="158"/>
      <c r="I30" s="19"/>
      <c r="K30" s="7"/>
      <c r="L30" s="24"/>
      <c r="M30" s="99" t="n">
        <v>10</v>
      </c>
      <c r="N30" s="110" t="n">
        <v>0</v>
      </c>
      <c r="O30" s="117"/>
      <c r="P30" s="151"/>
      <c r="Q30" s="117"/>
      <c r="R30" s="27"/>
      <c r="S30" s="7"/>
      <c r="U30" s="20"/>
      <c r="V30" s="99" t="n">
        <v>11</v>
      </c>
      <c r="W30" s="159" t="n">
        <v>0</v>
      </c>
      <c r="X30" s="160" t="n">
        <v>0</v>
      </c>
      <c r="Y30" s="116"/>
      <c r="Z30" s="117"/>
      <c r="AA30" s="117"/>
      <c r="AB30" s="82"/>
      <c r="AC30" s="48"/>
      <c r="AE30" s="24"/>
      <c r="AF30" s="118" t="s">
        <v>150</v>
      </c>
      <c r="AG30" s="71"/>
      <c r="AH30" s="71"/>
      <c r="AI30" s="146"/>
      <c r="AJ30" s="73"/>
      <c r="AK30" s="27"/>
      <c r="AN30" s="24"/>
      <c r="AO30" s="80"/>
      <c r="AP30" s="71"/>
      <c r="AQ30" s="71"/>
      <c r="AR30" s="104"/>
      <c r="AS30" s="73"/>
      <c r="AT30" s="27"/>
      <c r="AW30" s="24"/>
      <c r="AX30" s="67" t="s">
        <v>151</v>
      </c>
      <c r="AY30" s="71"/>
      <c r="AZ30" s="71"/>
      <c r="BA30" s="161" t="n">
        <v>0.03</v>
      </c>
      <c r="BB30" s="73"/>
      <c r="BC30" s="27"/>
    </row>
    <row r="31" customFormat="false" ht="17" hidden="false" customHeight="false" outlineLevel="0" collapsed="false">
      <c r="A31" s="91" t="s">
        <v>152</v>
      </c>
      <c r="C31" s="162"/>
      <c r="D31" s="163"/>
      <c r="E31" s="163"/>
      <c r="F31" s="163"/>
      <c r="G31" s="163"/>
      <c r="H31" s="163"/>
      <c r="I31" s="164"/>
      <c r="K31" s="7"/>
      <c r="L31" s="24"/>
      <c r="M31" s="99" t="n">
        <v>11</v>
      </c>
      <c r="N31" s="110" t="n">
        <v>0</v>
      </c>
      <c r="O31" s="117"/>
      <c r="P31" s="117"/>
      <c r="Q31" s="117"/>
      <c r="R31" s="27"/>
      <c r="S31" s="7"/>
      <c r="U31" s="20"/>
      <c r="V31" s="99" t="n">
        <v>12</v>
      </c>
      <c r="W31" s="159" t="n">
        <v>0</v>
      </c>
      <c r="X31" s="160" t="n">
        <v>0</v>
      </c>
      <c r="Y31" s="116"/>
      <c r="Z31" s="117"/>
      <c r="AA31" s="117"/>
      <c r="AB31" s="82"/>
      <c r="AC31" s="48"/>
      <c r="AE31" s="24"/>
      <c r="AF31" s="126" t="s">
        <v>153</v>
      </c>
      <c r="AG31" s="71"/>
      <c r="AH31" s="71"/>
      <c r="AI31" s="124" t="s">
        <v>121</v>
      </c>
      <c r="AJ31" s="73"/>
      <c r="AK31" s="27"/>
      <c r="AN31" s="24"/>
      <c r="AO31" s="67" t="s">
        <v>154</v>
      </c>
      <c r="AP31" s="71"/>
      <c r="AQ31" s="71"/>
      <c r="AR31" s="146"/>
      <c r="AS31" s="73"/>
      <c r="AT31" s="27"/>
      <c r="AW31" s="24"/>
      <c r="AX31" s="67" t="s">
        <v>155</v>
      </c>
      <c r="AY31" s="165"/>
      <c r="AZ31" s="166"/>
      <c r="BA31" s="167" t="n">
        <v>0.05</v>
      </c>
      <c r="BB31" s="73"/>
      <c r="BC31" s="27"/>
    </row>
    <row r="32" customFormat="false" ht="17" hidden="false" customHeight="false" outlineLevel="0" collapsed="false">
      <c r="A32" s="135"/>
      <c r="K32" s="7"/>
      <c r="L32" s="24"/>
      <c r="M32" s="99" t="n">
        <v>12</v>
      </c>
      <c r="N32" s="110" t="n">
        <v>0</v>
      </c>
      <c r="O32" s="117"/>
      <c r="P32" s="117"/>
      <c r="Q32" s="117"/>
      <c r="R32" s="27"/>
      <c r="S32" s="7"/>
      <c r="U32" s="20"/>
      <c r="V32" s="99" t="n">
        <v>13</v>
      </c>
      <c r="W32" s="159" t="n">
        <v>0</v>
      </c>
      <c r="X32" s="160" t="n">
        <v>0</v>
      </c>
      <c r="Y32" s="116"/>
      <c r="Z32" s="117"/>
      <c r="AA32" s="117"/>
      <c r="AB32" s="82"/>
      <c r="AC32" s="48"/>
      <c r="AE32" s="24"/>
      <c r="AF32" s="129"/>
      <c r="AG32" s="71" t="s">
        <v>156</v>
      </c>
      <c r="AH32" s="71"/>
      <c r="AI32" s="120" t="n">
        <v>1.35</v>
      </c>
      <c r="AJ32" s="73"/>
      <c r="AK32" s="27"/>
      <c r="AN32" s="24"/>
      <c r="AO32" s="67"/>
      <c r="AP32" s="71" t="s">
        <v>130</v>
      </c>
      <c r="AQ32" s="71"/>
      <c r="AR32" s="168" t="n">
        <v>12.75</v>
      </c>
      <c r="AS32" s="73"/>
      <c r="AT32" s="27"/>
      <c r="AW32" s="24"/>
      <c r="AX32" s="67" t="s">
        <v>157</v>
      </c>
      <c r="AY32" s="165"/>
      <c r="AZ32" s="166"/>
      <c r="BA32" s="167" t="n">
        <v>0.02</v>
      </c>
      <c r="BB32" s="73"/>
      <c r="BC32" s="27"/>
    </row>
    <row r="33" customFormat="false" ht="16" hidden="false" customHeight="false" outlineLevel="0" collapsed="false">
      <c r="A33" s="87" t="s">
        <v>158</v>
      </c>
      <c r="K33" s="7"/>
      <c r="L33" s="24"/>
      <c r="M33" s="99" t="n">
        <v>13</v>
      </c>
      <c r="N33" s="110" t="n">
        <v>0</v>
      </c>
      <c r="O33" s="117"/>
      <c r="P33" s="117"/>
      <c r="Q33" s="117"/>
      <c r="R33" s="27"/>
      <c r="S33" s="7"/>
      <c r="U33" s="20"/>
      <c r="V33" s="99" t="n">
        <v>14</v>
      </c>
      <c r="W33" s="159" t="n">
        <v>0</v>
      </c>
      <c r="X33" s="160" t="n">
        <v>0</v>
      </c>
      <c r="Y33" s="116"/>
      <c r="Z33" s="117"/>
      <c r="AA33" s="117"/>
      <c r="AB33" s="82"/>
      <c r="AC33" s="48"/>
      <c r="AE33" s="24"/>
      <c r="AF33" s="129"/>
      <c r="AG33" s="71" t="s">
        <v>159</v>
      </c>
      <c r="AH33" s="71"/>
      <c r="AI33" s="169" t="n">
        <v>160</v>
      </c>
      <c r="AJ33" s="73"/>
      <c r="AK33" s="27"/>
      <c r="AN33" s="24"/>
      <c r="AO33" s="67"/>
      <c r="AP33" s="71" t="s">
        <v>132</v>
      </c>
      <c r="AQ33" s="71"/>
      <c r="AR33" s="168" t="n">
        <v>33.41</v>
      </c>
      <c r="AS33" s="73"/>
      <c r="AT33" s="27"/>
      <c r="AW33" s="24"/>
      <c r="AX33" s="67" t="s">
        <v>160</v>
      </c>
      <c r="AY33" s="71"/>
      <c r="AZ33" s="71"/>
      <c r="BA33" s="146"/>
      <c r="BB33" s="73"/>
      <c r="BC33" s="27"/>
    </row>
    <row r="34" customFormat="false" ht="16" hidden="false" customHeight="false" outlineLevel="0" collapsed="false">
      <c r="A34" s="91" t="s">
        <v>161</v>
      </c>
      <c r="K34" s="7"/>
      <c r="L34" s="24"/>
      <c r="M34" s="99" t="n">
        <v>14</v>
      </c>
      <c r="N34" s="110" t="n">
        <v>0</v>
      </c>
      <c r="O34" s="117"/>
      <c r="P34" s="117"/>
      <c r="Q34" s="117"/>
      <c r="R34" s="27"/>
      <c r="S34" s="7"/>
      <c r="U34" s="20"/>
      <c r="V34" s="99" t="n">
        <v>15</v>
      </c>
      <c r="W34" s="159" t="n">
        <v>0</v>
      </c>
      <c r="X34" s="160" t="n">
        <v>0</v>
      </c>
      <c r="Y34" s="116"/>
      <c r="Z34" s="117"/>
      <c r="AA34" s="117"/>
      <c r="AB34" s="82"/>
      <c r="AC34" s="48"/>
      <c r="AE34" s="24"/>
      <c r="AF34" s="129"/>
      <c r="AG34" s="71" t="s">
        <v>162</v>
      </c>
      <c r="AH34" s="71"/>
      <c r="AI34" s="170" t="n">
        <v>30</v>
      </c>
      <c r="AJ34" s="73"/>
      <c r="AK34" s="27"/>
      <c r="AN34" s="24"/>
      <c r="AO34" s="129"/>
      <c r="AP34" s="71" t="s">
        <v>163</v>
      </c>
      <c r="AQ34" s="71"/>
      <c r="AR34" s="168" t="n">
        <v>12.75</v>
      </c>
      <c r="AS34" s="73"/>
      <c r="AT34" s="27"/>
      <c r="AW34" s="24"/>
      <c r="AX34" s="171"/>
      <c r="AY34" s="71" t="s">
        <v>164</v>
      </c>
      <c r="AZ34" s="71"/>
      <c r="BA34" s="169" t="n">
        <v>1768</v>
      </c>
      <c r="BB34" s="73"/>
      <c r="BC34" s="27"/>
    </row>
    <row r="35" customFormat="false" ht="16" hidden="false" customHeight="false" outlineLevel="0" collapsed="false">
      <c r="A35" s="91" t="s">
        <v>165</v>
      </c>
      <c r="K35" s="7"/>
      <c r="L35" s="24"/>
      <c r="M35" s="99" t="n">
        <v>15</v>
      </c>
      <c r="N35" s="110" t="n">
        <v>0</v>
      </c>
      <c r="O35" s="117"/>
      <c r="P35" s="117"/>
      <c r="Q35" s="117"/>
      <c r="R35" s="27"/>
      <c r="S35" s="7"/>
      <c r="U35" s="20"/>
      <c r="V35" s="99" t="n">
        <v>16</v>
      </c>
      <c r="W35" s="159" t="n">
        <v>0</v>
      </c>
      <c r="X35" s="160" t="n">
        <v>0</v>
      </c>
      <c r="Y35" s="116"/>
      <c r="Z35" s="117"/>
      <c r="AA35" s="117"/>
      <c r="AB35" s="82"/>
      <c r="AC35" s="48"/>
      <c r="AE35" s="24"/>
      <c r="AF35" s="129"/>
      <c r="AG35" s="71" t="s">
        <v>166</v>
      </c>
      <c r="AH35" s="71"/>
      <c r="AI35" s="170" t="n">
        <v>20</v>
      </c>
      <c r="AJ35" s="73"/>
      <c r="AK35" s="27"/>
      <c r="AN35" s="24"/>
      <c r="AO35" s="140"/>
      <c r="AP35" s="141"/>
      <c r="AQ35" s="141"/>
      <c r="AR35" s="142"/>
      <c r="AS35" s="143"/>
      <c r="AT35" s="27"/>
      <c r="AW35" s="24"/>
      <c r="AX35" s="171"/>
      <c r="AY35" s="71" t="s">
        <v>167</v>
      </c>
      <c r="AZ35" s="71"/>
      <c r="BA35" s="172" t="n">
        <v>0.11</v>
      </c>
      <c r="BB35" s="73"/>
      <c r="BC35" s="27"/>
    </row>
    <row r="36" customFormat="false" ht="17" hidden="false" customHeight="false" outlineLevel="0" collapsed="false">
      <c r="A36" s="135"/>
      <c r="K36" s="7"/>
      <c r="L36" s="24"/>
      <c r="M36" s="99" t="n">
        <v>16</v>
      </c>
      <c r="N36" s="110" t="n">
        <v>0</v>
      </c>
      <c r="O36" s="117"/>
      <c r="P36" s="117"/>
      <c r="Q36" s="117"/>
      <c r="R36" s="27"/>
      <c r="S36" s="7"/>
      <c r="U36" s="20"/>
      <c r="V36" s="99" t="n">
        <v>17</v>
      </c>
      <c r="W36" s="159" t="n">
        <v>0</v>
      </c>
      <c r="X36" s="160" t="n">
        <v>0</v>
      </c>
      <c r="Y36" s="116"/>
      <c r="Z36" s="117"/>
      <c r="AA36" s="117"/>
      <c r="AB36" s="82"/>
      <c r="AC36" s="48"/>
      <c r="AE36" s="24"/>
      <c r="AF36" s="126" t="s">
        <v>168</v>
      </c>
      <c r="AG36" s="71"/>
      <c r="AH36" s="71"/>
      <c r="AI36" s="124" t="s">
        <v>121</v>
      </c>
      <c r="AJ36" s="73"/>
      <c r="AK36" s="27"/>
      <c r="AN36" s="173"/>
      <c r="AO36" s="174"/>
      <c r="AP36" s="174"/>
      <c r="AQ36" s="174"/>
      <c r="AR36" s="174"/>
      <c r="AS36" s="174"/>
      <c r="AT36" s="175"/>
      <c r="AW36" s="24"/>
      <c r="AX36" s="171"/>
      <c r="AY36" s="71" t="s">
        <v>169</v>
      </c>
      <c r="AZ36" s="71"/>
      <c r="BA36" s="172" t="n">
        <v>61.5</v>
      </c>
      <c r="BB36" s="73"/>
      <c r="BC36" s="27"/>
    </row>
    <row r="37" customFormat="false" ht="18" hidden="false" customHeight="false" outlineLevel="0" collapsed="false">
      <c r="A37" s="176"/>
      <c r="K37" s="7"/>
      <c r="L37" s="24"/>
      <c r="M37" s="99" t="n">
        <v>17</v>
      </c>
      <c r="N37" s="110" t="n">
        <v>0</v>
      </c>
      <c r="O37" s="117"/>
      <c r="P37" s="117"/>
      <c r="Q37" s="117"/>
      <c r="R37" s="27"/>
      <c r="S37" s="7"/>
      <c r="U37" s="20"/>
      <c r="V37" s="99" t="n">
        <v>18</v>
      </c>
      <c r="W37" s="159" t="n">
        <v>0</v>
      </c>
      <c r="X37" s="160" t="n">
        <v>0</v>
      </c>
      <c r="Y37" s="116"/>
      <c r="Z37" s="117"/>
      <c r="AA37" s="117"/>
      <c r="AB37" s="82"/>
      <c r="AC37" s="48"/>
      <c r="AE37" s="24"/>
      <c r="AF37" s="67"/>
      <c r="AG37" s="71" t="s">
        <v>156</v>
      </c>
      <c r="AH37" s="71"/>
      <c r="AI37" s="120" t="n">
        <v>1.35</v>
      </c>
      <c r="AJ37" s="73"/>
      <c r="AK37" s="27"/>
      <c r="AW37" s="24"/>
      <c r="AX37" s="171"/>
      <c r="AY37" s="71" t="s">
        <v>170</v>
      </c>
      <c r="AZ37" s="71"/>
      <c r="BA37" s="170" t="n">
        <v>65000</v>
      </c>
      <c r="BB37" s="73"/>
      <c r="BC37" s="177"/>
    </row>
    <row r="38" customFormat="false" ht="17" hidden="false" customHeight="false" outlineLevel="0" collapsed="false">
      <c r="K38" s="7"/>
      <c r="L38" s="24"/>
      <c r="M38" s="99" t="n">
        <v>18</v>
      </c>
      <c r="N38" s="110" t="n">
        <v>0</v>
      </c>
      <c r="O38" s="117"/>
      <c r="P38" s="117"/>
      <c r="Q38" s="117"/>
      <c r="R38" s="27"/>
      <c r="S38" s="7"/>
      <c r="U38" s="20"/>
      <c r="V38" s="99" t="n">
        <v>19</v>
      </c>
      <c r="W38" s="159" t="n">
        <v>0</v>
      </c>
      <c r="X38" s="160" t="n">
        <v>0</v>
      </c>
      <c r="Y38" s="116"/>
      <c r="Z38" s="117"/>
      <c r="AA38" s="117"/>
      <c r="AB38" s="82"/>
      <c r="AC38" s="48"/>
      <c r="AE38" s="24"/>
      <c r="AF38" s="67"/>
      <c r="AG38" s="71" t="s">
        <v>159</v>
      </c>
      <c r="AH38" s="71"/>
      <c r="AI38" s="169" t="n">
        <v>160</v>
      </c>
      <c r="AJ38" s="73"/>
      <c r="AK38" s="27"/>
      <c r="AW38" s="24"/>
      <c r="AX38" s="140"/>
      <c r="AY38" s="141"/>
      <c r="AZ38" s="141"/>
      <c r="BA38" s="178"/>
      <c r="BB38" s="143"/>
      <c r="BC38" s="27"/>
    </row>
    <row r="39" customFormat="false" ht="17" hidden="false" customHeight="false" outlineLevel="0" collapsed="false">
      <c r="K39" s="7"/>
      <c r="L39" s="24"/>
      <c r="M39" s="99" t="n">
        <v>19</v>
      </c>
      <c r="N39" s="110" t="n">
        <v>0</v>
      </c>
      <c r="O39" s="117"/>
      <c r="P39" s="117"/>
      <c r="Q39" s="117"/>
      <c r="R39" s="27"/>
      <c r="S39" s="7"/>
      <c r="U39" s="20"/>
      <c r="V39" s="179" t="n">
        <v>20</v>
      </c>
      <c r="W39" s="180" t="n">
        <v>0</v>
      </c>
      <c r="X39" s="181" t="n">
        <v>0</v>
      </c>
      <c r="Y39" s="182"/>
      <c r="Z39" s="183"/>
      <c r="AA39" s="183"/>
      <c r="AB39" s="82"/>
      <c r="AC39" s="48"/>
      <c r="AE39" s="24"/>
      <c r="AF39" s="129"/>
      <c r="AG39" s="71" t="s">
        <v>162</v>
      </c>
      <c r="AH39" s="71"/>
      <c r="AI39" s="170" t="n">
        <v>0</v>
      </c>
      <c r="AJ39" s="73"/>
      <c r="AK39" s="27"/>
      <c r="AW39" s="173"/>
      <c r="AX39" s="184"/>
      <c r="AY39" s="184"/>
      <c r="AZ39" s="184"/>
      <c r="BA39" s="184"/>
      <c r="BB39" s="184"/>
      <c r="BC39" s="175"/>
      <c r="BD39" s="48"/>
    </row>
    <row r="40" customFormat="false" ht="18" hidden="false" customHeight="false" outlineLevel="0" collapsed="false">
      <c r="K40" s="7"/>
      <c r="L40" s="24"/>
      <c r="M40" s="179" t="n">
        <v>20</v>
      </c>
      <c r="N40" s="185" t="n">
        <v>0</v>
      </c>
      <c r="O40" s="183"/>
      <c r="P40" s="183"/>
      <c r="Q40" s="183"/>
      <c r="R40" s="27"/>
      <c r="S40" s="7"/>
      <c r="U40" s="186"/>
      <c r="V40" s="174"/>
      <c r="W40" s="174"/>
      <c r="X40" s="174"/>
      <c r="Y40" s="174"/>
      <c r="Z40" s="174"/>
      <c r="AA40" s="174"/>
      <c r="AB40" s="187"/>
      <c r="AE40" s="24"/>
      <c r="AF40" s="67"/>
      <c r="AG40" s="71" t="s">
        <v>166</v>
      </c>
      <c r="AH40" s="71"/>
      <c r="AI40" s="170" t="n">
        <v>20</v>
      </c>
      <c r="AJ40" s="73"/>
      <c r="AK40" s="27"/>
      <c r="AW40" s="26"/>
      <c r="AX40" s="1"/>
      <c r="AY40" s="1"/>
      <c r="AZ40" s="1"/>
      <c r="BA40" s="1"/>
      <c r="BB40" s="1"/>
      <c r="BC40" s="26"/>
      <c r="BD40" s="48"/>
    </row>
    <row r="41" customFormat="false" ht="13.75" hidden="false" customHeight="true" outlineLevel="0" collapsed="false">
      <c r="L41" s="173"/>
      <c r="M41" s="188"/>
      <c r="N41" s="189"/>
      <c r="O41" s="190"/>
      <c r="P41" s="190"/>
      <c r="Q41" s="190"/>
      <c r="R41" s="175"/>
      <c r="AE41" s="24"/>
      <c r="AF41" s="140"/>
      <c r="AG41" s="141"/>
      <c r="AH41" s="141"/>
      <c r="AI41" s="142"/>
      <c r="AJ41" s="143"/>
      <c r="AK41" s="27"/>
      <c r="AW41" s="26"/>
      <c r="AX41" s="1"/>
      <c r="AY41" s="1"/>
      <c r="AZ41" s="1"/>
      <c r="BA41" s="1"/>
      <c r="BB41" s="1"/>
      <c r="BC41" s="26"/>
    </row>
    <row r="42" customFormat="false" ht="15" hidden="false" customHeight="false" outlineLevel="0" collapsed="false">
      <c r="L42" s="26"/>
      <c r="M42" s="191"/>
      <c r="N42" s="192"/>
      <c r="O42" s="193"/>
      <c r="P42" s="193"/>
      <c r="Q42" s="193"/>
      <c r="R42" s="26"/>
      <c r="AE42" s="186"/>
      <c r="AF42" s="174"/>
      <c r="AG42" s="174"/>
      <c r="AH42" s="174"/>
      <c r="AI42" s="174"/>
      <c r="AJ42" s="174"/>
      <c r="AK42" s="187"/>
      <c r="AW42" s="48"/>
    </row>
    <row r="43" customFormat="false" ht="14" hidden="false" customHeight="false" outlineLevel="0" collapsed="false">
      <c r="L43" s="26"/>
      <c r="M43" s="26"/>
      <c r="N43" s="26"/>
      <c r="O43" s="26"/>
      <c r="P43" s="26"/>
      <c r="Q43" s="26"/>
      <c r="R43" s="26"/>
      <c r="AF43" s="1"/>
      <c r="AG43" s="1"/>
      <c r="AH43" s="1"/>
      <c r="AI43" s="1"/>
      <c r="AJ43" s="1"/>
      <c r="AW43" s="48"/>
    </row>
    <row r="44" customFormat="false" ht="13" hidden="false" customHeight="false" outlineLevel="0" collapsed="false">
      <c r="L44" s="7"/>
      <c r="M44" s="7"/>
      <c r="N44" s="7"/>
      <c r="O44" s="7"/>
      <c r="P44" s="7"/>
      <c r="Q44" s="7"/>
      <c r="R44" s="7"/>
      <c r="AW44" s="48"/>
    </row>
  </sheetData>
  <mergeCells count="33">
    <mergeCell ref="N2:R2"/>
    <mergeCell ref="W2:AA2"/>
    <mergeCell ref="D4:I4"/>
    <mergeCell ref="M4:R4"/>
    <mergeCell ref="AF4:AK4"/>
    <mergeCell ref="AO4:AT4"/>
    <mergeCell ref="AX4:BC4"/>
    <mergeCell ref="D5:I5"/>
    <mergeCell ref="M5:R5"/>
    <mergeCell ref="AO5:AT5"/>
    <mergeCell ref="AF7:AK7"/>
    <mergeCell ref="D9:I9"/>
    <mergeCell ref="M9:R9"/>
    <mergeCell ref="D10:I10"/>
    <mergeCell ref="M10:R10"/>
    <mergeCell ref="AO10:AT10"/>
    <mergeCell ref="M11:R11"/>
    <mergeCell ref="M12:R12"/>
    <mergeCell ref="AF12:AK12"/>
    <mergeCell ref="D13:I13"/>
    <mergeCell ref="AF13:AK13"/>
    <mergeCell ref="AO13:AT13"/>
    <mergeCell ref="D14:I14"/>
    <mergeCell ref="AF14:AK14"/>
    <mergeCell ref="D16:I16"/>
    <mergeCell ref="D17:I17"/>
    <mergeCell ref="M17:R17"/>
    <mergeCell ref="V17:V18"/>
    <mergeCell ref="W17:W18"/>
    <mergeCell ref="X17:AA17"/>
    <mergeCell ref="M18:M19"/>
    <mergeCell ref="N18:N19"/>
    <mergeCell ref="O18:Q1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9"/>
  <sheetViews>
    <sheetView showFormulas="false" showGridLines="true" showRowColHeaders="true" showZeros="true" rightToLeft="false" tabSelected="false" showOutlineSymbols="true" defaultGridColor="true" view="normal" topLeftCell="BR1" colorId="64" zoomScale="75" zoomScaleNormal="75" zoomScalePageLayoutView="100" workbookViewId="0">
      <selection pane="topLeft" activeCell="A1" activeCellId="0" sqref="A1"/>
    </sheetView>
  </sheetViews>
  <sheetFormatPr defaultColWidth="8.82421875" defaultRowHeight="12" customHeight="false" zeroHeight="false" outlineLevelRow="0" outlineLevelCol="0"/>
  <cols>
    <col collapsed="false" customWidth="true" hidden="false" outlineLevel="0" max="1" min="1" style="2" width="7.32"/>
    <col collapsed="false" customWidth="true" hidden="false" outlineLevel="0" max="2" min="2" style="0" width="7.5"/>
    <col collapsed="false" customWidth="true" hidden="false" outlineLevel="0" max="5" min="5" style="0" width="14.99"/>
    <col collapsed="false" customWidth="true" hidden="false" outlineLevel="0" max="6" min="6" style="0" width="13.49"/>
    <col collapsed="false" customWidth="true" hidden="false" outlineLevel="0" max="7" min="7" style="0" width="10.99"/>
    <col collapsed="false" customWidth="true" hidden="false" outlineLevel="0" max="8" min="8" style="0" width="8.49"/>
    <col collapsed="false" customWidth="true" hidden="false" outlineLevel="0" max="9" min="9" style="0" width="7.99"/>
    <col collapsed="false" customWidth="true" hidden="false" outlineLevel="0" max="10" min="10" style="2" width="6.5"/>
    <col collapsed="false" customWidth="true" hidden="false" outlineLevel="0" max="11" min="11" style="0" width="7.32"/>
    <col collapsed="false" customWidth="true" hidden="false" outlineLevel="0" max="13" min="13" style="0" width="11.32"/>
    <col collapsed="false" customWidth="true" hidden="false" outlineLevel="0" max="14" min="14" style="0" width="13.99"/>
    <col collapsed="false" customWidth="true" hidden="false" outlineLevel="0" max="15" min="15" style="0" width="12.15"/>
    <col collapsed="false" customWidth="true" hidden="false" outlineLevel="0" max="16" min="16" style="0" width="13.82"/>
    <col collapsed="false" customWidth="true" hidden="false" outlineLevel="0" max="17" min="17" style="0" width="7.16"/>
    <col collapsed="false" customWidth="true" hidden="false" outlineLevel="0" max="18" min="18" style="0" width="6.5"/>
    <col collapsed="false" customWidth="true" hidden="false" outlineLevel="0" max="19" min="19" style="0" width="5.99"/>
    <col collapsed="false" customWidth="true" hidden="false" outlineLevel="0" max="20" min="20" style="0" width="7.32"/>
    <col collapsed="false" customWidth="true" hidden="false" outlineLevel="0" max="21" min="21" style="0" width="8.49"/>
    <col collapsed="false" customWidth="true" hidden="false" outlineLevel="0" max="22" min="22" style="0" width="13.33"/>
    <col collapsed="false" customWidth="true" hidden="false" outlineLevel="0" max="23" min="23" style="0" width="14.49"/>
    <col collapsed="false" customWidth="true" hidden="false" outlineLevel="0" max="24" min="24" style="0" width="11.15"/>
    <col collapsed="false" customWidth="true" hidden="false" outlineLevel="0" max="25" min="25" style="0" width="14.15"/>
    <col collapsed="false" customWidth="true" hidden="false" outlineLevel="0" max="26" min="26" style="0" width="7.5"/>
    <col collapsed="false" customWidth="true" hidden="false" outlineLevel="0" max="27" min="27" style="0" width="6.32"/>
    <col collapsed="false" customWidth="true" hidden="false" outlineLevel="0" max="28" min="28" style="0" width="3.32"/>
    <col collapsed="false" customWidth="true" hidden="false" outlineLevel="0" max="29" min="29" style="0" width="6.99"/>
    <col collapsed="false" customWidth="true" hidden="false" outlineLevel="0" max="31" min="31" style="0" width="12.15"/>
    <col collapsed="false" customWidth="true" hidden="false" outlineLevel="0" max="32" min="32" style="0" width="13.82"/>
    <col collapsed="false" customWidth="true" hidden="false" outlineLevel="0" max="33" min="33" style="0" width="21.5"/>
    <col collapsed="false" customWidth="true" hidden="false" outlineLevel="0" max="34" min="34" style="0" width="11.32"/>
    <col collapsed="false" customWidth="true" hidden="false" outlineLevel="0" max="36" min="36" style="0" width="3.15"/>
    <col collapsed="false" customWidth="true" hidden="false" outlineLevel="0" max="37" min="37" style="0" width="3.49"/>
    <col collapsed="false" customWidth="true" hidden="false" outlineLevel="0" max="38" min="38" style="0" width="3.82"/>
    <col collapsed="false" customWidth="true" hidden="false" outlineLevel="0" max="39" min="39" style="0" width="6.32"/>
    <col collapsed="false" customWidth="true" hidden="false" outlineLevel="0" max="40" min="40" style="0" width="12.15"/>
    <col collapsed="false" customWidth="true" hidden="false" outlineLevel="0" max="41" min="41" style="48" width="16.99"/>
    <col collapsed="false" customWidth="true" hidden="false" outlineLevel="0" max="42" min="42" style="48" width="10.5"/>
    <col collapsed="false" customWidth="true" hidden="false" outlineLevel="0" max="43" min="43" style="0" width="21.82"/>
    <col collapsed="false" customWidth="true" hidden="false" outlineLevel="0" max="44" min="44" style="0" width="8.99"/>
    <col collapsed="false" customWidth="true" hidden="false" outlineLevel="0" max="45" min="45" style="0" width="2.99"/>
    <col collapsed="false" customWidth="true" hidden="false" outlineLevel="0" max="46" min="46" style="0" width="3.32"/>
    <col collapsed="false" customWidth="true" hidden="false" outlineLevel="0" max="47" min="47" style="0" width="4.99"/>
    <col collapsed="false" customWidth="true" hidden="false" outlineLevel="0" max="48" min="48" style="0" width="3.82"/>
    <col collapsed="false" customWidth="true" hidden="false" outlineLevel="0" max="49" min="49" style="0" width="5.82"/>
    <col collapsed="false" customWidth="true" hidden="false" outlineLevel="0" max="50" min="50" style="0" width="7.99"/>
    <col collapsed="false" customWidth="true" hidden="false" outlineLevel="0" max="51" min="51" style="0" width="33.49"/>
    <col collapsed="false" customWidth="true" hidden="false" outlineLevel="0" max="52" min="52" style="0" width="15.82"/>
    <col collapsed="false" customWidth="true" hidden="false" outlineLevel="0" max="53" min="53" style="0" width="5.66"/>
    <col collapsed="false" customWidth="true" hidden="false" outlineLevel="0" max="54" min="54" style="0" width="7.16"/>
    <col collapsed="false" customWidth="true" hidden="false" outlineLevel="0" max="55" min="55" style="0" width="4.49"/>
    <col collapsed="false" customWidth="true" hidden="false" outlineLevel="0" max="56" min="56" style="0" width="4.82"/>
    <col collapsed="false" customWidth="true" hidden="false" outlineLevel="0" max="58" min="57" style="0" width="4.66"/>
    <col collapsed="false" customWidth="true" hidden="false" outlineLevel="0" max="59" min="59" style="0" width="5.5"/>
    <col collapsed="false" customWidth="true" hidden="false" outlineLevel="0" max="60" min="60" style="0" width="6.66"/>
    <col collapsed="false" customWidth="true" hidden="false" outlineLevel="0" max="61" min="61" style="0" width="7.5"/>
    <col collapsed="false" customWidth="true" hidden="false" outlineLevel="0" max="62" min="62" style="0" width="6.5"/>
    <col collapsed="false" customWidth="true" hidden="false" outlineLevel="0" max="63" min="63" style="0" width="7.82"/>
    <col collapsed="false" customWidth="true" hidden="false" outlineLevel="0" max="64" min="64" style="0" width="15.15"/>
    <col collapsed="false" customWidth="true" hidden="false" outlineLevel="0" max="65" min="65" style="0" width="12.82"/>
    <col collapsed="false" customWidth="true" hidden="false" outlineLevel="0" max="66" min="66" style="0" width="5.15"/>
    <col collapsed="false" customWidth="true" hidden="false" outlineLevel="0" max="68" min="67" style="0" width="4.82"/>
    <col collapsed="false" customWidth="true" hidden="false" outlineLevel="0" max="69" min="69" style="0" width="3.32"/>
    <col collapsed="false" customWidth="true" hidden="false" outlineLevel="0" max="70" min="70" style="0" width="7.32"/>
    <col collapsed="false" customWidth="true" hidden="false" outlineLevel="0" max="72" min="72" style="0" width="13.33"/>
    <col collapsed="false" customWidth="true" hidden="false" outlineLevel="0" max="73" min="73" style="0" width="23.99"/>
    <col collapsed="false" customWidth="true" hidden="false" outlineLevel="0" max="74" min="74" style="0" width="11.66"/>
    <col collapsed="false" customWidth="true" hidden="false" outlineLevel="0" max="75" min="75" style="0" width="8.49"/>
    <col collapsed="false" customWidth="true" hidden="false" outlineLevel="0" max="76" min="76" style="0" width="7.82"/>
    <col collapsed="false" customWidth="true" hidden="false" outlineLevel="0" max="77" min="77" style="0" width="3.49"/>
  </cols>
  <sheetData>
    <row r="1" customFormat="false" ht="14" hidden="false" customHeight="false" outlineLevel="0" collapsed="false">
      <c r="B1" s="4"/>
      <c r="C1" s="5"/>
      <c r="D1" s="5"/>
      <c r="E1" s="5"/>
      <c r="F1" s="5"/>
      <c r="G1" s="5"/>
      <c r="H1" s="6"/>
      <c r="K1" s="4"/>
      <c r="L1" s="5"/>
      <c r="M1" s="5"/>
      <c r="N1" s="5"/>
      <c r="O1" s="5"/>
      <c r="P1" s="5"/>
      <c r="Q1" s="6"/>
      <c r="T1" s="4"/>
      <c r="U1" s="5"/>
      <c r="V1" s="5"/>
      <c r="W1" s="5"/>
      <c r="X1" s="5"/>
      <c r="Y1" s="5"/>
      <c r="Z1" s="6"/>
      <c r="AA1" s="9"/>
      <c r="AB1" s="7"/>
      <c r="AC1" s="4"/>
      <c r="AD1" s="5"/>
      <c r="AE1" s="5"/>
      <c r="AF1" s="5"/>
      <c r="AG1" s="5"/>
      <c r="AH1" s="5"/>
      <c r="AI1" s="8"/>
      <c r="AJ1" s="7"/>
      <c r="AL1" s="4"/>
      <c r="AM1" s="5"/>
      <c r="AN1" s="5"/>
      <c r="AO1" s="5"/>
      <c r="AP1" s="5"/>
      <c r="AQ1" s="5"/>
      <c r="AR1" s="5"/>
      <c r="AS1" s="8"/>
      <c r="AT1" s="9"/>
      <c r="AV1" s="10"/>
      <c r="AW1" s="11"/>
      <c r="AX1" s="11"/>
      <c r="AY1" s="11"/>
      <c r="AZ1" s="11"/>
      <c r="BA1" s="11"/>
      <c r="BB1" s="12"/>
      <c r="BE1" s="4"/>
      <c r="BF1" s="5"/>
      <c r="BG1" s="5"/>
      <c r="BH1" s="5"/>
      <c r="BI1" s="5"/>
      <c r="BJ1" s="5"/>
      <c r="BK1" s="5"/>
      <c r="BL1" s="5"/>
      <c r="BM1" s="5"/>
      <c r="BN1" s="5"/>
      <c r="BO1" s="6"/>
      <c r="BR1" s="10"/>
      <c r="BS1" s="11"/>
      <c r="BT1" s="11"/>
      <c r="BU1" s="11"/>
      <c r="BV1" s="11"/>
      <c r="BW1" s="11"/>
      <c r="BX1" s="12"/>
    </row>
    <row r="2" customFormat="false" ht="18" hidden="false" customHeight="false" outlineLevel="0" collapsed="false">
      <c r="B2" s="14"/>
      <c r="C2" s="17" t="s">
        <v>171</v>
      </c>
      <c r="D2" s="25" t="s">
        <v>172</v>
      </c>
      <c r="E2" s="17"/>
      <c r="F2" s="26"/>
      <c r="G2" s="18"/>
      <c r="H2" s="19"/>
      <c r="K2" s="14"/>
      <c r="L2" s="17" t="s">
        <v>173</v>
      </c>
      <c r="M2" s="25" t="s">
        <v>174</v>
      </c>
      <c r="N2" s="17"/>
      <c r="O2" s="17"/>
      <c r="P2" s="17"/>
      <c r="Q2" s="22"/>
      <c r="T2" s="14"/>
      <c r="U2" s="17" t="s">
        <v>175</v>
      </c>
      <c r="V2" s="25" t="s">
        <v>176</v>
      </c>
      <c r="W2" s="17"/>
      <c r="X2" s="17"/>
      <c r="Y2" s="17"/>
      <c r="Z2" s="22"/>
      <c r="AA2" s="23"/>
      <c r="AB2" s="7"/>
      <c r="AC2" s="14"/>
      <c r="AD2" s="17" t="s">
        <v>3</v>
      </c>
      <c r="AE2" s="22" t="s">
        <v>4</v>
      </c>
      <c r="AF2" s="22"/>
      <c r="AG2" s="22"/>
      <c r="AH2" s="22"/>
      <c r="AI2" s="22"/>
      <c r="AJ2" s="7"/>
      <c r="AL2" s="14"/>
      <c r="AM2" s="17" t="s">
        <v>3</v>
      </c>
      <c r="AN2" s="17" t="s">
        <v>177</v>
      </c>
      <c r="AO2" s="17"/>
      <c r="AP2" s="17"/>
      <c r="AQ2" s="17"/>
      <c r="AR2" s="17"/>
      <c r="AS2" s="22"/>
      <c r="AT2" s="23"/>
      <c r="AV2" s="24"/>
      <c r="AW2" s="15" t="s">
        <v>7</v>
      </c>
      <c r="AX2" s="25" t="s">
        <v>178</v>
      </c>
      <c r="AY2" s="17"/>
      <c r="AZ2" s="26"/>
      <c r="BA2" s="18"/>
      <c r="BB2" s="27"/>
      <c r="BE2" s="14"/>
      <c r="BF2" s="15" t="s">
        <v>9</v>
      </c>
      <c r="BG2" s="16"/>
      <c r="BH2" s="194"/>
      <c r="BI2" s="194" t="s">
        <v>179</v>
      </c>
      <c r="BJ2" s="18"/>
      <c r="BK2" s="18"/>
      <c r="BL2" s="18"/>
      <c r="BM2" s="18"/>
      <c r="BN2" s="18"/>
      <c r="BO2" s="19"/>
      <c r="BR2" s="24"/>
      <c r="BS2" s="15" t="s">
        <v>11</v>
      </c>
      <c r="BT2" s="25" t="s">
        <v>180</v>
      </c>
      <c r="BU2" s="17"/>
      <c r="BV2" s="26"/>
      <c r="BW2" s="18"/>
      <c r="BX2" s="27"/>
    </row>
    <row r="3" customFormat="false" ht="18" hidden="false" customHeight="false" outlineLevel="0" collapsed="false">
      <c r="B3" s="28" t="s">
        <v>14</v>
      </c>
      <c r="C3" s="29"/>
      <c r="D3" s="16"/>
      <c r="E3" s="30"/>
      <c r="F3" s="18"/>
      <c r="G3" s="18"/>
      <c r="H3" s="19"/>
      <c r="K3" s="28" t="s">
        <v>14</v>
      </c>
      <c r="L3" s="29"/>
      <c r="M3" s="16"/>
      <c r="N3" s="30"/>
      <c r="O3" s="18"/>
      <c r="P3" s="18"/>
      <c r="Q3" s="19"/>
      <c r="T3" s="28" t="s">
        <v>14</v>
      </c>
      <c r="U3" s="29"/>
      <c r="V3" s="16"/>
      <c r="W3" s="30"/>
      <c r="X3" s="18"/>
      <c r="Y3" s="18"/>
      <c r="Z3" s="19"/>
      <c r="AA3" s="23"/>
      <c r="AB3" s="7"/>
      <c r="AC3" s="28" t="s">
        <v>14</v>
      </c>
      <c r="AD3" s="29"/>
      <c r="AE3" s="16"/>
      <c r="AF3" s="30"/>
      <c r="AG3" s="18"/>
      <c r="AH3" s="18"/>
      <c r="AI3" s="31"/>
      <c r="AJ3" s="7"/>
      <c r="AL3" s="28" t="s">
        <v>14</v>
      </c>
      <c r="AM3" s="29"/>
      <c r="AN3" s="16"/>
      <c r="AO3" s="16"/>
      <c r="AP3" s="30"/>
      <c r="AQ3" s="18"/>
      <c r="AR3" s="18"/>
      <c r="AS3" s="31"/>
      <c r="AT3" s="23"/>
      <c r="AV3" s="28" t="s">
        <v>14</v>
      </c>
      <c r="AW3" s="29"/>
      <c r="AX3" s="16"/>
      <c r="AY3" s="30"/>
      <c r="AZ3" s="18"/>
      <c r="BA3" s="18"/>
      <c r="BB3" s="31"/>
      <c r="BE3" s="28" t="s">
        <v>14</v>
      </c>
      <c r="BF3" s="29"/>
      <c r="BG3" s="16"/>
      <c r="BH3" s="30"/>
      <c r="BI3" s="18"/>
      <c r="BJ3" s="18"/>
      <c r="BK3" s="18"/>
      <c r="BL3" s="18"/>
      <c r="BM3" s="18"/>
      <c r="BN3" s="18"/>
      <c r="BO3" s="19"/>
      <c r="BR3" s="28" t="s">
        <v>14</v>
      </c>
      <c r="BS3" s="29"/>
      <c r="BT3" s="16"/>
      <c r="BU3" s="30"/>
      <c r="BV3" s="18"/>
      <c r="BW3" s="18"/>
      <c r="BX3" s="31"/>
    </row>
    <row r="4" customFormat="false" ht="13" hidden="false" customHeight="false" outlineLevel="0" collapsed="false">
      <c r="A4" s="32"/>
      <c r="B4" s="36"/>
      <c r="C4" s="195" t="s">
        <v>181</v>
      </c>
      <c r="D4" s="195"/>
      <c r="E4" s="195"/>
      <c r="F4" s="195"/>
      <c r="G4" s="195"/>
      <c r="H4" s="195"/>
      <c r="J4" s="32"/>
      <c r="K4" s="33"/>
      <c r="L4" s="195" t="s">
        <v>181</v>
      </c>
      <c r="M4" s="195"/>
      <c r="N4" s="195"/>
      <c r="O4" s="195"/>
      <c r="P4" s="195"/>
      <c r="Q4" s="195"/>
      <c r="T4" s="33"/>
      <c r="U4" s="196" t="s">
        <v>181</v>
      </c>
      <c r="V4" s="196"/>
      <c r="W4" s="196"/>
      <c r="X4" s="196"/>
      <c r="Y4" s="196"/>
      <c r="Z4" s="195"/>
      <c r="AA4" s="35"/>
      <c r="AB4" s="7"/>
      <c r="AC4" s="28"/>
      <c r="AD4" s="195" t="s">
        <v>181</v>
      </c>
      <c r="AE4" s="195"/>
      <c r="AF4" s="195"/>
      <c r="AG4" s="195"/>
      <c r="AH4" s="195"/>
      <c r="AI4" s="195"/>
      <c r="AJ4" s="7"/>
      <c r="AL4" s="28"/>
      <c r="AM4" s="196" t="s">
        <v>181</v>
      </c>
      <c r="AN4" s="196"/>
      <c r="AO4" s="196"/>
      <c r="AP4" s="196"/>
      <c r="AQ4" s="196"/>
      <c r="AR4" s="196"/>
      <c r="AS4" s="195"/>
      <c r="AT4" s="35"/>
      <c r="AV4" s="36"/>
      <c r="AW4" s="35" t="s">
        <v>182</v>
      </c>
      <c r="AX4" s="35"/>
      <c r="AY4" s="35"/>
      <c r="AZ4" s="35"/>
      <c r="BA4" s="35"/>
      <c r="BB4" s="34"/>
      <c r="BE4" s="197"/>
      <c r="BF4" s="196" t="s">
        <v>181</v>
      </c>
      <c r="BG4" s="196"/>
      <c r="BH4" s="196"/>
      <c r="BI4" s="196"/>
      <c r="BJ4" s="196"/>
      <c r="BK4" s="196"/>
      <c r="BL4" s="196"/>
      <c r="BM4" s="196"/>
      <c r="BN4" s="196"/>
      <c r="BO4" s="195"/>
      <c r="BR4" s="28"/>
      <c r="BS4" s="35" t="s">
        <v>182</v>
      </c>
      <c r="BT4" s="35"/>
      <c r="BU4" s="35"/>
      <c r="BV4" s="35"/>
      <c r="BW4" s="35"/>
      <c r="BX4" s="34"/>
    </row>
    <row r="5" customFormat="false" ht="13" hidden="false" customHeight="false" outlineLevel="0" collapsed="false">
      <c r="A5" s="39"/>
      <c r="B5" s="33"/>
      <c r="C5" s="34" t="s">
        <v>183</v>
      </c>
      <c r="D5" s="34"/>
      <c r="E5" s="34"/>
      <c r="F5" s="34"/>
      <c r="G5" s="34"/>
      <c r="H5" s="34"/>
      <c r="J5" s="39"/>
      <c r="K5" s="33"/>
      <c r="L5" s="34" t="s">
        <v>183</v>
      </c>
      <c r="M5" s="34"/>
      <c r="N5" s="34"/>
      <c r="O5" s="34"/>
      <c r="P5" s="34"/>
      <c r="Q5" s="34"/>
      <c r="T5" s="33"/>
      <c r="U5" s="35" t="s">
        <v>183</v>
      </c>
      <c r="V5" s="35"/>
      <c r="W5" s="35"/>
      <c r="X5" s="35"/>
      <c r="Y5" s="35"/>
      <c r="Z5" s="34"/>
      <c r="AA5" s="42"/>
      <c r="AB5" s="7"/>
      <c r="AC5" s="28"/>
      <c r="AD5" s="34" t="s">
        <v>184</v>
      </c>
      <c r="AE5" s="34"/>
      <c r="AF5" s="34"/>
      <c r="AG5" s="34"/>
      <c r="AH5" s="34"/>
      <c r="AI5" s="34"/>
      <c r="AJ5" s="7"/>
      <c r="AL5" s="28"/>
      <c r="AM5" s="35" t="s">
        <v>185</v>
      </c>
      <c r="AN5" s="35"/>
      <c r="AO5" s="35"/>
      <c r="AP5" s="35"/>
      <c r="AQ5" s="35"/>
      <c r="AR5" s="35"/>
      <c r="AS5" s="34"/>
      <c r="AT5" s="42"/>
      <c r="AV5" s="36"/>
      <c r="AW5" s="44" t="s">
        <v>186</v>
      </c>
      <c r="AX5" s="44"/>
      <c r="AY5" s="44"/>
      <c r="AZ5" s="44"/>
      <c r="BA5" s="44"/>
      <c r="BB5" s="45"/>
      <c r="BE5" s="33"/>
      <c r="BF5" s="35" t="s">
        <v>187</v>
      </c>
      <c r="BG5" s="35"/>
      <c r="BH5" s="35"/>
      <c r="BI5" s="35"/>
      <c r="BJ5" s="35"/>
      <c r="BK5" s="35"/>
      <c r="BL5" s="35"/>
      <c r="BM5" s="35"/>
      <c r="BN5" s="35"/>
      <c r="BO5" s="34"/>
      <c r="BR5" s="36"/>
      <c r="BS5" s="44" t="s">
        <v>188</v>
      </c>
      <c r="BT5" s="44"/>
      <c r="BU5" s="44"/>
      <c r="BV5" s="44"/>
      <c r="BW5" s="44"/>
      <c r="BX5" s="45"/>
    </row>
    <row r="6" customFormat="false" ht="13" hidden="false" customHeight="false" outlineLevel="0" collapsed="false">
      <c r="A6" s="46"/>
      <c r="B6" s="33"/>
      <c r="C6" s="34" t="s">
        <v>189</v>
      </c>
      <c r="D6" s="34"/>
      <c r="E6" s="34"/>
      <c r="F6" s="34"/>
      <c r="G6" s="34"/>
      <c r="H6" s="34"/>
      <c r="J6" s="46"/>
      <c r="K6" s="33"/>
      <c r="L6" s="34" t="s">
        <v>189</v>
      </c>
      <c r="M6" s="34"/>
      <c r="N6" s="34"/>
      <c r="O6" s="34"/>
      <c r="P6" s="34"/>
      <c r="Q6" s="34"/>
      <c r="T6" s="33"/>
      <c r="U6" s="35" t="s">
        <v>190</v>
      </c>
      <c r="V6" s="35"/>
      <c r="W6" s="35"/>
      <c r="X6" s="35"/>
      <c r="Y6" s="35"/>
      <c r="Z6" s="34"/>
      <c r="AA6" s="43"/>
      <c r="AB6" s="7"/>
      <c r="AC6" s="28"/>
      <c r="AD6" s="34" t="s">
        <v>191</v>
      </c>
      <c r="AE6" s="34"/>
      <c r="AF6" s="34"/>
      <c r="AG6" s="34"/>
      <c r="AH6" s="34"/>
      <c r="AI6" s="34"/>
      <c r="AJ6" s="7"/>
      <c r="AL6" s="28"/>
      <c r="AM6" s="35" t="s">
        <v>192</v>
      </c>
      <c r="AN6" s="35"/>
      <c r="AO6" s="35"/>
      <c r="AP6" s="35"/>
      <c r="AQ6" s="35"/>
      <c r="AR6" s="35"/>
      <c r="AS6" s="34"/>
      <c r="AT6" s="35"/>
      <c r="AV6" s="36"/>
      <c r="AW6" s="44" t="s">
        <v>193</v>
      </c>
      <c r="AX6" s="44"/>
      <c r="AY6" s="44"/>
      <c r="AZ6" s="44"/>
      <c r="BA6" s="44"/>
      <c r="BB6" s="45"/>
      <c r="BE6" s="33"/>
      <c r="BF6" s="42" t="s">
        <v>194</v>
      </c>
      <c r="BG6" s="42"/>
      <c r="BH6" s="42"/>
      <c r="BI6" s="42"/>
      <c r="BJ6" s="42"/>
      <c r="BK6" s="42"/>
      <c r="BL6" s="42"/>
      <c r="BM6" s="42"/>
      <c r="BN6" s="42"/>
      <c r="BO6" s="41"/>
      <c r="BR6" s="36"/>
      <c r="BS6" s="44" t="s">
        <v>193</v>
      </c>
      <c r="BT6" s="44"/>
      <c r="BU6" s="44"/>
      <c r="BV6" s="44"/>
      <c r="BW6" s="44"/>
      <c r="BX6" s="45"/>
    </row>
    <row r="7" customFormat="false" ht="13" hidden="false" customHeight="false" outlineLevel="0" collapsed="false">
      <c r="A7" s="46"/>
      <c r="B7" s="33"/>
      <c r="C7" s="26" t="s">
        <v>195</v>
      </c>
      <c r="D7" s="26"/>
      <c r="E7" s="26"/>
      <c r="F7" s="26"/>
      <c r="G7" s="26"/>
      <c r="H7" s="27"/>
      <c r="J7" s="46"/>
      <c r="K7" s="36"/>
      <c r="L7" s="26" t="s">
        <v>196</v>
      </c>
      <c r="M7" s="198"/>
      <c r="N7" s="198"/>
      <c r="O7" s="198"/>
      <c r="P7" s="198"/>
      <c r="Q7" s="199"/>
      <c r="T7" s="36"/>
      <c r="U7" s="44" t="s">
        <v>197</v>
      </c>
      <c r="V7" s="198"/>
      <c r="W7" s="198"/>
      <c r="X7" s="198"/>
      <c r="Y7" s="198"/>
      <c r="Z7" s="199"/>
      <c r="AA7" s="198"/>
      <c r="AB7" s="7"/>
      <c r="AC7" s="28"/>
      <c r="AD7" s="35" t="s">
        <v>198</v>
      </c>
      <c r="AE7" s="35"/>
      <c r="AF7" s="35"/>
      <c r="AG7" s="35"/>
      <c r="AH7" s="35"/>
      <c r="AI7" s="34"/>
      <c r="AJ7" s="7"/>
      <c r="AL7" s="28"/>
      <c r="AM7" s="35" t="s">
        <v>199</v>
      </c>
      <c r="AN7" s="35"/>
      <c r="AO7" s="35"/>
      <c r="AP7" s="35"/>
      <c r="AQ7" s="35"/>
      <c r="AR7" s="35"/>
      <c r="AS7" s="34"/>
      <c r="AT7" s="43"/>
      <c r="AV7" s="36"/>
      <c r="AW7" s="44" t="s">
        <v>200</v>
      </c>
      <c r="AX7" s="44"/>
      <c r="AY7" s="44"/>
      <c r="AZ7" s="44"/>
      <c r="BA7" s="44"/>
      <c r="BB7" s="45"/>
      <c r="BE7" s="96"/>
      <c r="BF7" s="97" t="s">
        <v>113</v>
      </c>
      <c r="BG7" s="97"/>
      <c r="BH7" s="97"/>
      <c r="BI7" s="98"/>
      <c r="BJ7" s="98"/>
      <c r="BK7" s="98"/>
      <c r="BL7" s="98"/>
      <c r="BM7" s="98"/>
      <c r="BN7" s="98"/>
      <c r="BO7" s="19"/>
      <c r="BR7" s="36"/>
      <c r="BS7" s="44" t="s">
        <v>200</v>
      </c>
      <c r="BT7" s="44"/>
      <c r="BU7" s="44"/>
      <c r="BV7" s="44"/>
      <c r="BW7" s="44"/>
      <c r="BX7" s="45"/>
    </row>
    <row r="8" customFormat="false" ht="16" hidden="false" customHeight="false" outlineLevel="0" collapsed="false">
      <c r="A8" s="46"/>
      <c r="B8" s="36"/>
      <c r="C8" s="34" t="s">
        <v>201</v>
      </c>
      <c r="D8" s="34"/>
      <c r="E8" s="34"/>
      <c r="F8" s="34"/>
      <c r="G8" s="34"/>
      <c r="H8" s="34"/>
      <c r="J8" s="46"/>
      <c r="K8" s="36"/>
      <c r="L8" s="35" t="s">
        <v>202</v>
      </c>
      <c r="M8" s="198"/>
      <c r="N8" s="198"/>
      <c r="O8" s="198"/>
      <c r="P8" s="198"/>
      <c r="Q8" s="199"/>
      <c r="T8" s="36"/>
      <c r="U8" s="42" t="s">
        <v>203</v>
      </c>
      <c r="V8" s="198"/>
      <c r="W8" s="198"/>
      <c r="X8" s="198"/>
      <c r="Y8" s="198"/>
      <c r="Z8" s="199"/>
      <c r="AA8" s="198"/>
      <c r="AB8" s="7"/>
      <c r="AC8" s="28"/>
      <c r="AD8" s="26" t="s">
        <v>204</v>
      </c>
      <c r="AE8" s="198"/>
      <c r="AF8" s="198"/>
      <c r="AG8" s="198"/>
      <c r="AH8" s="198"/>
      <c r="AI8" s="199"/>
      <c r="AJ8" s="7"/>
      <c r="AL8" s="28"/>
      <c r="AM8" s="44" t="s">
        <v>205</v>
      </c>
      <c r="AN8" s="198"/>
      <c r="AO8" s="198"/>
      <c r="AP8" s="198"/>
      <c r="AQ8" s="198"/>
      <c r="AR8" s="198"/>
      <c r="AS8" s="199"/>
      <c r="AT8" s="49"/>
      <c r="AV8" s="36"/>
      <c r="AW8" s="51"/>
      <c r="AX8" s="51"/>
      <c r="AY8" s="51"/>
      <c r="AZ8" s="51"/>
      <c r="BA8" s="51"/>
      <c r="BB8" s="52"/>
      <c r="BE8" s="96"/>
      <c r="BF8" s="200" t="s">
        <v>118</v>
      </c>
      <c r="BG8" s="107"/>
      <c r="BH8" s="107"/>
      <c r="BI8" s="107"/>
      <c r="BJ8" s="107"/>
      <c r="BK8" s="107"/>
      <c r="BL8" s="107"/>
      <c r="BM8" s="108"/>
      <c r="BN8" s="109"/>
      <c r="BO8" s="19"/>
      <c r="BR8" s="36"/>
      <c r="BS8" s="51"/>
      <c r="BT8" s="51"/>
      <c r="BU8" s="51"/>
      <c r="BV8" s="51"/>
      <c r="BW8" s="51"/>
      <c r="BX8" s="52"/>
    </row>
    <row r="9" customFormat="false" ht="16" hidden="false" customHeight="false" outlineLevel="0" collapsed="false">
      <c r="A9" s="46"/>
      <c r="B9" s="36"/>
      <c r="C9" s="34" t="s">
        <v>206</v>
      </c>
      <c r="D9" s="34"/>
      <c r="E9" s="34"/>
      <c r="F9" s="34"/>
      <c r="G9" s="34"/>
      <c r="H9" s="34"/>
      <c r="J9" s="46"/>
      <c r="K9" s="36"/>
      <c r="L9" s="35" t="s">
        <v>207</v>
      </c>
      <c r="M9" s="198"/>
      <c r="N9" s="198"/>
      <c r="O9" s="198"/>
      <c r="P9" s="198"/>
      <c r="Q9" s="199"/>
      <c r="T9" s="36"/>
      <c r="U9" s="35" t="s">
        <v>208</v>
      </c>
      <c r="V9" s="198"/>
      <c r="W9" s="198"/>
      <c r="X9" s="198"/>
      <c r="Y9" s="198"/>
      <c r="Z9" s="199"/>
      <c r="AA9" s="198"/>
      <c r="AB9" s="7"/>
      <c r="AC9" s="28"/>
      <c r="AD9" s="26" t="s">
        <v>209</v>
      </c>
      <c r="AE9" s="198"/>
      <c r="AF9" s="198"/>
      <c r="AG9" s="198"/>
      <c r="AH9" s="198"/>
      <c r="AI9" s="199"/>
      <c r="AJ9" s="7"/>
      <c r="AL9" s="28"/>
      <c r="AM9" s="44" t="s">
        <v>210</v>
      </c>
      <c r="AN9" s="198"/>
      <c r="AO9" s="198"/>
      <c r="AP9" s="198"/>
      <c r="AQ9" s="198"/>
      <c r="AR9" s="198"/>
      <c r="AS9" s="199"/>
      <c r="AT9" s="43"/>
      <c r="AV9" s="36"/>
      <c r="AW9" s="201" t="s">
        <v>91</v>
      </c>
      <c r="AX9" s="84"/>
      <c r="AY9" s="84"/>
      <c r="AZ9" s="84"/>
      <c r="BA9" s="85"/>
      <c r="BB9" s="27"/>
      <c r="BE9" s="96"/>
      <c r="BF9" s="144"/>
      <c r="BG9" s="166"/>
      <c r="BH9" s="202"/>
      <c r="BI9" s="202"/>
      <c r="BJ9" s="202"/>
      <c r="BK9" s="202"/>
      <c r="BL9" s="202"/>
      <c r="BM9" s="202"/>
      <c r="BN9" s="125"/>
      <c r="BO9" s="19"/>
      <c r="BR9" s="36"/>
      <c r="BS9" s="56" t="s">
        <v>58</v>
      </c>
      <c r="BT9" s="57"/>
      <c r="BU9" s="57"/>
      <c r="BV9" s="57"/>
      <c r="BW9" s="58"/>
      <c r="BX9" s="27"/>
    </row>
    <row r="10" customFormat="false" ht="16" hidden="false" customHeight="false" outlineLevel="0" collapsed="false">
      <c r="A10" s="53"/>
      <c r="B10" s="36"/>
      <c r="C10" s="35"/>
      <c r="D10" s="49"/>
      <c r="E10" s="49"/>
      <c r="F10" s="49"/>
      <c r="G10" s="49"/>
      <c r="H10" s="55"/>
      <c r="J10" s="53"/>
      <c r="K10" s="36"/>
      <c r="L10" s="35" t="s">
        <v>211</v>
      </c>
      <c r="M10" s="198"/>
      <c r="N10" s="198"/>
      <c r="O10" s="198"/>
      <c r="P10" s="198"/>
      <c r="Q10" s="199"/>
      <c r="T10" s="36"/>
      <c r="U10" s="35" t="s">
        <v>212</v>
      </c>
      <c r="V10" s="198"/>
      <c r="W10" s="198"/>
      <c r="X10" s="198"/>
      <c r="Y10" s="198"/>
      <c r="Z10" s="199"/>
      <c r="AA10" s="198"/>
      <c r="AB10" s="7"/>
      <c r="AC10" s="28"/>
      <c r="AD10" s="34" t="s">
        <v>213</v>
      </c>
      <c r="AE10" s="34"/>
      <c r="AF10" s="34"/>
      <c r="AG10" s="34"/>
      <c r="AH10" s="34"/>
      <c r="AI10" s="34"/>
      <c r="AJ10" s="7"/>
      <c r="AL10" s="28"/>
      <c r="AM10" s="35" t="s">
        <v>214</v>
      </c>
      <c r="AN10" s="35"/>
      <c r="AO10" s="35"/>
      <c r="AP10" s="35"/>
      <c r="AQ10" s="35"/>
      <c r="AR10" s="35"/>
      <c r="AS10" s="34"/>
      <c r="AT10" s="48"/>
      <c r="AV10" s="36"/>
      <c r="AW10" s="80"/>
      <c r="AX10" s="71" t="s">
        <v>99</v>
      </c>
      <c r="AY10" s="71"/>
      <c r="AZ10" s="86" t="n">
        <f aca="false">'Input-Start'!AI17</f>
        <v>7</v>
      </c>
      <c r="BA10" s="73"/>
      <c r="BB10" s="27"/>
      <c r="BE10" s="96"/>
      <c r="BF10" s="203"/>
      <c r="BG10" s="204" t="s">
        <v>96</v>
      </c>
      <c r="BH10" s="205" t="s">
        <v>215</v>
      </c>
      <c r="BI10" s="205"/>
      <c r="BJ10" s="205" t="s">
        <v>216</v>
      </c>
      <c r="BK10" s="205"/>
      <c r="BL10" s="205"/>
      <c r="BM10" s="205"/>
      <c r="BN10" s="206"/>
      <c r="BO10" s="19"/>
      <c r="BR10" s="36"/>
      <c r="BS10" s="63"/>
      <c r="BT10" s="64"/>
      <c r="BU10" s="64"/>
      <c r="BV10" s="64"/>
      <c r="BW10" s="65"/>
      <c r="BX10" s="27"/>
    </row>
    <row r="11" customFormat="false" ht="16" hidden="false" customHeight="false" outlineLevel="0" collapsed="false">
      <c r="A11" s="53"/>
      <c r="B11" s="96"/>
      <c r="C11" s="200" t="s">
        <v>117</v>
      </c>
      <c r="D11" s="107"/>
      <c r="E11" s="107"/>
      <c r="F11" s="108"/>
      <c r="G11" s="109"/>
      <c r="H11" s="19"/>
      <c r="J11" s="53"/>
      <c r="K11" s="36"/>
      <c r="L11" s="48" t="s">
        <v>217</v>
      </c>
      <c r="M11" s="49"/>
      <c r="N11" s="49"/>
      <c r="O11" s="49"/>
      <c r="P11" s="49"/>
      <c r="Q11" s="55"/>
      <c r="T11" s="36"/>
      <c r="U11" s="207" t="s">
        <v>217</v>
      </c>
      <c r="V11" s="49"/>
      <c r="W11" s="49"/>
      <c r="X11" s="49"/>
      <c r="Y11" s="49"/>
      <c r="Z11" s="55"/>
      <c r="AA11" s="49"/>
      <c r="AB11" s="7"/>
      <c r="AC11" s="24"/>
      <c r="AD11" s="26"/>
      <c r="AE11" s="26"/>
      <c r="AF11" s="26"/>
      <c r="AG11" s="26"/>
      <c r="AH11" s="26"/>
      <c r="AI11" s="27"/>
      <c r="AJ11" s="7"/>
      <c r="AL11" s="24"/>
      <c r="AM11" s="26"/>
      <c r="AN11" s="26"/>
      <c r="AO11" s="26"/>
      <c r="AP11" s="26"/>
      <c r="AQ11" s="26"/>
      <c r="AR11" s="26"/>
      <c r="AS11" s="27"/>
      <c r="AT11" s="49"/>
      <c r="AV11" s="36"/>
      <c r="AW11" s="80"/>
      <c r="AX11" s="71" t="s">
        <v>109</v>
      </c>
      <c r="AY11" s="71"/>
      <c r="AZ11" s="86" t="n">
        <f aca="false">'Input-Start'!AI18</f>
        <v>4.5</v>
      </c>
      <c r="BA11" s="73"/>
      <c r="BB11" s="27"/>
      <c r="BE11" s="96"/>
      <c r="BF11" s="203"/>
      <c r="BG11" s="204"/>
      <c r="BH11" s="208" t="s">
        <v>218</v>
      </c>
      <c r="BI11" s="208"/>
      <c r="BJ11" s="208" t="s">
        <v>218</v>
      </c>
      <c r="BK11" s="208"/>
      <c r="BL11" s="208" t="s">
        <v>219</v>
      </c>
      <c r="BM11" s="208"/>
      <c r="BN11" s="206"/>
      <c r="BO11" s="19"/>
      <c r="BR11" s="36"/>
      <c r="BS11" s="67" t="s">
        <v>220</v>
      </c>
      <c r="BT11" s="64"/>
      <c r="BU11" s="64"/>
      <c r="BV11" s="68" t="n">
        <f aca="false">'Input-Start'!BA12</f>
        <v>25</v>
      </c>
      <c r="BW11" s="65"/>
      <c r="BX11" s="27"/>
    </row>
    <row r="12" customFormat="false" ht="15" hidden="false" customHeight="true" outlineLevel="0" collapsed="false">
      <c r="A12" s="53"/>
      <c r="B12" s="96"/>
      <c r="C12" s="144"/>
      <c r="D12" s="166"/>
      <c r="E12" s="202"/>
      <c r="F12" s="202"/>
      <c r="G12" s="125"/>
      <c r="H12" s="19"/>
      <c r="J12" s="53"/>
      <c r="K12" s="36"/>
      <c r="L12" s="35" t="s">
        <v>221</v>
      </c>
      <c r="M12" s="48"/>
      <c r="N12" s="48"/>
      <c r="O12" s="48"/>
      <c r="P12" s="48"/>
      <c r="Q12" s="82"/>
      <c r="T12" s="36"/>
      <c r="U12" s="35" t="s">
        <v>221</v>
      </c>
      <c r="V12" s="207"/>
      <c r="W12" s="207"/>
      <c r="X12" s="207"/>
      <c r="Y12" s="207"/>
      <c r="Z12" s="209"/>
      <c r="AA12" s="49"/>
      <c r="AB12" s="7"/>
      <c r="AC12" s="24"/>
      <c r="AD12" s="88" t="s">
        <v>96</v>
      </c>
      <c r="AE12" s="88" t="s">
        <v>104</v>
      </c>
      <c r="AF12" s="92" t="s">
        <v>105</v>
      </c>
      <c r="AG12" s="92"/>
      <c r="AH12" s="92"/>
      <c r="AI12" s="27"/>
      <c r="AJ12" s="7"/>
      <c r="AL12" s="24"/>
      <c r="AM12" s="88" t="s">
        <v>96</v>
      </c>
      <c r="AN12" s="210" t="s">
        <v>97</v>
      </c>
      <c r="AO12" s="90" t="s">
        <v>105</v>
      </c>
      <c r="AP12" s="90"/>
      <c r="AQ12" s="90"/>
      <c r="AR12" s="90"/>
      <c r="AS12" s="27"/>
      <c r="AT12" s="49"/>
      <c r="AV12" s="24"/>
      <c r="AW12" s="80"/>
      <c r="AX12" s="71" t="s">
        <v>115</v>
      </c>
      <c r="AY12" s="71"/>
      <c r="AZ12" s="86" t="n">
        <f aca="false">'Input-Start'!AI19</f>
        <v>2.4</v>
      </c>
      <c r="BA12" s="73"/>
      <c r="BB12" s="27"/>
      <c r="BE12" s="96"/>
      <c r="BF12" s="203"/>
      <c r="BG12" s="204"/>
      <c r="BH12" s="211" t="s">
        <v>99</v>
      </c>
      <c r="BI12" s="212" t="s">
        <v>109</v>
      </c>
      <c r="BJ12" s="211" t="s">
        <v>99</v>
      </c>
      <c r="BK12" s="212" t="s">
        <v>109</v>
      </c>
      <c r="BL12" s="211" t="s">
        <v>222</v>
      </c>
      <c r="BM12" s="212" t="s">
        <v>148</v>
      </c>
      <c r="BN12" s="206"/>
      <c r="BO12" s="19"/>
      <c r="BR12" s="24"/>
      <c r="BS12" s="67" t="s">
        <v>76</v>
      </c>
      <c r="BT12" s="71"/>
      <c r="BU12" s="71"/>
      <c r="BV12" s="72" t="n">
        <f aca="false">'Input-Start'!BA13</f>
        <v>1.1</v>
      </c>
      <c r="BW12" s="73"/>
      <c r="BX12" s="27"/>
    </row>
    <row r="13" customFormat="false" ht="18" hidden="false" customHeight="false" outlineLevel="0" collapsed="false">
      <c r="A13" s="39"/>
      <c r="B13" s="96"/>
      <c r="C13" s="203"/>
      <c r="D13" s="204" t="s">
        <v>96</v>
      </c>
      <c r="E13" s="213" t="s">
        <v>223</v>
      </c>
      <c r="F13" s="214" t="s">
        <v>129</v>
      </c>
      <c r="G13" s="206"/>
      <c r="H13" s="19"/>
      <c r="J13" s="39"/>
      <c r="K13" s="36"/>
      <c r="L13" s="35" t="s">
        <v>224</v>
      </c>
      <c r="M13" s="49"/>
      <c r="N13" s="49"/>
      <c r="O13" s="49"/>
      <c r="P13" s="49"/>
      <c r="Q13" s="55"/>
      <c r="T13" s="36"/>
      <c r="U13" s="35" t="s">
        <v>225</v>
      </c>
      <c r="V13" s="49"/>
      <c r="W13" s="49"/>
      <c r="X13" s="49"/>
      <c r="Y13" s="49"/>
      <c r="Z13" s="55"/>
      <c r="AA13" s="23"/>
      <c r="AB13" s="7"/>
      <c r="AC13" s="24"/>
      <c r="AD13" s="88"/>
      <c r="AE13" s="88"/>
      <c r="AF13" s="95" t="s">
        <v>226</v>
      </c>
      <c r="AG13" s="95" t="s">
        <v>107</v>
      </c>
      <c r="AH13" s="95" t="s">
        <v>108</v>
      </c>
      <c r="AI13" s="27"/>
      <c r="AJ13" s="7"/>
      <c r="AL13" s="24"/>
      <c r="AM13" s="88"/>
      <c r="AN13" s="210"/>
      <c r="AO13" s="215" t="s">
        <v>104</v>
      </c>
      <c r="AP13" s="95" t="s">
        <v>106</v>
      </c>
      <c r="AQ13" s="94" t="s">
        <v>107</v>
      </c>
      <c r="AR13" s="95" t="s">
        <v>108</v>
      </c>
      <c r="AS13" s="27"/>
      <c r="AT13" s="49"/>
      <c r="AV13" s="24"/>
      <c r="AW13" s="67" t="s">
        <v>150</v>
      </c>
      <c r="AX13" s="71"/>
      <c r="AY13" s="71"/>
      <c r="AZ13" s="146"/>
      <c r="BA13" s="73"/>
      <c r="BB13" s="27"/>
      <c r="BE13" s="96"/>
      <c r="BF13" s="216"/>
      <c r="BG13" s="99" t="s">
        <v>114</v>
      </c>
      <c r="BH13" s="217" t="n">
        <f aca="false">'Input-Start'!AH22</f>
        <v>0.83</v>
      </c>
      <c r="BI13" s="218" t="n">
        <f aca="false">1-BH13</f>
        <v>0.17</v>
      </c>
      <c r="BJ13" s="217" t="n">
        <f aca="false">'Input-Start'!AH25</f>
        <v>0.83</v>
      </c>
      <c r="BK13" s="218" t="n">
        <f aca="false">1-BJ13</f>
        <v>0.17</v>
      </c>
      <c r="BL13" s="217" t="n">
        <f aca="false">'Input-Start'!AH28</f>
        <v>0.64</v>
      </c>
      <c r="BM13" s="219" t="n">
        <f aca="false">1-BL13</f>
        <v>0.36</v>
      </c>
      <c r="BN13" s="206"/>
      <c r="BO13" s="19"/>
      <c r="BR13" s="24"/>
      <c r="BS13" s="67" t="s">
        <v>82</v>
      </c>
      <c r="BT13" s="71"/>
      <c r="BU13" s="71"/>
      <c r="BV13" s="76"/>
      <c r="BW13" s="73"/>
      <c r="BX13" s="27"/>
    </row>
    <row r="14" customFormat="false" ht="17" hidden="false" customHeight="false" outlineLevel="0" collapsed="false">
      <c r="A14" s="74"/>
      <c r="B14" s="96"/>
      <c r="C14" s="216"/>
      <c r="D14" s="99" t="s">
        <v>114</v>
      </c>
      <c r="E14" s="220" t="n">
        <f aca="false">'Input-Start'!F22</f>
        <v>19016173</v>
      </c>
      <c r="F14" s="221" t="n">
        <f aca="false">'Input-Start'!F23</f>
        <v>0</v>
      </c>
      <c r="G14" s="206"/>
      <c r="H14" s="19"/>
      <c r="J14" s="74"/>
      <c r="K14" s="96"/>
      <c r="L14" s="51" t="s">
        <v>227</v>
      </c>
      <c r="M14" s="97"/>
      <c r="N14" s="97"/>
      <c r="O14" s="98"/>
      <c r="P14" s="98"/>
      <c r="Q14" s="19"/>
      <c r="T14" s="96"/>
      <c r="U14" s="51" t="s">
        <v>228</v>
      </c>
      <c r="V14" s="97"/>
      <c r="W14" s="97"/>
      <c r="X14" s="98"/>
      <c r="Y14" s="98"/>
      <c r="Z14" s="19"/>
      <c r="AA14" s="23"/>
      <c r="AB14" s="7"/>
      <c r="AC14" s="24"/>
      <c r="AD14" s="99" t="s">
        <v>114</v>
      </c>
      <c r="AE14" s="222" t="n">
        <f aca="false">'Input-Start'!N20</f>
        <v>0</v>
      </c>
      <c r="AF14" s="223" t="n">
        <f aca="false">Cost_PY*('Input-Start'!BA36+PY_for_Inf)</f>
        <v>4004650</v>
      </c>
      <c r="AG14" s="224" t="n">
        <f aca="false">'Input-Start'!P20</f>
        <v>8356.16</v>
      </c>
      <c r="AH14" s="225" t="n">
        <f aca="false">'Input-Start'!Q20</f>
        <v>297120</v>
      </c>
      <c r="AI14" s="27"/>
      <c r="AJ14" s="7"/>
      <c r="AL14" s="24"/>
      <c r="AM14" s="99" t="s">
        <v>114</v>
      </c>
      <c r="AN14" s="226" t="n">
        <f aca="false">'Input-Start'!W19</f>
        <v>3009339.704</v>
      </c>
      <c r="AO14" s="227" t="n">
        <f aca="false">'Input-Start'!X19</f>
        <v>0</v>
      </c>
      <c r="AP14" s="228" t="n">
        <f aca="false">Cost_PY*(PY_for_Inf+PY!$Q6)</f>
        <v>4004650</v>
      </c>
      <c r="AQ14" s="229" t="n">
        <f aca="false">'Input-Start'!Z19</f>
        <v>8356</v>
      </c>
      <c r="AR14" s="230" t="n">
        <f aca="false">'Input-Start'!AA19</f>
        <v>301760</v>
      </c>
      <c r="AS14" s="27"/>
      <c r="AT14" s="231"/>
      <c r="AV14" s="24"/>
      <c r="AW14" s="126" t="s">
        <v>229</v>
      </c>
      <c r="AX14" s="71"/>
      <c r="AY14" s="71"/>
      <c r="AZ14" s="146"/>
      <c r="BA14" s="73"/>
      <c r="BB14" s="27"/>
      <c r="BE14" s="96"/>
      <c r="BF14" s="232"/>
      <c r="BG14" s="99" t="n">
        <v>1</v>
      </c>
      <c r="BH14" s="233" t="n">
        <f aca="false">BH$13+(BH$33-BH$13)*$D15/$D$34</f>
        <v>0.83</v>
      </c>
      <c r="BI14" s="218" t="n">
        <f aca="false">1-BH14</f>
        <v>0.17</v>
      </c>
      <c r="BJ14" s="233" t="n">
        <f aca="false">BJ$13+(BJ$33-BJ$13)*$D15/$D$34</f>
        <v>0.8385</v>
      </c>
      <c r="BK14" s="218" t="n">
        <f aca="false">1-BJ14</f>
        <v>0.1615</v>
      </c>
      <c r="BL14" s="233" t="n">
        <f aca="false">BL$13+(BL$33-BL$13)*$D15/$D$34</f>
        <v>0.64</v>
      </c>
      <c r="BM14" s="219" t="n">
        <f aca="false">1-BL14</f>
        <v>0.36</v>
      </c>
      <c r="BN14" s="234"/>
      <c r="BO14" s="19"/>
      <c r="BR14" s="24"/>
      <c r="BS14" s="80"/>
      <c r="BT14" s="71" t="s">
        <v>88</v>
      </c>
      <c r="BU14" s="71"/>
      <c r="BV14" s="81" t="n">
        <f aca="false">'Input-Start'!BA15</f>
        <v>24.7</v>
      </c>
      <c r="BW14" s="73"/>
      <c r="BX14" s="27"/>
    </row>
    <row r="15" customFormat="false" ht="16" hidden="false" customHeight="false" outlineLevel="0" collapsed="false">
      <c r="A15" s="32"/>
      <c r="B15" s="96"/>
      <c r="C15" s="232"/>
      <c r="D15" s="99" t="n">
        <v>1</v>
      </c>
      <c r="E15" s="235" t="n">
        <f aca="false">E$14+(E$34-E$14)*$D15/$D$34</f>
        <v>19565364.35</v>
      </c>
      <c r="F15" s="236" t="n">
        <f aca="false">F$14+(F$34-F$14)*$D15/$D$34</f>
        <v>0.0495</v>
      </c>
      <c r="G15" s="234"/>
      <c r="H15" s="19"/>
      <c r="J15" s="32"/>
      <c r="K15" s="96"/>
      <c r="L15" s="34" t="s">
        <v>213</v>
      </c>
      <c r="M15" s="34"/>
      <c r="N15" s="34"/>
      <c r="O15" s="34"/>
      <c r="P15" s="34"/>
      <c r="Q15" s="34"/>
      <c r="T15" s="96"/>
      <c r="U15" s="35" t="s">
        <v>213</v>
      </c>
      <c r="V15" s="35"/>
      <c r="W15" s="35"/>
      <c r="X15" s="35"/>
      <c r="Y15" s="35"/>
      <c r="Z15" s="34"/>
      <c r="AA15" s="23"/>
      <c r="AB15" s="7"/>
      <c r="AC15" s="24"/>
      <c r="AD15" s="99" t="n">
        <v>1</v>
      </c>
      <c r="AE15" s="222" t="n">
        <f aca="false">'Input-Start'!N21^(1+Inflation_Rate)^Year</f>
        <v>0</v>
      </c>
      <c r="AF15" s="237" t="n">
        <f aca="false">Cost_PY*(PY_for_Inf+PY!$L7)*(1+Inflation_Rate)^Year</f>
        <v>4230053.20491783</v>
      </c>
      <c r="AG15" s="237" t="n">
        <f aca="false">AG14*(1+Inflation_Rate)</f>
        <v>8606.8448</v>
      </c>
      <c r="AH15" s="237" t="n">
        <f aca="false">AH14*(1+Inflation_Rate)</f>
        <v>306033.6</v>
      </c>
      <c r="AI15" s="27"/>
      <c r="AJ15" s="7"/>
      <c r="AL15" s="24"/>
      <c r="AM15" s="99" t="n">
        <v>1</v>
      </c>
      <c r="AN15" s="226" t="n">
        <f aca="false">'Input-Start'!W20*(1+Inflation_Rate)^Year</f>
        <v>0</v>
      </c>
      <c r="AO15" s="238" t="n">
        <f aca="false">'Input-Start'!X20*(1+Inflation_Rate)^'Input-Detail'!$AM15</f>
        <v>0</v>
      </c>
      <c r="AP15" s="239" t="n">
        <f aca="false">Cost_PY*(PY_for_Inf+PY!$Q7)*(1+Inflation_Rate)^Year</f>
        <v>4005040.87873028</v>
      </c>
      <c r="AQ15" s="240" t="n">
        <f aca="false">AQ14*(1+Inflation_Rate)</f>
        <v>8606.68</v>
      </c>
      <c r="AR15" s="241" t="n">
        <f aca="false">AR14*(1+Inflation_Rate)</f>
        <v>310812.8</v>
      </c>
      <c r="AS15" s="27"/>
      <c r="AT15" s="48"/>
      <c r="AV15" s="24"/>
      <c r="AW15" s="129"/>
      <c r="AX15" s="71" t="s">
        <v>156</v>
      </c>
      <c r="AY15" s="71"/>
      <c r="AZ15" s="120" t="n">
        <f aca="false">'Input-Start'!AI32</f>
        <v>1.35</v>
      </c>
      <c r="BA15" s="73"/>
      <c r="BB15" s="27"/>
      <c r="BE15" s="96"/>
      <c r="BF15" s="63"/>
      <c r="BG15" s="99" t="n">
        <v>2</v>
      </c>
      <c r="BH15" s="233" t="n">
        <f aca="false">BH$13+(BH$33-BH$13)*$D16/$D$34</f>
        <v>0.83</v>
      </c>
      <c r="BI15" s="218" t="n">
        <f aca="false">1-BH15</f>
        <v>0.17</v>
      </c>
      <c r="BJ15" s="233" t="n">
        <f aca="false">BJ$13+(BJ$33-BJ$13)*$D16/$D$34</f>
        <v>0.847</v>
      </c>
      <c r="BK15" s="218" t="n">
        <f aca="false">1-BJ15</f>
        <v>0.153</v>
      </c>
      <c r="BL15" s="233" t="n">
        <f aca="false">BL$13+(BL$33-BL$13)*$D16/$D$34</f>
        <v>0.64</v>
      </c>
      <c r="BM15" s="219" t="n">
        <f aca="false">1-BL15</f>
        <v>0.36</v>
      </c>
      <c r="BN15" s="242"/>
      <c r="BO15" s="19"/>
      <c r="BR15" s="24"/>
      <c r="BS15" s="80"/>
      <c r="BT15" s="71" t="s">
        <v>93</v>
      </c>
      <c r="BU15" s="71"/>
      <c r="BV15" s="81" t="n">
        <f aca="false">'Input-Start'!BA16</f>
        <v>9.5</v>
      </c>
      <c r="BW15" s="73"/>
      <c r="BX15" s="27"/>
    </row>
    <row r="16" customFormat="false" ht="15" hidden="false" customHeight="true" outlineLevel="0" collapsed="false">
      <c r="A16" s="46"/>
      <c r="B16" s="96"/>
      <c r="C16" s="63"/>
      <c r="D16" s="99" t="n">
        <v>2</v>
      </c>
      <c r="E16" s="235" t="n">
        <f aca="false">E$14+(E$34-E$14)*$D16/$D$34</f>
        <v>20114555.7</v>
      </c>
      <c r="F16" s="236" t="n">
        <f aca="false">F$14+(F$34-F$14)*$D16/$D$34</f>
        <v>0.099</v>
      </c>
      <c r="G16" s="242"/>
      <c r="H16" s="19"/>
      <c r="J16" s="46"/>
      <c r="K16" s="96"/>
      <c r="L16" s="243"/>
      <c r="M16" s="243"/>
      <c r="N16" s="243"/>
      <c r="O16" s="244"/>
      <c r="P16" s="244"/>
      <c r="Q16" s="19"/>
      <c r="T16" s="96"/>
      <c r="U16" s="243"/>
      <c r="V16" s="243"/>
      <c r="W16" s="243"/>
      <c r="X16" s="244"/>
      <c r="Y16" s="244"/>
      <c r="Z16" s="19"/>
      <c r="AA16" s="23"/>
      <c r="AB16" s="7"/>
      <c r="AC16" s="24"/>
      <c r="AD16" s="99" t="n">
        <v>2</v>
      </c>
      <c r="AE16" s="222" t="n">
        <f aca="false">'Input-Start'!N22^(1+Inflation_Rate)^Year</f>
        <v>0</v>
      </c>
      <c r="AF16" s="237" t="n">
        <f aca="false">Cost_PY*(PY_for_Inf+PY!$L8)*(1+Inflation_Rate)^Year</f>
        <v>4465376.41713074</v>
      </c>
      <c r="AG16" s="237" t="n">
        <f aca="false">AG15*(1+Inflation_Rate)</f>
        <v>8865.050144</v>
      </c>
      <c r="AH16" s="237" t="n">
        <f aca="false">AH15*(1+Inflation_Rate)</f>
        <v>315214.608</v>
      </c>
      <c r="AI16" s="27"/>
      <c r="AJ16" s="7"/>
      <c r="AL16" s="24"/>
      <c r="AM16" s="99" t="n">
        <v>2</v>
      </c>
      <c r="AN16" s="226" t="n">
        <f aca="false">'Input-Start'!W21*(1+Inflation_Rate)^Year</f>
        <v>302158.1117</v>
      </c>
      <c r="AO16" s="238" t="n">
        <f aca="false">'Input-Start'!X21*(1+Inflation_Rate)^'Input-Detail'!$AM16</f>
        <v>0</v>
      </c>
      <c r="AP16" s="239" t="n">
        <f aca="false">Cost_PY*(PY_for_Inf+PY!$Q8)*(1+Inflation_Rate)^$AM16</f>
        <v>4031681.10872332</v>
      </c>
      <c r="AQ16" s="240" t="n">
        <f aca="false">AQ15*(1+Inflation_Rate)</f>
        <v>8864.8804</v>
      </c>
      <c r="AR16" s="241" t="n">
        <f aca="false">AR15*(1+Inflation_Rate)</f>
        <v>320137.184</v>
      </c>
      <c r="AS16" s="27"/>
      <c r="AT16" s="48"/>
      <c r="AV16" s="24"/>
      <c r="AW16" s="129"/>
      <c r="AX16" s="71" t="s">
        <v>159</v>
      </c>
      <c r="AY16" s="71"/>
      <c r="AZ16" s="169" t="n">
        <f aca="false">'Input-Start'!AI33</f>
        <v>160</v>
      </c>
      <c r="BA16" s="73"/>
      <c r="BB16" s="27"/>
      <c r="BE16" s="96"/>
      <c r="BF16" s="203"/>
      <c r="BG16" s="99" t="n">
        <v>3</v>
      </c>
      <c r="BH16" s="233" t="n">
        <f aca="false">BH$13+(BH$33-BH$13)*$D17/$D$34</f>
        <v>0.83</v>
      </c>
      <c r="BI16" s="218" t="n">
        <f aca="false">1-BH16</f>
        <v>0.17</v>
      </c>
      <c r="BJ16" s="233" t="n">
        <f aca="false">BJ$13+(BJ$33-BJ$13)*$D17/$D$34</f>
        <v>0.8555</v>
      </c>
      <c r="BK16" s="218" t="n">
        <f aca="false">1-BJ16</f>
        <v>0.1445</v>
      </c>
      <c r="BL16" s="233" t="n">
        <f aca="false">BL$13+(BL$33-BL$13)*$D17/$D$34</f>
        <v>0.64</v>
      </c>
      <c r="BM16" s="219" t="n">
        <f aca="false">1-BL16</f>
        <v>0.36</v>
      </c>
      <c r="BN16" s="234"/>
      <c r="BO16" s="19"/>
      <c r="BR16" s="24"/>
      <c r="BS16" s="80"/>
      <c r="BT16" s="71" t="s">
        <v>101</v>
      </c>
      <c r="BU16" s="71"/>
      <c r="BV16" s="81" t="n">
        <f aca="false">'Input-Start'!BA17</f>
        <v>209</v>
      </c>
      <c r="BW16" s="73"/>
      <c r="BX16" s="27"/>
    </row>
    <row r="17" customFormat="false" ht="16.5" hidden="false" customHeight="true" outlineLevel="0" collapsed="false">
      <c r="A17" s="74"/>
      <c r="B17" s="96"/>
      <c r="C17" s="203"/>
      <c r="D17" s="99" t="n">
        <v>3</v>
      </c>
      <c r="E17" s="235" t="n">
        <f aca="false">E$14+(E$34-E$14)*$D17/$D$34</f>
        <v>20663747.05</v>
      </c>
      <c r="F17" s="236" t="n">
        <f aca="false">F$14+(F$34-F$14)*$D17/$D$34</f>
        <v>0.1485</v>
      </c>
      <c r="G17" s="234"/>
      <c r="H17" s="19"/>
      <c r="J17" s="74"/>
      <c r="K17" s="96"/>
      <c r="L17" s="204" t="s">
        <v>96</v>
      </c>
      <c r="M17" s="204" t="s">
        <v>230</v>
      </c>
      <c r="N17" s="245" t="s">
        <v>231</v>
      </c>
      <c r="O17" s="245" t="s">
        <v>143</v>
      </c>
      <c r="P17" s="245" t="s">
        <v>232</v>
      </c>
      <c r="Q17" s="19"/>
      <c r="T17" s="96"/>
      <c r="U17" s="204" t="s">
        <v>96</v>
      </c>
      <c r="V17" s="204" t="s">
        <v>230</v>
      </c>
      <c r="W17" s="245" t="s">
        <v>231</v>
      </c>
      <c r="X17" s="245" t="s">
        <v>143</v>
      </c>
      <c r="Y17" s="245" t="s">
        <v>232</v>
      </c>
      <c r="Z17" s="19"/>
      <c r="AA17" s="23"/>
      <c r="AB17" s="7"/>
      <c r="AC17" s="24"/>
      <c r="AD17" s="99" t="n">
        <v>3</v>
      </c>
      <c r="AE17" s="222" t="n">
        <f aca="false">'Input-Start'!N23^(1+Inflation_Rate)^Year</f>
        <v>0</v>
      </c>
      <c r="AF17" s="237" t="n">
        <f aca="false">Cost_PY*(PY_for_Inf+PY!$L9)*(1+Inflation_Rate)^Year</f>
        <v>4711011.97419199</v>
      </c>
      <c r="AG17" s="237" t="n">
        <f aca="false">AG16*(1+Inflation_Rate)</f>
        <v>9131.00164832</v>
      </c>
      <c r="AH17" s="237" t="n">
        <f aca="false">AH16*(1+Inflation_Rate)</f>
        <v>324671.04624</v>
      </c>
      <c r="AI17" s="27"/>
      <c r="AJ17" s="7"/>
      <c r="AL17" s="24"/>
      <c r="AM17" s="99" t="n">
        <v>3</v>
      </c>
      <c r="AN17" s="226" t="n">
        <f aca="false">'Input-Start'!W22*(1+Inflation_Rate)^Year</f>
        <v>490176.570387</v>
      </c>
      <c r="AO17" s="238" t="n">
        <f aca="false">'Input-Start'!X22*(1+Inflation_Rate)^'Input-Detail'!$AM17</f>
        <v>0</v>
      </c>
      <c r="AP17" s="239" t="n">
        <f aca="false">Cost_PY*(PY_for_Inf+PY!$Q9)*(1+Inflation_Rate)^$AM17</f>
        <v>4045259.4635349</v>
      </c>
      <c r="AQ17" s="240" t="n">
        <f aca="false">AQ16*(1+Inflation_Rate)</f>
        <v>9130.826812</v>
      </c>
      <c r="AR17" s="241" t="n">
        <f aca="false">AR16*(1+Inflation_Rate)</f>
        <v>329741.29952</v>
      </c>
      <c r="AS17" s="27"/>
      <c r="AT17" s="48"/>
      <c r="AV17" s="24"/>
      <c r="AW17" s="129"/>
      <c r="AX17" s="71" t="s">
        <v>162</v>
      </c>
      <c r="AY17" s="71"/>
      <c r="AZ17" s="170" t="n">
        <f aca="false">'Input-Start'!AI34</f>
        <v>30</v>
      </c>
      <c r="BA17" s="73"/>
      <c r="BB17" s="27"/>
      <c r="BE17" s="96"/>
      <c r="BF17" s="203"/>
      <c r="BG17" s="99" t="n">
        <v>4</v>
      </c>
      <c r="BH17" s="233" t="n">
        <f aca="false">BH$13+(BH$33-BH$13)*$D18/$D$34</f>
        <v>0.83</v>
      </c>
      <c r="BI17" s="218" t="n">
        <f aca="false">1-BH17</f>
        <v>0.17</v>
      </c>
      <c r="BJ17" s="233" t="n">
        <f aca="false">BJ$13+(BJ$33-BJ$13)*$D18/$D$34</f>
        <v>0.864</v>
      </c>
      <c r="BK17" s="218" t="n">
        <f aca="false">1-BJ17</f>
        <v>0.136</v>
      </c>
      <c r="BL17" s="233" t="n">
        <f aca="false">BL$13+(BL$33-BL$13)*$D18/$D$34</f>
        <v>0.64</v>
      </c>
      <c r="BM17" s="219" t="n">
        <f aca="false">1-BL17</f>
        <v>0.36</v>
      </c>
      <c r="BN17" s="234"/>
      <c r="BO17" s="19"/>
      <c r="BR17" s="24"/>
      <c r="BS17" s="67" t="s">
        <v>111</v>
      </c>
      <c r="BT17" s="71"/>
      <c r="BU17" s="71"/>
      <c r="BV17" s="76"/>
      <c r="BW17" s="73"/>
      <c r="BX17" s="27"/>
    </row>
    <row r="18" customFormat="false" ht="17" hidden="false" customHeight="false" outlineLevel="0" collapsed="false">
      <c r="B18" s="96"/>
      <c r="C18" s="203"/>
      <c r="D18" s="99" t="n">
        <v>4</v>
      </c>
      <c r="E18" s="235" t="n">
        <f aca="false">E$14+(E$34-E$14)*$D18/$D$34</f>
        <v>21212938.4</v>
      </c>
      <c r="F18" s="236" t="n">
        <f aca="false">F$14+(F$34-F$14)*$D18/$D$34</f>
        <v>0.198</v>
      </c>
      <c r="G18" s="234"/>
      <c r="H18" s="19"/>
      <c r="K18" s="96"/>
      <c r="L18" s="99" t="s">
        <v>114</v>
      </c>
      <c r="M18" s="246" t="n">
        <f aca="false">'Input-Start'!F27</f>
        <v>8200</v>
      </c>
      <c r="N18" s="247" t="n">
        <f aca="false">E14/M18</f>
        <v>2319.04548780488</v>
      </c>
      <c r="O18" s="248" t="n">
        <f aca="false">'Input-Start'!F28</f>
        <v>2</v>
      </c>
      <c r="P18" s="249" t="n">
        <f aca="false">'Input-Start'!F29</f>
        <v>0.3</v>
      </c>
      <c r="Q18" s="19"/>
      <c r="T18" s="96"/>
      <c r="U18" s="99" t="s">
        <v>114</v>
      </c>
      <c r="V18" s="246" t="n">
        <f aca="false">'Input-Start'!G27</f>
        <v>8200</v>
      </c>
      <c r="W18" s="250" t="n">
        <f aca="false">E14/V18</f>
        <v>2319.04548780488</v>
      </c>
      <c r="X18" s="248" t="n">
        <f aca="false">'Input-Start'!G28</f>
        <v>2</v>
      </c>
      <c r="Y18" s="249" t="n">
        <f aca="false">'Input-Start'!G29</f>
        <v>0.7</v>
      </c>
      <c r="Z18" s="19"/>
      <c r="AA18" s="23"/>
      <c r="AB18" s="7"/>
      <c r="AC18" s="24"/>
      <c r="AD18" s="99" t="n">
        <v>4</v>
      </c>
      <c r="AE18" s="222" t="n">
        <f aca="false">'Input-Start'!N24^(1+Inflation_Rate)^Year</f>
        <v>0</v>
      </c>
      <c r="AF18" s="237" t="n">
        <f aca="false">Cost_PY*(PY_for_Inf+PY!$L10)*(1+Inflation_Rate)^Year</f>
        <v>4967366.82590149</v>
      </c>
      <c r="AG18" s="237" t="n">
        <f aca="false">AG17*(1+Inflation_Rate)</f>
        <v>9404.9316977696</v>
      </c>
      <c r="AH18" s="237" t="n">
        <f aca="false">AH17*(1+Inflation_Rate)</f>
        <v>334411.1776272</v>
      </c>
      <c r="AI18" s="27"/>
      <c r="AJ18" s="7"/>
      <c r="AL18" s="24"/>
      <c r="AM18" s="99" t="n">
        <v>4</v>
      </c>
      <c r="AN18" s="226" t="n">
        <f aca="false">'Input-Start'!W23*(1+Inflation_Rate)^Year</f>
        <v>308165.43768681</v>
      </c>
      <c r="AO18" s="238" t="n">
        <f aca="false">'Input-Start'!X23*(1+Inflation_Rate)^'Input-Detail'!$AM18</f>
        <v>0</v>
      </c>
      <c r="AP18" s="239" t="n">
        <f aca="false">Cost_PY*(PY_for_Inf+PY!$Q10)*(1+Inflation_Rate)^$AM18</f>
        <v>4044636.58188143</v>
      </c>
      <c r="AQ18" s="240" t="n">
        <f aca="false">AQ17*(1+Inflation_Rate)</f>
        <v>9404.75161636</v>
      </c>
      <c r="AR18" s="241" t="n">
        <f aca="false">AR17*(1+Inflation_Rate)</f>
        <v>339633.5385056</v>
      </c>
      <c r="AS18" s="27"/>
      <c r="AT18" s="48"/>
      <c r="AV18" s="24"/>
      <c r="AW18" s="129"/>
      <c r="AX18" s="71" t="s">
        <v>166</v>
      </c>
      <c r="AY18" s="71"/>
      <c r="AZ18" s="170" t="n">
        <f aca="false">'Input-Start'!AI35</f>
        <v>20</v>
      </c>
      <c r="BA18" s="73"/>
      <c r="BB18" s="27"/>
      <c r="BE18" s="96"/>
      <c r="BF18" s="203"/>
      <c r="BG18" s="99" t="n">
        <v>5</v>
      </c>
      <c r="BH18" s="233" t="n">
        <f aca="false">BH$13+(BH$33-BH$13)*$D19/$D$34</f>
        <v>0.83</v>
      </c>
      <c r="BI18" s="218" t="n">
        <f aca="false">1-BH18</f>
        <v>0.17</v>
      </c>
      <c r="BJ18" s="233" t="n">
        <f aca="false">BJ$13+(BJ$33-BJ$13)*$D19/$D$34</f>
        <v>0.8725</v>
      </c>
      <c r="BK18" s="218" t="n">
        <f aca="false">1-BJ18</f>
        <v>0.1275</v>
      </c>
      <c r="BL18" s="233" t="n">
        <f aca="false">BL$13+(BL$33-BL$13)*$D19/$D$34</f>
        <v>0.64</v>
      </c>
      <c r="BM18" s="219" t="n">
        <f aca="false">1-BL18</f>
        <v>0.36</v>
      </c>
      <c r="BN18" s="234"/>
      <c r="BO18" s="19"/>
      <c r="BR18" s="24"/>
      <c r="BS18" s="80"/>
      <c r="BT18" s="71" t="s">
        <v>88</v>
      </c>
      <c r="BU18" s="71"/>
      <c r="BV18" s="105" t="n">
        <f aca="false">'Input-Start'!BA19</f>
        <v>0</v>
      </c>
      <c r="BW18" s="73"/>
      <c r="BX18" s="27"/>
    </row>
    <row r="19" customFormat="false" ht="16" hidden="false" customHeight="false" outlineLevel="0" collapsed="false">
      <c r="B19" s="96"/>
      <c r="C19" s="203"/>
      <c r="D19" s="99" t="n">
        <v>5</v>
      </c>
      <c r="E19" s="235" t="n">
        <f aca="false">E$14+(E$34-E$14)*$D19/$D$34</f>
        <v>21762129.75</v>
      </c>
      <c r="F19" s="236" t="n">
        <f aca="false">F$14+(F$34-F$14)*$D19/$D$34</f>
        <v>0.2475</v>
      </c>
      <c r="G19" s="234"/>
      <c r="H19" s="19"/>
      <c r="K19" s="96"/>
      <c r="L19" s="99" t="n">
        <v>1</v>
      </c>
      <c r="M19" s="251" t="n">
        <f aca="false">E15/$N$18</f>
        <v>8436.81784289615</v>
      </c>
      <c r="N19" s="252" t="n">
        <f aca="false">E15/M19</f>
        <v>2319.04548780488</v>
      </c>
      <c r="O19" s="253" t="n">
        <f aca="false">O18</f>
        <v>2</v>
      </c>
      <c r="P19" s="254" t="n">
        <f aca="false">P18</f>
        <v>0.3</v>
      </c>
      <c r="Q19" s="19"/>
      <c r="T19" s="96"/>
      <c r="U19" s="255" t="n">
        <v>1</v>
      </c>
      <c r="V19" s="251" t="n">
        <f aca="false">E15/$W$18</f>
        <v>8436.81784289615</v>
      </c>
      <c r="W19" s="256" t="n">
        <f aca="false">E15/V19</f>
        <v>2319.04548780488</v>
      </c>
      <c r="X19" s="253" t="n">
        <f aca="false">X18</f>
        <v>2</v>
      </c>
      <c r="Y19" s="254" t="n">
        <f aca="false">Y18</f>
        <v>0.7</v>
      </c>
      <c r="Z19" s="19"/>
      <c r="AA19" s="23"/>
      <c r="AB19" s="7"/>
      <c r="AC19" s="24"/>
      <c r="AD19" s="99" t="n">
        <v>5</v>
      </c>
      <c r="AE19" s="222" t="n">
        <f aca="false">'Input-Start'!N25^(1+Inflation_Rate)^Year</f>
        <v>0</v>
      </c>
      <c r="AF19" s="237" t="n">
        <f aca="false">Cost_PY*(PY_for_Inf+PY!$L11)*(1+Inflation_Rate)^Year</f>
        <v>5234863.0579368</v>
      </c>
      <c r="AG19" s="237" t="n">
        <f aca="false">AG18*(1+Inflation_Rate)</f>
        <v>9687.07964870269</v>
      </c>
      <c r="AH19" s="237" t="n">
        <f aca="false">AH18*(1+Inflation_Rate)</f>
        <v>344443.512956016</v>
      </c>
      <c r="AI19" s="27"/>
      <c r="AJ19" s="7"/>
      <c r="AL19" s="24"/>
      <c r="AM19" s="99" t="n">
        <v>5</v>
      </c>
      <c r="AN19" s="226" t="n">
        <f aca="false">'Input-Start'!W24*(1+Inflation_Rate)^Year</f>
        <v>335688.675146902</v>
      </c>
      <c r="AO19" s="238" t="n">
        <f aca="false">'Input-Start'!X24*(1+Inflation_Rate)^'Input-Detail'!$AM19</f>
        <v>0</v>
      </c>
      <c r="AP19" s="239" t="n">
        <f aca="false">Cost_PY*(PY_for_Inf+PY!$Q11)*(1+Inflation_Rate)^$AM19</f>
        <v>3984281.36111918</v>
      </c>
      <c r="AQ19" s="240" t="n">
        <f aca="false">AQ18*(1+Inflation_Rate)</f>
        <v>9686.8941648508</v>
      </c>
      <c r="AR19" s="241" t="n">
        <f aca="false">AR18*(1+Inflation_Rate)</f>
        <v>349822.544660768</v>
      </c>
      <c r="AS19" s="27"/>
      <c r="AT19" s="48"/>
      <c r="AV19" s="24"/>
      <c r="AW19" s="126" t="s">
        <v>233</v>
      </c>
      <c r="AX19" s="71"/>
      <c r="AY19" s="71"/>
      <c r="AZ19" s="146"/>
      <c r="BA19" s="73"/>
      <c r="BB19" s="27"/>
      <c r="BE19" s="96"/>
      <c r="BF19" s="152"/>
      <c r="BG19" s="99" t="n">
        <v>6</v>
      </c>
      <c r="BH19" s="233" t="n">
        <f aca="false">BH$13+(BH$33-BH$13)*$D20/$D$34</f>
        <v>0.83</v>
      </c>
      <c r="BI19" s="218" t="n">
        <f aca="false">1-BH19</f>
        <v>0.17</v>
      </c>
      <c r="BJ19" s="233" t="n">
        <f aca="false">BJ$13+(BJ$33-BJ$13)*$D20/$D$34</f>
        <v>0.881</v>
      </c>
      <c r="BK19" s="218" t="n">
        <f aca="false">1-BJ19</f>
        <v>0.119</v>
      </c>
      <c r="BL19" s="233" t="n">
        <f aca="false">BL$13+(BL$33-BL$13)*$D20/$D$34</f>
        <v>0.64</v>
      </c>
      <c r="BM19" s="219" t="n">
        <f aca="false">1-BL19</f>
        <v>0.36</v>
      </c>
      <c r="BN19" s="234"/>
      <c r="BO19" s="19"/>
      <c r="BR19" s="24"/>
      <c r="BS19" s="80"/>
      <c r="BT19" s="71" t="s">
        <v>93</v>
      </c>
      <c r="BU19" s="71"/>
      <c r="BV19" s="120" t="n">
        <f aca="false">'Input-Start'!BA20</f>
        <v>0.15</v>
      </c>
      <c r="BW19" s="73"/>
      <c r="BX19" s="27"/>
    </row>
    <row r="20" customFormat="false" ht="16" hidden="false" customHeight="false" outlineLevel="0" collapsed="false">
      <c r="B20" s="96"/>
      <c r="C20" s="152"/>
      <c r="D20" s="99" t="n">
        <v>6</v>
      </c>
      <c r="E20" s="235" t="n">
        <f aca="false">E$14+(E$34-E$14)*$D20/$D$34</f>
        <v>22311321.1</v>
      </c>
      <c r="F20" s="236" t="n">
        <f aca="false">F$14+(F$34-F$14)*$D20/$D$34</f>
        <v>0.297</v>
      </c>
      <c r="G20" s="234"/>
      <c r="H20" s="19"/>
      <c r="K20" s="96"/>
      <c r="L20" s="99" t="n">
        <v>2</v>
      </c>
      <c r="M20" s="251" t="n">
        <f aca="false">E16/$N$18</f>
        <v>8673.6356857923</v>
      </c>
      <c r="N20" s="252" t="n">
        <f aca="false">E16/M20</f>
        <v>2319.04548780488</v>
      </c>
      <c r="O20" s="253" t="n">
        <f aca="false">O19</f>
        <v>2</v>
      </c>
      <c r="P20" s="254" t="n">
        <f aca="false">P19</f>
        <v>0.3</v>
      </c>
      <c r="Q20" s="19"/>
      <c r="T20" s="96"/>
      <c r="U20" s="255" t="n">
        <v>2</v>
      </c>
      <c r="V20" s="251" t="n">
        <f aca="false">E16/$W$18</f>
        <v>8673.6356857923</v>
      </c>
      <c r="W20" s="256" t="n">
        <f aca="false">E16/V20</f>
        <v>2319.04548780488</v>
      </c>
      <c r="X20" s="253" t="n">
        <f aca="false">X19</f>
        <v>2</v>
      </c>
      <c r="Y20" s="254" t="n">
        <f aca="false">Y19</f>
        <v>0.7</v>
      </c>
      <c r="Z20" s="19"/>
      <c r="AA20" s="23"/>
      <c r="AB20" s="7"/>
      <c r="AC20" s="24"/>
      <c r="AD20" s="99" t="n">
        <v>6</v>
      </c>
      <c r="AE20" s="222" t="n">
        <f aca="false">'Input-Start'!N26^(1+Inflation_Rate)^Year</f>
        <v>0</v>
      </c>
      <c r="AF20" s="237" t="n">
        <f aca="false">Cost_PY*(PY_for_Inf+PY!$L12)*(1+Inflation_Rate)^Year</f>
        <v>5513938.43375091</v>
      </c>
      <c r="AG20" s="237" t="n">
        <f aca="false">AG19*(1+Inflation_Rate)</f>
        <v>9977.69203816377</v>
      </c>
      <c r="AH20" s="237" t="n">
        <f aca="false">AH19*(1+Inflation_Rate)</f>
        <v>354776.818344697</v>
      </c>
      <c r="AI20" s="27"/>
      <c r="AJ20" s="7"/>
      <c r="AL20" s="24"/>
      <c r="AM20" s="99" t="n">
        <v>6</v>
      </c>
      <c r="AN20" s="226" t="n">
        <f aca="false">'Input-Start'!W25*(1+Inflation_Rate)^Year</f>
        <v>365422.988620549</v>
      </c>
      <c r="AO20" s="238" t="n">
        <f aca="false">'Input-Start'!X25*(1+Inflation_Rate)^'Input-Detail'!$AM20</f>
        <v>0</v>
      </c>
      <c r="AP20" s="239" t="n">
        <f aca="false">Cost_PY*(PY_for_Inf+PY!$Q12)*(1+Inflation_Rate)^$AM20</f>
        <v>3950238.67601362</v>
      </c>
      <c r="AQ20" s="240" t="n">
        <f aca="false">AQ19*(1+Inflation_Rate)</f>
        <v>9977.50098979632</v>
      </c>
      <c r="AR20" s="241" t="n">
        <f aca="false">AR19*(1+Inflation_Rate)</f>
        <v>360317.221000591</v>
      </c>
      <c r="AS20" s="27"/>
      <c r="AT20" s="48"/>
      <c r="AV20" s="24"/>
      <c r="AW20" s="67"/>
      <c r="AX20" s="71" t="s">
        <v>156</v>
      </c>
      <c r="AY20" s="71"/>
      <c r="AZ20" s="120" t="n">
        <f aca="false">'Input-Start'!AI37</f>
        <v>1.35</v>
      </c>
      <c r="BA20" s="73"/>
      <c r="BB20" s="27"/>
      <c r="BE20" s="96"/>
      <c r="BF20" s="152"/>
      <c r="BG20" s="99" t="n">
        <v>7</v>
      </c>
      <c r="BH20" s="233" t="n">
        <f aca="false">BH$13+(BH$33-BH$13)*$D21/$D$34</f>
        <v>0.83</v>
      </c>
      <c r="BI20" s="218" t="n">
        <f aca="false">1-BH20</f>
        <v>0.17</v>
      </c>
      <c r="BJ20" s="233" t="n">
        <f aca="false">BJ$13+(BJ$33-BJ$13)*$D21/$D$34</f>
        <v>0.8895</v>
      </c>
      <c r="BK20" s="218" t="n">
        <f aca="false">1-BJ20</f>
        <v>0.1105</v>
      </c>
      <c r="BL20" s="233" t="n">
        <f aca="false">BL$13+(BL$33-BL$13)*$D21/$D$34</f>
        <v>0.64</v>
      </c>
      <c r="BM20" s="219" t="n">
        <f aca="false">1-BL20</f>
        <v>0.36</v>
      </c>
      <c r="BN20" s="234"/>
      <c r="BO20" s="257"/>
      <c r="BR20" s="24"/>
      <c r="BS20" s="80"/>
      <c r="BT20" s="71" t="s">
        <v>101</v>
      </c>
      <c r="BU20" s="71"/>
      <c r="BV20" s="81" t="n">
        <f aca="false">'Input-Start'!BA21</f>
        <v>2.5</v>
      </c>
      <c r="BW20" s="73"/>
      <c r="BX20" s="27"/>
    </row>
    <row r="21" customFormat="false" ht="16" hidden="false" customHeight="false" outlineLevel="0" collapsed="false">
      <c r="B21" s="96"/>
      <c r="C21" s="152"/>
      <c r="D21" s="99" t="n">
        <v>7</v>
      </c>
      <c r="E21" s="235" t="n">
        <f aca="false">E$14+(E$34-E$14)*$D21/$D$34</f>
        <v>22860512.45</v>
      </c>
      <c r="F21" s="236" t="n">
        <f aca="false">F$14+(F$34-F$14)*$D21/$D$34</f>
        <v>0.3465</v>
      </c>
      <c r="G21" s="234"/>
      <c r="H21" s="19"/>
      <c r="K21" s="96"/>
      <c r="L21" s="99" t="n">
        <v>3</v>
      </c>
      <c r="M21" s="251" t="n">
        <f aca="false">E17/$N$18</f>
        <v>8910.45352868845</v>
      </c>
      <c r="N21" s="252" t="n">
        <f aca="false">E17/M21</f>
        <v>2319.04548780488</v>
      </c>
      <c r="O21" s="253" t="n">
        <f aca="false">O20</f>
        <v>2</v>
      </c>
      <c r="P21" s="254" t="n">
        <f aca="false">P20</f>
        <v>0.3</v>
      </c>
      <c r="Q21" s="19"/>
      <c r="T21" s="96"/>
      <c r="U21" s="255" t="n">
        <v>3</v>
      </c>
      <c r="V21" s="251" t="n">
        <f aca="false">E17/$W$18</f>
        <v>8910.45352868845</v>
      </c>
      <c r="W21" s="256" t="n">
        <f aca="false">E17/V21</f>
        <v>2319.04548780488</v>
      </c>
      <c r="X21" s="253" t="n">
        <f aca="false">X20</f>
        <v>2</v>
      </c>
      <c r="Y21" s="254" t="n">
        <f aca="false">Y20</f>
        <v>0.7</v>
      </c>
      <c r="Z21" s="19"/>
      <c r="AA21" s="23"/>
      <c r="AB21" s="7"/>
      <c r="AC21" s="24"/>
      <c r="AD21" s="99" t="n">
        <v>7</v>
      </c>
      <c r="AE21" s="222" t="n">
        <f aca="false">'Input-Start'!N27^(1+Inflation_Rate)^Year</f>
        <v>0</v>
      </c>
      <c r="AF21" s="237" t="n">
        <f aca="false">Cost_PY*(PY_for_Inf+PY!$L13)*(1+Inflation_Rate)^Year</f>
        <v>5805046.95536173</v>
      </c>
      <c r="AG21" s="237" t="n">
        <f aca="false">AG20*(1+Inflation_Rate)</f>
        <v>10277.0227993087</v>
      </c>
      <c r="AH21" s="237" t="n">
        <f aca="false">AH20*(1+Inflation_Rate)</f>
        <v>365420.122895038</v>
      </c>
      <c r="AI21" s="27"/>
      <c r="AJ21" s="7"/>
      <c r="AL21" s="24"/>
      <c r="AM21" s="99" t="n">
        <v>7</v>
      </c>
      <c r="AN21" s="226" t="n">
        <f aca="false">'Input-Start'!W26*(1+Inflation_Rate)^Year</f>
        <v>397533.359395146</v>
      </c>
      <c r="AO21" s="238" t="n">
        <f aca="false">'Input-Start'!X26*(1+Inflation_Rate)^'Input-Detail'!$AM21</f>
        <v>0</v>
      </c>
      <c r="AP21" s="239" t="n">
        <f aca="false">Cost_PY*(PY_for_Inf+PY!$Q13)*(1+Inflation_Rate)^$AM21</f>
        <v>3898124.23008548</v>
      </c>
      <c r="AQ21" s="240" t="n">
        <f aca="false">AQ20*(1+Inflation_Rate)</f>
        <v>10276.8260194902</v>
      </c>
      <c r="AR21" s="241" t="n">
        <f aca="false">AR20*(1+Inflation_Rate)</f>
        <v>371126.737630609</v>
      </c>
      <c r="AS21" s="27"/>
      <c r="AT21" s="48"/>
      <c r="AV21" s="24"/>
      <c r="AW21" s="67"/>
      <c r="AX21" s="71" t="s">
        <v>159</v>
      </c>
      <c r="AY21" s="71"/>
      <c r="AZ21" s="169" t="n">
        <f aca="false">'Input-Start'!AI38</f>
        <v>160</v>
      </c>
      <c r="BA21" s="73"/>
      <c r="BB21" s="27"/>
      <c r="BE21" s="96"/>
      <c r="BF21" s="152"/>
      <c r="BG21" s="99" t="n">
        <v>8</v>
      </c>
      <c r="BH21" s="233" t="n">
        <f aca="false">BH$13+(BH$33-BH$13)*$D22/$D$34</f>
        <v>0.83</v>
      </c>
      <c r="BI21" s="218" t="n">
        <f aca="false">1-BH21</f>
        <v>0.17</v>
      </c>
      <c r="BJ21" s="233" t="n">
        <f aca="false">BJ$13+(BJ$33-BJ$13)*$D22/$D$34</f>
        <v>0.898</v>
      </c>
      <c r="BK21" s="218" t="n">
        <f aca="false">1-BJ21</f>
        <v>0.102</v>
      </c>
      <c r="BL21" s="233" t="n">
        <f aca="false">BL$13+(BL$33-BL$13)*$D22/$D$34</f>
        <v>0.64</v>
      </c>
      <c r="BM21" s="219" t="n">
        <f aca="false">1-BL21</f>
        <v>0.36</v>
      </c>
      <c r="BN21" s="234"/>
      <c r="BO21" s="257"/>
      <c r="BR21" s="24"/>
      <c r="BS21" s="67" t="s">
        <v>127</v>
      </c>
      <c r="BT21" s="71"/>
      <c r="BU21" s="71"/>
      <c r="BV21" s="76"/>
      <c r="BW21" s="73"/>
      <c r="BX21" s="27"/>
    </row>
    <row r="22" customFormat="false" ht="16" hidden="false" customHeight="false" outlineLevel="0" collapsed="false">
      <c r="B22" s="96"/>
      <c r="C22" s="152"/>
      <c r="D22" s="99" t="n">
        <v>8</v>
      </c>
      <c r="E22" s="235" t="n">
        <f aca="false">E$14+(E$34-E$14)*$D22/$D$34</f>
        <v>23409703.8</v>
      </c>
      <c r="F22" s="236" t="n">
        <f aca="false">F$14+(F$34-F$14)*$D22/$D$34</f>
        <v>0.396</v>
      </c>
      <c r="G22" s="234"/>
      <c r="H22" s="257"/>
      <c r="K22" s="96"/>
      <c r="L22" s="99" t="n">
        <v>4</v>
      </c>
      <c r="M22" s="251" t="n">
        <f aca="false">E18/$N$18</f>
        <v>9147.2713715846</v>
      </c>
      <c r="N22" s="252" t="n">
        <f aca="false">E18/M22</f>
        <v>2319.04548780488</v>
      </c>
      <c r="O22" s="253" t="n">
        <f aca="false">O21</f>
        <v>2</v>
      </c>
      <c r="P22" s="254" t="n">
        <f aca="false">P21</f>
        <v>0.3</v>
      </c>
      <c r="Q22" s="19"/>
      <c r="T22" s="96"/>
      <c r="U22" s="255" t="n">
        <v>4</v>
      </c>
      <c r="V22" s="251" t="n">
        <f aca="false">E18/$W$18</f>
        <v>9147.2713715846</v>
      </c>
      <c r="W22" s="256" t="n">
        <f aca="false">E18/V22</f>
        <v>2319.04548780488</v>
      </c>
      <c r="X22" s="253" t="n">
        <f aca="false">X21</f>
        <v>2</v>
      </c>
      <c r="Y22" s="254" t="n">
        <f aca="false">Y21</f>
        <v>0.7</v>
      </c>
      <c r="Z22" s="19"/>
      <c r="AA22" s="23"/>
      <c r="AB22" s="7"/>
      <c r="AC22" s="24"/>
      <c r="AD22" s="99" t="n">
        <v>8</v>
      </c>
      <c r="AE22" s="222" t="n">
        <f aca="false">'Input-Start'!N28^(1+Inflation_Rate)^Year</f>
        <v>0</v>
      </c>
      <c r="AF22" s="237" t="n">
        <f aca="false">Cost_PY*(PY_for_Inf+PY!$L14)*(1+Inflation_Rate)^Year</f>
        <v>6108659.44367882</v>
      </c>
      <c r="AG22" s="237" t="n">
        <f aca="false">AG21*(1+Inflation_Rate)</f>
        <v>10585.3334832879</v>
      </c>
      <c r="AH22" s="237" t="n">
        <f aca="false">AH21*(1+Inflation_Rate)</f>
        <v>376382.726581889</v>
      </c>
      <c r="AI22" s="27"/>
      <c r="AJ22" s="7"/>
      <c r="AL22" s="24"/>
      <c r="AM22" s="99" t="n">
        <v>8</v>
      </c>
      <c r="AN22" s="226" t="n">
        <f aca="false">'Input-Start'!W27*(1+Inflation_Rate)^Year</f>
        <v>432200.416678071</v>
      </c>
      <c r="AO22" s="238" t="n">
        <f aca="false">'Input-Start'!X27*(1+Inflation_Rate)^'Input-Detail'!$AM22</f>
        <v>0</v>
      </c>
      <c r="AP22" s="239" t="n">
        <f aca="false">Cost_PY*(PY_for_Inf+PY!$Q14)*(1+Inflation_Rate)^$AM22</f>
        <v>3778075.72906599</v>
      </c>
      <c r="AQ22" s="240" t="n">
        <f aca="false">AQ21*(1+Inflation_Rate)</f>
        <v>10585.1308000749</v>
      </c>
      <c r="AR22" s="241" t="n">
        <f aca="false">AR21*(1+Inflation_Rate)</f>
        <v>382260.539759527</v>
      </c>
      <c r="AS22" s="27"/>
      <c r="AT22" s="48"/>
      <c r="AV22" s="24"/>
      <c r="AW22" s="129"/>
      <c r="AX22" s="71" t="s">
        <v>162</v>
      </c>
      <c r="AY22" s="71"/>
      <c r="AZ22" s="170" t="n">
        <f aca="false">'Input-Start'!AI39</f>
        <v>0</v>
      </c>
      <c r="BA22" s="73"/>
      <c r="BB22" s="27"/>
      <c r="BE22" s="96"/>
      <c r="BF22" s="152"/>
      <c r="BG22" s="99" t="n">
        <v>9</v>
      </c>
      <c r="BH22" s="233" t="n">
        <f aca="false">BH$13+(BH$33-BH$13)*$D23/$D$34</f>
        <v>0.83</v>
      </c>
      <c r="BI22" s="218" t="n">
        <f aca="false">1-BH22</f>
        <v>0.17</v>
      </c>
      <c r="BJ22" s="233" t="n">
        <f aca="false">BJ$13+(BJ$33-BJ$13)*$D23/$D$34</f>
        <v>0.9065</v>
      </c>
      <c r="BK22" s="218" t="n">
        <f aca="false">1-BJ22</f>
        <v>0.0935</v>
      </c>
      <c r="BL22" s="233" t="n">
        <f aca="false">BL$13+(BL$33-BL$13)*$D23/$D$34</f>
        <v>0.64</v>
      </c>
      <c r="BM22" s="219" t="n">
        <f aca="false">1-BL22</f>
        <v>0.36</v>
      </c>
      <c r="BN22" s="234"/>
      <c r="BO22" s="257"/>
      <c r="BR22" s="24"/>
      <c r="BS22" s="80"/>
      <c r="BT22" s="71" t="s">
        <v>88</v>
      </c>
      <c r="BU22" s="71"/>
      <c r="BV22" s="134" t="n">
        <f aca="false">'Input-Start'!BA23</f>
        <v>1.275</v>
      </c>
      <c r="BW22" s="73"/>
      <c r="BX22" s="27"/>
    </row>
    <row r="23" customFormat="false" ht="16" hidden="false" customHeight="false" outlineLevel="0" collapsed="false">
      <c r="B23" s="96"/>
      <c r="C23" s="152"/>
      <c r="D23" s="99" t="n">
        <v>9</v>
      </c>
      <c r="E23" s="235" t="n">
        <f aca="false">E$14+(E$34-E$14)*$D23/$D$34</f>
        <v>23958895.15</v>
      </c>
      <c r="F23" s="236" t="n">
        <f aca="false">F$14+(F$34-F$14)*$D23/$D$34</f>
        <v>0.4455</v>
      </c>
      <c r="G23" s="234"/>
      <c r="H23" s="257"/>
      <c r="K23" s="96"/>
      <c r="L23" s="99" t="n">
        <v>5</v>
      </c>
      <c r="M23" s="251" t="n">
        <f aca="false">E19/$N$18</f>
        <v>9384.08921448075</v>
      </c>
      <c r="N23" s="252" t="n">
        <f aca="false">E19/M23</f>
        <v>2319.04548780488</v>
      </c>
      <c r="O23" s="253" t="n">
        <f aca="false">O22</f>
        <v>2</v>
      </c>
      <c r="P23" s="254" t="n">
        <f aca="false">P22</f>
        <v>0.3</v>
      </c>
      <c r="Q23" s="19"/>
      <c r="T23" s="96"/>
      <c r="U23" s="255" t="n">
        <v>5</v>
      </c>
      <c r="V23" s="251" t="n">
        <f aca="false">E19/$W$18</f>
        <v>9384.08921448075</v>
      </c>
      <c r="W23" s="256" t="n">
        <f aca="false">E19/V23</f>
        <v>2319.04548780488</v>
      </c>
      <c r="X23" s="253" t="n">
        <f aca="false">X22</f>
        <v>2</v>
      </c>
      <c r="Y23" s="254" t="n">
        <f aca="false">Y22</f>
        <v>0.7</v>
      </c>
      <c r="Z23" s="19"/>
      <c r="AA23" s="23"/>
      <c r="AB23" s="7"/>
      <c r="AC23" s="24"/>
      <c r="AD23" s="99" t="n">
        <v>9</v>
      </c>
      <c r="AE23" s="222" t="n">
        <f aca="false">'Input-Start'!N29^(1+Inflation_Rate)^Year</f>
        <v>0</v>
      </c>
      <c r="AF23" s="237" t="n">
        <f aca="false">Cost_PY*(PY_for_Inf+PY!$L15)*(1+Inflation_Rate)^Year</f>
        <v>6425264.13903511</v>
      </c>
      <c r="AG23" s="237" t="n">
        <f aca="false">AG22*(1+Inflation_Rate)</f>
        <v>10902.8934877866</v>
      </c>
      <c r="AH23" s="237" t="n">
        <f aca="false">AH22*(1+Inflation_Rate)</f>
        <v>387674.208379345</v>
      </c>
      <c r="AI23" s="27"/>
      <c r="AJ23" s="7"/>
      <c r="AL23" s="24"/>
      <c r="AM23" s="99" t="n">
        <v>9</v>
      </c>
      <c r="AN23" s="226" t="n">
        <f aca="false">'Input-Start'!W28*(1+Inflation_Rate)^Year</f>
        <v>469613.964323822</v>
      </c>
      <c r="AO23" s="238" t="n">
        <f aca="false">'Input-Start'!X28*(1+Inflation_Rate)^'Input-Detail'!$AM23</f>
        <v>0</v>
      </c>
      <c r="AP23" s="239" t="n">
        <f aca="false">Cost_PY*(PY_for_Inf+PY!$Q15)*(1+Inflation_Rate)^$AM23</f>
        <v>3684003.24632623</v>
      </c>
      <c r="AQ23" s="240" t="n">
        <f aca="false">AQ22*(1+Inflation_Rate)</f>
        <v>10902.6847240772</v>
      </c>
      <c r="AR23" s="241" t="n">
        <f aca="false">AR22*(1+Inflation_Rate)</f>
        <v>393728.355952313</v>
      </c>
      <c r="AS23" s="27"/>
      <c r="AT23" s="48"/>
      <c r="AV23" s="24"/>
      <c r="AW23" s="67"/>
      <c r="AX23" s="71" t="s">
        <v>166</v>
      </c>
      <c r="AY23" s="71"/>
      <c r="AZ23" s="170" t="n">
        <f aca="false">'Input-Start'!AI40</f>
        <v>20</v>
      </c>
      <c r="BA23" s="73"/>
      <c r="BB23" s="27"/>
      <c r="BE23" s="96"/>
      <c r="BF23" s="152"/>
      <c r="BG23" s="99" t="n">
        <v>10</v>
      </c>
      <c r="BH23" s="233" t="n">
        <f aca="false">BH$13+(BH$33-BH$13)*$D24/$D$34</f>
        <v>0.83</v>
      </c>
      <c r="BI23" s="218" t="n">
        <f aca="false">1-BH23</f>
        <v>0.17</v>
      </c>
      <c r="BJ23" s="233" t="n">
        <f aca="false">BJ$13+(BJ$33-BJ$13)*$D24/$D$34</f>
        <v>0.915</v>
      </c>
      <c r="BK23" s="218" t="n">
        <f aca="false">1-BJ23</f>
        <v>0.085</v>
      </c>
      <c r="BL23" s="233" t="n">
        <f aca="false">BL$13+(BL$33-BL$13)*$D24/$D$34</f>
        <v>0.64</v>
      </c>
      <c r="BM23" s="219" t="n">
        <f aca="false">1-BL23</f>
        <v>0.36</v>
      </c>
      <c r="BN23" s="234"/>
      <c r="BO23" s="257"/>
      <c r="BR23" s="24"/>
      <c r="BS23" s="80"/>
      <c r="BT23" s="71" t="s">
        <v>93</v>
      </c>
      <c r="BU23" s="71"/>
      <c r="BV23" s="134" t="n">
        <f aca="false">'Input-Start'!BA24</f>
        <v>1.275</v>
      </c>
      <c r="BW23" s="73"/>
      <c r="BX23" s="27"/>
    </row>
    <row r="24" customFormat="false" ht="16" hidden="false" customHeight="false" outlineLevel="0" collapsed="false">
      <c r="B24" s="96"/>
      <c r="C24" s="152"/>
      <c r="D24" s="99" t="n">
        <v>10</v>
      </c>
      <c r="E24" s="235" t="n">
        <f aca="false">E$14+(E$34-E$14)*$D24/$D$34</f>
        <v>24508086.5</v>
      </c>
      <c r="F24" s="236" t="n">
        <f aca="false">F$14+(F$34-F$14)*$D24/$D$34</f>
        <v>0.495</v>
      </c>
      <c r="G24" s="234"/>
      <c r="H24" s="257"/>
      <c r="K24" s="96"/>
      <c r="L24" s="99" t="n">
        <v>6</v>
      </c>
      <c r="M24" s="251" t="n">
        <f aca="false">E20/$N$18</f>
        <v>9620.9070573769</v>
      </c>
      <c r="N24" s="252" t="n">
        <f aca="false">E20/M24</f>
        <v>2319.04548780488</v>
      </c>
      <c r="O24" s="253" t="n">
        <f aca="false">O23</f>
        <v>2</v>
      </c>
      <c r="P24" s="254" t="n">
        <f aca="false">P23</f>
        <v>0.3</v>
      </c>
      <c r="Q24" s="19"/>
      <c r="T24" s="96"/>
      <c r="U24" s="255" t="n">
        <v>6</v>
      </c>
      <c r="V24" s="251" t="n">
        <f aca="false">E20/$W$18</f>
        <v>9620.9070573769</v>
      </c>
      <c r="W24" s="256" t="n">
        <f aca="false">E20/V24</f>
        <v>2319.04548780488</v>
      </c>
      <c r="X24" s="253" t="n">
        <f aca="false">X23</f>
        <v>2</v>
      </c>
      <c r="Y24" s="254" t="n">
        <f aca="false">Y23</f>
        <v>0.7</v>
      </c>
      <c r="Z24" s="19"/>
      <c r="AA24" s="23"/>
      <c r="AB24" s="7"/>
      <c r="AC24" s="24"/>
      <c r="AD24" s="99" t="n">
        <v>10</v>
      </c>
      <c r="AE24" s="222" t="n">
        <f aca="false">'Input-Start'!N30^(1+Inflation_Rate)^Year</f>
        <v>0</v>
      </c>
      <c r="AF24" s="237" t="n">
        <f aca="false">Cost_PY*(PY_for_Inf+PY!$L16)*(1+Inflation_Rate)^Year</f>
        <v>6755367.32261347</v>
      </c>
      <c r="AG24" s="237" t="n">
        <f aca="false">AG23*(1+Inflation_Rate)</f>
        <v>11229.9802924202</v>
      </c>
      <c r="AH24" s="237" t="n">
        <f aca="false">AH23*(1+Inflation_Rate)</f>
        <v>399304.434630726</v>
      </c>
      <c r="AI24" s="27"/>
      <c r="AJ24" s="7"/>
      <c r="AL24" s="24"/>
      <c r="AM24" s="99" t="n">
        <v>10</v>
      </c>
      <c r="AN24" s="226" t="n">
        <f aca="false">'Input-Start'!W29*(1+Inflation_Rate)^Year</f>
        <v>509982.668051611</v>
      </c>
      <c r="AO24" s="238" t="n">
        <f aca="false">'Input-Start'!X29*(1+Inflation_Rate)^'Input-Detail'!$AM24</f>
        <v>0</v>
      </c>
      <c r="AP24" s="239" t="n">
        <f aca="false">Cost_PY*(PY_for_Inf+PY!$Q16)*(1+Inflation_Rate)^$AM24</f>
        <v>3567288.96578461</v>
      </c>
      <c r="AQ24" s="240" t="n">
        <f aca="false">AQ23*(1+Inflation_Rate)</f>
        <v>11229.7652657995</v>
      </c>
      <c r="AR24" s="241" t="n">
        <f aca="false">AR23*(1+Inflation_Rate)</f>
        <v>405540.206630882</v>
      </c>
      <c r="AS24" s="27"/>
      <c r="AT24" s="48"/>
      <c r="AV24" s="24"/>
      <c r="AW24" s="77" t="s">
        <v>87</v>
      </c>
      <c r="AX24" s="78"/>
      <c r="AY24" s="78"/>
      <c r="AZ24" s="78"/>
      <c r="BA24" s="79"/>
      <c r="BB24" s="27"/>
      <c r="BE24" s="96"/>
      <c r="BF24" s="152"/>
      <c r="BG24" s="99" t="n">
        <v>11</v>
      </c>
      <c r="BH24" s="233" t="n">
        <f aca="false">BH$13+(BH$33-BH$13)*$D25/$D$34</f>
        <v>0.83</v>
      </c>
      <c r="BI24" s="218" t="n">
        <f aca="false">1-BH24</f>
        <v>0.17</v>
      </c>
      <c r="BJ24" s="233" t="n">
        <f aca="false">BJ$13+(BJ$33-BJ$13)*$D25/$D$34</f>
        <v>0.9235</v>
      </c>
      <c r="BK24" s="218" t="n">
        <f aca="false">1-BJ24</f>
        <v>0.0765</v>
      </c>
      <c r="BL24" s="233" t="n">
        <f aca="false">BL$13+(BL$33-BL$13)*$D25/$D$34</f>
        <v>0.64</v>
      </c>
      <c r="BM24" s="219" t="n">
        <f aca="false">1-BL24</f>
        <v>0.36</v>
      </c>
      <c r="BN24" s="234"/>
      <c r="BO24" s="257"/>
      <c r="BR24" s="24"/>
      <c r="BS24" s="80"/>
      <c r="BT24" s="71" t="s">
        <v>101</v>
      </c>
      <c r="BU24" s="71"/>
      <c r="BV24" s="139" t="n">
        <f aca="false">'Input-Start'!BA25</f>
        <v>0.0063</v>
      </c>
      <c r="BW24" s="73"/>
      <c r="BX24" s="27"/>
    </row>
    <row r="25" customFormat="false" ht="16" hidden="false" customHeight="false" outlineLevel="0" collapsed="false">
      <c r="B25" s="96"/>
      <c r="C25" s="152"/>
      <c r="D25" s="99" t="n">
        <v>11</v>
      </c>
      <c r="E25" s="235" t="n">
        <f aca="false">E$14+(E$34-E$14)*$D25/$D$34</f>
        <v>25057277.85</v>
      </c>
      <c r="F25" s="236" t="n">
        <f aca="false">F$14+(F$34-F$14)*$D25/$D$34</f>
        <v>0.5445</v>
      </c>
      <c r="G25" s="234"/>
      <c r="H25" s="257"/>
      <c r="K25" s="96"/>
      <c r="L25" s="99" t="n">
        <v>7</v>
      </c>
      <c r="M25" s="251" t="n">
        <f aca="false">E21/$N$18</f>
        <v>9857.72490027305</v>
      </c>
      <c r="N25" s="252" t="n">
        <f aca="false">E21/M25</f>
        <v>2319.04548780488</v>
      </c>
      <c r="O25" s="253" t="n">
        <f aca="false">O24</f>
        <v>2</v>
      </c>
      <c r="P25" s="254" t="n">
        <f aca="false">P24</f>
        <v>0.3</v>
      </c>
      <c r="Q25" s="19"/>
      <c r="T25" s="96"/>
      <c r="U25" s="255" t="n">
        <v>7</v>
      </c>
      <c r="V25" s="251" t="n">
        <f aca="false">E21/$W$18</f>
        <v>9857.72490027305</v>
      </c>
      <c r="W25" s="256" t="n">
        <f aca="false">E21/V25</f>
        <v>2319.04548780488</v>
      </c>
      <c r="X25" s="253" t="n">
        <f aca="false">X24</f>
        <v>2</v>
      </c>
      <c r="Y25" s="254" t="n">
        <f aca="false">Y24</f>
        <v>0.7</v>
      </c>
      <c r="Z25" s="19"/>
      <c r="AA25" s="258"/>
      <c r="AB25" s="7"/>
      <c r="AC25" s="24"/>
      <c r="AD25" s="99" t="n">
        <v>11</v>
      </c>
      <c r="AE25" s="222" t="n">
        <f aca="false">'Input-Start'!N31^(1+Inflation_Rate)^Year</f>
        <v>0</v>
      </c>
      <c r="AF25" s="237" t="n">
        <f aca="false">Cost_PY*(PY_for_Inf+PY!$L17)*(1+Inflation_Rate)^Year</f>
        <v>7099493.95948139</v>
      </c>
      <c r="AG25" s="237" t="n">
        <f aca="false">AG24*(1+Inflation_Rate)</f>
        <v>11566.8797011928</v>
      </c>
      <c r="AH25" s="237" t="n">
        <f aca="false">AH24*(1+Inflation_Rate)</f>
        <v>411283.567669648</v>
      </c>
      <c r="AI25" s="27"/>
      <c r="AJ25" s="7"/>
      <c r="AL25" s="24"/>
      <c r="AM25" s="99" t="n">
        <v>11</v>
      </c>
      <c r="AN25" s="226" t="n">
        <f aca="false">'Input-Start'!W30*(1+Inflation_Rate)^Year</f>
        <v>0</v>
      </c>
      <c r="AO25" s="238" t="n">
        <f aca="false">'Input-Start'!X30*(1+Inflation_Rate)^'Input-Detail'!$AM25</f>
        <v>0</v>
      </c>
      <c r="AP25" s="239" t="n">
        <f aca="false">Cost_PY*(PY_for_Inf+PY!$Q17)*(1+Inflation_Rate)^$AM25</f>
        <v>3373324.54021227</v>
      </c>
      <c r="AQ25" s="240" t="n">
        <f aca="false">AQ24*(1+Inflation_Rate)</f>
        <v>11566.6582237735</v>
      </c>
      <c r="AR25" s="241" t="n">
        <f aca="false">AR24*(1+Inflation_Rate)</f>
        <v>417706.412829809</v>
      </c>
      <c r="AS25" s="27"/>
      <c r="AT25" s="48"/>
      <c r="AV25" s="24"/>
      <c r="AW25" s="80"/>
      <c r="AX25" s="71" t="s">
        <v>234</v>
      </c>
      <c r="AY25" s="71"/>
      <c r="AZ25" s="86" t="n">
        <f aca="false">'Input-Start'!AR16</f>
        <v>12</v>
      </c>
      <c r="BA25" s="73"/>
      <c r="BB25" s="27"/>
      <c r="BE25" s="96"/>
      <c r="BF25" s="152"/>
      <c r="BG25" s="99" t="n">
        <v>12</v>
      </c>
      <c r="BH25" s="233" t="n">
        <f aca="false">BH$13+(BH$33-BH$13)*$D26/$D$34</f>
        <v>0.83</v>
      </c>
      <c r="BI25" s="218" t="n">
        <f aca="false">1-BH25</f>
        <v>0.17</v>
      </c>
      <c r="BJ25" s="233" t="n">
        <f aca="false">BJ$13+(BJ$33-BJ$13)*$D26/$D$34</f>
        <v>0.932</v>
      </c>
      <c r="BK25" s="218" t="n">
        <f aca="false">1-BJ25</f>
        <v>0.0680000000000001</v>
      </c>
      <c r="BL25" s="233" t="n">
        <f aca="false">BL$13+(BL$33-BL$13)*$D26/$D$34</f>
        <v>0.64</v>
      </c>
      <c r="BM25" s="219" t="n">
        <f aca="false">1-BL25</f>
        <v>0.36</v>
      </c>
      <c r="BN25" s="234"/>
      <c r="BO25" s="257"/>
      <c r="BR25" s="24"/>
      <c r="BS25" s="140"/>
      <c r="BT25" s="141"/>
      <c r="BU25" s="141"/>
      <c r="BV25" s="142"/>
      <c r="BW25" s="143"/>
      <c r="BX25" s="27"/>
    </row>
    <row r="26" customFormat="false" ht="16" hidden="false" customHeight="false" outlineLevel="0" collapsed="false">
      <c r="B26" s="96"/>
      <c r="C26" s="152"/>
      <c r="D26" s="99" t="n">
        <v>12</v>
      </c>
      <c r="E26" s="235" t="n">
        <f aca="false">E$14+(E$34-E$14)*$D26/$D$34</f>
        <v>25606469.2</v>
      </c>
      <c r="F26" s="236" t="n">
        <f aca="false">F$14+(F$34-F$14)*$D26/$D$34</f>
        <v>0.594</v>
      </c>
      <c r="G26" s="234"/>
      <c r="H26" s="257"/>
      <c r="K26" s="96"/>
      <c r="L26" s="99" t="n">
        <v>8</v>
      </c>
      <c r="M26" s="251" t="n">
        <f aca="false">E22/$N$18</f>
        <v>10094.5427431692</v>
      </c>
      <c r="N26" s="252" t="n">
        <f aca="false">E22/M26</f>
        <v>2319.04548780488</v>
      </c>
      <c r="O26" s="253" t="n">
        <f aca="false">O25</f>
        <v>2</v>
      </c>
      <c r="P26" s="254" t="n">
        <f aca="false">P25</f>
        <v>0.3</v>
      </c>
      <c r="Q26" s="19"/>
      <c r="T26" s="96"/>
      <c r="U26" s="255" t="n">
        <v>8</v>
      </c>
      <c r="V26" s="251" t="n">
        <f aca="false">E22/$W$18</f>
        <v>10094.5427431692</v>
      </c>
      <c r="W26" s="256" t="n">
        <f aca="false">E22/V26</f>
        <v>2319.04548780488</v>
      </c>
      <c r="X26" s="253" t="n">
        <f aca="false">X25</f>
        <v>2</v>
      </c>
      <c r="Y26" s="254" t="n">
        <f aca="false">Y25</f>
        <v>0.7</v>
      </c>
      <c r="Z26" s="19"/>
      <c r="AA26" s="258"/>
      <c r="AB26" s="7"/>
      <c r="AC26" s="24"/>
      <c r="AD26" s="99" t="n">
        <v>12</v>
      </c>
      <c r="AE26" s="222" t="n">
        <f aca="false">'Input-Start'!N32^(1+Inflation_Rate)^Year</f>
        <v>0</v>
      </c>
      <c r="AF26" s="237" t="n">
        <f aca="false">Cost_PY*(PY_for_Inf+PY!$L18)*(1+Inflation_Rate)^Year</f>
        <v>7458188.36397104</v>
      </c>
      <c r="AG26" s="237" t="n">
        <f aca="false">AG25*(1+Inflation_Rate)</f>
        <v>11913.8860922286</v>
      </c>
      <c r="AH26" s="237" t="n">
        <f aca="false">AH25*(1+Inflation_Rate)</f>
        <v>423622.074699737</v>
      </c>
      <c r="AI26" s="27"/>
      <c r="AJ26" s="7"/>
      <c r="AL26" s="24"/>
      <c r="AM26" s="99" t="n">
        <v>12</v>
      </c>
      <c r="AN26" s="226" t="n">
        <f aca="false">'Input-Start'!W31*(1+Inflation_Rate)^Year</f>
        <v>0</v>
      </c>
      <c r="AO26" s="238" t="n">
        <f aca="false">'Input-Start'!X31*(1+Inflation_Rate)^'Input-Detail'!$AM26</f>
        <v>0</v>
      </c>
      <c r="AP26" s="239" t="n">
        <f aca="false">Cost_PY*(PY_for_Inf+PY!$Q18)*(1+Inflation_Rate)^$AM26</f>
        <v>3204600.82690157</v>
      </c>
      <c r="AQ26" s="240" t="n">
        <f aca="false">AQ25*(1+Inflation_Rate)</f>
        <v>11913.6579704867</v>
      </c>
      <c r="AR26" s="241" t="n">
        <f aca="false">AR25*(1+Inflation_Rate)</f>
        <v>430237.605214703</v>
      </c>
      <c r="AS26" s="27"/>
      <c r="AT26" s="48"/>
      <c r="AV26" s="24"/>
      <c r="AW26" s="80"/>
      <c r="AX26" s="71" t="s">
        <v>100</v>
      </c>
      <c r="AY26" s="71"/>
      <c r="AZ26" s="86" t="n">
        <f aca="false">'Input-Start'!AR17</f>
        <v>0.2</v>
      </c>
      <c r="BA26" s="73"/>
      <c r="BB26" s="27"/>
      <c r="BE26" s="96"/>
      <c r="BF26" s="152"/>
      <c r="BG26" s="99" t="n">
        <v>13</v>
      </c>
      <c r="BH26" s="233" t="n">
        <f aca="false">BH$13+(BH$33-BH$13)*$D27/$D$34</f>
        <v>0.83</v>
      </c>
      <c r="BI26" s="218" t="n">
        <f aca="false">1-BH26</f>
        <v>0.17</v>
      </c>
      <c r="BJ26" s="233" t="n">
        <f aca="false">BJ$13+(BJ$33-BJ$13)*$D27/$D$34</f>
        <v>0.9405</v>
      </c>
      <c r="BK26" s="218" t="n">
        <f aca="false">1-BJ26</f>
        <v>0.0595</v>
      </c>
      <c r="BL26" s="233" t="n">
        <f aca="false">BL$13+(BL$33-BL$13)*$D27/$D$34</f>
        <v>0.64</v>
      </c>
      <c r="BM26" s="219" t="n">
        <f aca="false">1-BL26</f>
        <v>0.36</v>
      </c>
      <c r="BN26" s="234"/>
      <c r="BO26" s="257"/>
      <c r="BR26" s="24"/>
      <c r="BS26" s="26"/>
      <c r="BT26" s="26"/>
      <c r="BU26" s="26"/>
      <c r="BV26" s="26"/>
      <c r="BW26" s="26"/>
      <c r="BX26" s="27"/>
    </row>
    <row r="27" customFormat="false" ht="16" hidden="false" customHeight="false" outlineLevel="0" collapsed="false">
      <c r="B27" s="96"/>
      <c r="C27" s="152"/>
      <c r="D27" s="99" t="n">
        <v>13</v>
      </c>
      <c r="E27" s="235" t="n">
        <f aca="false">E$14+(E$34-E$14)*$D27/$D$34</f>
        <v>26155660.55</v>
      </c>
      <c r="F27" s="236" t="n">
        <f aca="false">F$14+(F$34-F$14)*$D27/$D$34</f>
        <v>0.6435</v>
      </c>
      <c r="G27" s="234"/>
      <c r="H27" s="257"/>
      <c r="K27" s="96"/>
      <c r="L27" s="99" t="n">
        <v>9</v>
      </c>
      <c r="M27" s="251" t="n">
        <f aca="false">E23/$N$18</f>
        <v>10331.3605860653</v>
      </c>
      <c r="N27" s="252" t="n">
        <f aca="false">E23/M27</f>
        <v>2319.04548780488</v>
      </c>
      <c r="O27" s="253" t="n">
        <f aca="false">O26</f>
        <v>2</v>
      </c>
      <c r="P27" s="254" t="n">
        <f aca="false">P26</f>
        <v>0.3</v>
      </c>
      <c r="Q27" s="257"/>
      <c r="T27" s="96"/>
      <c r="U27" s="255" t="n">
        <v>9</v>
      </c>
      <c r="V27" s="251" t="n">
        <f aca="false">E23/$W$18</f>
        <v>10331.3605860653</v>
      </c>
      <c r="W27" s="256" t="n">
        <f aca="false">E23/V27</f>
        <v>2319.04548780488</v>
      </c>
      <c r="X27" s="253" t="n">
        <f aca="false">X26</f>
        <v>2</v>
      </c>
      <c r="Y27" s="254" t="n">
        <f aca="false">Y26</f>
        <v>0.7</v>
      </c>
      <c r="Z27" s="257"/>
      <c r="AA27" s="258"/>
      <c r="AB27" s="7"/>
      <c r="AC27" s="24"/>
      <c r="AD27" s="99" t="n">
        <v>13</v>
      </c>
      <c r="AE27" s="222" t="n">
        <f aca="false">'Input-Start'!N33^(1+Inflation_Rate)^Year</f>
        <v>0</v>
      </c>
      <c r="AF27" s="237" t="n">
        <f aca="false">Cost_PY*(PY_for_Inf+PY!$L19)*(1+Inflation_Rate)^Year</f>
        <v>7832014.88816654</v>
      </c>
      <c r="AG27" s="237" t="n">
        <f aca="false">AG26*(1+Inflation_Rate)</f>
        <v>12271.3026749954</v>
      </c>
      <c r="AH27" s="237" t="n">
        <f aca="false">AH26*(1+Inflation_Rate)</f>
        <v>436330.736940729</v>
      </c>
      <c r="AI27" s="27"/>
      <c r="AJ27" s="7"/>
      <c r="AL27" s="24"/>
      <c r="AM27" s="99" t="n">
        <v>13</v>
      </c>
      <c r="AN27" s="226" t="n">
        <f aca="false">'Input-Start'!W32*(1+Inflation_Rate)^Year</f>
        <v>0</v>
      </c>
      <c r="AO27" s="238" t="n">
        <f aca="false">'Input-Start'!X32*(1+Inflation_Rate)^'Input-Detail'!$AM27</f>
        <v>0</v>
      </c>
      <c r="AP27" s="239" t="n">
        <f aca="false">Cost_PY*(PY_for_Inf+PY!$Q19)*(1+Inflation_Rate)^$AM27</f>
        <v>2951709.87379618</v>
      </c>
      <c r="AQ27" s="240" t="n">
        <f aca="false">AQ26*(1+Inflation_Rate)</f>
        <v>12271.0677096013</v>
      </c>
      <c r="AR27" s="241" t="n">
        <f aca="false">AR26*(1+Inflation_Rate)</f>
        <v>443144.733371144</v>
      </c>
      <c r="AS27" s="27"/>
      <c r="AT27" s="48"/>
      <c r="AV27" s="24"/>
      <c r="AW27" s="80"/>
      <c r="AX27" s="71" t="s">
        <v>110</v>
      </c>
      <c r="AY27" s="71"/>
      <c r="AZ27" s="86" t="n">
        <f aca="false">'Input-Start'!AR18</f>
        <v>0.2</v>
      </c>
      <c r="BA27" s="73"/>
      <c r="BB27" s="27"/>
      <c r="BE27" s="96"/>
      <c r="BF27" s="152"/>
      <c r="BG27" s="99" t="n">
        <v>14</v>
      </c>
      <c r="BH27" s="233" t="n">
        <f aca="false">BH$13+(BH$33-BH$13)*$D28/$D$34</f>
        <v>0.83</v>
      </c>
      <c r="BI27" s="218" t="n">
        <f aca="false">1-BH27</f>
        <v>0.17</v>
      </c>
      <c r="BJ27" s="233" t="n">
        <f aca="false">BJ$13+(BJ$33-BJ$13)*$D28/$D$34</f>
        <v>0.949</v>
      </c>
      <c r="BK27" s="218" t="n">
        <f aca="false">1-BJ27</f>
        <v>0.051</v>
      </c>
      <c r="BL27" s="233" t="n">
        <f aca="false">BL$13+(BL$33-BL$13)*$D28/$D$34</f>
        <v>0.64</v>
      </c>
      <c r="BM27" s="219" t="n">
        <f aca="false">1-BL27</f>
        <v>0.36</v>
      </c>
      <c r="BN27" s="234"/>
      <c r="BO27" s="257"/>
      <c r="BR27" s="24"/>
      <c r="BS27" s="147" t="s">
        <v>145</v>
      </c>
      <c r="BT27" s="148"/>
      <c r="BU27" s="148"/>
      <c r="BV27" s="148"/>
      <c r="BW27" s="149"/>
      <c r="BX27" s="27"/>
    </row>
    <row r="28" customFormat="false" ht="16" hidden="false" customHeight="false" outlineLevel="0" collapsed="false">
      <c r="B28" s="96"/>
      <c r="C28" s="152"/>
      <c r="D28" s="99" t="n">
        <v>14</v>
      </c>
      <c r="E28" s="235" t="n">
        <f aca="false">E$14+(E$34-E$14)*$D28/$D$34</f>
        <v>26704851.9</v>
      </c>
      <c r="F28" s="236" t="n">
        <f aca="false">F$14+(F$34-F$14)*$D28/$D$34</f>
        <v>0.693</v>
      </c>
      <c r="G28" s="234"/>
      <c r="H28" s="257"/>
      <c r="K28" s="96"/>
      <c r="L28" s="99" t="n">
        <v>10</v>
      </c>
      <c r="M28" s="251" t="n">
        <f aca="false">E24/$N$18</f>
        <v>10568.1784289615</v>
      </c>
      <c r="N28" s="252" t="n">
        <f aca="false">E24/M28</f>
        <v>2319.04548780488</v>
      </c>
      <c r="O28" s="253" t="n">
        <f aca="false">O27</f>
        <v>2</v>
      </c>
      <c r="P28" s="254" t="n">
        <f aca="false">P27</f>
        <v>0.3</v>
      </c>
      <c r="Q28" s="257"/>
      <c r="T28" s="96"/>
      <c r="U28" s="255" t="n">
        <v>10</v>
      </c>
      <c r="V28" s="251" t="n">
        <f aca="false">E24/$W$18</f>
        <v>10568.1784289615</v>
      </c>
      <c r="W28" s="256" t="n">
        <f aca="false">E24/V28</f>
        <v>2319.04548780488</v>
      </c>
      <c r="X28" s="253" t="n">
        <f aca="false">X27</f>
        <v>2</v>
      </c>
      <c r="Y28" s="254" t="n">
        <f aca="false">Y27</f>
        <v>0.7</v>
      </c>
      <c r="Z28" s="257"/>
      <c r="AA28" s="258"/>
      <c r="AB28" s="7"/>
      <c r="AC28" s="24"/>
      <c r="AD28" s="99" t="n">
        <v>14</v>
      </c>
      <c r="AE28" s="222" t="n">
        <f aca="false">'Input-Start'!N34^(1+Inflation_Rate)^Year</f>
        <v>0</v>
      </c>
      <c r="AF28" s="237" t="n">
        <f aca="false">Cost_PY*(PY_for_Inf+PY!$L20)*(1+Inflation_Rate)^Year</f>
        <v>8221558.63428619</v>
      </c>
      <c r="AG28" s="237" t="n">
        <f aca="false">AG27*(1+Inflation_Rate)</f>
        <v>12639.4417552453</v>
      </c>
      <c r="AH28" s="237" t="n">
        <f aca="false">AH27*(1+Inflation_Rate)</f>
        <v>449420.659048951</v>
      </c>
      <c r="AI28" s="27"/>
      <c r="AJ28" s="7"/>
      <c r="AL28" s="24"/>
      <c r="AM28" s="99" t="n">
        <v>14</v>
      </c>
      <c r="AN28" s="226" t="n">
        <f aca="false">'Input-Start'!W33*(1+Inflation_Rate)^Year</f>
        <v>0</v>
      </c>
      <c r="AO28" s="238" t="n">
        <f aca="false">'Input-Start'!X33*(1+Inflation_Rate)^'Input-Detail'!$AM28</f>
        <v>0</v>
      </c>
      <c r="AP28" s="239" t="n">
        <f aca="false">Cost_PY*(PY_for_Inf+PY!$Q20)*(1+Inflation_Rate)^$AM28</f>
        <v>2723291.88912143</v>
      </c>
      <c r="AQ28" s="240" t="n">
        <f aca="false">AQ27*(1+Inflation_Rate)</f>
        <v>12639.1997408893</v>
      </c>
      <c r="AR28" s="241" t="n">
        <f aca="false">AR27*(1+Inflation_Rate)</f>
        <v>456439.075372279</v>
      </c>
      <c r="AS28" s="27"/>
      <c r="AT28" s="48"/>
      <c r="AV28" s="24"/>
      <c r="AW28" s="80"/>
      <c r="AX28" s="71"/>
      <c r="AY28" s="71"/>
      <c r="AZ28" s="104"/>
      <c r="BA28" s="73"/>
      <c r="BB28" s="27"/>
      <c r="BE28" s="96"/>
      <c r="BF28" s="152"/>
      <c r="BG28" s="99" t="n">
        <v>15</v>
      </c>
      <c r="BH28" s="233" t="n">
        <f aca="false">BH$13+(BH$33-BH$13)*$D29/$D$34</f>
        <v>0.83</v>
      </c>
      <c r="BI28" s="218" t="n">
        <f aca="false">1-BH28</f>
        <v>0.17</v>
      </c>
      <c r="BJ28" s="233" t="n">
        <f aca="false">BJ$13+(BJ$33-BJ$13)*$D29/$D$34</f>
        <v>0.9575</v>
      </c>
      <c r="BK28" s="218" t="n">
        <f aca="false">1-BJ28</f>
        <v>0.0425</v>
      </c>
      <c r="BL28" s="233" t="n">
        <f aca="false">BL$13+(BL$33-BL$13)*$D29/$D$34</f>
        <v>0.64</v>
      </c>
      <c r="BM28" s="219" t="n">
        <f aca="false">1-BL28</f>
        <v>0.36</v>
      </c>
      <c r="BN28" s="234"/>
      <c r="BO28" s="257"/>
      <c r="BQ28" s="48"/>
      <c r="BR28" s="24"/>
      <c r="BS28" s="152"/>
      <c r="BT28" s="153"/>
      <c r="BU28" s="153"/>
      <c r="BV28" s="153"/>
      <c r="BW28" s="73"/>
      <c r="BX28" s="27"/>
    </row>
    <row r="29" customFormat="false" ht="16" hidden="false" customHeight="false" outlineLevel="0" collapsed="false">
      <c r="B29" s="96"/>
      <c r="C29" s="152"/>
      <c r="D29" s="99" t="n">
        <v>15</v>
      </c>
      <c r="E29" s="235" t="n">
        <f aca="false">E$14+(E$34-E$14)*$D29/$D$34</f>
        <v>27254043.25</v>
      </c>
      <c r="F29" s="236" t="n">
        <f aca="false">F$14+(F$34-F$14)*$D29/$D$34</f>
        <v>0.7425</v>
      </c>
      <c r="G29" s="234"/>
      <c r="H29" s="257"/>
      <c r="K29" s="96"/>
      <c r="L29" s="99" t="n">
        <v>11</v>
      </c>
      <c r="M29" s="251" t="n">
        <f aca="false">E25/$N$18</f>
        <v>10804.9962718576</v>
      </c>
      <c r="N29" s="252" t="n">
        <f aca="false">E25/M29</f>
        <v>2319.04548780488</v>
      </c>
      <c r="O29" s="253" t="n">
        <f aca="false">O28</f>
        <v>2</v>
      </c>
      <c r="P29" s="254" t="n">
        <f aca="false">P28</f>
        <v>0.3</v>
      </c>
      <c r="Q29" s="257"/>
      <c r="T29" s="96"/>
      <c r="U29" s="255" t="n">
        <v>11</v>
      </c>
      <c r="V29" s="251" t="n">
        <f aca="false">E25/$W$18</f>
        <v>10804.9962718576</v>
      </c>
      <c r="W29" s="256" t="n">
        <f aca="false">E25/V29</f>
        <v>2319.04548780488</v>
      </c>
      <c r="X29" s="253" t="n">
        <f aca="false">X28</f>
        <v>2</v>
      </c>
      <c r="Y29" s="254" t="n">
        <f aca="false">Y28</f>
        <v>0.7</v>
      </c>
      <c r="Z29" s="257"/>
      <c r="AA29" s="258"/>
      <c r="AB29" s="7"/>
      <c r="AC29" s="24"/>
      <c r="AD29" s="99" t="n">
        <v>15</v>
      </c>
      <c r="AE29" s="222" t="n">
        <f aca="false">'Input-Start'!N35^(1+Inflation_Rate)^Year</f>
        <v>0</v>
      </c>
      <c r="AF29" s="237" t="n">
        <f aca="false">Cost_PY*(PY_for_Inf+PY!$L21)*(1+Inflation_Rate)^Year</f>
        <v>8627426.19177367</v>
      </c>
      <c r="AG29" s="237" t="n">
        <f aca="false">AG28*(1+Inflation_Rate)</f>
        <v>13018.6250079026</v>
      </c>
      <c r="AH29" s="237" t="n">
        <f aca="false">AH28*(1+Inflation_Rate)</f>
        <v>462903.278820419</v>
      </c>
      <c r="AI29" s="27"/>
      <c r="AJ29" s="7"/>
      <c r="AL29" s="24"/>
      <c r="AM29" s="99" t="n">
        <v>15</v>
      </c>
      <c r="AN29" s="226" t="n">
        <f aca="false">'Input-Start'!W34*(1+Inflation_Rate)^Year</f>
        <v>0</v>
      </c>
      <c r="AO29" s="238" t="n">
        <f aca="false">'Input-Start'!X34*(1+Inflation_Rate)^'Input-Detail'!$AM29</f>
        <v>0</v>
      </c>
      <c r="AP29" s="239" t="n">
        <f aca="false">Cost_PY*(PY_for_Inf+PY!$Q21)*(1+Inflation_Rate)^$AM29</f>
        <v>2403180.0850329</v>
      </c>
      <c r="AQ29" s="240" t="n">
        <f aca="false">AQ28*(1+Inflation_Rate)</f>
        <v>13018.375733116</v>
      </c>
      <c r="AR29" s="241" t="n">
        <f aca="false">AR28*(1+Inflation_Rate)</f>
        <v>470132.247633447</v>
      </c>
      <c r="AS29" s="27"/>
      <c r="AT29" s="48"/>
      <c r="AV29" s="24"/>
      <c r="AW29" s="67" t="s">
        <v>119</v>
      </c>
      <c r="AX29" s="71"/>
      <c r="AY29" s="71"/>
      <c r="AZ29" s="86" t="n">
        <f aca="false">'Input-Start'!AR20</f>
        <v>55</v>
      </c>
      <c r="BA29" s="73"/>
      <c r="BB29" s="27"/>
      <c r="BE29" s="96"/>
      <c r="BF29" s="152"/>
      <c r="BG29" s="99" t="n">
        <v>16</v>
      </c>
      <c r="BH29" s="233" t="n">
        <f aca="false">BH$13+(BH$33-BH$13)*$D30/$D$34</f>
        <v>0.83</v>
      </c>
      <c r="BI29" s="218" t="n">
        <f aca="false">1-BH29</f>
        <v>0.17</v>
      </c>
      <c r="BJ29" s="233" t="n">
        <f aca="false">BJ$13+(BJ$33-BJ$13)*$D30/$D$34</f>
        <v>0.966</v>
      </c>
      <c r="BK29" s="218" t="n">
        <f aca="false">1-BJ29</f>
        <v>0.034</v>
      </c>
      <c r="BL29" s="233" t="n">
        <f aca="false">BL$13+(BL$33-BL$13)*$D30/$D$34</f>
        <v>0.64</v>
      </c>
      <c r="BM29" s="219" t="n">
        <f aca="false">1-BL29</f>
        <v>0.36</v>
      </c>
      <c r="BN29" s="234"/>
      <c r="BO29" s="257"/>
      <c r="BQ29" s="48"/>
      <c r="BR29" s="24"/>
      <c r="BS29" s="67" t="s">
        <v>151</v>
      </c>
      <c r="BT29" s="71"/>
      <c r="BU29" s="71"/>
      <c r="BV29" s="161" t="n">
        <f aca="false">'Input-Start'!BA30</f>
        <v>0.03</v>
      </c>
      <c r="BW29" s="73"/>
      <c r="BX29" s="27"/>
    </row>
    <row r="30" customFormat="false" ht="16" hidden="false" customHeight="false" outlineLevel="0" collapsed="false">
      <c r="B30" s="96"/>
      <c r="C30" s="152"/>
      <c r="D30" s="99" t="n">
        <v>16</v>
      </c>
      <c r="E30" s="235" t="n">
        <f aca="false">E$14+(E$34-E$14)*$D30/$D$34</f>
        <v>27803234.6</v>
      </c>
      <c r="F30" s="236" t="n">
        <f aca="false">F$14+(F$34-F$14)*$D30/$D$34</f>
        <v>0.792</v>
      </c>
      <c r="G30" s="234"/>
      <c r="H30" s="257"/>
      <c r="K30" s="96"/>
      <c r="L30" s="99" t="n">
        <v>12</v>
      </c>
      <c r="M30" s="251" t="n">
        <f aca="false">E26/$N$18</f>
        <v>11041.8141147538</v>
      </c>
      <c r="N30" s="252" t="n">
        <f aca="false">E26/M30</f>
        <v>2319.04548780488</v>
      </c>
      <c r="O30" s="253" t="n">
        <f aca="false">O29</f>
        <v>2</v>
      </c>
      <c r="P30" s="254" t="n">
        <f aca="false">P29</f>
        <v>0.3</v>
      </c>
      <c r="Q30" s="257"/>
      <c r="T30" s="96"/>
      <c r="U30" s="255" t="n">
        <v>12</v>
      </c>
      <c r="V30" s="251" t="n">
        <f aca="false">E26/$W$18</f>
        <v>11041.8141147538</v>
      </c>
      <c r="W30" s="256" t="n">
        <f aca="false">E26/V30</f>
        <v>2319.04548780488</v>
      </c>
      <c r="X30" s="253" t="n">
        <f aca="false">X29</f>
        <v>2</v>
      </c>
      <c r="Y30" s="254" t="n">
        <f aca="false">Y29</f>
        <v>0.7</v>
      </c>
      <c r="Z30" s="257"/>
      <c r="AA30" s="258"/>
      <c r="AB30" s="7"/>
      <c r="AC30" s="24"/>
      <c r="AD30" s="99" t="n">
        <v>16</v>
      </c>
      <c r="AE30" s="222" t="n">
        <f aca="false">'Input-Start'!N36^(1+Inflation_Rate)^Year</f>
        <v>0</v>
      </c>
      <c r="AF30" s="237" t="n">
        <f aca="false">Cost_PY*(PY_for_Inf+PY!$L22)*(1+Inflation_Rate)^Year</f>
        <v>9050246.39993954</v>
      </c>
      <c r="AG30" s="237" t="n">
        <f aca="false">AG29*(1+Inflation_Rate)</f>
        <v>13409.1837581397</v>
      </c>
      <c r="AH30" s="237" t="n">
        <f aca="false">AH29*(1+Inflation_Rate)</f>
        <v>476790.377185032</v>
      </c>
      <c r="AI30" s="27"/>
      <c r="AJ30" s="7"/>
      <c r="AL30" s="24"/>
      <c r="AM30" s="99" t="n">
        <v>16</v>
      </c>
      <c r="AN30" s="226" t="n">
        <f aca="false">'Input-Start'!W35*(1+Inflation_Rate)^Year</f>
        <v>0</v>
      </c>
      <c r="AO30" s="238" t="n">
        <f aca="false">'Input-Start'!X35*(1+Inflation_Rate)^'Input-Detail'!$AM30</f>
        <v>0</v>
      </c>
      <c r="AP30" s="239" t="n">
        <f aca="false">Cost_PY*(PY_for_Inf+PY!$Q22)*(1+Inflation_Rate)^$AM30</f>
        <v>2045174.86518</v>
      </c>
      <c r="AQ30" s="240" t="n">
        <f aca="false">AQ29*(1+Inflation_Rate)</f>
        <v>13408.9270051095</v>
      </c>
      <c r="AR30" s="241" t="n">
        <f aca="false">AR29*(1+Inflation_Rate)</f>
        <v>484236.21506245</v>
      </c>
      <c r="AS30" s="27"/>
      <c r="AT30" s="48"/>
      <c r="AV30" s="24"/>
      <c r="AW30" s="67" t="s">
        <v>126</v>
      </c>
      <c r="AX30" s="71"/>
      <c r="AY30" s="71"/>
      <c r="AZ30" s="104"/>
      <c r="BA30" s="73"/>
      <c r="BB30" s="27"/>
      <c r="BE30" s="96"/>
      <c r="BF30" s="152"/>
      <c r="BG30" s="99" t="n">
        <v>17</v>
      </c>
      <c r="BH30" s="233" t="n">
        <f aca="false">BH$13+(BH$33-BH$13)*$D31/$D$34</f>
        <v>0.83</v>
      </c>
      <c r="BI30" s="218" t="n">
        <f aca="false">1-BH30</f>
        <v>0.17</v>
      </c>
      <c r="BJ30" s="233" t="n">
        <f aca="false">BJ$13+(BJ$33-BJ$13)*$D31/$D$34</f>
        <v>0.9745</v>
      </c>
      <c r="BK30" s="218" t="n">
        <f aca="false">1-BJ30</f>
        <v>0.0255000000000001</v>
      </c>
      <c r="BL30" s="233" t="n">
        <f aca="false">BL$13+(BL$33-BL$13)*$D31/$D$34</f>
        <v>0.64</v>
      </c>
      <c r="BM30" s="219" t="n">
        <f aca="false">1-BL30</f>
        <v>0.36</v>
      </c>
      <c r="BN30" s="234"/>
      <c r="BO30" s="257"/>
      <c r="BQ30" s="48"/>
      <c r="BR30" s="24"/>
      <c r="BS30" s="67" t="s">
        <v>155</v>
      </c>
      <c r="BT30" s="165"/>
      <c r="BU30" s="166"/>
      <c r="BV30" s="161" t="n">
        <f aca="false">'Input-Start'!BA31</f>
        <v>0.05</v>
      </c>
      <c r="BW30" s="73"/>
      <c r="BX30" s="27"/>
    </row>
    <row r="31" customFormat="false" ht="16" hidden="false" customHeight="false" outlineLevel="0" collapsed="false">
      <c r="B31" s="96"/>
      <c r="C31" s="152"/>
      <c r="D31" s="99" t="n">
        <v>17</v>
      </c>
      <c r="E31" s="235" t="n">
        <f aca="false">E$14+(E$34-E$14)*$D31/$D$34</f>
        <v>28352425.95</v>
      </c>
      <c r="F31" s="236" t="n">
        <f aca="false">F$14+(F$34-F$14)*$D31/$D$34</f>
        <v>0.8415</v>
      </c>
      <c r="G31" s="234"/>
      <c r="H31" s="257"/>
      <c r="K31" s="96"/>
      <c r="L31" s="99" t="n">
        <v>13</v>
      </c>
      <c r="M31" s="251" t="n">
        <f aca="false">E27/$N$18</f>
        <v>11278.6319576499</v>
      </c>
      <c r="N31" s="252" t="n">
        <f aca="false">E27/M31</f>
        <v>2319.04548780488</v>
      </c>
      <c r="O31" s="253" t="n">
        <f aca="false">O30</f>
        <v>2</v>
      </c>
      <c r="P31" s="254" t="n">
        <f aca="false">P30</f>
        <v>0.3</v>
      </c>
      <c r="Q31" s="257"/>
      <c r="T31" s="96"/>
      <c r="U31" s="255" t="n">
        <v>13</v>
      </c>
      <c r="V31" s="251" t="n">
        <f aca="false">E27/$W$18</f>
        <v>11278.6319576499</v>
      </c>
      <c r="W31" s="256" t="n">
        <f aca="false">E27/V31</f>
        <v>2319.04548780488</v>
      </c>
      <c r="X31" s="253" t="n">
        <f aca="false">X30</f>
        <v>2</v>
      </c>
      <c r="Y31" s="254" t="n">
        <f aca="false">Y30</f>
        <v>0.7</v>
      </c>
      <c r="Z31" s="257"/>
      <c r="AA31" s="258"/>
      <c r="AB31" s="7"/>
      <c r="AC31" s="24"/>
      <c r="AD31" s="99" t="n">
        <v>17</v>
      </c>
      <c r="AE31" s="222" t="n">
        <f aca="false">'Input-Start'!N37^(1+Inflation_Rate)^Year</f>
        <v>0</v>
      </c>
      <c r="AF31" s="237" t="n">
        <f aca="false">Cost_PY*(PY_for_Inf+PY!$L23)*(1+Inflation_Rate)^Year</f>
        <v>9490671.13702276</v>
      </c>
      <c r="AG31" s="237" t="n">
        <f aca="false">AG30*(1+Inflation_Rate)</f>
        <v>13811.4592708839</v>
      </c>
      <c r="AH31" s="237" t="n">
        <f aca="false">AH30*(1+Inflation_Rate)</f>
        <v>491094.088500583</v>
      </c>
      <c r="AI31" s="27"/>
      <c r="AJ31" s="7"/>
      <c r="AL31" s="24"/>
      <c r="AM31" s="99" t="n">
        <v>17</v>
      </c>
      <c r="AN31" s="226" t="n">
        <f aca="false">'Input-Start'!W36*(1+Inflation_Rate)^Year</f>
        <v>0</v>
      </c>
      <c r="AO31" s="238" t="n">
        <f aca="false">'Input-Start'!X36*(1+Inflation_Rate)^'Input-Detail'!$AM31</f>
        <v>0</v>
      </c>
      <c r="AP31" s="239" t="n">
        <f aca="false">Cost_PY*(PY_for_Inf+PY!$Q23)*(1+Inflation_Rate)^$AM31</f>
        <v>1710000.76824754</v>
      </c>
      <c r="AQ31" s="240" t="n">
        <f aca="false">AQ30*(1+Inflation_Rate)</f>
        <v>13811.1948152628</v>
      </c>
      <c r="AR31" s="241" t="n">
        <f aca="false">AR30*(1+Inflation_Rate)</f>
        <v>498763.301514324</v>
      </c>
      <c r="AS31" s="27"/>
      <c r="AT31" s="48"/>
      <c r="AV31" s="24"/>
      <c r="AW31" s="80"/>
      <c r="AX31" s="71" t="s">
        <v>130</v>
      </c>
      <c r="AY31" s="71"/>
      <c r="AZ31" s="133" t="n">
        <f aca="false">'Input-Start'!AR23</f>
        <v>0.9476</v>
      </c>
      <c r="BA31" s="73"/>
      <c r="BB31" s="27"/>
      <c r="BE31" s="96"/>
      <c r="BF31" s="152"/>
      <c r="BG31" s="99" t="n">
        <v>18</v>
      </c>
      <c r="BH31" s="233" t="n">
        <f aca="false">BH$13+(BH$33-BH$13)*$D32/$D$34</f>
        <v>0.83</v>
      </c>
      <c r="BI31" s="218" t="n">
        <f aca="false">1-BH31</f>
        <v>0.17</v>
      </c>
      <c r="BJ31" s="233" t="n">
        <f aca="false">BJ$13+(BJ$33-BJ$13)*$D32/$D$34</f>
        <v>0.983</v>
      </c>
      <c r="BK31" s="218" t="n">
        <f aca="false">1-BJ31</f>
        <v>0.017</v>
      </c>
      <c r="BL31" s="233" t="n">
        <f aca="false">BL$13+(BL$33-BL$13)*$D32/$D$34</f>
        <v>0.64</v>
      </c>
      <c r="BM31" s="219" t="n">
        <f aca="false">1-BL31</f>
        <v>0.36</v>
      </c>
      <c r="BN31" s="234"/>
      <c r="BO31" s="257"/>
      <c r="BQ31" s="48"/>
      <c r="BR31" s="24"/>
      <c r="BS31" s="67" t="s">
        <v>157</v>
      </c>
      <c r="BT31" s="165"/>
      <c r="BU31" s="166"/>
      <c r="BV31" s="161" t="n">
        <f aca="false">'Input-Start'!BA32</f>
        <v>0.02</v>
      </c>
      <c r="BW31" s="73"/>
      <c r="BX31" s="27"/>
    </row>
    <row r="32" customFormat="false" ht="16" hidden="false" customHeight="false" outlineLevel="0" collapsed="false">
      <c r="B32" s="96"/>
      <c r="C32" s="152"/>
      <c r="D32" s="99" t="n">
        <v>18</v>
      </c>
      <c r="E32" s="235" t="n">
        <f aca="false">E$14+(E$34-E$14)*$D32/$D$34</f>
        <v>28901617.3</v>
      </c>
      <c r="F32" s="236" t="n">
        <f aca="false">F$14+(F$34-F$14)*$D32/$D$34</f>
        <v>0.891</v>
      </c>
      <c r="G32" s="234"/>
      <c r="H32" s="257"/>
      <c r="K32" s="96"/>
      <c r="L32" s="99" t="n">
        <v>14</v>
      </c>
      <c r="M32" s="251" t="n">
        <f aca="false">E28/$N$18</f>
        <v>11515.4498005461</v>
      </c>
      <c r="N32" s="252" t="n">
        <f aca="false">E28/M32</f>
        <v>2319.04548780488</v>
      </c>
      <c r="O32" s="253" t="n">
        <f aca="false">O31</f>
        <v>2</v>
      </c>
      <c r="P32" s="254" t="n">
        <f aca="false">P31</f>
        <v>0.3</v>
      </c>
      <c r="Q32" s="257"/>
      <c r="T32" s="96"/>
      <c r="U32" s="255" t="n">
        <v>14</v>
      </c>
      <c r="V32" s="251" t="n">
        <f aca="false">E28/$W$18</f>
        <v>11515.4498005461</v>
      </c>
      <c r="W32" s="256" t="n">
        <f aca="false">E28/V32</f>
        <v>2319.04548780488</v>
      </c>
      <c r="X32" s="253" t="n">
        <f aca="false">X31</f>
        <v>2</v>
      </c>
      <c r="Y32" s="254" t="n">
        <f aca="false">Y31</f>
        <v>0.7</v>
      </c>
      <c r="Z32" s="257"/>
      <c r="AA32" s="258"/>
      <c r="AB32" s="7"/>
      <c r="AC32" s="24"/>
      <c r="AD32" s="99" t="n">
        <v>18</v>
      </c>
      <c r="AE32" s="222" t="n">
        <f aca="false">'Input-Start'!N38^(1+Inflation_Rate)^Year</f>
        <v>0</v>
      </c>
      <c r="AF32" s="237" t="n">
        <f aca="false">Cost_PY*(PY_for_Inf+PY!$L24)*(1+Inflation_Rate)^Year</f>
        <v>9949376.13657104</v>
      </c>
      <c r="AG32" s="237" t="n">
        <f aca="false">AG31*(1+Inflation_Rate)</f>
        <v>14225.8030490104</v>
      </c>
      <c r="AH32" s="237" t="n">
        <f aca="false">AH31*(1+Inflation_Rate)</f>
        <v>505826.911155601</v>
      </c>
      <c r="AI32" s="27"/>
      <c r="AJ32" s="7"/>
      <c r="AL32" s="24"/>
      <c r="AM32" s="99" t="n">
        <v>18</v>
      </c>
      <c r="AN32" s="226" t="n">
        <f aca="false">'Input-Start'!W37*(1+Inflation_Rate)^Year</f>
        <v>0</v>
      </c>
      <c r="AO32" s="238" t="n">
        <f aca="false">'Input-Start'!X37*(1+Inflation_Rate)^'Input-Detail'!$AM32</f>
        <v>0</v>
      </c>
      <c r="AP32" s="239" t="n">
        <f aca="false">Cost_PY*(PY_for_Inf+PY!$Q24)*(1+Inflation_Rate)^$AM32</f>
        <v>1270558.03763004</v>
      </c>
      <c r="AQ32" s="240" t="n">
        <f aca="false">AQ31*(1+Inflation_Rate)</f>
        <v>14225.5306597206</v>
      </c>
      <c r="AR32" s="241" t="n">
        <f aca="false">AR31*(1+Inflation_Rate)</f>
        <v>513726.200559754</v>
      </c>
      <c r="AS32" s="27"/>
      <c r="AT32" s="48"/>
      <c r="AV32" s="24"/>
      <c r="AW32" s="80"/>
      <c r="AX32" s="71" t="s">
        <v>132</v>
      </c>
      <c r="AY32" s="71"/>
      <c r="AZ32" s="133" t="n">
        <f aca="false">'Input-Start'!AR24</f>
        <v>0.0511</v>
      </c>
      <c r="BA32" s="73"/>
      <c r="BB32" s="27"/>
      <c r="BE32" s="96"/>
      <c r="BF32" s="152"/>
      <c r="BG32" s="99" t="n">
        <v>19</v>
      </c>
      <c r="BH32" s="233" t="n">
        <f aca="false">BH$13+(BH$33-BH$13)*$D33/$D$34</f>
        <v>0.83</v>
      </c>
      <c r="BI32" s="218" t="n">
        <f aca="false">1-BH32</f>
        <v>0.17</v>
      </c>
      <c r="BJ32" s="233" t="n">
        <f aca="false">BJ$13+(BJ$33-BJ$13)*$D33/$D$34</f>
        <v>0.9915</v>
      </c>
      <c r="BK32" s="218" t="n">
        <f aca="false">1-BJ32</f>
        <v>0.00849999999999995</v>
      </c>
      <c r="BL32" s="233" t="n">
        <f aca="false">BL$13+(BL$33-BL$13)*$D33/$D$34</f>
        <v>0.64</v>
      </c>
      <c r="BM32" s="219" t="n">
        <f aca="false">1-BL32</f>
        <v>0.36</v>
      </c>
      <c r="BN32" s="234"/>
      <c r="BO32" s="257"/>
      <c r="BQ32" s="48"/>
      <c r="BR32" s="24"/>
      <c r="BS32" s="67" t="s">
        <v>160</v>
      </c>
      <c r="BT32" s="71"/>
      <c r="BU32" s="71"/>
      <c r="BV32" s="146"/>
      <c r="BW32" s="73"/>
      <c r="BX32" s="27"/>
    </row>
    <row r="33" customFormat="false" ht="16" hidden="false" customHeight="false" outlineLevel="0" collapsed="false">
      <c r="B33" s="96"/>
      <c r="C33" s="152"/>
      <c r="D33" s="99" t="n">
        <v>19</v>
      </c>
      <c r="E33" s="235" t="n">
        <f aca="false">E$14+(E$34-E$14)*$D33/$D$34</f>
        <v>29450808.65</v>
      </c>
      <c r="F33" s="236" t="n">
        <f aca="false">F$14+(F$34-F$14)*$D33/$D$34</f>
        <v>0.9405</v>
      </c>
      <c r="G33" s="234"/>
      <c r="H33" s="257"/>
      <c r="K33" s="96"/>
      <c r="L33" s="99" t="n">
        <v>15</v>
      </c>
      <c r="M33" s="251" t="n">
        <f aca="false">E29/$N$18</f>
        <v>11752.2676434422</v>
      </c>
      <c r="N33" s="252" t="n">
        <f aca="false">E29/M33</f>
        <v>2319.04548780488</v>
      </c>
      <c r="O33" s="253" t="n">
        <f aca="false">O32</f>
        <v>2</v>
      </c>
      <c r="P33" s="254" t="n">
        <f aca="false">P32</f>
        <v>0.3</v>
      </c>
      <c r="Q33" s="257"/>
      <c r="T33" s="96"/>
      <c r="U33" s="255" t="n">
        <v>15</v>
      </c>
      <c r="V33" s="251" t="n">
        <f aca="false">E29/$W$18</f>
        <v>11752.2676434422</v>
      </c>
      <c r="W33" s="256" t="n">
        <f aca="false">E29/V33</f>
        <v>2319.04548780488</v>
      </c>
      <c r="X33" s="253" t="n">
        <f aca="false">X32</f>
        <v>2</v>
      </c>
      <c r="Y33" s="254" t="n">
        <f aca="false">Y32</f>
        <v>0.7</v>
      </c>
      <c r="Z33" s="257"/>
      <c r="AA33" s="258"/>
      <c r="AB33" s="7"/>
      <c r="AC33" s="24"/>
      <c r="AD33" s="99" t="n">
        <v>19</v>
      </c>
      <c r="AE33" s="222" t="n">
        <f aca="false">'Input-Start'!N39^(1+Inflation_Rate)^Year</f>
        <v>0</v>
      </c>
      <c r="AF33" s="237" t="n">
        <f aca="false">Cost_PY*(PY_for_Inf+PY!$L25)*(1+Inflation_Rate)^Year</f>
        <v>10427061.8320689</v>
      </c>
      <c r="AG33" s="237" t="n">
        <f aca="false">AG32*(1+Inflation_Rate)</f>
        <v>14652.5771404808</v>
      </c>
      <c r="AH33" s="237" t="n">
        <f aca="false">AH32*(1+Inflation_Rate)</f>
        <v>521001.718490269</v>
      </c>
      <c r="AI33" s="27"/>
      <c r="AJ33" s="7"/>
      <c r="AL33" s="24"/>
      <c r="AM33" s="99" t="n">
        <v>19</v>
      </c>
      <c r="AN33" s="226" t="n">
        <f aca="false">'Input-Start'!W38*(1+Inflation_Rate)^Year</f>
        <v>0</v>
      </c>
      <c r="AO33" s="238" t="n">
        <f aca="false">'Input-Start'!X38*(1+Inflation_Rate)^'Input-Detail'!$AM33</f>
        <v>0</v>
      </c>
      <c r="AP33" s="239" t="n">
        <f aca="false">Cost_PY*(PY_for_Inf+PY!$Q25)*(1+Inflation_Rate)^$AM33</f>
        <v>785468.505755398</v>
      </c>
      <c r="AQ33" s="240" t="n">
        <f aca="false">AQ32*(1+Inflation_Rate)</f>
        <v>14652.2965795123</v>
      </c>
      <c r="AR33" s="241" t="n">
        <f aca="false">AR32*(1+Inflation_Rate)</f>
        <v>529137.986576546</v>
      </c>
      <c r="AS33" s="27"/>
      <c r="AT33" s="48"/>
      <c r="AV33" s="24"/>
      <c r="AW33" s="80"/>
      <c r="AX33" s="71" t="s">
        <v>135</v>
      </c>
      <c r="AY33" s="71"/>
      <c r="AZ33" s="133" t="n">
        <f aca="false">'Input-Start'!AR25</f>
        <v>0.0013</v>
      </c>
      <c r="BA33" s="73"/>
      <c r="BB33" s="27"/>
      <c r="BE33" s="96"/>
      <c r="BF33" s="152"/>
      <c r="BG33" s="179" t="n">
        <v>20</v>
      </c>
      <c r="BH33" s="259" t="n">
        <f aca="false">'Input-Start'!AI22</f>
        <v>0.83</v>
      </c>
      <c r="BI33" s="260" t="n">
        <f aca="false">1-BH33</f>
        <v>0.17</v>
      </c>
      <c r="BJ33" s="259" t="n">
        <f aca="false">'Input-Start'!AI25</f>
        <v>1</v>
      </c>
      <c r="BK33" s="260" t="n">
        <f aca="false">1-BJ33</f>
        <v>0</v>
      </c>
      <c r="BL33" s="259" t="n">
        <f aca="false">'Input-Start'!AI28</f>
        <v>0.64</v>
      </c>
      <c r="BM33" s="261" t="n">
        <f aca="false">1-BL33</f>
        <v>0.36</v>
      </c>
      <c r="BN33" s="234"/>
      <c r="BO33" s="257"/>
      <c r="BQ33" s="48"/>
      <c r="BR33" s="24"/>
      <c r="BS33" s="171"/>
      <c r="BT33" s="71" t="s">
        <v>164</v>
      </c>
      <c r="BU33" s="71"/>
      <c r="BV33" s="169" t="n">
        <f aca="false">'Input-Start'!BA34</f>
        <v>1768</v>
      </c>
      <c r="BW33" s="73"/>
      <c r="BX33" s="27"/>
    </row>
    <row r="34" customFormat="false" ht="16" hidden="false" customHeight="false" outlineLevel="0" collapsed="false">
      <c r="B34" s="96"/>
      <c r="C34" s="152"/>
      <c r="D34" s="179" t="n">
        <v>20</v>
      </c>
      <c r="E34" s="262" t="n">
        <f aca="false">'Input-Start'!G22</f>
        <v>30000000</v>
      </c>
      <c r="F34" s="263" t="n">
        <f aca="false">'Input-Start'!G23</f>
        <v>0.99</v>
      </c>
      <c r="G34" s="234"/>
      <c r="H34" s="257"/>
      <c r="K34" s="96"/>
      <c r="L34" s="99" t="n">
        <v>16</v>
      </c>
      <c r="M34" s="251" t="n">
        <f aca="false">E30/$N$18</f>
        <v>11989.0854863384</v>
      </c>
      <c r="N34" s="252" t="n">
        <f aca="false">E30/M34</f>
        <v>2319.04548780488</v>
      </c>
      <c r="O34" s="253" t="n">
        <f aca="false">O33</f>
        <v>2</v>
      </c>
      <c r="P34" s="254" t="n">
        <f aca="false">P33</f>
        <v>0.3</v>
      </c>
      <c r="Q34" s="257"/>
      <c r="T34" s="96"/>
      <c r="U34" s="255" t="n">
        <v>16</v>
      </c>
      <c r="V34" s="251" t="n">
        <f aca="false">E30/$W$18</f>
        <v>11989.0854863384</v>
      </c>
      <c r="W34" s="256" t="n">
        <f aca="false">E30/V34</f>
        <v>2319.04548780488</v>
      </c>
      <c r="X34" s="253" t="n">
        <f aca="false">X33</f>
        <v>2</v>
      </c>
      <c r="Y34" s="254" t="n">
        <f aca="false">Y33</f>
        <v>0.7</v>
      </c>
      <c r="Z34" s="257"/>
      <c r="AA34" s="258"/>
      <c r="AB34" s="7"/>
      <c r="AC34" s="24"/>
      <c r="AD34" s="179" t="n">
        <v>20</v>
      </c>
      <c r="AE34" s="264" t="n">
        <f aca="false">'Input-Start'!N40^(1+Inflation_Rate)^Year</f>
        <v>0</v>
      </c>
      <c r="AF34" s="265" t="n">
        <f aca="false">Cost_PY*(PY_for_Inf+PY!$L26)*(1+Inflation_Rate)^Year</f>
        <v>10924454.2307737</v>
      </c>
      <c r="AG34" s="265" t="n">
        <f aca="false">AG33*(1+Inflation_Rate)</f>
        <v>15092.1544546952</v>
      </c>
      <c r="AH34" s="265" t="n">
        <f aca="false">AH33*(1+Inflation_Rate)</f>
        <v>536631.770044977</v>
      </c>
      <c r="AI34" s="27"/>
      <c r="AJ34" s="7"/>
      <c r="AL34" s="24"/>
      <c r="AM34" s="179" t="n">
        <v>20</v>
      </c>
      <c r="AN34" s="266" t="n">
        <f aca="false">'Input-Start'!W39*(1+Inflation_Rate)^Year</f>
        <v>0</v>
      </c>
      <c r="AO34" s="267" t="n">
        <f aca="false">'Input-Start'!X39*(1+Inflation_Rate)^'Input-Detail'!$AM34</f>
        <v>0</v>
      </c>
      <c r="AP34" s="268" t="n">
        <f aca="false">Cost_PY*(PY_for_Inf+PY!$Q26)*(1+Inflation_Rate)^$AM34</f>
        <v>182799.431637104</v>
      </c>
      <c r="AQ34" s="269" t="n">
        <f aca="false">AQ33*(1+Inflation_Rate)</f>
        <v>15091.8654768976</v>
      </c>
      <c r="AR34" s="270" t="n">
        <f aca="false">AR33*(1+Inflation_Rate)</f>
        <v>545012.126173843</v>
      </c>
      <c r="AS34" s="27"/>
      <c r="AT34" s="48"/>
      <c r="AV34" s="24"/>
      <c r="AW34" s="67" t="s">
        <v>139</v>
      </c>
      <c r="AX34" s="71"/>
      <c r="AY34" s="71"/>
      <c r="AZ34" s="104"/>
      <c r="BA34" s="73"/>
      <c r="BB34" s="27"/>
      <c r="BE34" s="96"/>
      <c r="BF34" s="271"/>
      <c r="BG34" s="272"/>
      <c r="BH34" s="272"/>
      <c r="BI34" s="272"/>
      <c r="BJ34" s="272"/>
      <c r="BK34" s="272"/>
      <c r="BL34" s="272"/>
      <c r="BM34" s="272"/>
      <c r="BN34" s="273"/>
      <c r="BO34" s="257"/>
      <c r="BQ34" s="48"/>
      <c r="BR34" s="24"/>
      <c r="BS34" s="171"/>
      <c r="BT34" s="71" t="s">
        <v>167</v>
      </c>
      <c r="BU34" s="71"/>
      <c r="BV34" s="172" t="n">
        <f aca="false">'Input-Start'!BA35</f>
        <v>0.11</v>
      </c>
      <c r="BW34" s="73"/>
      <c r="BX34" s="27"/>
    </row>
    <row r="35" customFormat="false" ht="17" hidden="false" customHeight="false" outlineLevel="0" collapsed="false">
      <c r="B35" s="96"/>
      <c r="C35" s="271"/>
      <c r="D35" s="272"/>
      <c r="E35" s="272"/>
      <c r="F35" s="272"/>
      <c r="G35" s="273"/>
      <c r="H35" s="257"/>
      <c r="K35" s="96"/>
      <c r="L35" s="99" t="n">
        <v>17</v>
      </c>
      <c r="M35" s="251" t="n">
        <f aca="false">E31/$N$18</f>
        <v>12225.9033292345</v>
      </c>
      <c r="N35" s="252" t="n">
        <f aca="false">E31/M35</f>
        <v>2319.04548780488</v>
      </c>
      <c r="O35" s="253" t="n">
        <f aca="false">O34</f>
        <v>2</v>
      </c>
      <c r="P35" s="254" t="n">
        <f aca="false">P34</f>
        <v>0.3</v>
      </c>
      <c r="Q35" s="257"/>
      <c r="T35" s="96"/>
      <c r="U35" s="255" t="n">
        <v>17</v>
      </c>
      <c r="V35" s="251" t="n">
        <f aca="false">E31/$W$18</f>
        <v>12225.9033292345</v>
      </c>
      <c r="W35" s="256" t="n">
        <f aca="false">E31/V35</f>
        <v>2319.04548780488</v>
      </c>
      <c r="X35" s="253" t="n">
        <f aca="false">X34</f>
        <v>2</v>
      </c>
      <c r="Y35" s="254" t="n">
        <f aca="false">Y34</f>
        <v>0.7</v>
      </c>
      <c r="Z35" s="257"/>
      <c r="AA35" s="258"/>
      <c r="AB35" s="7"/>
      <c r="AC35" s="173"/>
      <c r="AD35" s="184"/>
      <c r="AE35" s="184"/>
      <c r="AF35" s="184"/>
      <c r="AG35" s="184"/>
      <c r="AH35" s="184"/>
      <c r="AI35" s="175"/>
      <c r="AJ35" s="7"/>
      <c r="AL35" s="173"/>
      <c r="AM35" s="184"/>
      <c r="AN35" s="184"/>
      <c r="AO35" s="184"/>
      <c r="AP35" s="184"/>
      <c r="AQ35" s="184"/>
      <c r="AR35" s="184"/>
      <c r="AS35" s="175"/>
      <c r="AT35" s="48"/>
      <c r="AV35" s="24"/>
      <c r="AW35" s="80"/>
      <c r="AX35" s="71" t="s">
        <v>130</v>
      </c>
      <c r="AY35" s="71"/>
      <c r="AZ35" s="86" t="n">
        <f aca="false">'Input-Start'!AR27</f>
        <v>1.8</v>
      </c>
      <c r="BA35" s="73"/>
      <c r="BB35" s="27"/>
      <c r="BE35" s="186"/>
      <c r="BF35" s="174"/>
      <c r="BG35" s="174"/>
      <c r="BH35" s="163"/>
      <c r="BI35" s="174"/>
      <c r="BJ35" s="174"/>
      <c r="BK35" s="184"/>
      <c r="BL35" s="184"/>
      <c r="BM35" s="184"/>
      <c r="BN35" s="184"/>
      <c r="BO35" s="175"/>
      <c r="BQ35" s="48"/>
      <c r="BR35" s="24"/>
      <c r="BS35" s="171"/>
      <c r="BT35" s="71" t="s">
        <v>169</v>
      </c>
      <c r="BU35" s="71"/>
      <c r="BV35" s="172" t="n">
        <f aca="false">'Input-Start'!BA36</f>
        <v>61.5</v>
      </c>
      <c r="BW35" s="73"/>
      <c r="BX35" s="27"/>
    </row>
    <row r="36" customFormat="false" ht="18" hidden="false" customHeight="false" outlineLevel="0" collapsed="false">
      <c r="B36" s="162"/>
      <c r="C36" s="163"/>
      <c r="D36" s="163"/>
      <c r="E36" s="163"/>
      <c r="F36" s="163"/>
      <c r="G36" s="163"/>
      <c r="H36" s="164"/>
      <c r="K36" s="96"/>
      <c r="L36" s="99" t="n">
        <v>18</v>
      </c>
      <c r="M36" s="251" t="n">
        <f aca="false">E32/$N$18</f>
        <v>12462.7211721307</v>
      </c>
      <c r="N36" s="252" t="n">
        <f aca="false">E32/M36</f>
        <v>2319.04548780488</v>
      </c>
      <c r="O36" s="253" t="n">
        <f aca="false">O35</f>
        <v>2</v>
      </c>
      <c r="P36" s="254" t="n">
        <f aca="false">P35</f>
        <v>0.3</v>
      </c>
      <c r="Q36" s="257"/>
      <c r="T36" s="96"/>
      <c r="U36" s="255" t="n">
        <v>18</v>
      </c>
      <c r="V36" s="251" t="n">
        <f aca="false">E32/$W$18</f>
        <v>12462.7211721307</v>
      </c>
      <c r="W36" s="256" t="n">
        <f aca="false">E32/V36</f>
        <v>2319.04548780488</v>
      </c>
      <c r="X36" s="253" t="n">
        <f aca="false">X35</f>
        <v>2</v>
      </c>
      <c r="Y36" s="254" t="n">
        <f aca="false">Y35</f>
        <v>0.7</v>
      </c>
      <c r="Z36" s="257"/>
      <c r="AA36" s="258"/>
      <c r="AB36" s="7"/>
      <c r="AC36" s="7"/>
      <c r="AJ36" s="7"/>
      <c r="AL36" s="7"/>
      <c r="AT36" s="48"/>
      <c r="AV36" s="24"/>
      <c r="AW36" s="80"/>
      <c r="AX36" s="71" t="s">
        <v>132</v>
      </c>
      <c r="AY36" s="71"/>
      <c r="AZ36" s="86" t="n">
        <f aca="false">'Input-Start'!AR28</f>
        <v>1.1</v>
      </c>
      <c r="BA36" s="73"/>
      <c r="BB36" s="27"/>
      <c r="BE36" s="48"/>
      <c r="BF36" s="48"/>
      <c r="BG36" s="48"/>
      <c r="BH36" s="48"/>
      <c r="BJ36" s="48"/>
      <c r="BK36" s="26"/>
      <c r="BL36" s="1"/>
      <c r="BM36" s="1"/>
      <c r="BN36" s="1"/>
      <c r="BO36" s="1"/>
      <c r="BQ36" s="48"/>
      <c r="BR36" s="24"/>
      <c r="BS36" s="171"/>
      <c r="BT36" s="71" t="s">
        <v>170</v>
      </c>
      <c r="BU36" s="71"/>
      <c r="BV36" s="170" t="n">
        <f aca="false">'Input-Start'!BA37</f>
        <v>65000</v>
      </c>
      <c r="BW36" s="73"/>
      <c r="BX36" s="177"/>
    </row>
    <row r="37" customFormat="false" ht="17" hidden="false" customHeight="false" outlineLevel="0" collapsed="false">
      <c r="K37" s="96"/>
      <c r="L37" s="99" t="n">
        <v>19</v>
      </c>
      <c r="M37" s="251" t="n">
        <f aca="false">E33/$N$18</f>
        <v>12699.5390150268</v>
      </c>
      <c r="N37" s="252" t="n">
        <f aca="false">E33/M37</f>
        <v>2319.04548780488</v>
      </c>
      <c r="O37" s="253" t="n">
        <f aca="false">O36</f>
        <v>2</v>
      </c>
      <c r="P37" s="254" t="n">
        <f aca="false">P36</f>
        <v>0.3</v>
      </c>
      <c r="Q37" s="257"/>
      <c r="T37" s="96"/>
      <c r="U37" s="255" t="n">
        <v>19</v>
      </c>
      <c r="V37" s="251" t="n">
        <f aca="false">E33/$W$18</f>
        <v>12699.5390150268</v>
      </c>
      <c r="W37" s="256" t="n">
        <f aca="false">E33/V37</f>
        <v>2319.04548780488</v>
      </c>
      <c r="X37" s="253" t="n">
        <f aca="false">X36</f>
        <v>2</v>
      </c>
      <c r="Y37" s="254" t="n">
        <f aca="false">Y36</f>
        <v>0.7</v>
      </c>
      <c r="Z37" s="257"/>
      <c r="AA37" s="274"/>
      <c r="AB37" s="7"/>
      <c r="AC37" s="7"/>
      <c r="AJ37" s="7"/>
      <c r="AV37" s="24"/>
      <c r="AW37" s="80"/>
      <c r="AX37" s="71" t="s">
        <v>135</v>
      </c>
      <c r="AY37" s="71"/>
      <c r="AZ37" s="86" t="n">
        <f aca="false">'Input-Start'!AR29</f>
        <v>20</v>
      </c>
      <c r="BA37" s="73"/>
      <c r="BB37" s="27"/>
      <c r="BJ37" s="48"/>
      <c r="BK37" s="48"/>
      <c r="BQ37" s="48"/>
      <c r="BR37" s="24"/>
      <c r="BS37" s="140"/>
      <c r="BT37" s="141"/>
      <c r="BU37" s="141"/>
      <c r="BV37" s="178"/>
      <c r="BW37" s="143"/>
      <c r="BX37" s="27"/>
    </row>
    <row r="38" customFormat="false" ht="17" hidden="false" customHeight="false" outlineLevel="0" collapsed="false">
      <c r="K38" s="96"/>
      <c r="L38" s="179" t="n">
        <v>20</v>
      </c>
      <c r="M38" s="275" t="n">
        <f aca="false">E34/$N$18</f>
        <v>12936.356857923</v>
      </c>
      <c r="N38" s="276" t="n">
        <f aca="false">E34/M38</f>
        <v>2319.04548780488</v>
      </c>
      <c r="O38" s="277" t="n">
        <f aca="false">O37</f>
        <v>2</v>
      </c>
      <c r="P38" s="278" t="n">
        <f aca="false">P37</f>
        <v>0.3</v>
      </c>
      <c r="Q38" s="257"/>
      <c r="T38" s="96"/>
      <c r="U38" s="279" t="n">
        <v>20</v>
      </c>
      <c r="V38" s="275" t="n">
        <f aca="false">E34/$W$18</f>
        <v>12936.356857923</v>
      </c>
      <c r="W38" s="280" t="n">
        <f aca="false">E34/V38</f>
        <v>2319.04548780488</v>
      </c>
      <c r="X38" s="277" t="n">
        <f aca="false">X37</f>
        <v>2</v>
      </c>
      <c r="Y38" s="278" t="n">
        <f aca="false">Y37</f>
        <v>0.7</v>
      </c>
      <c r="Z38" s="257"/>
      <c r="AB38" s="7"/>
      <c r="AC38" s="7"/>
      <c r="AJ38" s="7"/>
      <c r="AV38" s="24"/>
      <c r="AW38" s="67" t="s">
        <v>235</v>
      </c>
      <c r="AX38" s="71"/>
      <c r="AY38" s="71"/>
      <c r="AZ38" s="146"/>
      <c r="BA38" s="73"/>
      <c r="BB38" s="27"/>
      <c r="BJ38" s="48"/>
      <c r="BK38" s="48"/>
      <c r="BQ38" s="48"/>
      <c r="BR38" s="173"/>
      <c r="BS38" s="184"/>
      <c r="BT38" s="184"/>
      <c r="BU38" s="184"/>
      <c r="BV38" s="184"/>
      <c r="BW38" s="184"/>
      <c r="BX38" s="175"/>
    </row>
    <row r="39" customFormat="false" ht="18" hidden="false" customHeight="false" outlineLevel="0" collapsed="false">
      <c r="K39" s="162"/>
      <c r="L39" s="163"/>
      <c r="M39" s="163"/>
      <c r="N39" s="163"/>
      <c r="O39" s="163"/>
      <c r="P39" s="163"/>
      <c r="Q39" s="164"/>
      <c r="T39" s="162"/>
      <c r="U39" s="163"/>
      <c r="V39" s="163"/>
      <c r="W39" s="163"/>
      <c r="X39" s="163"/>
      <c r="Y39" s="163"/>
      <c r="Z39" s="164"/>
      <c r="AB39" s="7"/>
      <c r="AC39" s="7"/>
      <c r="AJ39" s="7"/>
      <c r="AV39" s="281"/>
      <c r="AW39" s="67"/>
      <c r="AX39" s="71" t="s">
        <v>130</v>
      </c>
      <c r="AY39" s="71"/>
      <c r="AZ39" s="168" t="n">
        <f aca="false">'Input-Start'!AR32</f>
        <v>12.75</v>
      </c>
      <c r="BA39" s="73"/>
      <c r="BB39" s="82"/>
      <c r="BJ39" s="48"/>
      <c r="BK39" s="48"/>
      <c r="BQ39" s="48"/>
      <c r="BR39" s="48"/>
      <c r="BY39" s="48"/>
    </row>
    <row r="40" customFormat="false" ht="17" hidden="false" customHeight="false" outlineLevel="0" collapsed="false">
      <c r="T40" s="7"/>
      <c r="U40" s="7"/>
      <c r="V40" s="7"/>
      <c r="W40" s="7"/>
      <c r="X40" s="7"/>
      <c r="Y40" s="7"/>
      <c r="Z40" s="7"/>
      <c r="AA40" s="7"/>
      <c r="AB40" s="7"/>
      <c r="AC40" s="7"/>
      <c r="AJ40" s="7"/>
      <c r="AV40" s="20"/>
      <c r="AW40" s="67"/>
      <c r="AX40" s="71" t="s">
        <v>132</v>
      </c>
      <c r="AY40" s="71"/>
      <c r="AZ40" s="168" t="n">
        <f aca="false">'Input-Start'!AR33</f>
        <v>33.41</v>
      </c>
      <c r="BA40" s="73"/>
      <c r="BB40" s="82"/>
      <c r="BK40" s="48"/>
      <c r="BP40" s="1"/>
      <c r="BQ40" s="26"/>
    </row>
    <row r="41" customFormat="false" ht="16" hidden="false" customHeight="false" outlineLevel="0" collapsed="false">
      <c r="AB41" s="7"/>
      <c r="AC41" s="7"/>
      <c r="AJ41" s="7"/>
      <c r="AV41" s="20"/>
      <c r="AW41" s="129"/>
      <c r="AX41" s="71" t="s">
        <v>163</v>
      </c>
      <c r="AY41" s="71"/>
      <c r="AZ41" s="168" t="n">
        <f aca="false">'Input-Start'!AR34</f>
        <v>12.75</v>
      </c>
      <c r="BA41" s="73"/>
      <c r="BB41" s="82"/>
      <c r="BK41" s="48"/>
      <c r="BP41" s="1"/>
      <c r="BQ41" s="26"/>
    </row>
    <row r="42" customFormat="false" ht="12" hidden="false" customHeight="false" outlineLevel="0" collapsed="false">
      <c r="AB42" s="7"/>
      <c r="AC42" s="7"/>
      <c r="AJ42" s="7"/>
      <c r="AV42" s="20"/>
      <c r="AW42" s="282"/>
      <c r="AX42" s="283"/>
      <c r="AY42" s="283"/>
      <c r="AZ42" s="283"/>
      <c r="BA42" s="284"/>
      <c r="BB42" s="82"/>
    </row>
    <row r="43" customFormat="false" ht="13" hidden="false" customHeight="false" outlineLevel="0" collapsed="false">
      <c r="AB43" s="7"/>
      <c r="AC43" s="7"/>
      <c r="AJ43" s="7"/>
      <c r="AV43" s="186"/>
      <c r="AW43" s="174"/>
      <c r="AX43" s="174"/>
      <c r="AY43" s="174"/>
      <c r="AZ43" s="174"/>
      <c r="BA43" s="174"/>
      <c r="BB43" s="187"/>
    </row>
    <row r="44" customFormat="false" ht="14" hidden="false" customHeight="false" outlineLevel="0" collapsed="false">
      <c r="AB44" s="7"/>
      <c r="AC44" s="285" t="s">
        <v>236</v>
      </c>
      <c r="AJ44" s="7"/>
    </row>
    <row r="45" customFormat="false" ht="14" hidden="false" customHeight="false" outlineLevel="0" collapsed="false">
      <c r="AB45" s="7"/>
      <c r="AC45" s="286" t="s">
        <v>237</v>
      </c>
      <c r="AD45" s="286"/>
      <c r="AE45" s="286"/>
      <c r="AF45" s="286"/>
      <c r="AG45" s="286"/>
      <c r="AH45" s="286"/>
      <c r="AI45" s="286"/>
      <c r="AJ45" s="7"/>
    </row>
    <row r="46" customFormat="false" ht="13" hidden="false" customHeight="false" outlineLevel="0" collapsed="false">
      <c r="AB46" s="7"/>
      <c r="AC46" s="287" t="s">
        <v>238</v>
      </c>
      <c r="AD46" s="287"/>
      <c r="AE46" s="287"/>
      <c r="AF46" s="287"/>
      <c r="AG46" s="287"/>
      <c r="AH46" s="287"/>
      <c r="AI46" s="287"/>
      <c r="AJ46" s="7"/>
    </row>
    <row r="47" customFormat="false" ht="13" hidden="false" customHeight="false" outlineLevel="0" collapsed="false">
      <c r="AB47" s="7"/>
      <c r="AC47" s="287" t="s">
        <v>239</v>
      </c>
      <c r="AD47" s="287"/>
      <c r="AE47" s="287"/>
      <c r="AF47" s="287"/>
      <c r="AG47" s="287"/>
      <c r="AH47" s="287"/>
      <c r="AI47" s="287"/>
    </row>
    <row r="48" customFormat="false" ht="13" hidden="false" customHeight="false" outlineLevel="0" collapsed="false">
      <c r="AC48" s="287"/>
      <c r="AD48" s="287"/>
      <c r="AE48" s="287"/>
      <c r="AF48" s="287"/>
      <c r="AG48" s="287"/>
      <c r="AH48" s="287"/>
      <c r="AI48" s="287"/>
    </row>
    <row r="49" customFormat="false" ht="13" hidden="false" customHeight="false" outlineLevel="0" collapsed="false">
      <c r="AC49" s="287" t="s">
        <v>240</v>
      </c>
      <c r="AD49" s="287"/>
      <c r="AE49" s="287"/>
      <c r="AF49" s="287"/>
      <c r="AG49" s="287"/>
      <c r="AH49" s="287"/>
      <c r="AI49" s="287"/>
    </row>
    <row r="50" customFormat="false" ht="13" hidden="false" customHeight="false" outlineLevel="0" collapsed="false">
      <c r="AC50" s="287" t="s">
        <v>241</v>
      </c>
      <c r="AD50" s="287"/>
      <c r="AE50" s="287"/>
      <c r="AF50" s="287"/>
      <c r="AG50" s="287"/>
      <c r="AH50" s="287"/>
      <c r="AI50" s="287"/>
    </row>
    <row r="51" customFormat="false" ht="15" hidden="false" customHeight="false" outlineLevel="0" collapsed="false">
      <c r="AC51" s="287" t="s">
        <v>242</v>
      </c>
      <c r="AD51" s="287"/>
      <c r="AE51" s="287"/>
      <c r="AF51" s="287"/>
      <c r="AG51" s="287"/>
      <c r="AH51" s="287"/>
      <c r="AI51" s="287"/>
    </row>
    <row r="52" customFormat="false" ht="13" hidden="false" customHeight="false" outlineLevel="0" collapsed="false">
      <c r="AC52" s="287" t="s">
        <v>243</v>
      </c>
      <c r="AD52" s="287"/>
      <c r="AE52" s="287"/>
      <c r="AF52" s="287"/>
      <c r="AG52" s="287"/>
      <c r="AH52" s="287"/>
      <c r="AI52" s="287"/>
    </row>
    <row r="53" customFormat="false" ht="13" hidden="false" customHeight="false" outlineLevel="0" collapsed="false">
      <c r="AC53" s="287" t="s">
        <v>244</v>
      </c>
      <c r="AD53" s="287"/>
      <c r="AE53" s="287"/>
      <c r="AF53" s="287"/>
      <c r="AG53" s="287"/>
      <c r="AH53" s="287"/>
      <c r="AI53" s="287"/>
    </row>
    <row r="54" customFormat="false" ht="13" hidden="false" customHeight="false" outlineLevel="0" collapsed="false">
      <c r="AC54" s="287" t="s">
        <v>245</v>
      </c>
      <c r="AD54" s="287"/>
      <c r="AE54" s="287"/>
      <c r="AF54" s="287"/>
      <c r="AG54" s="287"/>
      <c r="AH54" s="287"/>
      <c r="AI54" s="287"/>
    </row>
    <row r="55" customFormat="false" ht="13" hidden="false" customHeight="false" outlineLevel="0" collapsed="false">
      <c r="AC55" s="288"/>
      <c r="AD55" s="289"/>
      <c r="AE55" s="289"/>
      <c r="AF55" s="289"/>
      <c r="AG55" s="289"/>
      <c r="AH55" s="289"/>
      <c r="AI55" s="290"/>
    </row>
    <row r="56" customFormat="false" ht="17" hidden="false" customHeight="false" outlineLevel="0" collapsed="false">
      <c r="AC56" s="288" t="s">
        <v>246</v>
      </c>
      <c r="AD56" s="288"/>
      <c r="AE56" s="291"/>
      <c r="AF56" s="292" t="n">
        <f aca="false">'Input-Detail'!$BV$29</f>
        <v>0.03</v>
      </c>
      <c r="AG56" s="291"/>
      <c r="AH56" s="291"/>
      <c r="AI56" s="293"/>
    </row>
    <row r="57" customFormat="false" ht="13" hidden="false" customHeight="false" outlineLevel="0" collapsed="false">
      <c r="AC57" s="294" t="s">
        <v>247</v>
      </c>
      <c r="AD57" s="289"/>
      <c r="AE57" s="291"/>
      <c r="AF57" s="295" t="n">
        <f aca="false">'Input-Detail'!$BV$36</f>
        <v>65000</v>
      </c>
      <c r="AG57" s="291"/>
      <c r="AH57" s="291"/>
      <c r="AI57" s="293"/>
    </row>
    <row r="58" customFormat="false" ht="14" hidden="false" customHeight="false" outlineLevel="0" collapsed="false">
      <c r="AC58" s="296" t="s">
        <v>248</v>
      </c>
      <c r="AD58" s="297"/>
      <c r="AE58" s="298"/>
      <c r="AF58" s="298" t="n">
        <f aca="false">PY_for_Inf</f>
        <v>0.11</v>
      </c>
      <c r="AG58" s="298"/>
      <c r="AH58" s="298"/>
      <c r="AI58" s="299"/>
    </row>
    <row r="59" customFormat="false" ht="13" hidden="false" customHeight="false" outlineLevel="0" collapsed="false"/>
  </sheetData>
  <mergeCells count="38">
    <mergeCell ref="AE2:AI2"/>
    <mergeCell ref="AN2:AQ2"/>
    <mergeCell ref="C4:H4"/>
    <mergeCell ref="L4:Q4"/>
    <mergeCell ref="AD4:AI4"/>
    <mergeCell ref="C5:H5"/>
    <mergeCell ref="L5:Q5"/>
    <mergeCell ref="AD5:AI5"/>
    <mergeCell ref="C6:H6"/>
    <mergeCell ref="L6:Q6"/>
    <mergeCell ref="AD6:AI6"/>
    <mergeCell ref="C8:H8"/>
    <mergeCell ref="C9:H9"/>
    <mergeCell ref="AD10:AI10"/>
    <mergeCell ref="BG10:BG12"/>
    <mergeCell ref="BH10:BI10"/>
    <mergeCell ref="BJ10:BM10"/>
    <mergeCell ref="BH11:BI11"/>
    <mergeCell ref="BJ11:BK11"/>
    <mergeCell ref="BL11:BM11"/>
    <mergeCell ref="AD12:AD13"/>
    <mergeCell ref="AE12:AE13"/>
    <mergeCell ref="AF12:AH12"/>
    <mergeCell ref="AM12:AM13"/>
    <mergeCell ref="AN12:AN13"/>
    <mergeCell ref="AO12:AR12"/>
    <mergeCell ref="L15:Q15"/>
    <mergeCell ref="AC45:AI45"/>
    <mergeCell ref="AC46:AI46"/>
    <mergeCell ref="AC47:AI47"/>
    <mergeCell ref="AC48:AI48"/>
    <mergeCell ref="AC49:AI49"/>
    <mergeCell ref="AC50:AI50"/>
    <mergeCell ref="AC51:AI51"/>
    <mergeCell ref="AC52:AI52"/>
    <mergeCell ref="AC53:AI53"/>
    <mergeCell ref="AC54:AI54"/>
    <mergeCell ref="AC56:AD5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3" activeCellId="0" sqref="F3"/>
    </sheetView>
  </sheetViews>
  <sheetFormatPr defaultColWidth="8.82421875" defaultRowHeight="12" customHeight="false" zeroHeight="false" outlineLevelRow="0" outlineLevelCol="0"/>
  <cols>
    <col collapsed="false" customWidth="true" hidden="false" outlineLevel="0" max="1" min="1" style="7" width="11.15"/>
    <col collapsed="false" customWidth="true" hidden="false" outlineLevel="0" max="2" min="2" style="7" width="12.32"/>
    <col collapsed="false" customWidth="true" hidden="false" outlineLevel="0" max="3" min="3" style="7" width="11.5"/>
    <col collapsed="false" customWidth="true" hidden="false" outlineLevel="0" max="4" min="4" style="7" width="16.82"/>
    <col collapsed="false" customWidth="true" hidden="false" outlineLevel="0" max="5" min="5" style="300" width="12.5"/>
    <col collapsed="false" customWidth="true" hidden="false" outlineLevel="0" max="6" min="6" style="7" width="11.66"/>
    <col collapsed="false" customWidth="true" hidden="false" outlineLevel="0" max="7" min="7" style="7" width="12.99"/>
    <col collapsed="false" customWidth="true" hidden="false" outlineLevel="0" max="8" min="8" style="7" width="13.33"/>
    <col collapsed="false" customWidth="true" hidden="false" outlineLevel="0" max="9" min="9" style="7" width="12.66"/>
    <col collapsed="false" customWidth="true" hidden="false" outlineLevel="0" max="10" min="10" style="7" width="11.15"/>
    <col collapsed="false" customWidth="true" hidden="false" outlineLevel="0" max="11" min="11" style="7" width="13.82"/>
    <col collapsed="false" customWidth="true" hidden="false" outlineLevel="0" max="12" min="12" style="7" width="16.5"/>
    <col collapsed="false" customWidth="true" hidden="false" outlineLevel="0" max="13" min="13" style="7" width="13.82"/>
    <col collapsed="false" customWidth="true" hidden="false" outlineLevel="0" max="14" min="14" style="7" width="11.99"/>
    <col collapsed="false" customWidth="true" hidden="false" outlineLevel="0" max="15" min="15" style="7" width="14.15"/>
    <col collapsed="false" customWidth="true" hidden="false" outlineLevel="0" max="16" min="16" style="7" width="11.66"/>
    <col collapsed="false" customWidth="true" hidden="false" outlineLevel="0" max="17" min="17" style="7" width="8.49"/>
    <col collapsed="false" customWidth="false" hidden="false" outlineLevel="0" max="257" min="18" style="7" width="8.82"/>
  </cols>
  <sheetData>
    <row r="1" customFormat="false" ht="13" hidden="false" customHeight="false" outlineLevel="0" collapsed="false"/>
    <row r="2" customFormat="false" ht="13" hidden="false" customHeight="false" outlineLevel="0" collapsed="false">
      <c r="A2" s="301" t="s">
        <v>249</v>
      </c>
      <c r="B2" s="302"/>
      <c r="C2" s="303" t="s">
        <v>250</v>
      </c>
      <c r="D2" s="304" t="n">
        <f aca="false">'Results-Detail'!R26</f>
        <v>60859828.7966518</v>
      </c>
      <c r="E2" s="302" t="s">
        <v>251</v>
      </c>
      <c r="F2" s="304" t="n">
        <f aca="false">'Results-Detail'!Q26</f>
        <v>67060994.7154053</v>
      </c>
      <c r="G2" s="303" t="s">
        <v>252</v>
      </c>
      <c r="H2" s="305" t="n">
        <f aca="false">'Results-Detail'!P26</f>
        <v>6201165.9187535</v>
      </c>
    </row>
    <row r="3" customFormat="false" ht="13" hidden="false" customHeight="false" outlineLevel="0" collapsed="false">
      <c r="A3" s="306"/>
      <c r="B3" s="307"/>
      <c r="C3" s="307" t="s">
        <v>253</v>
      </c>
      <c r="D3" s="308" t="n">
        <f aca="false">'Results-Detail'!Q26/'Results-Detail'!P26</f>
        <v>10.8142558341489</v>
      </c>
      <c r="E3" s="307" t="s">
        <v>254</v>
      </c>
      <c r="F3" s="309" t="n">
        <f aca="false">IRR(B13:B33)</f>
        <v>0.317892696554085</v>
      </c>
      <c r="G3" s="307"/>
      <c r="H3" s="310"/>
    </row>
    <row r="4" customFormat="false" ht="13" hidden="false" customHeight="false" outlineLevel="0" collapsed="false">
      <c r="A4" s="311" t="s">
        <v>255</v>
      </c>
      <c r="B4" s="21"/>
      <c r="C4" s="21"/>
      <c r="D4" s="312"/>
      <c r="F4" s="313"/>
      <c r="G4" s="21"/>
      <c r="H4" s="21"/>
    </row>
    <row r="5" customFormat="false" ht="12" hidden="false" customHeight="false" outlineLevel="0" collapsed="false">
      <c r="A5" s="311" t="s">
        <v>256</v>
      </c>
      <c r="B5" s="21"/>
      <c r="C5" s="21"/>
      <c r="D5" s="312"/>
      <c r="F5" s="313"/>
      <c r="G5" s="21"/>
      <c r="H5" s="21"/>
    </row>
    <row r="6" customFormat="false" ht="12" hidden="false" customHeight="false" outlineLevel="0" collapsed="false">
      <c r="A6" s="311" t="s">
        <v>257</v>
      </c>
      <c r="B6" s="21"/>
      <c r="C6" s="21"/>
      <c r="D6" s="312"/>
      <c r="F6" s="313"/>
      <c r="G6" s="21"/>
      <c r="H6" s="21"/>
    </row>
    <row r="7" customFormat="false" ht="12" hidden="false" customHeight="false" outlineLevel="0" collapsed="false">
      <c r="A7" s="311" t="s">
        <v>258</v>
      </c>
      <c r="B7" s="21"/>
      <c r="C7" s="21"/>
      <c r="D7" s="312"/>
      <c r="F7" s="313"/>
      <c r="G7" s="21"/>
      <c r="H7" s="21"/>
    </row>
    <row r="8" customFormat="false" ht="12" hidden="false" customHeight="false" outlineLevel="0" collapsed="false">
      <c r="A8" s="311" t="s">
        <v>259</v>
      </c>
      <c r="B8" s="21"/>
      <c r="C8" s="21"/>
      <c r="D8" s="312"/>
      <c r="F8" s="313"/>
      <c r="G8" s="21"/>
      <c r="H8" s="21"/>
    </row>
    <row r="10" customFormat="false" ht="12" hidden="false" customHeight="false" outlineLevel="0" collapsed="false">
      <c r="A10" s="314" t="s">
        <v>260</v>
      </c>
      <c r="F10" s="314"/>
      <c r="J10" s="314"/>
    </row>
    <row r="11" customFormat="false" ht="13" hidden="false" customHeight="false" outlineLevel="0" collapsed="false">
      <c r="A11" s="7" t="s">
        <v>261</v>
      </c>
      <c r="C11" s="315" t="n">
        <f aca="false">'Input-Detail'!BV31</f>
        <v>0.02</v>
      </c>
      <c r="L11" s="315"/>
    </row>
    <row r="12" customFormat="false" ht="35" hidden="false" customHeight="false" outlineLevel="0" collapsed="false">
      <c r="A12" s="316" t="s">
        <v>96</v>
      </c>
      <c r="B12" s="317" t="s">
        <v>262</v>
      </c>
      <c r="C12" s="318" t="s">
        <v>263</v>
      </c>
      <c r="D12" s="319" t="s">
        <v>264</v>
      </c>
      <c r="E12" s="318" t="s">
        <v>265</v>
      </c>
      <c r="F12" s="320" t="s">
        <v>266</v>
      </c>
      <c r="G12" s="321" t="s">
        <v>267</v>
      </c>
      <c r="H12" s="320" t="s">
        <v>268</v>
      </c>
      <c r="I12" s="322" t="s">
        <v>269</v>
      </c>
      <c r="J12" s="321" t="s">
        <v>270</v>
      </c>
      <c r="K12" s="321" t="s">
        <v>271</v>
      </c>
      <c r="L12" s="319" t="s">
        <v>272</v>
      </c>
      <c r="M12" s="318" t="s">
        <v>273</v>
      </c>
      <c r="N12" s="323"/>
    </row>
    <row r="13" customFormat="false" ht="13" hidden="false" customHeight="false" outlineLevel="0" collapsed="false">
      <c r="A13" s="324" t="s">
        <v>114</v>
      </c>
      <c r="B13" s="325" t="n">
        <f aca="false">L13-D13</f>
        <v>-3013979.544</v>
      </c>
      <c r="C13" s="326" t="n">
        <f aca="false">M13-E13</f>
        <v>-3013979.544</v>
      </c>
      <c r="D13" s="327" t="n">
        <f aca="false">'Results-Detail'!B5</f>
        <v>3009339.704</v>
      </c>
      <c r="E13" s="326" t="n">
        <f aca="false">'Results-Detail'!C5</f>
        <v>3009339.704</v>
      </c>
      <c r="F13" s="327" t="n">
        <f aca="false">'Results-Detail'!F5</f>
        <v>0</v>
      </c>
      <c r="G13" s="325" t="n">
        <f aca="false">'Results-Detail'!G5</f>
        <v>0</v>
      </c>
      <c r="H13" s="325" t="n">
        <f aca="false">'Results-Detail'!H5</f>
        <v>0</v>
      </c>
      <c r="I13" s="325" t="n">
        <f aca="false">'Results-Detail'!I5</f>
        <v>-4639.83999999985</v>
      </c>
      <c r="J13" s="325" t="n">
        <f aca="false">'Results-Detail'!J5</f>
        <v>0</v>
      </c>
      <c r="K13" s="328" t="n">
        <f aca="false">'Results-Detail'!K5</f>
        <v>-0</v>
      </c>
      <c r="L13" s="328" t="n">
        <f aca="false">'Results-Detail'!L5</f>
        <v>-4639.83999999985</v>
      </c>
      <c r="M13" s="326" t="n">
        <f aca="false">'Results-Detail'!M5</f>
        <v>-4639.83999999985</v>
      </c>
      <c r="N13" s="329"/>
    </row>
    <row r="14" customFormat="false" ht="12" hidden="false" customHeight="false" outlineLevel="0" collapsed="false">
      <c r="A14" s="324" t="n">
        <v>1</v>
      </c>
      <c r="B14" s="328" t="n">
        <f aca="false">L14-D14</f>
        <v>232661.245940743</v>
      </c>
      <c r="C14" s="326" t="n">
        <f aca="false">M14-E14</f>
        <v>228099.260726219</v>
      </c>
      <c r="D14" s="327" t="n">
        <f aca="false">'Results-Detail'!B6</f>
        <v>0</v>
      </c>
      <c r="E14" s="326" t="n">
        <f aca="false">'Results-Detail'!C6</f>
        <v>0</v>
      </c>
      <c r="F14" s="327" t="n">
        <f aca="false">'Results-Detail'!F6</f>
        <v>8778.3528921858</v>
      </c>
      <c r="G14" s="328" t="n">
        <f aca="false">'Results-Detail'!G6</f>
        <v>3338.50934576561</v>
      </c>
      <c r="H14" s="328" t="n">
        <f aca="false">'Results-Detail'!H6</f>
        <v>311.092715241472</v>
      </c>
      <c r="I14" s="328" t="n">
        <f aca="false">'Results-Detail'!I6</f>
        <v>220233.29098755</v>
      </c>
      <c r="J14" s="328" t="n">
        <f aca="false">'Results-Detail'!J6</f>
        <v>13897.7674319138</v>
      </c>
      <c r="K14" s="328" t="n">
        <f aca="false">'Results-Detail'!K6</f>
        <v>-13897.7674319138</v>
      </c>
      <c r="L14" s="328" t="n">
        <f aca="false">'Results-Detail'!L6</f>
        <v>232661.245940743</v>
      </c>
      <c r="M14" s="326" t="n">
        <f aca="false">'Results-Detail'!M6</f>
        <v>228099.260726219</v>
      </c>
      <c r="N14" s="329"/>
    </row>
    <row r="15" customFormat="false" ht="12" hidden="false" customHeight="false" outlineLevel="0" collapsed="false">
      <c r="A15" s="324" t="n">
        <v>2</v>
      </c>
      <c r="B15" s="328" t="n">
        <f aca="false">L15-D15</f>
        <v>158447.866541536</v>
      </c>
      <c r="C15" s="326" t="n">
        <f aca="false">M15-E15</f>
        <v>152295.142773487</v>
      </c>
      <c r="D15" s="327" t="n">
        <f aca="false">'Results-Detail'!B7</f>
        <v>302158.1117</v>
      </c>
      <c r="E15" s="326" t="n">
        <f aca="false">'Results-Detail'!C7</f>
        <v>290424.94396386</v>
      </c>
      <c r="F15" s="327" t="n">
        <f aca="false">'Results-Detail'!F7</f>
        <v>18591.0004022237</v>
      </c>
      <c r="G15" s="328" t="n">
        <f aca="false">'Results-Detail'!G7</f>
        <v>12508.8632255815</v>
      </c>
      <c r="H15" s="328" t="n">
        <f aca="false">'Results-Detail'!H7</f>
        <v>733.212462317843</v>
      </c>
      <c r="I15" s="328" t="n">
        <f aca="false">'Results-Detail'!I7</f>
        <v>428772.902151413</v>
      </c>
      <c r="J15" s="328" t="n">
        <f aca="false">'Results-Detail'!J7</f>
        <v>28575.743555205</v>
      </c>
      <c r="K15" s="328" t="n">
        <f aca="false">'Results-Detail'!K7</f>
        <v>-28575.743555205</v>
      </c>
      <c r="L15" s="328" t="n">
        <f aca="false">'Results-Detail'!L7</f>
        <v>460605.978241536</v>
      </c>
      <c r="M15" s="326" t="n">
        <f aca="false">'Results-Detail'!M7</f>
        <v>442720.086737347</v>
      </c>
      <c r="N15" s="329"/>
    </row>
    <row r="16" customFormat="false" ht="12" hidden="false" customHeight="false" outlineLevel="0" collapsed="false">
      <c r="A16" s="324" t="n">
        <v>3</v>
      </c>
      <c r="B16" s="328" t="n">
        <f aca="false">L16-D16</f>
        <v>222516.263155167</v>
      </c>
      <c r="C16" s="326" t="n">
        <f aca="false">M16-E16</f>
        <v>209682.044571061</v>
      </c>
      <c r="D16" s="327" t="n">
        <f aca="false">'Results-Detail'!B8</f>
        <v>490176.570387</v>
      </c>
      <c r="E16" s="326" t="n">
        <f aca="false">'Results-Detail'!C8</f>
        <v>461904.330147341</v>
      </c>
      <c r="F16" s="327" t="n">
        <f aca="false">'Results-Detail'!F8</f>
        <v>29507.3274929114</v>
      </c>
      <c r="G16" s="328" t="n">
        <f aca="false">'Results-Detail'!G8</f>
        <v>21311.6978278562</v>
      </c>
      <c r="H16" s="328" t="n">
        <f aca="false">'Results-Detail'!H8</f>
        <v>1191.37600799382</v>
      </c>
      <c r="I16" s="328" t="n">
        <f aca="false">'Results-Detail'!I8</f>
        <v>660682.432213405</v>
      </c>
      <c r="J16" s="328" t="n">
        <f aca="false">'Results-Detail'!J8</f>
        <v>44033.9283698738</v>
      </c>
      <c r="K16" s="328" t="n">
        <f aca="false">'Results-Detail'!K8</f>
        <v>-44033.9283698738</v>
      </c>
      <c r="L16" s="328" t="n">
        <f aca="false">'Results-Detail'!L8</f>
        <v>712692.833542167</v>
      </c>
      <c r="M16" s="326" t="n">
        <f aca="false">'Results-Detail'!M8</f>
        <v>671586.374718403</v>
      </c>
      <c r="N16" s="329"/>
    </row>
    <row r="17" customFormat="false" ht="12" hidden="false" customHeight="false" outlineLevel="0" collapsed="false">
      <c r="A17" s="324" t="n">
        <v>4</v>
      </c>
      <c r="B17" s="328" t="n">
        <f aca="false">L17-D17</f>
        <v>681356.365945077</v>
      </c>
      <c r="C17" s="326" t="n">
        <f aca="false">M17-E17</f>
        <v>629467.962172407</v>
      </c>
      <c r="D17" s="327" t="n">
        <f aca="false">'Results-Detail'!B9</f>
        <v>308165.43768681</v>
      </c>
      <c r="E17" s="326" t="n">
        <f aca="false">'Results-Detail'!C9</f>
        <v>284697.230066418</v>
      </c>
      <c r="F17" s="327" t="n">
        <f aca="false">'Results-Detail'!F9</f>
        <v>41600.4081937583</v>
      </c>
      <c r="G17" s="328" t="n">
        <f aca="false">'Results-Detail'!G9</f>
        <v>28739.7170549807</v>
      </c>
      <c r="H17" s="328" t="n">
        <f aca="false">'Results-Detail'!H9</f>
        <v>1673.61516007842</v>
      </c>
      <c r="I17" s="328" t="n">
        <f aca="false">'Results-Detail'!I9</f>
        <v>917508.06322307</v>
      </c>
      <c r="J17" s="328" t="n">
        <f aca="false">'Results-Detail'!J9</f>
        <v>60272.32187592</v>
      </c>
      <c r="K17" s="328" t="n">
        <f aca="false">'Results-Detail'!K9</f>
        <v>-60272.32187592</v>
      </c>
      <c r="L17" s="328" t="n">
        <f aca="false">'Results-Detail'!L9</f>
        <v>989521.803631887</v>
      </c>
      <c r="M17" s="326" t="n">
        <f aca="false">'Results-Detail'!M9</f>
        <v>914165.192238825</v>
      </c>
      <c r="N17" s="329"/>
    </row>
    <row r="18" customFormat="false" ht="12" hidden="false" customHeight="false" outlineLevel="0" collapsed="false">
      <c r="A18" s="324" t="n">
        <v>5</v>
      </c>
      <c r="B18" s="328" t="n">
        <f aca="false">L18-D18</f>
        <v>1003999.9870338</v>
      </c>
      <c r="C18" s="326" t="n">
        <f aca="false">M18-E18</f>
        <v>909353.721325346</v>
      </c>
      <c r="D18" s="327" t="n">
        <f aca="false">'Results-Detail'!B10</f>
        <v>335688.675146902</v>
      </c>
      <c r="E18" s="326" t="n">
        <f aca="false">'Results-Detail'!C10</f>
        <v>304043.575591536</v>
      </c>
      <c r="F18" s="327" t="n">
        <f aca="false">'Results-Detail'!F10</f>
        <v>54947.178203545</v>
      </c>
      <c r="G18" s="328" t="n">
        <f aca="false">'Results-Detail'!G10</f>
        <v>37321.3491273707</v>
      </c>
      <c r="H18" s="328" t="n">
        <f aca="false">'Results-Detail'!H10</f>
        <v>2217.28425306701</v>
      </c>
      <c r="I18" s="328" t="n">
        <f aca="false">'Results-Detail'!I10</f>
        <v>1245202.85059672</v>
      </c>
      <c r="J18" s="328" t="n">
        <f aca="false">'Results-Detail'!J10</f>
        <v>77290.9240733438</v>
      </c>
      <c r="K18" s="328" t="n">
        <f aca="false">'Results-Detail'!K10</f>
        <v>-77290.9240733438</v>
      </c>
      <c r="L18" s="328" t="n">
        <f aca="false">'Results-Detail'!L10</f>
        <v>1339688.6621807</v>
      </c>
      <c r="M18" s="326" t="n">
        <f aca="false">'Results-Detail'!M10</f>
        <v>1213397.29691688</v>
      </c>
      <c r="N18" s="329"/>
    </row>
    <row r="19" customFormat="false" ht="12" hidden="false" customHeight="false" outlineLevel="0" collapsed="false">
      <c r="A19" s="324" t="n">
        <v>6</v>
      </c>
      <c r="B19" s="328" t="n">
        <f aca="false">L19-D19</f>
        <v>1313275.86617667</v>
      </c>
      <c r="C19" s="326" t="n">
        <f aca="false">M19-E19</f>
        <v>1166151.38608066</v>
      </c>
      <c r="D19" s="327" t="n">
        <f aca="false">'Results-Detail'!B11</f>
        <v>365422.988620549</v>
      </c>
      <c r="E19" s="326" t="n">
        <f aca="false">'Results-Detail'!C11</f>
        <v>324485.156287998</v>
      </c>
      <c r="F19" s="327" t="n">
        <f aca="false">'Results-Detail'!F11</f>
        <v>69628.614940026</v>
      </c>
      <c r="G19" s="328" t="n">
        <f aca="false">'Results-Detail'!G11</f>
        <v>48069.036964709</v>
      </c>
      <c r="H19" s="328" t="n">
        <f aca="false">'Results-Detail'!H11</f>
        <v>2841.65676271597</v>
      </c>
      <c r="I19" s="328" t="n">
        <f aca="false">'Results-Detail'!I11</f>
        <v>1558159.54612977</v>
      </c>
      <c r="J19" s="328" t="n">
        <f aca="false">'Results-Detail'!J11</f>
        <v>95089.734962145</v>
      </c>
      <c r="K19" s="328" t="n">
        <f aca="false">'Results-Detail'!K11</f>
        <v>-95089.734962145</v>
      </c>
      <c r="L19" s="328" t="n">
        <f aca="false">'Results-Detail'!L11</f>
        <v>1678698.85479722</v>
      </c>
      <c r="M19" s="326" t="n">
        <f aca="false">'Results-Detail'!M11</f>
        <v>1490636.54236866</v>
      </c>
      <c r="N19" s="329"/>
    </row>
    <row r="20" customFormat="false" ht="12" hidden="false" customHeight="false" outlineLevel="0" collapsed="false">
      <c r="A20" s="324" t="n">
        <v>7</v>
      </c>
      <c r="B20" s="328" t="n">
        <f aca="false">L20-D20</f>
        <v>1650849.41791947</v>
      </c>
      <c r="C20" s="326" t="n">
        <f aca="false">M20-E20</f>
        <v>1437163.76412865</v>
      </c>
      <c r="D20" s="327" t="n">
        <f aca="false">'Results-Detail'!B12</f>
        <v>397533.359395146</v>
      </c>
      <c r="E20" s="326" t="n">
        <f aca="false">'Results-Detail'!C12</f>
        <v>346076.712360028</v>
      </c>
      <c r="F20" s="327" t="n">
        <f aca="false">'Results-Detail'!F12</f>
        <v>85729.9253405985</v>
      </c>
      <c r="G20" s="328" t="n">
        <f aca="false">'Results-Detail'!G12</f>
        <v>57930.5936333229</v>
      </c>
      <c r="H20" s="328" t="n">
        <f aca="false">'Results-Detail'!H12</f>
        <v>3505.95102020192</v>
      </c>
      <c r="I20" s="328" t="n">
        <f aca="false">'Results-Detail'!I12</f>
        <v>1901216.30732049</v>
      </c>
      <c r="J20" s="328" t="n">
        <f aca="false">'Results-Detail'!J12</f>
        <v>113668.754542324</v>
      </c>
      <c r="K20" s="328" t="n">
        <f aca="false">'Results-Detail'!K12</f>
        <v>-113668.754542324</v>
      </c>
      <c r="L20" s="328" t="n">
        <f aca="false">'Results-Detail'!L12</f>
        <v>2048382.77731462</v>
      </c>
      <c r="M20" s="326" t="n">
        <f aca="false">'Results-Detail'!M12</f>
        <v>1783240.47648868</v>
      </c>
      <c r="N20" s="329"/>
    </row>
    <row r="21" customFormat="false" ht="12" hidden="false" customHeight="false" outlineLevel="0" collapsed="false">
      <c r="A21" s="324" t="n">
        <v>8</v>
      </c>
      <c r="B21" s="328" t="n">
        <f aca="false">L21-D21</f>
        <v>2068012.36202778</v>
      </c>
      <c r="C21" s="326" t="n">
        <f aca="false">M21-E21</f>
        <v>1765028.63849283</v>
      </c>
      <c r="D21" s="327" t="n">
        <f aca="false">'Results-Detail'!B13</f>
        <v>432200.416678071</v>
      </c>
      <c r="E21" s="326" t="n">
        <f aca="false">'Results-Detail'!C13</f>
        <v>368878.894059088</v>
      </c>
      <c r="F21" s="327" t="n">
        <f aca="false">'Results-Detail'!F13</f>
        <v>103340.741729654</v>
      </c>
      <c r="G21" s="328" t="n">
        <f aca="false">'Results-Detail'!G13</f>
        <v>67937.56914436</v>
      </c>
      <c r="H21" s="328" t="n">
        <f aca="false">'Results-Detail'!H13</f>
        <v>4228.36371343834</v>
      </c>
      <c r="I21" s="328" t="n">
        <f aca="false">'Results-Detail'!I13</f>
        <v>2324706.1041184</v>
      </c>
      <c r="J21" s="328" t="n">
        <f aca="false">'Results-Detail'!J13</f>
        <v>133027.98281388</v>
      </c>
      <c r="K21" s="328" t="n">
        <f aca="false">'Results-Detail'!K13</f>
        <v>-133027.98281388</v>
      </c>
      <c r="L21" s="328" t="n">
        <f aca="false">'Results-Detail'!L13</f>
        <v>2500212.77870586</v>
      </c>
      <c r="M21" s="326" t="n">
        <f aca="false">'Results-Detail'!M13</f>
        <v>2133907.53255192</v>
      </c>
      <c r="N21" s="329"/>
    </row>
    <row r="22" customFormat="false" ht="12" hidden="false" customHeight="false" outlineLevel="0" collapsed="false">
      <c r="A22" s="324" t="n">
        <v>9</v>
      </c>
      <c r="B22" s="328" t="n">
        <f aca="false">L22-D22</f>
        <v>2472752.28140096</v>
      </c>
      <c r="C22" s="326" t="n">
        <f aca="false">M22-E22</f>
        <v>2069088.49266088</v>
      </c>
      <c r="D22" s="327" t="n">
        <f aca="false">'Results-Detail'!B14</f>
        <v>469613.964323822</v>
      </c>
      <c r="E22" s="326" t="n">
        <f aca="false">'Results-Detail'!C14</f>
        <v>392951.957575293</v>
      </c>
      <c r="F22" s="327" t="n">
        <f aca="false">'Results-Detail'!F14</f>
        <v>122555.326080677</v>
      </c>
      <c r="G22" s="328" t="n">
        <f aca="false">'Results-Detail'!G14</f>
        <v>79567.6114100935</v>
      </c>
      <c r="H22" s="328" t="n">
        <f aca="false">'Results-Detail'!H14</f>
        <v>5036.35433438891</v>
      </c>
      <c r="I22" s="328" t="n">
        <f aca="false">'Results-Detail'!I14</f>
        <v>2735206.95389962</v>
      </c>
      <c r="J22" s="328" t="n">
        <f aca="false">'Results-Detail'!J14</f>
        <v>153167.419776814</v>
      </c>
      <c r="K22" s="328" t="n">
        <f aca="false">'Results-Detail'!K14</f>
        <v>-153167.419776814</v>
      </c>
      <c r="L22" s="328" t="n">
        <f aca="false">'Results-Detail'!L14</f>
        <v>2942366.24572478</v>
      </c>
      <c r="M22" s="326" t="n">
        <f aca="false">'Results-Detail'!M14</f>
        <v>2462040.45023617</v>
      </c>
      <c r="N22" s="329"/>
    </row>
    <row r="23" customFormat="false" ht="12" hidden="false" customHeight="false" outlineLevel="0" collapsed="false">
      <c r="A23" s="324" t="n">
        <v>10</v>
      </c>
      <c r="B23" s="328" t="n">
        <f aca="false">L23-D23</f>
        <v>2911728.37323351</v>
      </c>
      <c r="C23" s="326" t="n">
        <f aca="false">M23-E23</f>
        <v>2388631.42068036</v>
      </c>
      <c r="D23" s="327" t="n">
        <f aca="false">'Results-Detail'!B15</f>
        <v>509982.668051611</v>
      </c>
      <c r="E23" s="326" t="n">
        <f aca="false">'Results-Detail'!C15</f>
        <v>418363.414701935</v>
      </c>
      <c r="F23" s="327" t="n">
        <f aca="false">'Results-Detail'!F15</f>
        <v>143472.783013979</v>
      </c>
      <c r="G23" s="328" t="n">
        <f aca="false">'Results-Detail'!G15</f>
        <v>90498.4513905315</v>
      </c>
      <c r="H23" s="328" t="n">
        <f aca="false">'Results-Detail'!H15</f>
        <v>5897.00702528462</v>
      </c>
      <c r="I23" s="328" t="n">
        <f aca="false">'Results-Detail'!I15</f>
        <v>3181842.79985532</v>
      </c>
      <c r="J23" s="328" t="n">
        <f aca="false">'Results-Detail'!J15</f>
        <v>174087.065431125</v>
      </c>
      <c r="K23" s="328" t="n">
        <f aca="false">'Results-Detail'!K15</f>
        <v>-174087.065431125</v>
      </c>
      <c r="L23" s="328" t="n">
        <f aca="false">'Results-Detail'!L15</f>
        <v>3421711.04128512</v>
      </c>
      <c r="M23" s="326" t="n">
        <f aca="false">'Results-Detail'!M15</f>
        <v>2806994.83538229</v>
      </c>
      <c r="N23" s="329"/>
    </row>
    <row r="24" customFormat="false" ht="12" hidden="false" customHeight="false" outlineLevel="0" collapsed="false">
      <c r="A24" s="324" t="n">
        <v>11</v>
      </c>
      <c r="B24" s="328" t="n">
        <f aca="false">L24-D24</f>
        <v>3995491.99194196</v>
      </c>
      <c r="C24" s="326" t="n">
        <f aca="false">M24-E24</f>
        <v>3213426.53211214</v>
      </c>
      <c r="D24" s="327" t="n">
        <f aca="false">'Results-Detail'!B16</f>
        <v>0</v>
      </c>
      <c r="E24" s="326" t="n">
        <f aca="false">'Results-Detail'!C16</f>
        <v>0</v>
      </c>
      <c r="F24" s="327" t="n">
        <f aca="false">'Results-Detail'!F16</f>
        <v>166197.281884244</v>
      </c>
      <c r="G24" s="328" t="n">
        <f aca="false">'Results-Detail'!G16</f>
        <v>102701.035630779</v>
      </c>
      <c r="H24" s="328" t="n">
        <f aca="false">'Results-Detail'!H16</f>
        <v>6846.87884055103</v>
      </c>
      <c r="I24" s="328" t="n">
        <f aca="false">'Results-Detail'!I16</f>
        <v>3719746.79558638</v>
      </c>
      <c r="J24" s="328" t="n">
        <f aca="false">'Results-Detail'!J16</f>
        <v>195786.919776814</v>
      </c>
      <c r="K24" s="328" t="n">
        <f aca="false">'Results-Detail'!K16</f>
        <v>-195786.919776814</v>
      </c>
      <c r="L24" s="328" t="n">
        <f aca="false">'Results-Detail'!L16</f>
        <v>3995491.99194196</v>
      </c>
      <c r="M24" s="326" t="n">
        <f aca="false">'Results-Detail'!M16</f>
        <v>3213426.53211214</v>
      </c>
      <c r="N24" s="329"/>
    </row>
    <row r="25" customFormat="false" ht="12" hidden="false" customHeight="false" outlineLevel="0" collapsed="false">
      <c r="A25" s="324" t="n">
        <v>12</v>
      </c>
      <c r="B25" s="328" t="n">
        <f aca="false">L25-D25</f>
        <v>4560534.0055867</v>
      </c>
      <c r="C25" s="326" t="n">
        <f aca="false">M25-E25</f>
        <v>3595949.94041319</v>
      </c>
      <c r="D25" s="327" t="n">
        <f aca="false">'Results-Detail'!B17</f>
        <v>0</v>
      </c>
      <c r="E25" s="326" t="n">
        <f aca="false">'Results-Detail'!C17</f>
        <v>0</v>
      </c>
      <c r="F25" s="327" t="n">
        <f aca="false">'Results-Detail'!F17</f>
        <v>190838.288325883</v>
      </c>
      <c r="G25" s="328" t="n">
        <f aca="false">'Results-Detail'!G17</f>
        <v>114855.050904767</v>
      </c>
      <c r="H25" s="328" t="n">
        <f aca="false">'Results-Detail'!H17</f>
        <v>7868.43167980816</v>
      </c>
      <c r="I25" s="328" t="n">
        <f aca="false">'Results-Detail'!I17</f>
        <v>4246972.23467625</v>
      </c>
      <c r="J25" s="328" t="n">
        <f aca="false">'Results-Detail'!J17</f>
        <v>218266.98281388</v>
      </c>
      <c r="K25" s="328" t="n">
        <f aca="false">'Results-Detail'!K17</f>
        <v>-218266.98281388</v>
      </c>
      <c r="L25" s="328" t="n">
        <f aca="false">'Results-Detail'!L17</f>
        <v>4560534.0055867</v>
      </c>
      <c r="M25" s="326" t="n">
        <f aca="false">'Results-Detail'!M17</f>
        <v>3595949.94041319</v>
      </c>
      <c r="N25" s="329"/>
    </row>
    <row r="26" customFormat="false" ht="12" hidden="false" customHeight="false" outlineLevel="0" collapsed="false">
      <c r="A26" s="324" t="n">
        <v>13</v>
      </c>
      <c r="B26" s="328" t="n">
        <f aca="false">L26-D26</f>
        <v>5227608.33061361</v>
      </c>
      <c r="C26" s="326" t="n">
        <f aca="false">M26-E26</f>
        <v>4041111.26794377</v>
      </c>
      <c r="D26" s="327" t="n">
        <f aca="false">'Results-Detail'!B18</f>
        <v>0</v>
      </c>
      <c r="E26" s="326" t="n">
        <f aca="false">'Results-Detail'!C18</f>
        <v>0</v>
      </c>
      <c r="F26" s="327" t="n">
        <f aca="false">'Results-Detail'!F18</f>
        <v>217510.805638512</v>
      </c>
      <c r="G26" s="328" t="n">
        <f aca="false">'Results-Detail'!G18</f>
        <v>127628.379046442</v>
      </c>
      <c r="H26" s="328" t="n">
        <f aca="false">'Results-Detail'!H18</f>
        <v>8977.89302331637</v>
      </c>
      <c r="I26" s="328" t="n">
        <f aca="false">'Results-Detail'!I18</f>
        <v>4873491.25290534</v>
      </c>
      <c r="J26" s="328" t="n">
        <f aca="false">'Results-Detail'!J18</f>
        <v>241527.254542324</v>
      </c>
      <c r="K26" s="328" t="n">
        <f aca="false">'Results-Detail'!K18</f>
        <v>-241527.254542324</v>
      </c>
      <c r="L26" s="328" t="n">
        <f aca="false">'Results-Detail'!L18</f>
        <v>5227608.33061361</v>
      </c>
      <c r="M26" s="326" t="n">
        <f aca="false">'Results-Detail'!M18</f>
        <v>4041111.26794377</v>
      </c>
      <c r="N26" s="329"/>
    </row>
    <row r="27" customFormat="false" ht="12" hidden="false" customHeight="false" outlineLevel="0" collapsed="false">
      <c r="A27" s="324" t="n">
        <v>14</v>
      </c>
      <c r="B27" s="328" t="n">
        <f aca="false">L27-D27</f>
        <v>5888368.09649497</v>
      </c>
      <c r="C27" s="326" t="n">
        <f aca="false">M27-E27</f>
        <v>4462647.11591603</v>
      </c>
      <c r="D27" s="327" t="n">
        <f aca="false">'Results-Detail'!B19</f>
        <v>0</v>
      </c>
      <c r="E27" s="326" t="n">
        <f aca="false">'Results-Detail'!C19</f>
        <v>0</v>
      </c>
      <c r="F27" s="327" t="n">
        <f aca="false">'Results-Detail'!F19</f>
        <v>246335.626409737</v>
      </c>
      <c r="G27" s="328" t="n">
        <f aca="false">'Results-Detail'!G19</f>
        <v>140611.000693078</v>
      </c>
      <c r="H27" s="328" t="n">
        <f aca="false">'Results-Detail'!H19</f>
        <v>10172.8985363688</v>
      </c>
      <c r="I27" s="328" t="n">
        <f aca="false">'Results-Detail'!I19</f>
        <v>5491248.57085579</v>
      </c>
      <c r="J27" s="328" t="n">
        <f aca="false">'Results-Detail'!J19</f>
        <v>265567.734962145</v>
      </c>
      <c r="K27" s="328" t="n">
        <f aca="false">'Results-Detail'!K19</f>
        <v>-265567.734962145</v>
      </c>
      <c r="L27" s="328" t="n">
        <f aca="false">'Results-Detail'!L19</f>
        <v>5888368.09649497</v>
      </c>
      <c r="M27" s="326" t="n">
        <f aca="false">'Results-Detail'!M19</f>
        <v>4462647.11591603</v>
      </c>
      <c r="N27" s="329"/>
    </row>
    <row r="28" customFormat="false" ht="12" hidden="false" customHeight="false" outlineLevel="0" collapsed="false">
      <c r="A28" s="324" t="n">
        <v>15</v>
      </c>
      <c r="B28" s="328" t="n">
        <f aca="false">L28-D28</f>
        <v>6660159.69467023</v>
      </c>
      <c r="C28" s="326" t="n">
        <f aca="false">M28-E28</f>
        <v>4948596.75721581</v>
      </c>
      <c r="D28" s="327" t="n">
        <f aca="false">'Results-Detail'!B20</f>
        <v>0</v>
      </c>
      <c r="E28" s="326" t="n">
        <f aca="false">'Results-Detail'!C20</f>
        <v>0</v>
      </c>
      <c r="F28" s="327" t="n">
        <f aca="false">'Results-Detail'!F20</f>
        <v>277439.594787873</v>
      </c>
      <c r="G28" s="328" t="n">
        <f aca="false">'Results-Detail'!G20</f>
        <v>154235.969023905</v>
      </c>
      <c r="H28" s="328" t="n">
        <f aca="false">'Results-Detail'!H20</f>
        <v>11466.7436559192</v>
      </c>
      <c r="I28" s="328" t="n">
        <f aca="false">'Results-Detail'!I20</f>
        <v>6217017.38720253</v>
      </c>
      <c r="J28" s="328" t="n">
        <f aca="false">'Results-Detail'!J20</f>
        <v>290388.424073344</v>
      </c>
      <c r="K28" s="328" t="n">
        <f aca="false">'Results-Detail'!K20</f>
        <v>-290388.424073344</v>
      </c>
      <c r="L28" s="328" t="n">
        <f aca="false">'Results-Detail'!L20</f>
        <v>6660159.69467023</v>
      </c>
      <c r="M28" s="326" t="n">
        <f aca="false">'Results-Detail'!M20</f>
        <v>4948596.75721581</v>
      </c>
      <c r="N28" s="329"/>
    </row>
    <row r="29" customFormat="false" ht="12" hidden="false" customHeight="false" outlineLevel="0" collapsed="false">
      <c r="A29" s="324" t="n">
        <v>16</v>
      </c>
      <c r="B29" s="328" t="n">
        <f aca="false">L29-D29</f>
        <v>7489546.29350549</v>
      </c>
      <c r="C29" s="326" t="n">
        <f aca="false">M29-E29</f>
        <v>5455728.64412304</v>
      </c>
      <c r="D29" s="327" t="n">
        <f aca="false">'Results-Detail'!B21</f>
        <v>0</v>
      </c>
      <c r="E29" s="326" t="n">
        <f aca="false">'Results-Detail'!C21</f>
        <v>0</v>
      </c>
      <c r="F29" s="327" t="n">
        <f aca="false">'Results-Detail'!F21</f>
        <v>310955.879833212</v>
      </c>
      <c r="G29" s="328" t="n">
        <f aca="false">'Results-Detail'!G21</f>
        <v>168107.017965101</v>
      </c>
      <c r="H29" s="328" t="n">
        <f aca="false">'Results-Detail'!H21</f>
        <v>12857.442072033</v>
      </c>
      <c r="I29" s="328" t="n">
        <f aca="false">'Results-Detail'!I21</f>
        <v>6997625.95363515</v>
      </c>
      <c r="J29" s="328" t="n">
        <f aca="false">'Results-Detail'!J21</f>
        <v>315989.32187592</v>
      </c>
      <c r="K29" s="328" t="n">
        <f aca="false">'Results-Detail'!K21</f>
        <v>-315989.32187592</v>
      </c>
      <c r="L29" s="328" t="n">
        <f aca="false">'Results-Detail'!L21</f>
        <v>7489546.29350549</v>
      </c>
      <c r="M29" s="326" t="n">
        <f aca="false">'Results-Detail'!M21</f>
        <v>5455728.64412304</v>
      </c>
      <c r="N29" s="329"/>
    </row>
    <row r="30" customFormat="false" ht="12" hidden="false" customHeight="false" outlineLevel="0" collapsed="false">
      <c r="A30" s="324" t="n">
        <v>17</v>
      </c>
      <c r="B30" s="328" t="n">
        <f aca="false">L30-D30</f>
        <v>8316789.42934761</v>
      </c>
      <c r="C30" s="326" t="n">
        <f aca="false">M30-E30</f>
        <v>5939539.65034417</v>
      </c>
      <c r="D30" s="327" t="n">
        <f aca="false">'Results-Detail'!B22</f>
        <v>0</v>
      </c>
      <c r="E30" s="326" t="n">
        <f aca="false">'Results-Detail'!C22</f>
        <v>0</v>
      </c>
      <c r="F30" s="327" t="n">
        <f aca="false">'Results-Detail'!F22</f>
        <v>347024.260393094</v>
      </c>
      <c r="G30" s="328" t="n">
        <f aca="false">'Results-Detail'!G22</f>
        <v>182409.452853501</v>
      </c>
      <c r="H30" s="328" t="n">
        <f aca="false">'Results-Detail'!H22</f>
        <v>14354.2958839101</v>
      </c>
      <c r="I30" s="328" t="n">
        <f aca="false">'Results-Detail'!I22</f>
        <v>7773001.4202171</v>
      </c>
      <c r="J30" s="328" t="n">
        <f aca="false">'Results-Detail'!J22</f>
        <v>342370.428369874</v>
      </c>
      <c r="K30" s="328" t="n">
        <f aca="false">'Results-Detail'!K22</f>
        <v>-342370.428369874</v>
      </c>
      <c r="L30" s="328" t="n">
        <f aca="false">'Results-Detail'!L22</f>
        <v>8316789.42934761</v>
      </c>
      <c r="M30" s="326" t="n">
        <f aca="false">'Results-Detail'!M22</f>
        <v>5939539.65034417</v>
      </c>
      <c r="N30" s="329"/>
    </row>
    <row r="31" customFormat="false" ht="12" hidden="false" customHeight="false" outlineLevel="0" collapsed="false">
      <c r="A31" s="324" t="n">
        <v>18</v>
      </c>
      <c r="B31" s="328" t="n">
        <f aca="false">L31-D31</f>
        <v>9269868.76736037</v>
      </c>
      <c r="C31" s="326" t="n">
        <f aca="false">M31-E31</f>
        <v>6490385.52216839</v>
      </c>
      <c r="D31" s="327" t="n">
        <f aca="false">'Results-Detail'!B23</f>
        <v>0</v>
      </c>
      <c r="E31" s="326" t="n">
        <f aca="false">'Results-Detail'!C23</f>
        <v>0</v>
      </c>
      <c r="F31" s="327" t="n">
        <f aca="false">'Results-Detail'!F23</f>
        <v>385791.421963266</v>
      </c>
      <c r="G31" s="328" t="n">
        <f aca="false">'Results-Detail'!G23</f>
        <v>197193.781724502</v>
      </c>
      <c r="H31" s="328" t="n">
        <f aca="false">'Results-Detail'!H23</f>
        <v>15964.481746467</v>
      </c>
      <c r="I31" s="328" t="n">
        <f aca="false">'Results-Detail'!I23</f>
        <v>8670919.08192614</v>
      </c>
      <c r="J31" s="328" t="n">
        <f aca="false">'Results-Detail'!J23</f>
        <v>369531.743555205</v>
      </c>
      <c r="K31" s="328" t="n">
        <f aca="false">'Results-Detail'!K23</f>
        <v>-369531.743555205</v>
      </c>
      <c r="L31" s="328" t="n">
        <f aca="false">'Results-Detail'!L23</f>
        <v>9269868.76736037</v>
      </c>
      <c r="M31" s="326" t="n">
        <f aca="false">'Results-Detail'!M23</f>
        <v>6490385.52216839</v>
      </c>
      <c r="N31" s="329"/>
    </row>
    <row r="32" customFormat="false" ht="12" hidden="false" customHeight="false" outlineLevel="0" collapsed="false">
      <c r="A32" s="324" t="n">
        <v>19</v>
      </c>
      <c r="B32" s="328" t="n">
        <f aca="false">L32-D32</f>
        <v>10290919.3998233</v>
      </c>
      <c r="C32" s="326" t="n">
        <f aca="false">M32-E32</f>
        <v>7064003.62235478</v>
      </c>
      <c r="D32" s="327" t="n">
        <f aca="false">'Results-Detail'!B24</f>
        <v>0</v>
      </c>
      <c r="E32" s="326" t="n">
        <f aca="false">'Results-Detail'!C24</f>
        <v>0</v>
      </c>
      <c r="F32" s="327" t="n">
        <f aca="false">'Results-Detail'!F24</f>
        <v>427411.266015896</v>
      </c>
      <c r="G32" s="328" t="n">
        <f aca="false">'Results-Detail'!G24</f>
        <v>212358.500441717</v>
      </c>
      <c r="H32" s="328" t="n">
        <f aca="false">'Results-Detail'!H24</f>
        <v>17692.2945774885</v>
      </c>
      <c r="I32" s="328" t="n">
        <f aca="false">'Results-Detail'!I24</f>
        <v>9633457.33878818</v>
      </c>
      <c r="J32" s="328" t="n">
        <f aca="false">'Results-Detail'!J24</f>
        <v>397473.267431914</v>
      </c>
      <c r="K32" s="328" t="n">
        <f aca="false">'Results-Detail'!K24</f>
        <v>-397473.267431914</v>
      </c>
      <c r="L32" s="328" t="n">
        <f aca="false">'Results-Detail'!L24</f>
        <v>10290919.3998233</v>
      </c>
      <c r="M32" s="326" t="n">
        <f aca="false">'Results-Detail'!M24</f>
        <v>7064003.62235478</v>
      </c>
      <c r="N32" s="329"/>
    </row>
    <row r="33" customFormat="false" ht="13" hidden="false" customHeight="false" outlineLevel="0" collapsed="false">
      <c r="A33" s="330" t="n">
        <v>20</v>
      </c>
      <c r="B33" s="331" t="n">
        <f aca="false">L33-D33</f>
        <v>11452876.3340518</v>
      </c>
      <c r="C33" s="332" t="n">
        <f aca="false">M33-E33</f>
        <v>7707457.45444856</v>
      </c>
      <c r="D33" s="333" t="n">
        <f aca="false">'Results-Detail'!B25</f>
        <v>0</v>
      </c>
      <c r="E33" s="332" t="n">
        <f aca="false">'Results-Detail'!C25</f>
        <v>0</v>
      </c>
      <c r="F33" s="333" t="n">
        <f aca="false">'Results-Detail'!F25</f>
        <v>472045.232293198</v>
      </c>
      <c r="G33" s="331" t="n">
        <f aca="false">'Results-Detail'!G25</f>
        <v>228009.630637937</v>
      </c>
      <c r="H33" s="331" t="n">
        <f aca="false">'Results-Detail'!H25</f>
        <v>19546.7391351237</v>
      </c>
      <c r="I33" s="331" t="n">
        <f aca="false">'Results-Detail'!I25</f>
        <v>10733274.7319855</v>
      </c>
      <c r="J33" s="331" t="n">
        <f aca="false">'Results-Detail'!J25</f>
        <v>426195</v>
      </c>
      <c r="K33" s="331" t="n">
        <f aca="false">'Results-Detail'!K25</f>
        <v>-426195</v>
      </c>
      <c r="L33" s="331" t="n">
        <f aca="false">'Results-Detail'!L25</f>
        <v>11452876.3340518</v>
      </c>
      <c r="M33" s="332" t="n">
        <f aca="false">'Results-Detail'!M25</f>
        <v>7707457.45444856</v>
      </c>
      <c r="N33" s="329"/>
    </row>
    <row r="34" customFormat="false" ht="14" hidden="false" customHeight="false" outlineLevel="0" collapsed="false">
      <c r="A34" s="334" t="s">
        <v>274</v>
      </c>
      <c r="B34" s="335"/>
      <c r="C34" s="336" t="n">
        <f aca="false">SUM(C13:C33)</f>
        <v>60859828.7966518</v>
      </c>
      <c r="E34" s="337" t="n">
        <f aca="false">SUM(E13:E33)</f>
        <v>6201165.9187535</v>
      </c>
      <c r="F34" s="338"/>
      <c r="M34" s="337" t="n">
        <f aca="false">SUM(M13:M33)</f>
        <v>67060994.7154053</v>
      </c>
      <c r="S34" s="7" t="s">
        <v>275</v>
      </c>
      <c r="T34" s="7" t="e">
        <f aca="false">C34/#REF!</f>
        <v>#REF!</v>
      </c>
    </row>
    <row r="35" customFormat="false" ht="13" hidden="false" customHeight="false" outlineLevel="0" collapsed="false">
      <c r="D35" s="339"/>
      <c r="E35" s="340"/>
    </row>
    <row r="36" customFormat="false" ht="12" hidden="false" customHeight="false" outlineLevel="0" collapsed="false">
      <c r="A36" s="7" t="s">
        <v>276</v>
      </c>
    </row>
    <row r="37" customFormat="false" ht="12" hidden="false" customHeight="false" outlineLevel="0" collapsed="false">
      <c r="A37" s="7" t="s">
        <v>277</v>
      </c>
    </row>
    <row r="38" customFormat="false" ht="12" hidden="false" customHeight="false" outlineLevel="0" collapsed="false">
      <c r="A38" s="7" t="s">
        <v>278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10"/>
  <sheetViews>
    <sheetView showFormulas="false" showGridLines="true" showRowColHeaders="true" showZeros="true" rightToLeft="false" tabSelected="false" showOutlineSymbols="true" defaultGridColor="true" view="normal" topLeftCell="D54" colorId="64" zoomScale="100" zoomScaleNormal="100" zoomScalePageLayoutView="100" workbookViewId="0">
      <selection pane="topLeft" activeCell="L57" activeCellId="0" sqref="L57"/>
    </sheetView>
  </sheetViews>
  <sheetFormatPr defaultColWidth="8.82421875" defaultRowHeight="12" customHeight="false" zeroHeight="false" outlineLevelRow="0" outlineLevelCol="0"/>
  <cols>
    <col collapsed="false" customWidth="true" hidden="false" outlineLevel="0" max="2" min="2" style="0" width="11.99"/>
    <col collapsed="false" customWidth="true" hidden="false" outlineLevel="0" max="3" min="3" style="0" width="16.66"/>
    <col collapsed="false" customWidth="true" hidden="false" outlineLevel="0" max="6" min="6" style="0" width="13.82"/>
    <col collapsed="false" customWidth="true" hidden="false" outlineLevel="0" max="7" min="7" style="0" width="14.49"/>
    <col collapsed="false" customWidth="true" hidden="false" outlineLevel="0" max="8" min="8" style="0" width="11.82"/>
    <col collapsed="false" customWidth="true" hidden="false" outlineLevel="0" max="9" min="9" style="0" width="14.15"/>
    <col collapsed="false" customWidth="true" hidden="false" outlineLevel="0" max="10" min="10" style="0" width="12.99"/>
    <col collapsed="false" customWidth="true" hidden="false" outlineLevel="0" max="11" min="11" style="0" width="14.49"/>
    <col collapsed="false" customWidth="true" hidden="false" outlineLevel="0" max="12" min="12" style="0" width="11.99"/>
    <col collapsed="false" customWidth="true" hidden="false" outlineLevel="0" max="13" min="13" style="0" width="16.66"/>
    <col collapsed="false" customWidth="true" hidden="false" outlineLevel="0" max="14" min="14" style="0" width="11.66"/>
    <col collapsed="false" customWidth="true" hidden="false" outlineLevel="0" max="15" min="15" style="0" width="11.15"/>
    <col collapsed="false" customWidth="true" hidden="false" outlineLevel="0" max="16" min="16" style="0" width="12.32"/>
    <col collapsed="false" customWidth="true" hidden="false" outlineLevel="0" max="18" min="17" style="0" width="11.66"/>
    <col collapsed="false" customWidth="true" hidden="false" outlineLevel="0" max="19" min="19" style="0" width="8.49"/>
  </cols>
  <sheetData>
    <row r="1" customFormat="false" ht="12" hidden="false" customHeight="false" outlineLevel="0" collapsed="false">
      <c r="C1" s="0" t="s">
        <v>113</v>
      </c>
    </row>
    <row r="2" customFormat="false" ht="13" hidden="false" customHeight="false" outlineLevel="0" collapsed="false">
      <c r="A2" s="341" t="s">
        <v>279</v>
      </c>
      <c r="E2" s="341" t="s">
        <v>280</v>
      </c>
      <c r="O2" s="341" t="s">
        <v>281</v>
      </c>
    </row>
    <row r="3" customFormat="false" ht="13" hidden="false" customHeight="false" outlineLevel="0" collapsed="false">
      <c r="A3" s="0" t="s">
        <v>261</v>
      </c>
      <c r="C3" s="342" t="n">
        <f aca="false">'Input-Detail'!BV31</f>
        <v>0.02</v>
      </c>
      <c r="G3" s="343"/>
      <c r="O3" s="343"/>
    </row>
    <row r="4" customFormat="false" ht="24" hidden="false" customHeight="false" outlineLevel="0" collapsed="false">
      <c r="A4" s="316" t="s">
        <v>96</v>
      </c>
      <c r="B4" s="319" t="s">
        <v>264</v>
      </c>
      <c r="C4" s="318" t="s">
        <v>282</v>
      </c>
      <c r="D4" s="7"/>
      <c r="E4" s="316" t="s">
        <v>96</v>
      </c>
      <c r="F4" s="320" t="s">
        <v>283</v>
      </c>
      <c r="G4" s="321" t="s">
        <v>284</v>
      </c>
      <c r="H4" s="321" t="s">
        <v>285</v>
      </c>
      <c r="I4" s="319" t="s">
        <v>286</v>
      </c>
      <c r="J4" s="321" t="s">
        <v>287</v>
      </c>
      <c r="K4" s="321" t="s">
        <v>271</v>
      </c>
      <c r="L4" s="319" t="s">
        <v>272</v>
      </c>
      <c r="M4" s="318" t="s">
        <v>288</v>
      </c>
      <c r="N4" s="7"/>
      <c r="O4" s="316" t="s">
        <v>96</v>
      </c>
      <c r="P4" s="319" t="s">
        <v>289</v>
      </c>
      <c r="Q4" s="344" t="s">
        <v>290</v>
      </c>
      <c r="R4" s="318" t="s">
        <v>263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</row>
    <row r="5" customFormat="false" ht="13" hidden="false" customHeight="false" outlineLevel="0" collapsed="false">
      <c r="A5" s="324" t="s">
        <v>114</v>
      </c>
      <c r="B5" s="327" t="n">
        <f aca="false">B31+B57+B83</f>
        <v>3009339.704</v>
      </c>
      <c r="C5" s="345" t="n">
        <f aca="false">B5/(1+Discount_Rate)^0</f>
        <v>3009339.704</v>
      </c>
      <c r="E5" s="324" t="s">
        <v>114</v>
      </c>
      <c r="F5" s="327" t="n">
        <f aca="false">F57</f>
        <v>0</v>
      </c>
      <c r="G5" s="325" t="n">
        <f aca="false">G57</f>
        <v>0</v>
      </c>
      <c r="H5" s="325" t="n">
        <f aca="false">F83</f>
        <v>0</v>
      </c>
      <c r="I5" s="325" t="n">
        <f aca="false">F31</f>
        <v>-4639.83999999985</v>
      </c>
      <c r="J5" s="325" t="n">
        <f aca="false">G31</f>
        <v>0</v>
      </c>
      <c r="K5" s="328" t="n">
        <f aca="false">H57</f>
        <v>-0</v>
      </c>
      <c r="L5" s="328" t="n">
        <f aca="false">SUM(F5:K5)</f>
        <v>-4639.83999999985</v>
      </c>
      <c r="M5" s="345" t="n">
        <f aca="false">L5/(1+Discount_Rate)^0</f>
        <v>-4639.83999999985</v>
      </c>
      <c r="O5" s="324" t="s">
        <v>114</v>
      </c>
      <c r="P5" s="327" t="n">
        <f aca="false">C5</f>
        <v>3009339.704</v>
      </c>
      <c r="Q5" s="325" t="n">
        <f aca="false">M5</f>
        <v>-4639.83999999985</v>
      </c>
      <c r="R5" s="345" t="n">
        <f aca="false">Q5-P5</f>
        <v>-3013979.544</v>
      </c>
    </row>
    <row r="6" customFormat="false" ht="12" hidden="false" customHeight="false" outlineLevel="0" collapsed="false">
      <c r="A6" s="324" t="n">
        <v>1</v>
      </c>
      <c r="B6" s="327" t="n">
        <f aca="false">B32+B58+B84</f>
        <v>0</v>
      </c>
      <c r="C6" s="345" t="n">
        <f aca="false">B6/(1+Discount_Rate)^A6</f>
        <v>0</v>
      </c>
      <c r="E6" s="324" t="n">
        <v>1</v>
      </c>
      <c r="F6" s="327" t="n">
        <f aca="false">F58</f>
        <v>8778.3528921858</v>
      </c>
      <c r="G6" s="328" t="n">
        <f aca="false">G58</f>
        <v>3338.50934576561</v>
      </c>
      <c r="H6" s="328" t="n">
        <f aca="false">F84</f>
        <v>311.092715241472</v>
      </c>
      <c r="I6" s="328" t="n">
        <f aca="false">F32</f>
        <v>220233.29098755</v>
      </c>
      <c r="J6" s="328" t="n">
        <f aca="false">G32</f>
        <v>13897.7674319138</v>
      </c>
      <c r="K6" s="328" t="n">
        <f aca="false">H58</f>
        <v>-13897.7674319138</v>
      </c>
      <c r="L6" s="328" t="n">
        <f aca="false">SUM(F6:K6)</f>
        <v>232661.245940743</v>
      </c>
      <c r="M6" s="345" t="n">
        <f aca="false">L6/(1+Discount_Rate)^E6</f>
        <v>228099.260726219</v>
      </c>
      <c r="O6" s="324" t="n">
        <v>1</v>
      </c>
      <c r="P6" s="327" t="n">
        <f aca="false">C6</f>
        <v>0</v>
      </c>
      <c r="Q6" s="328" t="n">
        <f aca="false">M6</f>
        <v>228099.260726219</v>
      </c>
      <c r="R6" s="345" t="n">
        <f aca="false">Q6-P6</f>
        <v>228099.260726219</v>
      </c>
    </row>
    <row r="7" customFormat="false" ht="12" hidden="false" customHeight="false" outlineLevel="0" collapsed="false">
      <c r="A7" s="324" t="n">
        <v>2</v>
      </c>
      <c r="B7" s="327" t="n">
        <f aca="false">B33+B59+B85</f>
        <v>302158.1117</v>
      </c>
      <c r="C7" s="345" t="n">
        <f aca="false">B7/(1+Discount_Rate)^A7</f>
        <v>290424.94396386</v>
      </c>
      <c r="E7" s="324" t="n">
        <v>2</v>
      </c>
      <c r="F7" s="327" t="n">
        <f aca="false">F59</f>
        <v>18591.0004022237</v>
      </c>
      <c r="G7" s="328" t="n">
        <f aca="false">G59</f>
        <v>12508.8632255815</v>
      </c>
      <c r="H7" s="328" t="n">
        <f aca="false">F85</f>
        <v>733.212462317843</v>
      </c>
      <c r="I7" s="328" t="n">
        <f aca="false">F33</f>
        <v>428772.902151413</v>
      </c>
      <c r="J7" s="328" t="n">
        <f aca="false">G33</f>
        <v>28575.743555205</v>
      </c>
      <c r="K7" s="328" t="n">
        <f aca="false">H59</f>
        <v>-28575.743555205</v>
      </c>
      <c r="L7" s="328" t="n">
        <f aca="false">SUM(F7:K7)</f>
        <v>460605.978241536</v>
      </c>
      <c r="M7" s="345" t="n">
        <f aca="false">L7/(1+Discount_Rate)^E7</f>
        <v>442720.086737347</v>
      </c>
      <c r="O7" s="324" t="n">
        <v>2</v>
      </c>
      <c r="P7" s="327" t="n">
        <f aca="false">C7</f>
        <v>290424.94396386</v>
      </c>
      <c r="Q7" s="328" t="n">
        <f aca="false">M7</f>
        <v>442720.086737347</v>
      </c>
      <c r="R7" s="345" t="n">
        <f aca="false">Q7-P7</f>
        <v>152295.142773487</v>
      </c>
    </row>
    <row r="8" customFormat="false" ht="12" hidden="false" customHeight="false" outlineLevel="0" collapsed="false">
      <c r="A8" s="324" t="n">
        <v>3</v>
      </c>
      <c r="B8" s="327" t="n">
        <f aca="false">B34+B60+B86</f>
        <v>490176.570387</v>
      </c>
      <c r="C8" s="345" t="n">
        <f aca="false">B8/(1+Discount_Rate)^A8</f>
        <v>461904.330147341</v>
      </c>
      <c r="E8" s="324" t="n">
        <v>3</v>
      </c>
      <c r="F8" s="327" t="n">
        <f aca="false">F60</f>
        <v>29507.3274929114</v>
      </c>
      <c r="G8" s="328" t="n">
        <f aca="false">G60</f>
        <v>21311.6978278562</v>
      </c>
      <c r="H8" s="328" t="n">
        <f aca="false">F86</f>
        <v>1191.37600799382</v>
      </c>
      <c r="I8" s="328" t="n">
        <f aca="false">F34</f>
        <v>660682.432213405</v>
      </c>
      <c r="J8" s="328" t="n">
        <f aca="false">G34</f>
        <v>44033.9283698738</v>
      </c>
      <c r="K8" s="328" t="n">
        <f aca="false">H60</f>
        <v>-44033.9283698738</v>
      </c>
      <c r="L8" s="328" t="n">
        <f aca="false">SUM(F8:K8)</f>
        <v>712692.833542167</v>
      </c>
      <c r="M8" s="345" t="n">
        <f aca="false">L8/(1+Discount_Rate)^E8</f>
        <v>671586.374718403</v>
      </c>
      <c r="O8" s="324" t="n">
        <v>3</v>
      </c>
      <c r="P8" s="327" t="n">
        <f aca="false">C8</f>
        <v>461904.330147341</v>
      </c>
      <c r="Q8" s="328" t="n">
        <f aca="false">M8</f>
        <v>671586.374718403</v>
      </c>
      <c r="R8" s="345" t="n">
        <f aca="false">Q8-P8</f>
        <v>209682.044571061</v>
      </c>
    </row>
    <row r="9" customFormat="false" ht="12" hidden="false" customHeight="false" outlineLevel="0" collapsed="false">
      <c r="A9" s="324" t="n">
        <v>4</v>
      </c>
      <c r="B9" s="327" t="n">
        <f aca="false">B35+B61+B87</f>
        <v>308165.43768681</v>
      </c>
      <c r="C9" s="345" t="n">
        <f aca="false">B9/(1+Discount_Rate)^A9</f>
        <v>284697.230066418</v>
      </c>
      <c r="E9" s="324" t="n">
        <v>4</v>
      </c>
      <c r="F9" s="327" t="n">
        <f aca="false">F61</f>
        <v>41600.4081937583</v>
      </c>
      <c r="G9" s="328" t="n">
        <f aca="false">G61</f>
        <v>28739.7170549807</v>
      </c>
      <c r="H9" s="328" t="n">
        <f aca="false">F87</f>
        <v>1673.61516007842</v>
      </c>
      <c r="I9" s="328" t="n">
        <f aca="false">F35</f>
        <v>917508.06322307</v>
      </c>
      <c r="J9" s="328" t="n">
        <f aca="false">G35</f>
        <v>60272.32187592</v>
      </c>
      <c r="K9" s="328" t="n">
        <f aca="false">H61</f>
        <v>-60272.32187592</v>
      </c>
      <c r="L9" s="328" t="n">
        <f aca="false">SUM(F9:K9)</f>
        <v>989521.803631887</v>
      </c>
      <c r="M9" s="345" t="n">
        <f aca="false">L9/(1+Discount_Rate)^E9</f>
        <v>914165.192238825</v>
      </c>
      <c r="O9" s="324" t="n">
        <v>4</v>
      </c>
      <c r="P9" s="327" t="n">
        <f aca="false">C9</f>
        <v>284697.230066418</v>
      </c>
      <c r="Q9" s="328" t="n">
        <f aca="false">M9</f>
        <v>914165.192238825</v>
      </c>
      <c r="R9" s="345" t="n">
        <f aca="false">Q9-P9</f>
        <v>629467.962172407</v>
      </c>
    </row>
    <row r="10" customFormat="false" ht="12" hidden="false" customHeight="false" outlineLevel="0" collapsed="false">
      <c r="A10" s="324" t="n">
        <v>5</v>
      </c>
      <c r="B10" s="327" t="n">
        <f aca="false">B36+B62+B88</f>
        <v>335688.675146902</v>
      </c>
      <c r="C10" s="345" t="n">
        <f aca="false">B10/(1+Discount_Rate)^A10</f>
        <v>304043.575591536</v>
      </c>
      <c r="E10" s="324" t="n">
        <v>5</v>
      </c>
      <c r="F10" s="327" t="n">
        <f aca="false">F62</f>
        <v>54947.178203545</v>
      </c>
      <c r="G10" s="328" t="n">
        <f aca="false">G62</f>
        <v>37321.3491273707</v>
      </c>
      <c r="H10" s="328" t="n">
        <f aca="false">F88</f>
        <v>2217.28425306701</v>
      </c>
      <c r="I10" s="328" t="n">
        <f aca="false">F36</f>
        <v>1245202.85059672</v>
      </c>
      <c r="J10" s="328" t="n">
        <f aca="false">G36</f>
        <v>77290.9240733438</v>
      </c>
      <c r="K10" s="328" t="n">
        <f aca="false">H62</f>
        <v>-77290.9240733438</v>
      </c>
      <c r="L10" s="328" t="n">
        <f aca="false">SUM(F10:K10)</f>
        <v>1339688.6621807</v>
      </c>
      <c r="M10" s="345" t="n">
        <f aca="false">L10/(1+Discount_Rate)^E10</f>
        <v>1213397.29691688</v>
      </c>
      <c r="O10" s="324" t="n">
        <v>5</v>
      </c>
      <c r="P10" s="327" t="n">
        <f aca="false">C10</f>
        <v>304043.575591536</v>
      </c>
      <c r="Q10" s="328" t="n">
        <f aca="false">M10</f>
        <v>1213397.29691688</v>
      </c>
      <c r="R10" s="345" t="n">
        <f aca="false">Q10-P10</f>
        <v>909353.721325346</v>
      </c>
    </row>
    <row r="11" customFormat="false" ht="12" hidden="false" customHeight="false" outlineLevel="0" collapsed="false">
      <c r="A11" s="324" t="n">
        <v>6</v>
      </c>
      <c r="B11" s="327" t="n">
        <f aca="false">B37+B63+B89</f>
        <v>365422.988620549</v>
      </c>
      <c r="C11" s="345" t="n">
        <f aca="false">B11/(1+Discount_Rate)^A11</f>
        <v>324485.156287998</v>
      </c>
      <c r="E11" s="324" t="n">
        <v>6</v>
      </c>
      <c r="F11" s="327" t="n">
        <f aca="false">F63</f>
        <v>69628.614940026</v>
      </c>
      <c r="G11" s="328" t="n">
        <f aca="false">G63</f>
        <v>48069.036964709</v>
      </c>
      <c r="H11" s="328" t="n">
        <f aca="false">F89</f>
        <v>2841.65676271597</v>
      </c>
      <c r="I11" s="328" t="n">
        <f aca="false">F37</f>
        <v>1558159.54612977</v>
      </c>
      <c r="J11" s="328" t="n">
        <f aca="false">G37</f>
        <v>95089.734962145</v>
      </c>
      <c r="K11" s="328" t="n">
        <f aca="false">H63</f>
        <v>-95089.734962145</v>
      </c>
      <c r="L11" s="328" t="n">
        <f aca="false">SUM(F11:K11)</f>
        <v>1678698.85479722</v>
      </c>
      <c r="M11" s="345" t="n">
        <f aca="false">L11/(1+Discount_Rate)^E11</f>
        <v>1490636.54236866</v>
      </c>
      <c r="O11" s="324" t="n">
        <v>6</v>
      </c>
      <c r="P11" s="327" t="n">
        <f aca="false">C11</f>
        <v>324485.156287998</v>
      </c>
      <c r="Q11" s="328" t="n">
        <f aca="false">M11</f>
        <v>1490636.54236866</v>
      </c>
      <c r="R11" s="345" t="n">
        <f aca="false">Q11-P11</f>
        <v>1166151.38608066</v>
      </c>
    </row>
    <row r="12" customFormat="false" ht="12" hidden="false" customHeight="false" outlineLevel="0" collapsed="false">
      <c r="A12" s="324" t="n">
        <v>7</v>
      </c>
      <c r="B12" s="327" t="n">
        <f aca="false">B38+B64+B90</f>
        <v>397533.359395146</v>
      </c>
      <c r="C12" s="345" t="n">
        <f aca="false">B12/(1+Discount_Rate)^A12</f>
        <v>346076.712360028</v>
      </c>
      <c r="E12" s="324" t="n">
        <v>7</v>
      </c>
      <c r="F12" s="327" t="n">
        <f aca="false">F64</f>
        <v>85729.9253405985</v>
      </c>
      <c r="G12" s="328" t="n">
        <f aca="false">G64</f>
        <v>57930.5936333229</v>
      </c>
      <c r="H12" s="328" t="n">
        <f aca="false">F90</f>
        <v>3505.95102020192</v>
      </c>
      <c r="I12" s="328" t="n">
        <f aca="false">F38</f>
        <v>1901216.30732049</v>
      </c>
      <c r="J12" s="328" t="n">
        <f aca="false">G38</f>
        <v>113668.754542324</v>
      </c>
      <c r="K12" s="328" t="n">
        <f aca="false">H64</f>
        <v>-113668.754542324</v>
      </c>
      <c r="L12" s="328" t="n">
        <f aca="false">SUM(F12:K12)</f>
        <v>2048382.77731462</v>
      </c>
      <c r="M12" s="345" t="n">
        <f aca="false">L12/(1+Discount_Rate)^E12</f>
        <v>1783240.47648868</v>
      </c>
      <c r="O12" s="324" t="n">
        <v>7</v>
      </c>
      <c r="P12" s="327" t="n">
        <f aca="false">C12</f>
        <v>346076.712360028</v>
      </c>
      <c r="Q12" s="328" t="n">
        <f aca="false">M12</f>
        <v>1783240.47648868</v>
      </c>
      <c r="R12" s="345" t="n">
        <f aca="false">Q12-P12</f>
        <v>1437163.76412865</v>
      </c>
    </row>
    <row r="13" customFormat="false" ht="12" hidden="false" customHeight="false" outlineLevel="0" collapsed="false">
      <c r="A13" s="324" t="n">
        <v>8</v>
      </c>
      <c r="B13" s="327" t="n">
        <f aca="false">B39+B65+B91</f>
        <v>432200.416678071</v>
      </c>
      <c r="C13" s="345" t="n">
        <f aca="false">B13/(1+Discount_Rate)^A13</f>
        <v>368878.894059088</v>
      </c>
      <c r="E13" s="324" t="n">
        <v>8</v>
      </c>
      <c r="F13" s="327" t="n">
        <f aca="false">F65</f>
        <v>103340.741729654</v>
      </c>
      <c r="G13" s="328" t="n">
        <f aca="false">G65</f>
        <v>67937.56914436</v>
      </c>
      <c r="H13" s="328" t="n">
        <f aca="false">F91</f>
        <v>4228.36371343834</v>
      </c>
      <c r="I13" s="328" t="n">
        <f aca="false">F39</f>
        <v>2324706.1041184</v>
      </c>
      <c r="J13" s="328" t="n">
        <f aca="false">G39</f>
        <v>133027.98281388</v>
      </c>
      <c r="K13" s="328" t="n">
        <f aca="false">H65</f>
        <v>-133027.98281388</v>
      </c>
      <c r="L13" s="328" t="n">
        <f aca="false">SUM(F13:K13)</f>
        <v>2500212.77870586</v>
      </c>
      <c r="M13" s="345" t="n">
        <f aca="false">L13/(1+Discount_Rate)^E13</f>
        <v>2133907.53255192</v>
      </c>
      <c r="O13" s="324" t="n">
        <v>8</v>
      </c>
      <c r="P13" s="327" t="n">
        <f aca="false">C13</f>
        <v>368878.894059088</v>
      </c>
      <c r="Q13" s="328" t="n">
        <f aca="false">M13</f>
        <v>2133907.53255192</v>
      </c>
      <c r="R13" s="345" t="n">
        <f aca="false">Q13-P13</f>
        <v>1765028.63849283</v>
      </c>
    </row>
    <row r="14" customFormat="false" ht="12" hidden="false" customHeight="false" outlineLevel="0" collapsed="false">
      <c r="A14" s="324" t="n">
        <v>9</v>
      </c>
      <c r="B14" s="327" t="n">
        <f aca="false">B40+B66+B92</f>
        <v>469613.964323822</v>
      </c>
      <c r="C14" s="345" t="n">
        <f aca="false">B14/(1+Discount_Rate)^A14</f>
        <v>392951.957575293</v>
      </c>
      <c r="E14" s="324" t="n">
        <v>9</v>
      </c>
      <c r="F14" s="327" t="n">
        <f aca="false">F66</f>
        <v>122555.326080677</v>
      </c>
      <c r="G14" s="328" t="n">
        <f aca="false">G66</f>
        <v>79567.6114100935</v>
      </c>
      <c r="H14" s="328" t="n">
        <f aca="false">F92</f>
        <v>5036.35433438891</v>
      </c>
      <c r="I14" s="328" t="n">
        <f aca="false">F40</f>
        <v>2735206.95389962</v>
      </c>
      <c r="J14" s="328" t="n">
        <f aca="false">G40</f>
        <v>153167.419776814</v>
      </c>
      <c r="K14" s="328" t="n">
        <f aca="false">H66</f>
        <v>-153167.419776814</v>
      </c>
      <c r="L14" s="328" t="n">
        <f aca="false">SUM(F14:K14)</f>
        <v>2942366.24572478</v>
      </c>
      <c r="M14" s="345" t="n">
        <f aca="false">L14/(1+Discount_Rate)^E14</f>
        <v>2462040.45023617</v>
      </c>
      <c r="O14" s="324" t="n">
        <v>9</v>
      </c>
      <c r="P14" s="327" t="n">
        <f aca="false">C14</f>
        <v>392951.957575293</v>
      </c>
      <c r="Q14" s="328" t="n">
        <f aca="false">M14</f>
        <v>2462040.45023617</v>
      </c>
      <c r="R14" s="345" t="n">
        <f aca="false">Q14-P14</f>
        <v>2069088.49266088</v>
      </c>
    </row>
    <row r="15" customFormat="false" ht="12" hidden="false" customHeight="false" outlineLevel="0" collapsed="false">
      <c r="A15" s="324" t="n">
        <v>10</v>
      </c>
      <c r="B15" s="327" t="n">
        <f aca="false">B41+B67+B93</f>
        <v>509982.668051611</v>
      </c>
      <c r="C15" s="345" t="n">
        <f aca="false">B15/(1+Discount_Rate)^A15</f>
        <v>418363.414701935</v>
      </c>
      <c r="E15" s="324" t="n">
        <v>10</v>
      </c>
      <c r="F15" s="327" t="n">
        <f aca="false">F67</f>
        <v>143472.783013979</v>
      </c>
      <c r="G15" s="328" t="n">
        <f aca="false">G67</f>
        <v>90498.4513905315</v>
      </c>
      <c r="H15" s="328" t="n">
        <f aca="false">F93</f>
        <v>5897.00702528462</v>
      </c>
      <c r="I15" s="328" t="n">
        <f aca="false">F41</f>
        <v>3181842.79985532</v>
      </c>
      <c r="J15" s="328" t="n">
        <f aca="false">G41</f>
        <v>174087.065431125</v>
      </c>
      <c r="K15" s="328" t="n">
        <f aca="false">H67</f>
        <v>-174087.065431125</v>
      </c>
      <c r="L15" s="328" t="n">
        <f aca="false">SUM(F15:K15)</f>
        <v>3421711.04128512</v>
      </c>
      <c r="M15" s="345" t="n">
        <f aca="false">L15/(1+Discount_Rate)^E15</f>
        <v>2806994.83538229</v>
      </c>
      <c r="O15" s="324" t="n">
        <v>10</v>
      </c>
      <c r="P15" s="327" t="n">
        <f aca="false">C15</f>
        <v>418363.414701935</v>
      </c>
      <c r="Q15" s="328" t="n">
        <f aca="false">M15</f>
        <v>2806994.83538229</v>
      </c>
      <c r="R15" s="345" t="n">
        <f aca="false">Q15-P15</f>
        <v>2388631.42068036</v>
      </c>
    </row>
    <row r="16" customFormat="false" ht="12" hidden="false" customHeight="false" outlineLevel="0" collapsed="false">
      <c r="A16" s="324" t="n">
        <v>11</v>
      </c>
      <c r="B16" s="327" t="n">
        <f aca="false">B42+B68+B94</f>
        <v>0</v>
      </c>
      <c r="C16" s="345" t="n">
        <f aca="false">B16/(1+Discount_Rate)^A16</f>
        <v>0</v>
      </c>
      <c r="E16" s="324" t="n">
        <v>11</v>
      </c>
      <c r="F16" s="327" t="n">
        <f aca="false">F68</f>
        <v>166197.281884244</v>
      </c>
      <c r="G16" s="328" t="n">
        <f aca="false">G68</f>
        <v>102701.035630779</v>
      </c>
      <c r="H16" s="328" t="n">
        <f aca="false">F94</f>
        <v>6846.87884055103</v>
      </c>
      <c r="I16" s="328" t="n">
        <f aca="false">F42</f>
        <v>3719746.79558638</v>
      </c>
      <c r="J16" s="328" t="n">
        <f aca="false">G42</f>
        <v>195786.919776814</v>
      </c>
      <c r="K16" s="328" t="n">
        <f aca="false">H68</f>
        <v>-195786.919776814</v>
      </c>
      <c r="L16" s="328" t="n">
        <f aca="false">SUM(F16:K16)</f>
        <v>3995491.99194196</v>
      </c>
      <c r="M16" s="345" t="n">
        <f aca="false">L16/(1+Discount_Rate)^E16</f>
        <v>3213426.53211214</v>
      </c>
      <c r="O16" s="324" t="n">
        <v>11</v>
      </c>
      <c r="P16" s="327" t="n">
        <f aca="false">C16</f>
        <v>0</v>
      </c>
      <c r="Q16" s="328" t="n">
        <f aca="false">M16</f>
        <v>3213426.53211214</v>
      </c>
      <c r="R16" s="345" t="n">
        <f aca="false">Q16-P16</f>
        <v>3213426.53211214</v>
      </c>
    </row>
    <row r="17" customFormat="false" ht="12" hidden="false" customHeight="false" outlineLevel="0" collapsed="false">
      <c r="A17" s="324" t="n">
        <v>12</v>
      </c>
      <c r="B17" s="327" t="n">
        <f aca="false">B43+B69+B95</f>
        <v>0</v>
      </c>
      <c r="C17" s="345" t="n">
        <f aca="false">B17/(1+Discount_Rate)^A17</f>
        <v>0</v>
      </c>
      <c r="E17" s="324" t="n">
        <v>12</v>
      </c>
      <c r="F17" s="327" t="n">
        <f aca="false">F69</f>
        <v>190838.288325883</v>
      </c>
      <c r="G17" s="328" t="n">
        <f aca="false">G69</f>
        <v>114855.050904767</v>
      </c>
      <c r="H17" s="328" t="n">
        <f aca="false">F95</f>
        <v>7868.43167980816</v>
      </c>
      <c r="I17" s="328" t="n">
        <f aca="false">F43</f>
        <v>4246972.23467625</v>
      </c>
      <c r="J17" s="328" t="n">
        <f aca="false">G43</f>
        <v>218266.98281388</v>
      </c>
      <c r="K17" s="328" t="n">
        <f aca="false">H69</f>
        <v>-218266.98281388</v>
      </c>
      <c r="L17" s="328" t="n">
        <f aca="false">SUM(F17:K17)</f>
        <v>4560534.0055867</v>
      </c>
      <c r="M17" s="345" t="n">
        <f aca="false">L17/(1+Discount_Rate)^E17</f>
        <v>3595949.94041319</v>
      </c>
      <c r="O17" s="324" t="n">
        <v>12</v>
      </c>
      <c r="P17" s="327" t="n">
        <f aca="false">C17</f>
        <v>0</v>
      </c>
      <c r="Q17" s="328" t="n">
        <f aca="false">M17</f>
        <v>3595949.94041319</v>
      </c>
      <c r="R17" s="345" t="n">
        <f aca="false">Q17-P17</f>
        <v>3595949.94041319</v>
      </c>
    </row>
    <row r="18" customFormat="false" ht="12" hidden="false" customHeight="false" outlineLevel="0" collapsed="false">
      <c r="A18" s="324" t="n">
        <v>13</v>
      </c>
      <c r="B18" s="327" t="n">
        <f aca="false">B44+B70+B96</f>
        <v>0</v>
      </c>
      <c r="C18" s="345" t="n">
        <f aca="false">B18/(1+Discount_Rate)^A18</f>
        <v>0</v>
      </c>
      <c r="E18" s="324" t="n">
        <v>13</v>
      </c>
      <c r="F18" s="327" t="n">
        <f aca="false">F70</f>
        <v>217510.805638512</v>
      </c>
      <c r="G18" s="328" t="n">
        <f aca="false">G70</f>
        <v>127628.379046442</v>
      </c>
      <c r="H18" s="328" t="n">
        <f aca="false">F96</f>
        <v>8977.89302331637</v>
      </c>
      <c r="I18" s="328" t="n">
        <f aca="false">F44</f>
        <v>4873491.25290534</v>
      </c>
      <c r="J18" s="328" t="n">
        <f aca="false">G44</f>
        <v>241527.254542324</v>
      </c>
      <c r="K18" s="328" t="n">
        <f aca="false">H70</f>
        <v>-241527.254542324</v>
      </c>
      <c r="L18" s="328" t="n">
        <f aca="false">SUM(F18:K18)</f>
        <v>5227608.33061361</v>
      </c>
      <c r="M18" s="345" t="n">
        <f aca="false">L18/(1+Discount_Rate)^E18</f>
        <v>4041111.26794377</v>
      </c>
      <c r="O18" s="324" t="n">
        <v>13</v>
      </c>
      <c r="P18" s="327" t="n">
        <f aca="false">C18</f>
        <v>0</v>
      </c>
      <c r="Q18" s="328" t="n">
        <f aca="false">M18</f>
        <v>4041111.26794377</v>
      </c>
      <c r="R18" s="345" t="n">
        <f aca="false">Q18-P18</f>
        <v>4041111.26794377</v>
      </c>
    </row>
    <row r="19" customFormat="false" ht="12" hidden="false" customHeight="false" outlineLevel="0" collapsed="false">
      <c r="A19" s="324" t="n">
        <v>14</v>
      </c>
      <c r="B19" s="327" t="n">
        <f aca="false">B45+B71+B97</f>
        <v>0</v>
      </c>
      <c r="C19" s="345" t="n">
        <f aca="false">B19/(1+Discount_Rate)^A19</f>
        <v>0</v>
      </c>
      <c r="E19" s="324" t="n">
        <v>14</v>
      </c>
      <c r="F19" s="327" t="n">
        <f aca="false">F71</f>
        <v>246335.626409737</v>
      </c>
      <c r="G19" s="328" t="n">
        <f aca="false">G71</f>
        <v>140611.000693078</v>
      </c>
      <c r="H19" s="328" t="n">
        <f aca="false">F97</f>
        <v>10172.8985363688</v>
      </c>
      <c r="I19" s="328" t="n">
        <f aca="false">F45</f>
        <v>5491248.57085579</v>
      </c>
      <c r="J19" s="328" t="n">
        <f aca="false">G45</f>
        <v>265567.734962145</v>
      </c>
      <c r="K19" s="328" t="n">
        <f aca="false">H71</f>
        <v>-265567.734962145</v>
      </c>
      <c r="L19" s="328" t="n">
        <f aca="false">SUM(F19:K19)</f>
        <v>5888368.09649497</v>
      </c>
      <c r="M19" s="345" t="n">
        <f aca="false">L19/(1+Discount_Rate)^E19</f>
        <v>4462647.11591603</v>
      </c>
      <c r="O19" s="324" t="n">
        <v>14</v>
      </c>
      <c r="P19" s="327" t="n">
        <f aca="false">C19</f>
        <v>0</v>
      </c>
      <c r="Q19" s="328" t="n">
        <f aca="false">M19</f>
        <v>4462647.11591603</v>
      </c>
      <c r="R19" s="345" t="n">
        <f aca="false">Q19-P19</f>
        <v>4462647.11591603</v>
      </c>
    </row>
    <row r="20" customFormat="false" ht="12" hidden="false" customHeight="false" outlineLevel="0" collapsed="false">
      <c r="A20" s="324" t="n">
        <v>15</v>
      </c>
      <c r="B20" s="327" t="n">
        <f aca="false">B46+B72+B98</f>
        <v>0</v>
      </c>
      <c r="C20" s="345" t="n">
        <f aca="false">B20/(1+Discount_Rate)^A20</f>
        <v>0</v>
      </c>
      <c r="E20" s="324" t="n">
        <v>15</v>
      </c>
      <c r="F20" s="327" t="n">
        <f aca="false">F72</f>
        <v>277439.594787873</v>
      </c>
      <c r="G20" s="328" t="n">
        <f aca="false">G72</f>
        <v>154235.969023905</v>
      </c>
      <c r="H20" s="328" t="n">
        <f aca="false">F98</f>
        <v>11466.7436559192</v>
      </c>
      <c r="I20" s="328" t="n">
        <f aca="false">F46</f>
        <v>6217017.38720253</v>
      </c>
      <c r="J20" s="328" t="n">
        <f aca="false">G46</f>
        <v>290388.424073344</v>
      </c>
      <c r="K20" s="328" t="n">
        <f aca="false">H72</f>
        <v>-290388.424073344</v>
      </c>
      <c r="L20" s="328" t="n">
        <f aca="false">SUM(F20:K20)</f>
        <v>6660159.69467023</v>
      </c>
      <c r="M20" s="345" t="n">
        <f aca="false">L20/(1+Discount_Rate)^E20</f>
        <v>4948596.75721581</v>
      </c>
      <c r="O20" s="324" t="n">
        <v>15</v>
      </c>
      <c r="P20" s="327" t="n">
        <f aca="false">C20</f>
        <v>0</v>
      </c>
      <c r="Q20" s="328" t="n">
        <f aca="false">M20</f>
        <v>4948596.75721581</v>
      </c>
      <c r="R20" s="345" t="n">
        <f aca="false">Q20-P20</f>
        <v>4948596.75721581</v>
      </c>
    </row>
    <row r="21" customFormat="false" ht="12" hidden="false" customHeight="false" outlineLevel="0" collapsed="false">
      <c r="A21" s="324" t="n">
        <v>16</v>
      </c>
      <c r="B21" s="327" t="n">
        <f aca="false">B47+B73+B99</f>
        <v>0</v>
      </c>
      <c r="C21" s="345" t="n">
        <f aca="false">B21/(1+Discount_Rate)^A21</f>
        <v>0</v>
      </c>
      <c r="E21" s="324" t="n">
        <v>16</v>
      </c>
      <c r="F21" s="327" t="n">
        <f aca="false">F73</f>
        <v>310955.879833212</v>
      </c>
      <c r="G21" s="328" t="n">
        <f aca="false">G73</f>
        <v>168107.017965101</v>
      </c>
      <c r="H21" s="328" t="n">
        <f aca="false">F99</f>
        <v>12857.442072033</v>
      </c>
      <c r="I21" s="328" t="n">
        <f aca="false">F47</f>
        <v>6997625.95363515</v>
      </c>
      <c r="J21" s="328" t="n">
        <f aca="false">G47</f>
        <v>315989.32187592</v>
      </c>
      <c r="K21" s="328" t="n">
        <f aca="false">H73</f>
        <v>-315989.32187592</v>
      </c>
      <c r="L21" s="328" t="n">
        <f aca="false">SUM(F21:K21)</f>
        <v>7489546.29350549</v>
      </c>
      <c r="M21" s="345" t="n">
        <f aca="false">L21/(1+Discount_Rate)^E21</f>
        <v>5455728.64412304</v>
      </c>
      <c r="O21" s="324" t="n">
        <v>16</v>
      </c>
      <c r="P21" s="327" t="n">
        <f aca="false">C21</f>
        <v>0</v>
      </c>
      <c r="Q21" s="328" t="n">
        <f aca="false">M21</f>
        <v>5455728.64412304</v>
      </c>
      <c r="R21" s="345" t="n">
        <f aca="false">Q21-P21</f>
        <v>5455728.64412304</v>
      </c>
    </row>
    <row r="22" customFormat="false" ht="12" hidden="false" customHeight="false" outlineLevel="0" collapsed="false">
      <c r="A22" s="324" t="n">
        <v>17</v>
      </c>
      <c r="B22" s="327" t="n">
        <f aca="false">B48+B74+B100</f>
        <v>0</v>
      </c>
      <c r="C22" s="345" t="n">
        <f aca="false">B22/(1+Discount_Rate)^A22</f>
        <v>0</v>
      </c>
      <c r="E22" s="324" t="n">
        <v>17</v>
      </c>
      <c r="F22" s="327" t="n">
        <f aca="false">F74</f>
        <v>347024.260393094</v>
      </c>
      <c r="G22" s="328" t="n">
        <f aca="false">G74</f>
        <v>182409.452853501</v>
      </c>
      <c r="H22" s="328" t="n">
        <f aca="false">F100</f>
        <v>14354.2958839101</v>
      </c>
      <c r="I22" s="328" t="n">
        <f aca="false">F48</f>
        <v>7773001.4202171</v>
      </c>
      <c r="J22" s="328" t="n">
        <f aca="false">G48</f>
        <v>342370.428369874</v>
      </c>
      <c r="K22" s="328" t="n">
        <f aca="false">H74</f>
        <v>-342370.428369874</v>
      </c>
      <c r="L22" s="328" t="n">
        <f aca="false">SUM(F22:K22)</f>
        <v>8316789.42934761</v>
      </c>
      <c r="M22" s="345" t="n">
        <f aca="false">L22/(1+Discount_Rate)^E22</f>
        <v>5939539.65034417</v>
      </c>
      <c r="O22" s="324" t="n">
        <v>17</v>
      </c>
      <c r="P22" s="327" t="n">
        <f aca="false">C22</f>
        <v>0</v>
      </c>
      <c r="Q22" s="328" t="n">
        <f aca="false">M22</f>
        <v>5939539.65034417</v>
      </c>
      <c r="R22" s="345" t="n">
        <f aca="false">Q22-P22</f>
        <v>5939539.65034417</v>
      </c>
    </row>
    <row r="23" customFormat="false" ht="12" hidden="false" customHeight="false" outlineLevel="0" collapsed="false">
      <c r="A23" s="324" t="n">
        <v>18</v>
      </c>
      <c r="B23" s="327" t="n">
        <f aca="false">B49+B75+B101</f>
        <v>0</v>
      </c>
      <c r="C23" s="345" t="n">
        <f aca="false">B23/(1+Discount_Rate)^A23</f>
        <v>0</v>
      </c>
      <c r="E23" s="324" t="n">
        <v>18</v>
      </c>
      <c r="F23" s="327" t="n">
        <f aca="false">F75</f>
        <v>385791.421963266</v>
      </c>
      <c r="G23" s="328" t="n">
        <f aca="false">G75</f>
        <v>197193.781724502</v>
      </c>
      <c r="H23" s="328" t="n">
        <f aca="false">F101</f>
        <v>15964.481746467</v>
      </c>
      <c r="I23" s="328" t="n">
        <f aca="false">F49</f>
        <v>8670919.08192614</v>
      </c>
      <c r="J23" s="328" t="n">
        <f aca="false">G49</f>
        <v>369531.743555205</v>
      </c>
      <c r="K23" s="328" t="n">
        <f aca="false">H75</f>
        <v>-369531.743555205</v>
      </c>
      <c r="L23" s="328" t="n">
        <f aca="false">SUM(F23:K23)</f>
        <v>9269868.76736037</v>
      </c>
      <c r="M23" s="345" t="n">
        <f aca="false">L23/(1+Discount_Rate)^E23</f>
        <v>6490385.52216839</v>
      </c>
      <c r="O23" s="324" t="n">
        <v>18</v>
      </c>
      <c r="P23" s="327" t="n">
        <f aca="false">C23</f>
        <v>0</v>
      </c>
      <c r="Q23" s="328" t="n">
        <f aca="false">M23</f>
        <v>6490385.52216839</v>
      </c>
      <c r="R23" s="345" t="n">
        <f aca="false">Q23-P23</f>
        <v>6490385.52216839</v>
      </c>
    </row>
    <row r="24" customFormat="false" ht="12" hidden="false" customHeight="false" outlineLevel="0" collapsed="false">
      <c r="A24" s="324" t="n">
        <v>19</v>
      </c>
      <c r="B24" s="327" t="n">
        <f aca="false">B50+B76+B102</f>
        <v>0</v>
      </c>
      <c r="C24" s="345" t="n">
        <f aca="false">B24/(1+Discount_Rate)^A24</f>
        <v>0</v>
      </c>
      <c r="E24" s="324" t="n">
        <v>19</v>
      </c>
      <c r="F24" s="327" t="n">
        <f aca="false">F76</f>
        <v>427411.266015896</v>
      </c>
      <c r="G24" s="328" t="n">
        <f aca="false">G76</f>
        <v>212358.500441717</v>
      </c>
      <c r="H24" s="328" t="n">
        <f aca="false">F102</f>
        <v>17692.2945774885</v>
      </c>
      <c r="I24" s="328" t="n">
        <f aca="false">F50</f>
        <v>9633457.33878818</v>
      </c>
      <c r="J24" s="328" t="n">
        <f aca="false">G50</f>
        <v>397473.267431914</v>
      </c>
      <c r="K24" s="328" t="n">
        <f aca="false">H76</f>
        <v>-397473.267431914</v>
      </c>
      <c r="L24" s="328" t="n">
        <f aca="false">SUM(F24:K24)</f>
        <v>10290919.3998233</v>
      </c>
      <c r="M24" s="345" t="n">
        <f aca="false">L24/(1+Discount_Rate)^E24</f>
        <v>7064003.62235478</v>
      </c>
      <c r="O24" s="324" t="n">
        <v>19</v>
      </c>
      <c r="P24" s="327" t="n">
        <f aca="false">C24</f>
        <v>0</v>
      </c>
      <c r="Q24" s="328" t="n">
        <f aca="false">M24</f>
        <v>7064003.62235478</v>
      </c>
      <c r="R24" s="345" t="n">
        <f aca="false">Q24-P24</f>
        <v>7064003.62235478</v>
      </c>
    </row>
    <row r="25" customFormat="false" ht="13" hidden="false" customHeight="false" outlineLevel="0" collapsed="false">
      <c r="A25" s="330" t="n">
        <v>20</v>
      </c>
      <c r="B25" s="333" t="n">
        <f aca="false">B51+B77+B103</f>
        <v>0</v>
      </c>
      <c r="C25" s="346" t="n">
        <f aca="false">B25/(1+Discount_Rate)^A25</f>
        <v>0</v>
      </c>
      <c r="E25" s="330" t="n">
        <v>20</v>
      </c>
      <c r="F25" s="333" t="n">
        <f aca="false">F77</f>
        <v>472045.232293198</v>
      </c>
      <c r="G25" s="331" t="n">
        <f aca="false">G77</f>
        <v>228009.630637937</v>
      </c>
      <c r="H25" s="331" t="n">
        <f aca="false">F103</f>
        <v>19546.7391351237</v>
      </c>
      <c r="I25" s="331" t="n">
        <f aca="false">F51</f>
        <v>10733274.7319855</v>
      </c>
      <c r="J25" s="331" t="n">
        <f aca="false">G51</f>
        <v>426195</v>
      </c>
      <c r="K25" s="331" t="n">
        <f aca="false">H77</f>
        <v>-426195</v>
      </c>
      <c r="L25" s="331" t="n">
        <f aca="false">SUM(F25:K25)</f>
        <v>11452876.3340518</v>
      </c>
      <c r="M25" s="346" t="n">
        <f aca="false">L25/(1+Discount_Rate)^E25</f>
        <v>7707457.45444856</v>
      </c>
      <c r="O25" s="330" t="n">
        <v>20</v>
      </c>
      <c r="P25" s="333" t="n">
        <f aca="false">C25</f>
        <v>0</v>
      </c>
      <c r="Q25" s="331" t="n">
        <f aca="false">M25</f>
        <v>7707457.45444856</v>
      </c>
      <c r="R25" s="346" t="n">
        <f aca="false">Q25-P25</f>
        <v>7707457.45444856</v>
      </c>
    </row>
    <row r="26" customFormat="false" ht="14" hidden="false" customHeight="false" outlineLevel="0" collapsed="false">
      <c r="O26" s="347" t="s">
        <v>274</v>
      </c>
      <c r="P26" s="348" t="n">
        <f aca="false">SUM(P5:P25)</f>
        <v>6201165.9187535</v>
      </c>
      <c r="Q26" s="348" t="n">
        <f aca="false">SUM(Q5:Q25)</f>
        <v>67060994.7154053</v>
      </c>
      <c r="R26" s="349" t="n">
        <f aca="false">SUM(R5:R25)</f>
        <v>60859828.7966518</v>
      </c>
    </row>
    <row r="27" customFormat="false" ht="13" hidden="false" customHeight="false" outlineLevel="0" collapsed="false">
      <c r="R27" s="350"/>
    </row>
    <row r="28" customFormat="false" ht="13" hidden="false" customHeight="false" outlineLevel="0" collapsed="false">
      <c r="A28" s="341" t="s">
        <v>291</v>
      </c>
      <c r="E28" s="341" t="s">
        <v>292</v>
      </c>
      <c r="O28" s="341" t="s">
        <v>293</v>
      </c>
    </row>
    <row r="29" customFormat="false" ht="13" hidden="false" customHeight="false" outlineLevel="0" collapsed="false">
      <c r="G29" s="343"/>
      <c r="P29" s="343"/>
    </row>
    <row r="30" customFormat="false" ht="37.5" hidden="false" customHeight="true" outlineLevel="0" collapsed="false">
      <c r="A30" s="316" t="s">
        <v>96</v>
      </c>
      <c r="B30" s="319" t="s">
        <v>97</v>
      </c>
      <c r="C30" s="318" t="s">
        <v>294</v>
      </c>
      <c r="E30" s="316" t="s">
        <v>96</v>
      </c>
      <c r="F30" s="351" t="s">
        <v>295</v>
      </c>
      <c r="G30" s="320" t="s">
        <v>296</v>
      </c>
      <c r="H30" s="344" t="s">
        <v>272</v>
      </c>
      <c r="I30" s="318" t="s">
        <v>297</v>
      </c>
      <c r="O30" s="316" t="s">
        <v>96</v>
      </c>
      <c r="P30" s="319" t="s">
        <v>289</v>
      </c>
      <c r="Q30" s="344" t="s">
        <v>290</v>
      </c>
      <c r="R30" s="318" t="s">
        <v>263</v>
      </c>
    </row>
    <row r="31" customFormat="false" ht="13" hidden="false" customHeight="false" outlineLevel="0" collapsed="false">
      <c r="A31" s="324" t="s">
        <v>114</v>
      </c>
      <c r="B31" s="327" t="n">
        <f aca="false">'Input-Detail'!AN14</f>
        <v>3009339.704</v>
      </c>
      <c r="C31" s="345" t="n">
        <f aca="false">B31/(1+Discount_Rate)^0</f>
        <v>3009339.704</v>
      </c>
      <c r="E31" s="324" t="s">
        <v>114</v>
      </c>
      <c r="F31" s="327" t="n">
        <f aca="false">'Agency Costs Reduction'!L6</f>
        <v>-4639.83999999985</v>
      </c>
      <c r="G31" s="327" t="n">
        <f aca="false">'Interest Gain'!T6</f>
        <v>0</v>
      </c>
      <c r="H31" s="325" t="n">
        <f aca="false">SUM(F31:G31)</f>
        <v>-4639.83999999985</v>
      </c>
      <c r="I31" s="345" t="n">
        <f aca="false">H31/(1+Discount_Rate)^0</f>
        <v>-4639.83999999985</v>
      </c>
      <c r="O31" s="324" t="s">
        <v>114</v>
      </c>
      <c r="P31" s="327" t="n">
        <f aca="false">C31</f>
        <v>3009339.704</v>
      </c>
      <c r="Q31" s="325" t="n">
        <f aca="false">I31</f>
        <v>-4639.83999999985</v>
      </c>
      <c r="R31" s="345" t="n">
        <f aca="false">Q31-P31</f>
        <v>-3013979.544</v>
      </c>
    </row>
    <row r="32" customFormat="false" ht="12" hidden="false" customHeight="false" outlineLevel="0" collapsed="false">
      <c r="A32" s="324" t="n">
        <v>1</v>
      </c>
      <c r="B32" s="327" t="n">
        <f aca="false">'Input-Detail'!AN15</f>
        <v>0</v>
      </c>
      <c r="C32" s="345" t="n">
        <f aca="false">B32/(1+Discount_Rate)^A32</f>
        <v>0</v>
      </c>
      <c r="E32" s="324" t="n">
        <v>1</v>
      </c>
      <c r="F32" s="327" t="n">
        <f aca="false">'Agency Costs Reduction'!L7</f>
        <v>220233.29098755</v>
      </c>
      <c r="G32" s="327" t="n">
        <f aca="false">'Interest Gain'!T7</f>
        <v>13897.7674319138</v>
      </c>
      <c r="H32" s="328" t="n">
        <f aca="false">SUM(F32:G32)</f>
        <v>234131.058419464</v>
      </c>
      <c r="I32" s="345" t="n">
        <f aca="false">H32/(1+Discount_Rate)^E32</f>
        <v>229540.253352416</v>
      </c>
      <c r="O32" s="324" t="n">
        <v>1</v>
      </c>
      <c r="P32" s="327" t="n">
        <f aca="false">C32</f>
        <v>0</v>
      </c>
      <c r="Q32" s="328" t="n">
        <f aca="false">I32</f>
        <v>229540.253352416</v>
      </c>
      <c r="R32" s="345" t="n">
        <f aca="false">Q32-P32</f>
        <v>229540.253352416</v>
      </c>
    </row>
    <row r="33" customFormat="false" ht="12" hidden="false" customHeight="false" outlineLevel="0" collapsed="false">
      <c r="A33" s="324" t="n">
        <v>2</v>
      </c>
      <c r="B33" s="327" t="n">
        <f aca="false">'Input-Detail'!AN16</f>
        <v>302158.1117</v>
      </c>
      <c r="C33" s="345" t="n">
        <f aca="false">B33/(1+Discount_Rate)^A33</f>
        <v>290424.94396386</v>
      </c>
      <c r="E33" s="324" t="n">
        <v>2</v>
      </c>
      <c r="F33" s="327" t="n">
        <f aca="false">'Agency Costs Reduction'!L8</f>
        <v>428772.902151413</v>
      </c>
      <c r="G33" s="327" t="n">
        <f aca="false">'Interest Gain'!T8</f>
        <v>28575.743555205</v>
      </c>
      <c r="H33" s="328" t="n">
        <f aca="false">SUM(F33:G33)</f>
        <v>457348.645706618</v>
      </c>
      <c r="I33" s="345" t="n">
        <f aca="false">H33/(1+Discount_Rate)^E33</f>
        <v>439589.240394674</v>
      </c>
      <c r="O33" s="324" t="n">
        <v>2</v>
      </c>
      <c r="P33" s="327" t="n">
        <f aca="false">C33</f>
        <v>290424.94396386</v>
      </c>
      <c r="Q33" s="328" t="n">
        <f aca="false">I33</f>
        <v>439589.240394674</v>
      </c>
      <c r="R33" s="345" t="n">
        <f aca="false">Q33-P33</f>
        <v>149164.296430813</v>
      </c>
    </row>
    <row r="34" customFormat="false" ht="12" hidden="false" customHeight="false" outlineLevel="0" collapsed="false">
      <c r="A34" s="324" t="n">
        <v>3</v>
      </c>
      <c r="B34" s="327" t="n">
        <f aca="false">'Input-Detail'!AN17</f>
        <v>490176.570387</v>
      </c>
      <c r="C34" s="345" t="n">
        <f aca="false">B34/(1+Discount_Rate)^A34</f>
        <v>461904.330147341</v>
      </c>
      <c r="E34" s="324" t="n">
        <v>3</v>
      </c>
      <c r="F34" s="327" t="n">
        <f aca="false">'Agency Costs Reduction'!L9</f>
        <v>660682.432213405</v>
      </c>
      <c r="G34" s="327" t="n">
        <f aca="false">'Interest Gain'!T9</f>
        <v>44033.9283698738</v>
      </c>
      <c r="H34" s="328" t="n">
        <f aca="false">SUM(F34:G34)</f>
        <v>704716.360583279</v>
      </c>
      <c r="I34" s="345" t="n">
        <f aca="false">H34/(1+Discount_Rate)^E34</f>
        <v>664069.966098332</v>
      </c>
      <c r="O34" s="324" t="n">
        <v>3</v>
      </c>
      <c r="P34" s="327" t="n">
        <f aca="false">C34</f>
        <v>461904.330147341</v>
      </c>
      <c r="Q34" s="328" t="n">
        <f aca="false">I34</f>
        <v>664069.966098332</v>
      </c>
      <c r="R34" s="345" t="n">
        <f aca="false">Q34-P34</f>
        <v>202165.635950991</v>
      </c>
    </row>
    <row r="35" customFormat="false" ht="12" hidden="false" customHeight="false" outlineLevel="0" collapsed="false">
      <c r="A35" s="324" t="n">
        <v>4</v>
      </c>
      <c r="B35" s="327" t="n">
        <f aca="false">'Input-Detail'!AN18</f>
        <v>308165.43768681</v>
      </c>
      <c r="C35" s="345" t="n">
        <f aca="false">B35/(1+Discount_Rate)^A35</f>
        <v>284697.230066418</v>
      </c>
      <c r="E35" s="324" t="n">
        <v>4</v>
      </c>
      <c r="F35" s="327" t="n">
        <f aca="false">'Agency Costs Reduction'!L10</f>
        <v>917508.06322307</v>
      </c>
      <c r="G35" s="327" t="n">
        <f aca="false">'Interest Gain'!T10</f>
        <v>60272.32187592</v>
      </c>
      <c r="H35" s="328" t="n">
        <f aca="false">SUM(F35:G35)</f>
        <v>977780.38509899</v>
      </c>
      <c r="I35" s="345" t="n">
        <f aca="false">H35/(1+Discount_Rate)^E35</f>
        <v>903317.936432145</v>
      </c>
      <c r="O35" s="324" t="n">
        <v>4</v>
      </c>
      <c r="P35" s="327" t="n">
        <f aca="false">C35</f>
        <v>284697.230066418</v>
      </c>
      <c r="Q35" s="328" t="n">
        <f aca="false">I35</f>
        <v>903317.936432145</v>
      </c>
      <c r="R35" s="345" t="n">
        <f aca="false">Q35-P35</f>
        <v>618620.706365727</v>
      </c>
    </row>
    <row r="36" customFormat="false" ht="12" hidden="false" customHeight="false" outlineLevel="0" collapsed="false">
      <c r="A36" s="324" t="n">
        <v>5</v>
      </c>
      <c r="B36" s="327" t="n">
        <f aca="false">'Input-Detail'!AN19</f>
        <v>335688.675146902</v>
      </c>
      <c r="C36" s="345" t="n">
        <f aca="false">B36/(1+Discount_Rate)^A36</f>
        <v>304043.575591536</v>
      </c>
      <c r="E36" s="324" t="n">
        <v>5</v>
      </c>
      <c r="F36" s="327" t="n">
        <f aca="false">'Agency Costs Reduction'!L11</f>
        <v>1245202.85059672</v>
      </c>
      <c r="G36" s="327" t="n">
        <f aca="false">'Interest Gain'!T11</f>
        <v>77290.9240733438</v>
      </c>
      <c r="H36" s="328" t="n">
        <f aca="false">SUM(F36:G36)</f>
        <v>1322493.77467006</v>
      </c>
      <c r="I36" s="345" t="n">
        <f aca="false">H36/(1+Discount_Rate)^E36</f>
        <v>1197823.35752694</v>
      </c>
      <c r="O36" s="324" t="n">
        <v>5</v>
      </c>
      <c r="P36" s="327" t="n">
        <f aca="false">C36</f>
        <v>304043.575591536</v>
      </c>
      <c r="Q36" s="328" t="n">
        <f aca="false">I36</f>
        <v>1197823.35752694</v>
      </c>
      <c r="R36" s="345" t="n">
        <f aca="false">Q36-P36</f>
        <v>893779.7819354</v>
      </c>
    </row>
    <row r="37" customFormat="false" ht="12" hidden="false" customHeight="false" outlineLevel="0" collapsed="false">
      <c r="A37" s="324" t="n">
        <v>6</v>
      </c>
      <c r="B37" s="327" t="n">
        <f aca="false">'Input-Detail'!AN20</f>
        <v>365422.988620549</v>
      </c>
      <c r="C37" s="345" t="n">
        <f aca="false">B37/(1+Discount_Rate)^A37</f>
        <v>324485.156287998</v>
      </c>
      <c r="E37" s="324" t="n">
        <v>6</v>
      </c>
      <c r="F37" s="327" t="n">
        <f aca="false">'Agency Costs Reduction'!L12</f>
        <v>1558159.54612977</v>
      </c>
      <c r="G37" s="327" t="n">
        <f aca="false">'Interest Gain'!T12</f>
        <v>95089.734962145</v>
      </c>
      <c r="H37" s="328" t="n">
        <f aca="false">SUM(F37:G37)</f>
        <v>1653249.28109191</v>
      </c>
      <c r="I37" s="345" t="n">
        <f aca="false">H37/(1+Discount_Rate)^E37</f>
        <v>1468038.04922951</v>
      </c>
      <c r="O37" s="324" t="n">
        <v>6</v>
      </c>
      <c r="P37" s="327" t="n">
        <f aca="false">C37</f>
        <v>324485.156287998</v>
      </c>
      <c r="Q37" s="328" t="n">
        <f aca="false">I37</f>
        <v>1468038.04922951</v>
      </c>
      <c r="R37" s="345" t="n">
        <f aca="false">Q37-P37</f>
        <v>1143552.89294151</v>
      </c>
    </row>
    <row r="38" customFormat="false" ht="12" hidden="false" customHeight="false" outlineLevel="0" collapsed="false">
      <c r="A38" s="324" t="n">
        <v>7</v>
      </c>
      <c r="B38" s="327" t="n">
        <f aca="false">'Input-Detail'!AN21</f>
        <v>397533.359395146</v>
      </c>
      <c r="C38" s="345" t="n">
        <f aca="false">B38/(1+Discount_Rate)^A38</f>
        <v>346076.712360028</v>
      </c>
      <c r="E38" s="324" t="n">
        <v>7</v>
      </c>
      <c r="F38" s="327" t="n">
        <f aca="false">'Agency Costs Reduction'!L13</f>
        <v>1901216.30732049</v>
      </c>
      <c r="G38" s="327" t="n">
        <f aca="false">'Interest Gain'!T13</f>
        <v>113668.754542324</v>
      </c>
      <c r="H38" s="328" t="n">
        <f aca="false">SUM(F38:G38)</f>
        <v>2014885.06186282</v>
      </c>
      <c r="I38" s="345" t="n">
        <f aca="false">H38/(1+Discount_Rate)^E38</f>
        <v>1754078.6993418</v>
      </c>
      <c r="O38" s="324" t="n">
        <v>7</v>
      </c>
      <c r="P38" s="327" t="n">
        <f aca="false">C38</f>
        <v>346076.712360028</v>
      </c>
      <c r="Q38" s="328" t="n">
        <f aca="false">I38</f>
        <v>1754078.6993418</v>
      </c>
      <c r="R38" s="345" t="n">
        <f aca="false">Q38-P38</f>
        <v>1408001.98698177</v>
      </c>
    </row>
    <row r="39" customFormat="false" ht="12" hidden="false" customHeight="false" outlineLevel="0" collapsed="false">
      <c r="A39" s="324" t="n">
        <v>8</v>
      </c>
      <c r="B39" s="327" t="n">
        <f aca="false">'Input-Detail'!AN22</f>
        <v>432200.416678071</v>
      </c>
      <c r="C39" s="345" t="n">
        <f aca="false">B39/(1+Discount_Rate)^A39</f>
        <v>368878.894059088</v>
      </c>
      <c r="E39" s="324" t="n">
        <v>8</v>
      </c>
      <c r="F39" s="327" t="n">
        <f aca="false">'Agency Costs Reduction'!L14</f>
        <v>2324706.1041184</v>
      </c>
      <c r="G39" s="327" t="n">
        <f aca="false">'Interest Gain'!T14</f>
        <v>133027.98281388</v>
      </c>
      <c r="H39" s="328" t="n">
        <f aca="false">SUM(F39:G39)</f>
        <v>2457734.08693228</v>
      </c>
      <c r="I39" s="345" t="n">
        <f aca="false">H39/(1+Discount_Rate)^E39</f>
        <v>2097652.37814242</v>
      </c>
      <c r="O39" s="324" t="n">
        <v>8</v>
      </c>
      <c r="P39" s="327" t="n">
        <f aca="false">C39</f>
        <v>368878.894059088</v>
      </c>
      <c r="Q39" s="328" t="n">
        <f aca="false">I39</f>
        <v>2097652.37814242</v>
      </c>
      <c r="R39" s="345" t="n">
        <f aca="false">Q39-P39</f>
        <v>1728773.48408334</v>
      </c>
    </row>
    <row r="40" customFormat="false" ht="12" hidden="false" customHeight="false" outlineLevel="0" collapsed="false">
      <c r="A40" s="324" t="n">
        <v>9</v>
      </c>
      <c r="B40" s="327" t="n">
        <f aca="false">'Input-Detail'!AN23</f>
        <v>469613.964323822</v>
      </c>
      <c r="C40" s="345" t="n">
        <f aca="false">B40/(1+Discount_Rate)^A40</f>
        <v>392951.957575293</v>
      </c>
      <c r="E40" s="324" t="n">
        <v>9</v>
      </c>
      <c r="F40" s="327" t="n">
        <f aca="false">'Agency Costs Reduction'!L15</f>
        <v>2735206.95389962</v>
      </c>
      <c r="G40" s="327" t="n">
        <f aca="false">'Interest Gain'!T15</f>
        <v>153167.419776814</v>
      </c>
      <c r="H40" s="328" t="n">
        <f aca="false">SUM(F40:G40)</f>
        <v>2888374.37367643</v>
      </c>
      <c r="I40" s="345" t="n">
        <f aca="false">H40/(1+Discount_Rate)^E40</f>
        <v>2416862.4669854</v>
      </c>
      <c r="O40" s="324" t="n">
        <v>9</v>
      </c>
      <c r="P40" s="327" t="n">
        <f aca="false">C40</f>
        <v>392951.957575293</v>
      </c>
      <c r="Q40" s="328" t="n">
        <f aca="false">I40</f>
        <v>2416862.4669854</v>
      </c>
      <c r="R40" s="345" t="n">
        <f aca="false">Q40-P40</f>
        <v>2023910.5094101</v>
      </c>
    </row>
    <row r="41" customFormat="false" ht="12" hidden="false" customHeight="false" outlineLevel="0" collapsed="false">
      <c r="A41" s="324" t="n">
        <v>10</v>
      </c>
      <c r="B41" s="327" t="n">
        <f aca="false">'Input-Detail'!AN24</f>
        <v>509982.668051611</v>
      </c>
      <c r="C41" s="345" t="n">
        <f aca="false">B41/(1+Discount_Rate)^A41</f>
        <v>418363.414701935</v>
      </c>
      <c r="E41" s="324" t="n">
        <v>10</v>
      </c>
      <c r="F41" s="327" t="n">
        <f aca="false">'Agency Costs Reduction'!L16</f>
        <v>3181842.79985532</v>
      </c>
      <c r="G41" s="327" t="n">
        <f aca="false">'Interest Gain'!T16</f>
        <v>174087.065431125</v>
      </c>
      <c r="H41" s="328" t="n">
        <f aca="false">SUM(F41:G41)</f>
        <v>3355929.86528645</v>
      </c>
      <c r="I41" s="345" t="n">
        <f aca="false">H41/(1+Discount_Rate)^E41</f>
        <v>2753031.359488</v>
      </c>
      <c r="O41" s="324" t="n">
        <v>10</v>
      </c>
      <c r="P41" s="327" t="n">
        <f aca="false">C41</f>
        <v>418363.414701935</v>
      </c>
      <c r="Q41" s="328" t="n">
        <f aca="false">I41</f>
        <v>2753031.359488</v>
      </c>
      <c r="R41" s="345" t="n">
        <f aca="false">Q41-P41</f>
        <v>2334667.94478606</v>
      </c>
    </row>
    <row r="42" customFormat="false" ht="12" hidden="false" customHeight="false" outlineLevel="0" collapsed="false">
      <c r="A42" s="324" t="n">
        <v>11</v>
      </c>
      <c r="B42" s="327" t="n">
        <f aca="false">'Input-Detail'!AN25</f>
        <v>0</v>
      </c>
      <c r="C42" s="345" t="n">
        <f aca="false">B42/(1+Discount_Rate)^A42</f>
        <v>0</v>
      </c>
      <c r="E42" s="324" t="n">
        <v>11</v>
      </c>
      <c r="F42" s="327" t="n">
        <f aca="false">'Agency Costs Reduction'!L17</f>
        <v>3719746.79558638</v>
      </c>
      <c r="G42" s="327" t="n">
        <f aca="false">'Interest Gain'!T17</f>
        <v>195786.919776814</v>
      </c>
      <c r="H42" s="328" t="n">
        <f aca="false">SUM(F42:G42)</f>
        <v>3915533.7153632</v>
      </c>
      <c r="I42" s="345" t="n">
        <f aca="false">H42/(1+Discount_Rate)^E42</f>
        <v>3149119.04559024</v>
      </c>
      <c r="O42" s="324" t="n">
        <v>11</v>
      </c>
      <c r="P42" s="327" t="n">
        <f aca="false">C42</f>
        <v>0</v>
      </c>
      <c r="Q42" s="328" t="n">
        <f aca="false">I42</f>
        <v>3149119.04559024</v>
      </c>
      <c r="R42" s="345" t="n">
        <f aca="false">Q42-P42</f>
        <v>3149119.04559024</v>
      </c>
    </row>
    <row r="43" customFormat="false" ht="12" hidden="false" customHeight="false" outlineLevel="0" collapsed="false">
      <c r="A43" s="324" t="n">
        <v>12</v>
      </c>
      <c r="B43" s="327" t="n">
        <f aca="false">'Input-Detail'!AN26</f>
        <v>0</v>
      </c>
      <c r="C43" s="345" t="n">
        <f aca="false">B43/(1+Discount_Rate)^A43</f>
        <v>0</v>
      </c>
      <c r="E43" s="324" t="n">
        <v>12</v>
      </c>
      <c r="F43" s="327" t="n">
        <f aca="false">'Agency Costs Reduction'!L18</f>
        <v>4246972.23467625</v>
      </c>
      <c r="G43" s="327" t="n">
        <f aca="false">'Interest Gain'!T18</f>
        <v>218266.98281388</v>
      </c>
      <c r="H43" s="328" t="n">
        <f aca="false">SUM(F43:G43)</f>
        <v>4465239.21749013</v>
      </c>
      <c r="I43" s="345" t="n">
        <f aca="false">H43/(1+Discount_Rate)^E43</f>
        <v>3520810.65033054</v>
      </c>
      <c r="O43" s="324" t="n">
        <v>12</v>
      </c>
      <c r="P43" s="327" t="n">
        <f aca="false">C43</f>
        <v>0</v>
      </c>
      <c r="Q43" s="328" t="n">
        <f aca="false">I43</f>
        <v>3520810.65033054</v>
      </c>
      <c r="R43" s="345" t="n">
        <f aca="false">Q43-P43</f>
        <v>3520810.65033054</v>
      </c>
    </row>
    <row r="44" customFormat="false" ht="12" hidden="false" customHeight="false" outlineLevel="0" collapsed="false">
      <c r="A44" s="324" t="n">
        <v>13</v>
      </c>
      <c r="B44" s="327" t="n">
        <f aca="false">'Input-Detail'!AN27</f>
        <v>0</v>
      </c>
      <c r="C44" s="345" t="n">
        <f aca="false">B44/(1+Discount_Rate)^A44</f>
        <v>0</v>
      </c>
      <c r="E44" s="324" t="n">
        <v>13</v>
      </c>
      <c r="F44" s="327" t="n">
        <f aca="false">'Agency Costs Reduction'!L19</f>
        <v>4873491.25290534</v>
      </c>
      <c r="G44" s="327" t="n">
        <f aca="false">'Interest Gain'!T19</f>
        <v>241527.254542324</v>
      </c>
      <c r="H44" s="328" t="n">
        <f aca="false">SUM(F44:G44)</f>
        <v>5115018.50744766</v>
      </c>
      <c r="I44" s="345" t="n">
        <f aca="false">H44/(1+Discount_Rate)^E44</f>
        <v>3954075.67264348</v>
      </c>
      <c r="O44" s="324" t="n">
        <v>13</v>
      </c>
      <c r="P44" s="327" t="n">
        <f aca="false">C44</f>
        <v>0</v>
      </c>
      <c r="Q44" s="328" t="n">
        <f aca="false">I44</f>
        <v>3954075.67264348</v>
      </c>
      <c r="R44" s="345" t="n">
        <f aca="false">Q44-P44</f>
        <v>3954075.67264348</v>
      </c>
    </row>
    <row r="45" customFormat="false" ht="12" hidden="false" customHeight="false" outlineLevel="0" collapsed="false">
      <c r="A45" s="324" t="n">
        <v>14</v>
      </c>
      <c r="B45" s="327" t="n">
        <f aca="false">'Input-Detail'!AN28</f>
        <v>0</v>
      </c>
      <c r="C45" s="345" t="n">
        <f aca="false">B45/(1+Discount_Rate)^A45</f>
        <v>0</v>
      </c>
      <c r="E45" s="324" t="n">
        <v>14</v>
      </c>
      <c r="F45" s="327" t="n">
        <f aca="false">'Agency Costs Reduction'!L20</f>
        <v>5491248.57085579</v>
      </c>
      <c r="G45" s="327" t="n">
        <f aca="false">'Interest Gain'!T20</f>
        <v>265567.734962145</v>
      </c>
      <c r="H45" s="328" t="n">
        <f aca="false">SUM(F45:G45)</f>
        <v>5756816.30581794</v>
      </c>
      <c r="I45" s="345" t="n">
        <f aca="false">H45/(1+Discount_Rate)^E45</f>
        <v>4362947.29932203</v>
      </c>
      <c r="O45" s="324" t="n">
        <v>14</v>
      </c>
      <c r="P45" s="327" t="n">
        <f aca="false">C45</f>
        <v>0</v>
      </c>
      <c r="Q45" s="328" t="n">
        <f aca="false">I45</f>
        <v>4362947.29932203</v>
      </c>
      <c r="R45" s="345" t="n">
        <f aca="false">Q45-P45</f>
        <v>4362947.29932203</v>
      </c>
    </row>
    <row r="46" customFormat="false" ht="12" hidden="false" customHeight="false" outlineLevel="0" collapsed="false">
      <c r="A46" s="324" t="n">
        <v>15</v>
      </c>
      <c r="B46" s="327" t="n">
        <f aca="false">'Input-Detail'!AN29</f>
        <v>0</v>
      </c>
      <c r="C46" s="345" t="n">
        <f aca="false">B46/(1+Discount_Rate)^A46</f>
        <v>0</v>
      </c>
      <c r="E46" s="324" t="n">
        <v>15</v>
      </c>
      <c r="F46" s="327" t="n">
        <f aca="false">'Agency Costs Reduction'!L21</f>
        <v>6217017.38720253</v>
      </c>
      <c r="G46" s="327" t="n">
        <f aca="false">'Interest Gain'!T21</f>
        <v>290388.424073344</v>
      </c>
      <c r="H46" s="328" t="n">
        <f aca="false">SUM(F46:G46)</f>
        <v>6507405.81127587</v>
      </c>
      <c r="I46" s="345" t="n">
        <f aca="false">H46/(1+Discount_Rate)^E46</f>
        <v>4835098.37179086</v>
      </c>
      <c r="O46" s="324" t="n">
        <v>15</v>
      </c>
      <c r="P46" s="327" t="n">
        <f aca="false">C46</f>
        <v>0</v>
      </c>
      <c r="Q46" s="328" t="n">
        <f aca="false">I46</f>
        <v>4835098.37179086</v>
      </c>
      <c r="R46" s="345" t="n">
        <f aca="false">Q46-P46</f>
        <v>4835098.37179086</v>
      </c>
    </row>
    <row r="47" customFormat="false" ht="12" hidden="false" customHeight="false" outlineLevel="0" collapsed="false">
      <c r="A47" s="324" t="n">
        <v>16</v>
      </c>
      <c r="B47" s="327" t="n">
        <f aca="false">'Input-Detail'!AN30</f>
        <v>0</v>
      </c>
      <c r="C47" s="345" t="n">
        <f aca="false">B47/(1+Discount_Rate)^A47</f>
        <v>0</v>
      </c>
      <c r="E47" s="324" t="n">
        <v>16</v>
      </c>
      <c r="F47" s="327" t="n">
        <f aca="false">'Agency Costs Reduction'!L22</f>
        <v>6997625.95363515</v>
      </c>
      <c r="G47" s="327" t="n">
        <f aca="false">'Interest Gain'!T22</f>
        <v>315989.32187592</v>
      </c>
      <c r="H47" s="328" t="n">
        <f aca="false">SUM(F47:G47)</f>
        <v>7313615.27551107</v>
      </c>
      <c r="I47" s="345" t="n">
        <f aca="false">H47/(1+Discount_Rate)^E47</f>
        <v>5327572.43056251</v>
      </c>
      <c r="O47" s="324" t="n">
        <v>16</v>
      </c>
      <c r="P47" s="327" t="n">
        <f aca="false">C47</f>
        <v>0</v>
      </c>
      <c r="Q47" s="328" t="n">
        <f aca="false">I47</f>
        <v>5327572.43056251</v>
      </c>
      <c r="R47" s="345" t="n">
        <f aca="false">Q47-P47</f>
        <v>5327572.43056251</v>
      </c>
    </row>
    <row r="48" customFormat="false" ht="12" hidden="false" customHeight="false" outlineLevel="0" collapsed="false">
      <c r="A48" s="324" t="n">
        <v>17</v>
      </c>
      <c r="B48" s="327" t="n">
        <f aca="false">'Input-Detail'!AN31</f>
        <v>0</v>
      </c>
      <c r="C48" s="345" t="n">
        <f aca="false">B48/(1+Discount_Rate)^A48</f>
        <v>0</v>
      </c>
      <c r="E48" s="324" t="n">
        <v>17</v>
      </c>
      <c r="F48" s="327" t="n">
        <f aca="false">'Agency Costs Reduction'!L23</f>
        <v>7773001.4202171</v>
      </c>
      <c r="G48" s="327" t="n">
        <f aca="false">'Interest Gain'!T23</f>
        <v>342370.428369874</v>
      </c>
      <c r="H48" s="328" t="n">
        <f aca="false">SUM(F48:G48)</f>
        <v>8115371.84858698</v>
      </c>
      <c r="I48" s="345" t="n">
        <f aca="false">H48/(1+Discount_Rate)^E48</f>
        <v>5795694.75474267</v>
      </c>
      <c r="O48" s="324" t="n">
        <v>17</v>
      </c>
      <c r="P48" s="327" t="n">
        <f aca="false">C48</f>
        <v>0</v>
      </c>
      <c r="Q48" s="328" t="n">
        <f aca="false">I48</f>
        <v>5795694.75474267</v>
      </c>
      <c r="R48" s="345" t="n">
        <f aca="false">Q48-P48</f>
        <v>5795694.75474267</v>
      </c>
    </row>
    <row r="49" customFormat="false" ht="12" hidden="false" customHeight="false" outlineLevel="0" collapsed="false">
      <c r="A49" s="324" t="n">
        <v>18</v>
      </c>
      <c r="B49" s="327" t="n">
        <f aca="false">'Input-Detail'!AN32</f>
        <v>0</v>
      </c>
      <c r="C49" s="345" t="n">
        <f aca="false">B49/(1+Discount_Rate)^A49</f>
        <v>0</v>
      </c>
      <c r="E49" s="324" t="n">
        <v>18</v>
      </c>
      <c r="F49" s="327" t="n">
        <f aca="false">'Agency Costs Reduction'!L24</f>
        <v>8670919.08192614</v>
      </c>
      <c r="G49" s="327" t="n">
        <f aca="false">'Interest Gain'!T24</f>
        <v>369531.743555205</v>
      </c>
      <c r="H49" s="328" t="n">
        <f aca="false">SUM(F49:G49)</f>
        <v>9040450.82548134</v>
      </c>
      <c r="I49" s="345" t="n">
        <f aca="false">H49/(1+Discount_Rate)^E49</f>
        <v>6329756.39937647</v>
      </c>
      <c r="O49" s="324" t="n">
        <v>18</v>
      </c>
      <c r="P49" s="327" t="n">
        <f aca="false">C49</f>
        <v>0</v>
      </c>
      <c r="Q49" s="328" t="n">
        <f aca="false">I49</f>
        <v>6329756.39937647</v>
      </c>
      <c r="R49" s="345" t="n">
        <f aca="false">Q49-P49</f>
        <v>6329756.39937647</v>
      </c>
    </row>
    <row r="50" customFormat="false" ht="12" hidden="false" customHeight="false" outlineLevel="0" collapsed="false">
      <c r="A50" s="324" t="n">
        <v>19</v>
      </c>
      <c r="B50" s="327" t="n">
        <f aca="false">'Input-Detail'!AN33</f>
        <v>0</v>
      </c>
      <c r="C50" s="345" t="n">
        <f aca="false">B50/(1+Discount_Rate)^A50</f>
        <v>0</v>
      </c>
      <c r="E50" s="324" t="n">
        <v>19</v>
      </c>
      <c r="F50" s="327" t="n">
        <f aca="false">'Agency Costs Reduction'!L25</f>
        <v>9633457.33878818</v>
      </c>
      <c r="G50" s="327" t="n">
        <f aca="false">'Interest Gain'!T25</f>
        <v>397473.267431914</v>
      </c>
      <c r="H50" s="328" t="n">
        <f aca="false">SUM(F50:G50)</f>
        <v>10030930.6062201</v>
      </c>
      <c r="I50" s="345" t="n">
        <f aca="false">H50/(1+Discount_Rate)^E50</f>
        <v>6885539.31723</v>
      </c>
      <c r="O50" s="324" t="n">
        <v>19</v>
      </c>
      <c r="P50" s="327" t="n">
        <f aca="false">C50</f>
        <v>0</v>
      </c>
      <c r="Q50" s="328" t="n">
        <f aca="false">I50</f>
        <v>6885539.31723</v>
      </c>
      <c r="R50" s="345" t="n">
        <f aca="false">Q50-P50</f>
        <v>6885539.31723</v>
      </c>
    </row>
    <row r="51" customFormat="false" ht="13" hidden="false" customHeight="false" outlineLevel="0" collapsed="false">
      <c r="A51" s="330" t="n">
        <v>20</v>
      </c>
      <c r="B51" s="333" t="n">
        <f aca="false">'Input-Detail'!AN34</f>
        <v>0</v>
      </c>
      <c r="C51" s="346" t="n">
        <f aca="false">B51/(1+Discount_Rate)^A51</f>
        <v>0</v>
      </c>
      <c r="E51" s="330" t="n">
        <v>20</v>
      </c>
      <c r="F51" s="333" t="n">
        <f aca="false">'Agency Costs Reduction'!L26</f>
        <v>10733274.7319855</v>
      </c>
      <c r="G51" s="333" t="n">
        <f aca="false">'Interest Gain'!T26</f>
        <v>426195</v>
      </c>
      <c r="H51" s="331" t="n">
        <f aca="false">SUM(F51:G51)</f>
        <v>11159469.7319855</v>
      </c>
      <c r="I51" s="346" t="n">
        <f aca="false">H51/(1+Discount_Rate)^E51</f>
        <v>7510003.22231332</v>
      </c>
      <c r="O51" s="330" t="n">
        <v>20</v>
      </c>
      <c r="P51" s="333" t="n">
        <f aca="false">C51</f>
        <v>0</v>
      </c>
      <c r="Q51" s="331" t="n">
        <f aca="false">I51</f>
        <v>7510003.22231332</v>
      </c>
      <c r="R51" s="346" t="n">
        <f aca="false">Q51-P51</f>
        <v>7510003.22231332</v>
      </c>
    </row>
    <row r="52" customFormat="false" ht="15" hidden="false" customHeight="false" outlineLevel="0" collapsed="false">
      <c r="E52" s="1" t="s">
        <v>298</v>
      </c>
      <c r="O52" s="347" t="s">
        <v>274</v>
      </c>
      <c r="P52" s="348" t="n">
        <f aca="false">SUM(P31:P51)</f>
        <v>6201165.9187535</v>
      </c>
      <c r="Q52" s="348" t="n">
        <f aca="false">SUM(Q31:Q51)</f>
        <v>65589981.0308938</v>
      </c>
      <c r="R52" s="352" t="n">
        <f aca="false">SUM(R31:R51)</f>
        <v>59388815.1121403</v>
      </c>
    </row>
    <row r="53" customFormat="false" ht="13" hidden="false" customHeight="false" outlineLevel="0" collapsed="false"/>
    <row r="54" customFormat="false" ht="13" hidden="false" customHeight="false" outlineLevel="0" collapsed="false">
      <c r="A54" s="341" t="s">
        <v>299</v>
      </c>
      <c r="E54" s="341" t="s">
        <v>300</v>
      </c>
      <c r="N54" s="353"/>
      <c r="O54" s="341" t="s">
        <v>301</v>
      </c>
    </row>
    <row r="55" customFormat="false" ht="13" hidden="false" customHeight="false" outlineLevel="0" collapsed="false">
      <c r="G55" s="343"/>
      <c r="M55" s="353"/>
      <c r="P55" s="343"/>
    </row>
    <row r="56" customFormat="false" ht="35" hidden="false" customHeight="false" outlineLevel="0" collapsed="false">
      <c r="A56" s="316" t="s">
        <v>96</v>
      </c>
      <c r="B56" s="319" t="s">
        <v>97</v>
      </c>
      <c r="C56" s="318" t="s">
        <v>302</v>
      </c>
      <c r="E56" s="316" t="s">
        <v>96</v>
      </c>
      <c r="F56" s="320" t="s">
        <v>283</v>
      </c>
      <c r="G56" s="321" t="s">
        <v>284</v>
      </c>
      <c r="H56" s="321" t="s">
        <v>271</v>
      </c>
      <c r="I56" s="321" t="s">
        <v>303</v>
      </c>
      <c r="J56" s="318" t="s">
        <v>297</v>
      </c>
      <c r="N56" s="353"/>
      <c r="O56" s="316" t="s">
        <v>96</v>
      </c>
      <c r="P56" s="319" t="s">
        <v>289</v>
      </c>
      <c r="Q56" s="344" t="s">
        <v>290</v>
      </c>
      <c r="R56" s="318" t="s">
        <v>263</v>
      </c>
    </row>
    <row r="57" customFormat="false" ht="13" hidden="false" customHeight="false" outlineLevel="0" collapsed="false">
      <c r="A57" s="324" t="s">
        <v>114</v>
      </c>
      <c r="B57" s="327" t="n">
        <v>0</v>
      </c>
      <c r="C57" s="345" t="n">
        <f aca="false">B57/(1+Discount_Rate)^0</f>
        <v>0</v>
      </c>
      <c r="E57" s="324" t="s">
        <v>114</v>
      </c>
      <c r="F57" s="327" t="n">
        <f aca="false">'Fuel &amp; Emission'!O6</f>
        <v>0</v>
      </c>
      <c r="G57" s="325" t="n">
        <f aca="false">'Time Value'!AH6</f>
        <v>0</v>
      </c>
      <c r="H57" s="325" t="n">
        <f aca="false">(-1)*'Interest Gain'!T6</f>
        <v>-0</v>
      </c>
      <c r="I57" s="325" t="n">
        <f aca="false">SUM(F57:H57)</f>
        <v>0</v>
      </c>
      <c r="J57" s="345" t="n">
        <f aca="false">I57/(1+Discount_Rate)^0</f>
        <v>0</v>
      </c>
      <c r="N57" s="353"/>
      <c r="O57" s="324" t="s">
        <v>114</v>
      </c>
      <c r="P57" s="327" t="n">
        <f aca="false">C57</f>
        <v>0</v>
      </c>
      <c r="Q57" s="325" t="n">
        <f aca="false">J57</f>
        <v>0</v>
      </c>
      <c r="R57" s="345" t="n">
        <f aca="false">Q57-P57</f>
        <v>0</v>
      </c>
    </row>
    <row r="58" customFormat="false" ht="12" hidden="false" customHeight="false" outlineLevel="0" collapsed="false">
      <c r="A58" s="324" t="n">
        <v>1</v>
      </c>
      <c r="B58" s="327" t="n">
        <v>0</v>
      </c>
      <c r="C58" s="345" t="n">
        <f aca="false">B58/(1+Discount_Rate)^A58</f>
        <v>0</v>
      </c>
      <c r="E58" s="324" t="n">
        <v>1</v>
      </c>
      <c r="F58" s="327" t="n">
        <f aca="false">'Fuel &amp; Emission'!O7</f>
        <v>8778.3528921858</v>
      </c>
      <c r="G58" s="328" t="n">
        <f aca="false">'Time Value'!AH7</f>
        <v>3338.50934576561</v>
      </c>
      <c r="H58" s="328" t="n">
        <f aca="false">(-1)*'Interest Gain'!T7</f>
        <v>-13897.7674319138</v>
      </c>
      <c r="I58" s="328" t="n">
        <f aca="false">SUM(F58:H58)</f>
        <v>-1780.90519396234</v>
      </c>
      <c r="J58" s="345" t="n">
        <f aca="false">I58/(1+Discount_Rate)^E58</f>
        <v>-1745.9854842768</v>
      </c>
      <c r="N58" s="353"/>
      <c r="O58" s="324" t="n">
        <v>1</v>
      </c>
      <c r="P58" s="327" t="n">
        <f aca="false">C58</f>
        <v>0</v>
      </c>
      <c r="Q58" s="328" t="n">
        <f aca="false">J58</f>
        <v>-1745.9854842768</v>
      </c>
      <c r="R58" s="345" t="n">
        <f aca="false">Q58-P58</f>
        <v>-1745.9854842768</v>
      </c>
    </row>
    <row r="59" customFormat="false" ht="12" hidden="false" customHeight="false" outlineLevel="0" collapsed="false">
      <c r="A59" s="324" t="n">
        <v>2</v>
      </c>
      <c r="B59" s="327" t="n">
        <v>0</v>
      </c>
      <c r="C59" s="345" t="n">
        <f aca="false">B59/(1+Discount_Rate)^A59</f>
        <v>0</v>
      </c>
      <c r="E59" s="324" t="n">
        <v>2</v>
      </c>
      <c r="F59" s="327" t="n">
        <f aca="false">'Fuel &amp; Emission'!O8</f>
        <v>18591.0004022237</v>
      </c>
      <c r="G59" s="328" t="n">
        <f aca="false">'Time Value'!AH8</f>
        <v>12508.8632255815</v>
      </c>
      <c r="H59" s="328" t="n">
        <f aca="false">(-1)*'Interest Gain'!T8</f>
        <v>-28575.743555205</v>
      </c>
      <c r="I59" s="328" t="n">
        <f aca="false">SUM(F59:H59)</f>
        <v>2524.12007260016</v>
      </c>
      <c r="J59" s="345" t="n">
        <f aca="false">I59/(1+Discount_Rate)^E59</f>
        <v>2426.10541387943</v>
      </c>
      <c r="N59" s="353"/>
      <c r="O59" s="324" t="n">
        <v>2</v>
      </c>
      <c r="P59" s="327" t="n">
        <f aca="false">C59</f>
        <v>0</v>
      </c>
      <c r="Q59" s="328" t="n">
        <f aca="false">J59</f>
        <v>2426.10541387943</v>
      </c>
      <c r="R59" s="345" t="n">
        <f aca="false">Q59-P59</f>
        <v>2426.10541387943</v>
      </c>
    </row>
    <row r="60" customFormat="false" ht="12" hidden="false" customHeight="false" outlineLevel="0" collapsed="false">
      <c r="A60" s="324" t="n">
        <v>3</v>
      </c>
      <c r="B60" s="327" t="n">
        <v>0</v>
      </c>
      <c r="C60" s="345" t="n">
        <f aca="false">B60/(1+Discount_Rate)^A60</f>
        <v>0</v>
      </c>
      <c r="E60" s="324" t="n">
        <v>3</v>
      </c>
      <c r="F60" s="327" t="n">
        <f aca="false">'Fuel &amp; Emission'!O9</f>
        <v>29507.3274929114</v>
      </c>
      <c r="G60" s="328" t="n">
        <f aca="false">'Time Value'!AH9</f>
        <v>21311.6978278562</v>
      </c>
      <c r="H60" s="328" t="n">
        <f aca="false">(-1)*'Interest Gain'!T9</f>
        <v>-44033.9283698738</v>
      </c>
      <c r="I60" s="328" t="n">
        <f aca="false">SUM(F60:H60)</f>
        <v>6785.09695089385</v>
      </c>
      <c r="J60" s="345" t="n">
        <f aca="false">I60/(1+Discount_Rate)^E60</f>
        <v>6393.74839889433</v>
      </c>
      <c r="N60" s="353"/>
      <c r="O60" s="324" t="n">
        <v>3</v>
      </c>
      <c r="P60" s="327" t="n">
        <f aca="false">C60</f>
        <v>0</v>
      </c>
      <c r="Q60" s="328" t="n">
        <f aca="false">J60</f>
        <v>6393.74839889433</v>
      </c>
      <c r="R60" s="345" t="n">
        <f aca="false">Q60-P60</f>
        <v>6393.74839889433</v>
      </c>
    </row>
    <row r="61" customFormat="false" ht="12" hidden="false" customHeight="false" outlineLevel="0" collapsed="false">
      <c r="A61" s="324" t="n">
        <v>4</v>
      </c>
      <c r="B61" s="327" t="n">
        <v>0</v>
      </c>
      <c r="C61" s="345" t="n">
        <f aca="false">B61/(1+Discount_Rate)^A61</f>
        <v>0</v>
      </c>
      <c r="E61" s="324" t="n">
        <v>4</v>
      </c>
      <c r="F61" s="327" t="n">
        <f aca="false">'Fuel &amp; Emission'!O10</f>
        <v>41600.4081937583</v>
      </c>
      <c r="G61" s="328" t="n">
        <f aca="false">'Time Value'!AH10</f>
        <v>28739.7170549807</v>
      </c>
      <c r="H61" s="328" t="n">
        <f aca="false">(-1)*'Interest Gain'!T10</f>
        <v>-60272.32187592</v>
      </c>
      <c r="I61" s="328" t="n">
        <f aca="false">SUM(F61:H61)</f>
        <v>10067.8033728191</v>
      </c>
      <c r="J61" s="345" t="n">
        <f aca="false">I61/(1+Discount_Rate)^E61</f>
        <v>9301.09409611321</v>
      </c>
      <c r="N61" s="353"/>
      <c r="O61" s="324" t="n">
        <v>4</v>
      </c>
      <c r="P61" s="327" t="n">
        <f aca="false">C61</f>
        <v>0</v>
      </c>
      <c r="Q61" s="328" t="n">
        <f aca="false">J61</f>
        <v>9301.09409611321</v>
      </c>
      <c r="R61" s="345" t="n">
        <f aca="false">Q61-P61</f>
        <v>9301.09409611321</v>
      </c>
    </row>
    <row r="62" customFormat="false" ht="12" hidden="false" customHeight="false" outlineLevel="0" collapsed="false">
      <c r="A62" s="324" t="n">
        <v>5</v>
      </c>
      <c r="B62" s="327" t="n">
        <v>0</v>
      </c>
      <c r="C62" s="345" t="n">
        <f aca="false">B62/(1+Discount_Rate)^A62</f>
        <v>0</v>
      </c>
      <c r="E62" s="324" t="n">
        <v>5</v>
      </c>
      <c r="F62" s="327" t="n">
        <f aca="false">'Fuel &amp; Emission'!O11</f>
        <v>54947.178203545</v>
      </c>
      <c r="G62" s="328" t="n">
        <f aca="false">'Time Value'!AH11</f>
        <v>37321.3491273707</v>
      </c>
      <c r="H62" s="328" t="n">
        <f aca="false">(-1)*'Interest Gain'!T11</f>
        <v>-77290.9240733438</v>
      </c>
      <c r="I62" s="328" t="n">
        <f aca="false">SUM(F62:H62)</f>
        <v>14977.6032575719</v>
      </c>
      <c r="J62" s="345" t="n">
        <f aca="false">I62/(1+Discount_Rate)^E62</f>
        <v>13565.6767277918</v>
      </c>
      <c r="N62" s="353"/>
      <c r="O62" s="324" t="n">
        <v>5</v>
      </c>
      <c r="P62" s="327" t="n">
        <f aca="false">C62</f>
        <v>0</v>
      </c>
      <c r="Q62" s="328" t="n">
        <f aca="false">J62</f>
        <v>13565.6767277918</v>
      </c>
      <c r="R62" s="345" t="n">
        <f aca="false">Q62-P62</f>
        <v>13565.6767277918</v>
      </c>
    </row>
    <row r="63" customFormat="false" ht="12" hidden="false" customHeight="false" outlineLevel="0" collapsed="false">
      <c r="A63" s="324" t="n">
        <v>6</v>
      </c>
      <c r="B63" s="327" t="n">
        <v>0</v>
      </c>
      <c r="C63" s="345" t="n">
        <f aca="false">B63/(1+Discount_Rate)^A63</f>
        <v>0</v>
      </c>
      <c r="E63" s="324" t="n">
        <v>6</v>
      </c>
      <c r="F63" s="327" t="n">
        <f aca="false">'Fuel &amp; Emission'!O12</f>
        <v>69628.614940026</v>
      </c>
      <c r="G63" s="328" t="n">
        <f aca="false">'Time Value'!AH12</f>
        <v>48069.036964709</v>
      </c>
      <c r="H63" s="328" t="n">
        <f aca="false">(-1)*'Interest Gain'!T12</f>
        <v>-95089.734962145</v>
      </c>
      <c r="I63" s="328" t="n">
        <f aca="false">SUM(F63:H63)</f>
        <v>22607.91694259</v>
      </c>
      <c r="J63" s="345" t="n">
        <f aca="false">I63/(1+Discount_Rate)^E63</f>
        <v>20075.1832558623</v>
      </c>
      <c r="N63" s="353"/>
      <c r="O63" s="324" t="n">
        <v>6</v>
      </c>
      <c r="P63" s="327" t="n">
        <f aca="false">C63</f>
        <v>0</v>
      </c>
      <c r="Q63" s="328" t="n">
        <f aca="false">J63</f>
        <v>20075.1832558623</v>
      </c>
      <c r="R63" s="345" t="n">
        <f aca="false">Q63-P63</f>
        <v>20075.1832558623</v>
      </c>
    </row>
    <row r="64" customFormat="false" ht="12" hidden="false" customHeight="false" outlineLevel="0" collapsed="false">
      <c r="A64" s="324" t="n">
        <v>7</v>
      </c>
      <c r="B64" s="327" t="n">
        <v>0</v>
      </c>
      <c r="C64" s="345" t="n">
        <f aca="false">B64/(1+Discount_Rate)^A64</f>
        <v>0</v>
      </c>
      <c r="E64" s="324" t="n">
        <v>7</v>
      </c>
      <c r="F64" s="327" t="n">
        <f aca="false">'Fuel &amp; Emission'!O13</f>
        <v>85729.9253405985</v>
      </c>
      <c r="G64" s="328" t="n">
        <f aca="false">'Time Value'!AH13</f>
        <v>57930.5936333229</v>
      </c>
      <c r="H64" s="328" t="n">
        <f aca="false">(-1)*'Interest Gain'!T13</f>
        <v>-113668.754542324</v>
      </c>
      <c r="I64" s="328" t="n">
        <f aca="false">SUM(F64:H64)</f>
        <v>29991.7644315976</v>
      </c>
      <c r="J64" s="345" t="n">
        <f aca="false">I64/(1+Discount_Rate)^E64</f>
        <v>26109.635800518</v>
      </c>
      <c r="N64" s="353"/>
      <c r="O64" s="324" t="n">
        <v>7</v>
      </c>
      <c r="P64" s="327" t="n">
        <f aca="false">C64</f>
        <v>0</v>
      </c>
      <c r="Q64" s="328" t="n">
        <f aca="false">J64</f>
        <v>26109.635800518</v>
      </c>
      <c r="R64" s="345" t="n">
        <f aca="false">Q64-P64</f>
        <v>26109.635800518</v>
      </c>
    </row>
    <row r="65" customFormat="false" ht="12" hidden="false" customHeight="false" outlineLevel="0" collapsed="false">
      <c r="A65" s="324" t="n">
        <v>8</v>
      </c>
      <c r="B65" s="327" t="n">
        <v>0</v>
      </c>
      <c r="C65" s="345" t="n">
        <f aca="false">B65/(1+Discount_Rate)^A65</f>
        <v>0</v>
      </c>
      <c r="E65" s="324" t="n">
        <v>8</v>
      </c>
      <c r="F65" s="327" t="n">
        <f aca="false">'Fuel &amp; Emission'!O14</f>
        <v>103340.741729654</v>
      </c>
      <c r="G65" s="328" t="n">
        <f aca="false">'Time Value'!AH14</f>
        <v>67937.56914436</v>
      </c>
      <c r="H65" s="328" t="n">
        <f aca="false">(-1)*'Interest Gain'!T14</f>
        <v>-133027.98281388</v>
      </c>
      <c r="I65" s="328" t="n">
        <f aca="false">SUM(F65:H65)</f>
        <v>38250.3280601337</v>
      </c>
      <c r="J65" s="345" t="n">
        <f aca="false">I65/(1+Discount_Rate)^E65</f>
        <v>32646.2866941871</v>
      </c>
      <c r="N65" s="353"/>
      <c r="O65" s="324" t="n">
        <v>8</v>
      </c>
      <c r="P65" s="327" t="n">
        <f aca="false">C65</f>
        <v>0</v>
      </c>
      <c r="Q65" s="328" t="n">
        <f aca="false">J65</f>
        <v>32646.2866941871</v>
      </c>
      <c r="R65" s="345" t="n">
        <f aca="false">Q65-P65</f>
        <v>32646.2866941871</v>
      </c>
    </row>
    <row r="66" customFormat="false" ht="12" hidden="false" customHeight="false" outlineLevel="0" collapsed="false">
      <c r="A66" s="324" t="n">
        <v>9</v>
      </c>
      <c r="B66" s="327" t="n">
        <v>0</v>
      </c>
      <c r="C66" s="345" t="n">
        <f aca="false">B66/(1+Discount_Rate)^A66</f>
        <v>0</v>
      </c>
      <c r="E66" s="324" t="n">
        <v>9</v>
      </c>
      <c r="F66" s="327" t="n">
        <f aca="false">'Fuel &amp; Emission'!O15</f>
        <v>122555.326080677</v>
      </c>
      <c r="G66" s="328" t="n">
        <f aca="false">'Time Value'!AH15</f>
        <v>79567.6114100935</v>
      </c>
      <c r="H66" s="328" t="n">
        <f aca="false">(-1)*'Interest Gain'!T15</f>
        <v>-153167.419776814</v>
      </c>
      <c r="I66" s="328" t="n">
        <f aca="false">SUM(F66:H66)</f>
        <v>48955.5177139566</v>
      </c>
      <c r="J66" s="345" t="n">
        <f aca="false">I66/(1+Discount_Rate)^E66</f>
        <v>40963.7872406754</v>
      </c>
      <c r="N66" s="353"/>
      <c r="O66" s="324" t="n">
        <v>9</v>
      </c>
      <c r="P66" s="327" t="n">
        <f aca="false">C66</f>
        <v>0</v>
      </c>
      <c r="Q66" s="328" t="n">
        <f aca="false">J66</f>
        <v>40963.7872406754</v>
      </c>
      <c r="R66" s="345" t="n">
        <f aca="false">Q66-P66</f>
        <v>40963.7872406754</v>
      </c>
    </row>
    <row r="67" customFormat="false" ht="12" hidden="false" customHeight="false" outlineLevel="0" collapsed="false">
      <c r="A67" s="324" t="n">
        <v>10</v>
      </c>
      <c r="B67" s="327" t="n">
        <v>0</v>
      </c>
      <c r="C67" s="345" t="n">
        <f aca="false">B67/(1+Discount_Rate)^A67</f>
        <v>0</v>
      </c>
      <c r="E67" s="324" t="n">
        <v>10</v>
      </c>
      <c r="F67" s="327" t="n">
        <f aca="false">'Fuel &amp; Emission'!O16</f>
        <v>143472.783013979</v>
      </c>
      <c r="G67" s="328" t="n">
        <f aca="false">'Time Value'!AH16</f>
        <v>90498.4513905315</v>
      </c>
      <c r="H67" s="328" t="n">
        <f aca="false">(-1)*'Interest Gain'!T16</f>
        <v>-174087.065431125</v>
      </c>
      <c r="I67" s="328" t="n">
        <f aca="false">SUM(F67:H67)</f>
        <v>59884.1689733856</v>
      </c>
      <c r="J67" s="345" t="n">
        <f aca="false">I67/(1+Discount_Rate)^E67</f>
        <v>49125.8762067534</v>
      </c>
      <c r="N67" s="353"/>
      <c r="O67" s="324" t="n">
        <v>10</v>
      </c>
      <c r="P67" s="327" t="n">
        <f aca="false">C67</f>
        <v>0</v>
      </c>
      <c r="Q67" s="328" t="n">
        <f aca="false">J67</f>
        <v>49125.8762067534</v>
      </c>
      <c r="R67" s="345" t="n">
        <f aca="false">Q67-P67</f>
        <v>49125.8762067534</v>
      </c>
    </row>
    <row r="68" customFormat="false" ht="12" hidden="false" customHeight="false" outlineLevel="0" collapsed="false">
      <c r="A68" s="324" t="n">
        <v>11</v>
      </c>
      <c r="B68" s="327" t="n">
        <v>0</v>
      </c>
      <c r="C68" s="345" t="n">
        <f aca="false">B68/(1+Discount_Rate)^A68</f>
        <v>0</v>
      </c>
      <c r="E68" s="324" t="n">
        <v>11</v>
      </c>
      <c r="F68" s="327" t="n">
        <f aca="false">'Fuel &amp; Emission'!O17</f>
        <v>166197.281884244</v>
      </c>
      <c r="G68" s="328" t="n">
        <f aca="false">'Time Value'!AH17</f>
        <v>102701.035630779</v>
      </c>
      <c r="H68" s="328" t="n">
        <f aca="false">(-1)*'Interest Gain'!T17</f>
        <v>-195786.919776814</v>
      </c>
      <c r="I68" s="328" t="n">
        <f aca="false">SUM(F68:H68)</f>
        <v>73111.3977382099</v>
      </c>
      <c r="J68" s="345" t="n">
        <f aca="false">I68/(1+Discount_Rate)^E68</f>
        <v>58800.7949372909</v>
      </c>
      <c r="N68" s="353"/>
      <c r="O68" s="324" t="n">
        <v>11</v>
      </c>
      <c r="P68" s="327" t="n">
        <f aca="false">C68</f>
        <v>0</v>
      </c>
      <c r="Q68" s="328" t="n">
        <f aca="false">J68</f>
        <v>58800.7949372909</v>
      </c>
      <c r="R68" s="345" t="n">
        <f aca="false">Q68-P68</f>
        <v>58800.7949372909</v>
      </c>
    </row>
    <row r="69" customFormat="false" ht="12" hidden="false" customHeight="false" outlineLevel="0" collapsed="false">
      <c r="A69" s="324" t="n">
        <v>12</v>
      </c>
      <c r="B69" s="327" t="n">
        <v>0</v>
      </c>
      <c r="C69" s="345" t="n">
        <f aca="false">B69/(1+Discount_Rate)^A69</f>
        <v>0</v>
      </c>
      <c r="E69" s="324" t="n">
        <v>12</v>
      </c>
      <c r="F69" s="327" t="n">
        <f aca="false">'Fuel &amp; Emission'!O18</f>
        <v>190838.288325883</v>
      </c>
      <c r="G69" s="328" t="n">
        <f aca="false">'Time Value'!AH18</f>
        <v>114855.050904767</v>
      </c>
      <c r="H69" s="328" t="n">
        <f aca="false">(-1)*'Interest Gain'!T18</f>
        <v>-218266.98281388</v>
      </c>
      <c r="I69" s="328" t="n">
        <f aca="false">SUM(F69:H69)</f>
        <v>87426.3564167703</v>
      </c>
      <c r="J69" s="345" t="n">
        <f aca="false">I69/(1+Discount_Rate)^E69</f>
        <v>68935.0854005929</v>
      </c>
      <c r="N69" s="353"/>
      <c r="O69" s="324" t="n">
        <v>12</v>
      </c>
      <c r="P69" s="327" t="n">
        <f aca="false">C69</f>
        <v>0</v>
      </c>
      <c r="Q69" s="328" t="n">
        <f aca="false">J69</f>
        <v>68935.0854005929</v>
      </c>
      <c r="R69" s="345" t="n">
        <f aca="false">Q69-P69</f>
        <v>68935.0854005929</v>
      </c>
    </row>
    <row r="70" customFormat="false" ht="12" hidden="false" customHeight="false" outlineLevel="0" collapsed="false">
      <c r="A70" s="324" t="n">
        <v>13</v>
      </c>
      <c r="B70" s="327" t="n">
        <v>0</v>
      </c>
      <c r="C70" s="345" t="n">
        <f aca="false">B70/(1+Discount_Rate)^A70</f>
        <v>0</v>
      </c>
      <c r="E70" s="324" t="n">
        <v>13</v>
      </c>
      <c r="F70" s="327" t="n">
        <f aca="false">'Fuel &amp; Emission'!O19</f>
        <v>217510.805638512</v>
      </c>
      <c r="G70" s="328" t="n">
        <f aca="false">'Time Value'!AH19</f>
        <v>127628.379046442</v>
      </c>
      <c r="H70" s="328" t="n">
        <f aca="false">(-1)*'Interest Gain'!T19</f>
        <v>-241527.254542324</v>
      </c>
      <c r="I70" s="328" t="n">
        <f aca="false">SUM(F70:H70)</f>
        <v>103611.930142629</v>
      </c>
      <c r="J70" s="345" t="n">
        <f aca="false">I70/(1+Discount_Rate)^E70</f>
        <v>80095.3919865751</v>
      </c>
      <c r="N70" s="353"/>
      <c r="O70" s="324" t="n">
        <v>13</v>
      </c>
      <c r="P70" s="327" t="n">
        <f aca="false">C70</f>
        <v>0</v>
      </c>
      <c r="Q70" s="328" t="n">
        <f aca="false">J70</f>
        <v>80095.3919865751</v>
      </c>
      <c r="R70" s="345" t="n">
        <f aca="false">Q70-P70</f>
        <v>80095.3919865751</v>
      </c>
    </row>
    <row r="71" customFormat="false" ht="12" hidden="false" customHeight="false" outlineLevel="0" collapsed="false">
      <c r="A71" s="324" t="n">
        <v>14</v>
      </c>
      <c r="B71" s="327" t="n">
        <v>0</v>
      </c>
      <c r="C71" s="345" t="n">
        <f aca="false">B71/(1+Discount_Rate)^A71</f>
        <v>0</v>
      </c>
      <c r="E71" s="324" t="n">
        <v>14</v>
      </c>
      <c r="F71" s="327" t="n">
        <f aca="false">'Fuel &amp; Emission'!O20</f>
        <v>246335.626409737</v>
      </c>
      <c r="G71" s="328" t="n">
        <f aca="false">'Time Value'!AH20</f>
        <v>140611.000693078</v>
      </c>
      <c r="H71" s="328" t="n">
        <f aca="false">(-1)*'Interest Gain'!T20</f>
        <v>-265567.734962145</v>
      </c>
      <c r="I71" s="328" t="n">
        <f aca="false">SUM(F71:H71)</f>
        <v>121378.89214067</v>
      </c>
      <c r="J71" s="345" t="n">
        <f aca="false">I71/(1+Discount_Rate)^E71</f>
        <v>91990.0308656095</v>
      </c>
      <c r="N71" s="353"/>
      <c r="O71" s="324" t="n">
        <v>14</v>
      </c>
      <c r="P71" s="327" t="n">
        <f aca="false">C71</f>
        <v>0</v>
      </c>
      <c r="Q71" s="328" t="n">
        <f aca="false">J71</f>
        <v>91990.0308656095</v>
      </c>
      <c r="R71" s="345" t="n">
        <f aca="false">Q71-P71</f>
        <v>91990.0308656095</v>
      </c>
    </row>
    <row r="72" customFormat="false" ht="12" hidden="false" customHeight="false" outlineLevel="0" collapsed="false">
      <c r="A72" s="324" t="n">
        <v>15</v>
      </c>
      <c r="B72" s="327" t="n">
        <v>0</v>
      </c>
      <c r="C72" s="345" t="n">
        <f aca="false">B72/(1+Discount_Rate)^A72</f>
        <v>0</v>
      </c>
      <c r="E72" s="324" t="n">
        <v>15</v>
      </c>
      <c r="F72" s="327" t="n">
        <f aca="false">'Fuel &amp; Emission'!O21</f>
        <v>277439.594787873</v>
      </c>
      <c r="G72" s="328" t="n">
        <f aca="false">'Time Value'!AH21</f>
        <v>154235.969023905</v>
      </c>
      <c r="H72" s="328" t="n">
        <f aca="false">(-1)*'Interest Gain'!T21</f>
        <v>-290388.424073344</v>
      </c>
      <c r="I72" s="328" t="n">
        <f aca="false">SUM(F72:H72)</f>
        <v>141287.139738434</v>
      </c>
      <c r="J72" s="345" t="n">
        <f aca="false">I72/(1+Discount_Rate)^E72</f>
        <v>104978.425983603</v>
      </c>
      <c r="N72" s="353"/>
      <c r="O72" s="324" t="n">
        <v>15</v>
      </c>
      <c r="P72" s="327" t="n">
        <f aca="false">C72</f>
        <v>0</v>
      </c>
      <c r="Q72" s="328" t="n">
        <f aca="false">J72</f>
        <v>104978.425983603</v>
      </c>
      <c r="R72" s="345" t="n">
        <f aca="false">Q72-P72</f>
        <v>104978.425983603</v>
      </c>
    </row>
    <row r="73" customFormat="false" ht="12" hidden="false" customHeight="false" outlineLevel="0" collapsed="false">
      <c r="A73" s="324" t="n">
        <v>16</v>
      </c>
      <c r="B73" s="327" t="n">
        <v>0</v>
      </c>
      <c r="C73" s="345" t="n">
        <f aca="false">B73/(1+Discount_Rate)^A73</f>
        <v>0</v>
      </c>
      <c r="E73" s="324" t="n">
        <v>16</v>
      </c>
      <c r="F73" s="327" t="n">
        <f aca="false">'Fuel &amp; Emission'!O22</f>
        <v>310955.879833212</v>
      </c>
      <c r="G73" s="328" t="n">
        <f aca="false">'Time Value'!AH22</f>
        <v>168107.017965101</v>
      </c>
      <c r="H73" s="328" t="n">
        <f aca="false">(-1)*'Interest Gain'!T22</f>
        <v>-315989.32187592</v>
      </c>
      <c r="I73" s="328" t="n">
        <f aca="false">SUM(F73:H73)</f>
        <v>163073.575922392</v>
      </c>
      <c r="J73" s="345" t="n">
        <f aca="false">I73/(1+Discount_Rate)^E73</f>
        <v>118790.263708077</v>
      </c>
      <c r="N73" s="353"/>
      <c r="O73" s="324" t="n">
        <v>16</v>
      </c>
      <c r="P73" s="327" t="n">
        <f aca="false">C73</f>
        <v>0</v>
      </c>
      <c r="Q73" s="328" t="n">
        <f aca="false">J73</f>
        <v>118790.263708077</v>
      </c>
      <c r="R73" s="345" t="n">
        <f aca="false">Q73-P73</f>
        <v>118790.263708077</v>
      </c>
    </row>
    <row r="74" customFormat="false" ht="12" hidden="false" customHeight="false" outlineLevel="0" collapsed="false">
      <c r="A74" s="324" t="n">
        <v>17</v>
      </c>
      <c r="B74" s="327" t="n">
        <v>0</v>
      </c>
      <c r="C74" s="345" t="n">
        <f aca="false">B74/(1+Discount_Rate)^A74</f>
        <v>0</v>
      </c>
      <c r="E74" s="324" t="n">
        <v>17</v>
      </c>
      <c r="F74" s="327" t="n">
        <f aca="false">'Fuel &amp; Emission'!O23</f>
        <v>347024.260393094</v>
      </c>
      <c r="G74" s="328" t="n">
        <f aca="false">'Time Value'!AH23</f>
        <v>182409.452853501</v>
      </c>
      <c r="H74" s="328" t="n">
        <f aca="false">(-1)*'Interest Gain'!T23</f>
        <v>-342370.428369874</v>
      </c>
      <c r="I74" s="328" t="n">
        <f aca="false">SUM(F74:H74)</f>
        <v>187063.284876721</v>
      </c>
      <c r="J74" s="345" t="n">
        <f aca="false">I74/(1+Discount_Rate)^E74</f>
        <v>133593.594870668</v>
      </c>
      <c r="N74" s="353"/>
      <c r="O74" s="324" t="n">
        <v>17</v>
      </c>
      <c r="P74" s="327" t="n">
        <f aca="false">C74</f>
        <v>0</v>
      </c>
      <c r="Q74" s="328" t="n">
        <f aca="false">J74</f>
        <v>133593.594870668</v>
      </c>
      <c r="R74" s="345" t="n">
        <f aca="false">Q74-P74</f>
        <v>133593.594870668</v>
      </c>
    </row>
    <row r="75" customFormat="false" ht="12" hidden="false" customHeight="false" outlineLevel="0" collapsed="false">
      <c r="A75" s="324" t="n">
        <v>18</v>
      </c>
      <c r="B75" s="327" t="n">
        <v>0</v>
      </c>
      <c r="C75" s="345" t="n">
        <f aca="false">B75/(1+Discount_Rate)^A75</f>
        <v>0</v>
      </c>
      <c r="E75" s="324" t="n">
        <v>18</v>
      </c>
      <c r="F75" s="327" t="n">
        <f aca="false">'Fuel &amp; Emission'!O24</f>
        <v>385791.421963266</v>
      </c>
      <c r="G75" s="328" t="n">
        <f aca="false">'Time Value'!AH24</f>
        <v>197193.781724502</v>
      </c>
      <c r="H75" s="328" t="n">
        <f aca="false">(-1)*'Interest Gain'!T24</f>
        <v>-369531.743555205</v>
      </c>
      <c r="I75" s="328" t="n">
        <f aca="false">SUM(F75:H75)</f>
        <v>213453.460132562</v>
      </c>
      <c r="J75" s="345" t="n">
        <f aca="false">I75/(1+Discount_Rate)^E75</f>
        <v>149451.441230664</v>
      </c>
      <c r="N75" s="353"/>
      <c r="O75" s="324" t="n">
        <v>18</v>
      </c>
      <c r="P75" s="327" t="n">
        <f aca="false">C75</f>
        <v>0</v>
      </c>
      <c r="Q75" s="328" t="n">
        <f aca="false">J75</f>
        <v>149451.441230664</v>
      </c>
      <c r="R75" s="345" t="n">
        <f aca="false">Q75-P75</f>
        <v>149451.441230664</v>
      </c>
    </row>
    <row r="76" customFormat="false" ht="12" hidden="false" customHeight="false" outlineLevel="0" collapsed="false">
      <c r="A76" s="324" t="n">
        <v>19</v>
      </c>
      <c r="B76" s="327" t="n">
        <v>0</v>
      </c>
      <c r="C76" s="345" t="n">
        <f aca="false">B76/(1+Discount_Rate)^A76</f>
        <v>0</v>
      </c>
      <c r="E76" s="324" t="n">
        <v>19</v>
      </c>
      <c r="F76" s="327" t="n">
        <f aca="false">'Fuel &amp; Emission'!O25</f>
        <v>427411.266015896</v>
      </c>
      <c r="G76" s="328" t="n">
        <f aca="false">'Time Value'!AH25</f>
        <v>212358.500441717</v>
      </c>
      <c r="H76" s="328" t="n">
        <f aca="false">(-1)*'Interest Gain'!T25</f>
        <v>-397473.267431914</v>
      </c>
      <c r="I76" s="328" t="n">
        <f aca="false">SUM(F76:H76)</f>
        <v>242296.4990257</v>
      </c>
      <c r="J76" s="345" t="n">
        <f aca="false">I76/(1+Discount_Rate)^E76</f>
        <v>166319.769915875</v>
      </c>
      <c r="N76" s="353"/>
      <c r="O76" s="324" t="n">
        <v>19</v>
      </c>
      <c r="P76" s="327" t="n">
        <f aca="false">C76</f>
        <v>0</v>
      </c>
      <c r="Q76" s="328" t="n">
        <f aca="false">J76</f>
        <v>166319.769915875</v>
      </c>
      <c r="R76" s="345" t="n">
        <f aca="false">Q76-P76</f>
        <v>166319.769915875</v>
      </c>
    </row>
    <row r="77" customFormat="false" ht="13" hidden="false" customHeight="false" outlineLevel="0" collapsed="false">
      <c r="A77" s="330" t="n">
        <v>20</v>
      </c>
      <c r="B77" s="333" t="n">
        <v>0</v>
      </c>
      <c r="C77" s="346" t="n">
        <f aca="false">B77/(1+Discount_Rate)^A77</f>
        <v>0</v>
      </c>
      <c r="E77" s="330" t="n">
        <v>20</v>
      </c>
      <c r="F77" s="333" t="n">
        <f aca="false">'Fuel &amp; Emission'!O26</f>
        <v>472045.232293198</v>
      </c>
      <c r="G77" s="331" t="n">
        <f aca="false">'Time Value'!AH26</f>
        <v>228009.630637937</v>
      </c>
      <c r="H77" s="331" t="n">
        <f aca="false">(-1)*'Interest Gain'!T26</f>
        <v>-426195</v>
      </c>
      <c r="I77" s="331" t="n">
        <f aca="false">SUM(F77:H77)</f>
        <v>273859.862931135</v>
      </c>
      <c r="J77" s="346" t="n">
        <f aca="false">I77/(1+Discount_Rate)^E77</f>
        <v>184299.837041556</v>
      </c>
      <c r="N77" s="353"/>
      <c r="O77" s="330" t="n">
        <v>20</v>
      </c>
      <c r="P77" s="333" t="n">
        <f aca="false">C77</f>
        <v>0</v>
      </c>
      <c r="Q77" s="331" t="n">
        <f aca="false">J77</f>
        <v>184299.837041556</v>
      </c>
      <c r="R77" s="346" t="n">
        <f aca="false">Q77-P77</f>
        <v>184299.837041556</v>
      </c>
    </row>
    <row r="78" customFormat="false" ht="14" hidden="false" customHeight="false" outlineLevel="0" collapsed="false">
      <c r="N78" s="353"/>
      <c r="O78" s="347" t="s">
        <v>274</v>
      </c>
      <c r="P78" s="348" t="n">
        <f aca="false">SUM(P57:P77)</f>
        <v>0</v>
      </c>
      <c r="Q78" s="348" t="n">
        <f aca="false">SUM(Q57:Q77)</f>
        <v>1356116.04429091</v>
      </c>
      <c r="R78" s="352" t="n">
        <f aca="false">SUM(R57:R77)</f>
        <v>1356116.04429091</v>
      </c>
    </row>
    <row r="79" customFormat="false" ht="13" hidden="false" customHeight="false" outlineLevel="0" collapsed="false">
      <c r="M79" s="353"/>
    </row>
    <row r="80" customFormat="false" ht="13" hidden="false" customHeight="false" outlineLevel="0" collapsed="false">
      <c r="A80" s="341" t="s">
        <v>304</v>
      </c>
      <c r="E80" s="341" t="s">
        <v>305</v>
      </c>
      <c r="N80" s="353"/>
      <c r="O80" s="341" t="s">
        <v>306</v>
      </c>
    </row>
    <row r="81" customFormat="false" ht="13" hidden="false" customHeight="false" outlineLevel="0" collapsed="false">
      <c r="G81" s="343"/>
      <c r="N81" s="353"/>
      <c r="Q81" s="343"/>
    </row>
    <row r="82" customFormat="false" ht="24" hidden="false" customHeight="false" outlineLevel="0" collapsed="false">
      <c r="A82" s="316" t="s">
        <v>96</v>
      </c>
      <c r="B82" s="319" t="s">
        <v>97</v>
      </c>
      <c r="C82" s="318" t="s">
        <v>282</v>
      </c>
      <c r="E82" s="316" t="s">
        <v>96</v>
      </c>
      <c r="F82" s="320" t="s">
        <v>307</v>
      </c>
      <c r="G82" s="321" t="s">
        <v>303</v>
      </c>
      <c r="H82" s="318" t="s">
        <v>290</v>
      </c>
      <c r="N82" s="353"/>
      <c r="O82" s="316" t="s">
        <v>96</v>
      </c>
      <c r="P82" s="319" t="s">
        <v>289</v>
      </c>
      <c r="Q82" s="344" t="s">
        <v>290</v>
      </c>
      <c r="R82" s="318" t="s">
        <v>263</v>
      </c>
    </row>
    <row r="83" customFormat="false" ht="13" hidden="false" customHeight="false" outlineLevel="0" collapsed="false">
      <c r="A83" s="324" t="s">
        <v>114</v>
      </c>
      <c r="B83" s="327" t="n">
        <f aca="false">0</f>
        <v>0</v>
      </c>
      <c r="C83" s="345" t="n">
        <f aca="false">B83/(1+Discount_Rate)^0</f>
        <v>0</v>
      </c>
      <c r="E83" s="324" t="s">
        <v>114</v>
      </c>
      <c r="F83" s="327" t="n">
        <f aca="false">'Fuel &amp; Emission'!N6</f>
        <v>0</v>
      </c>
      <c r="G83" s="325" t="n">
        <f aca="false">SUM(F83)</f>
        <v>0</v>
      </c>
      <c r="H83" s="345" t="n">
        <f aca="false">G83/(1+Discount_Rate)^0</f>
        <v>0</v>
      </c>
      <c r="N83" s="353"/>
      <c r="O83" s="324" t="s">
        <v>114</v>
      </c>
      <c r="P83" s="327" t="n">
        <f aca="false">C83</f>
        <v>0</v>
      </c>
      <c r="Q83" s="325" t="n">
        <f aca="false">H83</f>
        <v>0</v>
      </c>
      <c r="R83" s="345" t="n">
        <f aca="false">Q83-P83</f>
        <v>0</v>
      </c>
    </row>
    <row r="84" customFormat="false" ht="12" hidden="false" customHeight="false" outlineLevel="0" collapsed="false">
      <c r="A84" s="324" t="n">
        <v>1</v>
      </c>
      <c r="B84" s="327" t="n">
        <f aca="false">0</f>
        <v>0</v>
      </c>
      <c r="C84" s="345" t="n">
        <f aca="false">B84/(1+Discount_Rate)^A84</f>
        <v>0</v>
      </c>
      <c r="E84" s="324" t="n">
        <v>1</v>
      </c>
      <c r="F84" s="327" t="n">
        <f aca="false">'Fuel &amp; Emission'!N7</f>
        <v>311.092715241472</v>
      </c>
      <c r="G84" s="328" t="n">
        <f aca="false">SUM(F84)</f>
        <v>311.092715241472</v>
      </c>
      <c r="H84" s="345" t="n">
        <f aca="false">G84/(1+Discount_Rate)^E84</f>
        <v>304.992858079875</v>
      </c>
      <c r="N84" s="353"/>
      <c r="O84" s="324" t="n">
        <v>1</v>
      </c>
      <c r="P84" s="327" t="n">
        <f aca="false">C84</f>
        <v>0</v>
      </c>
      <c r="Q84" s="328" t="n">
        <f aca="false">H84</f>
        <v>304.992858079875</v>
      </c>
      <c r="R84" s="345" t="n">
        <f aca="false">Q84-P84</f>
        <v>304.992858079875</v>
      </c>
    </row>
    <row r="85" customFormat="false" ht="12" hidden="false" customHeight="false" outlineLevel="0" collapsed="false">
      <c r="A85" s="324" t="n">
        <v>2</v>
      </c>
      <c r="B85" s="327" t="n">
        <f aca="false">0</f>
        <v>0</v>
      </c>
      <c r="C85" s="345" t="n">
        <f aca="false">B85/(1+Discount_Rate)^A85</f>
        <v>0</v>
      </c>
      <c r="E85" s="324" t="n">
        <v>2</v>
      </c>
      <c r="F85" s="327" t="n">
        <f aca="false">'Fuel &amp; Emission'!N8</f>
        <v>733.212462317843</v>
      </c>
      <c r="G85" s="328" t="n">
        <f aca="false">SUM(F85)</f>
        <v>733.212462317843</v>
      </c>
      <c r="H85" s="345" t="n">
        <f aca="false">G85/(1+Discount_Rate)^E85</f>
        <v>704.740928794543</v>
      </c>
      <c r="N85" s="353"/>
      <c r="O85" s="324" t="n">
        <v>2</v>
      </c>
      <c r="P85" s="327" t="n">
        <f aca="false">C85</f>
        <v>0</v>
      </c>
      <c r="Q85" s="328" t="n">
        <f aca="false">H85</f>
        <v>704.740928794543</v>
      </c>
      <c r="R85" s="345" t="n">
        <f aca="false">Q85-P85</f>
        <v>704.740928794543</v>
      </c>
    </row>
    <row r="86" customFormat="false" ht="12" hidden="false" customHeight="false" outlineLevel="0" collapsed="false">
      <c r="A86" s="324" t="n">
        <v>3</v>
      </c>
      <c r="B86" s="327" t="n">
        <f aca="false">0</f>
        <v>0</v>
      </c>
      <c r="C86" s="345" t="n">
        <f aca="false">B86/(1+Discount_Rate)^A86</f>
        <v>0</v>
      </c>
      <c r="E86" s="324" t="n">
        <v>3</v>
      </c>
      <c r="F86" s="327" t="n">
        <f aca="false">'Fuel &amp; Emission'!N9</f>
        <v>1191.37600799382</v>
      </c>
      <c r="G86" s="328" t="n">
        <f aca="false">SUM(F86)</f>
        <v>1191.37600799382</v>
      </c>
      <c r="H86" s="345" t="n">
        <f aca="false">G86/(1+Discount_Rate)^E86</f>
        <v>1122.66022117607</v>
      </c>
      <c r="N86" s="353"/>
      <c r="O86" s="324" t="n">
        <v>3</v>
      </c>
      <c r="P86" s="327" t="n">
        <f aca="false">C86</f>
        <v>0</v>
      </c>
      <c r="Q86" s="328" t="n">
        <f aca="false">H86</f>
        <v>1122.66022117607</v>
      </c>
      <c r="R86" s="345" t="n">
        <f aca="false">Q86-P86</f>
        <v>1122.66022117607</v>
      </c>
    </row>
    <row r="87" customFormat="false" ht="12" hidden="false" customHeight="false" outlineLevel="0" collapsed="false">
      <c r="A87" s="324" t="n">
        <v>4</v>
      </c>
      <c r="B87" s="327" t="n">
        <f aca="false">0</f>
        <v>0</v>
      </c>
      <c r="C87" s="345" t="n">
        <f aca="false">B87/(1+Discount_Rate)^A87</f>
        <v>0</v>
      </c>
      <c r="E87" s="324" t="n">
        <v>4</v>
      </c>
      <c r="F87" s="327" t="n">
        <f aca="false">'Fuel &amp; Emission'!N10</f>
        <v>1673.61516007842</v>
      </c>
      <c r="G87" s="328" t="n">
        <f aca="false">SUM(F87)</f>
        <v>1673.61516007842</v>
      </c>
      <c r="H87" s="345" t="n">
        <f aca="false">G87/(1+Discount_Rate)^E87</f>
        <v>1546.16171056708</v>
      </c>
      <c r="N87" s="353"/>
      <c r="O87" s="324" t="n">
        <v>4</v>
      </c>
      <c r="P87" s="327" t="n">
        <f aca="false">C87</f>
        <v>0</v>
      </c>
      <c r="Q87" s="328" t="n">
        <f aca="false">H87</f>
        <v>1546.16171056708</v>
      </c>
      <c r="R87" s="345" t="n">
        <f aca="false">Q87-P87</f>
        <v>1546.16171056708</v>
      </c>
    </row>
    <row r="88" customFormat="false" ht="12" hidden="false" customHeight="false" outlineLevel="0" collapsed="false">
      <c r="A88" s="324" t="n">
        <v>5</v>
      </c>
      <c r="B88" s="327" t="n">
        <f aca="false">0</f>
        <v>0</v>
      </c>
      <c r="C88" s="345" t="n">
        <f aca="false">B88/(1+Discount_Rate)^A88</f>
        <v>0</v>
      </c>
      <c r="E88" s="324" t="n">
        <v>5</v>
      </c>
      <c r="F88" s="327" t="n">
        <f aca="false">'Fuel &amp; Emission'!N11</f>
        <v>2217.28425306701</v>
      </c>
      <c r="G88" s="328" t="n">
        <f aca="false">SUM(F88)</f>
        <v>2217.28425306701</v>
      </c>
      <c r="H88" s="345" t="n">
        <f aca="false">G88/(1+Discount_Rate)^E88</f>
        <v>2008.2626621535</v>
      </c>
      <c r="N88" s="353"/>
      <c r="O88" s="324" t="n">
        <v>5</v>
      </c>
      <c r="P88" s="327" t="n">
        <f aca="false">C88</f>
        <v>0</v>
      </c>
      <c r="Q88" s="328" t="n">
        <f aca="false">H88</f>
        <v>2008.2626621535</v>
      </c>
      <c r="R88" s="345" t="n">
        <f aca="false">Q88-P88</f>
        <v>2008.2626621535</v>
      </c>
    </row>
    <row r="89" customFormat="false" ht="12" hidden="false" customHeight="false" outlineLevel="0" collapsed="false">
      <c r="A89" s="324" t="n">
        <v>6</v>
      </c>
      <c r="B89" s="327" t="n">
        <f aca="false">0</f>
        <v>0</v>
      </c>
      <c r="C89" s="345" t="n">
        <f aca="false">B89/(1+Discount_Rate)^A89</f>
        <v>0</v>
      </c>
      <c r="E89" s="324" t="n">
        <v>6</v>
      </c>
      <c r="F89" s="327" t="n">
        <f aca="false">'Fuel &amp; Emission'!N12</f>
        <v>2841.65676271597</v>
      </c>
      <c r="G89" s="328" t="n">
        <f aca="false">SUM(F89)</f>
        <v>2841.65676271597</v>
      </c>
      <c r="H89" s="345" t="n">
        <f aca="false">G89/(1+Discount_Rate)^E89</f>
        <v>2523.30988328764</v>
      </c>
      <c r="N89" s="353"/>
      <c r="O89" s="324" t="n">
        <v>6</v>
      </c>
      <c r="P89" s="327" t="n">
        <f aca="false">C89</f>
        <v>0</v>
      </c>
      <c r="Q89" s="328" t="n">
        <f aca="false">H89</f>
        <v>2523.30988328764</v>
      </c>
      <c r="R89" s="345" t="n">
        <f aca="false">Q89-P89</f>
        <v>2523.30988328764</v>
      </c>
    </row>
    <row r="90" customFormat="false" ht="12" hidden="false" customHeight="false" outlineLevel="0" collapsed="false">
      <c r="A90" s="324" t="n">
        <v>7</v>
      </c>
      <c r="B90" s="327" t="n">
        <f aca="false">0</f>
        <v>0</v>
      </c>
      <c r="C90" s="345" t="n">
        <f aca="false">B90/(1+Discount_Rate)^A90</f>
        <v>0</v>
      </c>
      <c r="E90" s="324" t="n">
        <v>7</v>
      </c>
      <c r="F90" s="327" t="n">
        <f aca="false">'Fuel &amp; Emission'!N13</f>
        <v>3505.95102020192</v>
      </c>
      <c r="G90" s="328" t="n">
        <f aca="false">SUM(F90)</f>
        <v>3505.95102020192</v>
      </c>
      <c r="H90" s="345" t="n">
        <f aca="false">G90/(1+Discount_Rate)^E90</f>
        <v>3052.14134635861</v>
      </c>
      <c r="N90" s="353"/>
      <c r="O90" s="324" t="n">
        <v>7</v>
      </c>
      <c r="P90" s="327" t="n">
        <f aca="false">C90</f>
        <v>0</v>
      </c>
      <c r="Q90" s="328" t="n">
        <f aca="false">H90</f>
        <v>3052.14134635861</v>
      </c>
      <c r="R90" s="345" t="n">
        <f aca="false">Q90-P90</f>
        <v>3052.14134635861</v>
      </c>
    </row>
    <row r="91" customFormat="false" ht="12" hidden="false" customHeight="false" outlineLevel="0" collapsed="false">
      <c r="A91" s="324" t="n">
        <v>8</v>
      </c>
      <c r="B91" s="327" t="n">
        <f aca="false">0</f>
        <v>0</v>
      </c>
      <c r="C91" s="345" t="n">
        <f aca="false">B91/(1+Discount_Rate)^A91</f>
        <v>0</v>
      </c>
      <c r="E91" s="324" t="n">
        <v>8</v>
      </c>
      <c r="F91" s="327" t="n">
        <f aca="false">'Fuel &amp; Emission'!N14</f>
        <v>4228.36371343834</v>
      </c>
      <c r="G91" s="328" t="n">
        <f aca="false">SUM(F91)</f>
        <v>4228.36371343834</v>
      </c>
      <c r="H91" s="345" t="n">
        <f aca="false">G91/(1+Discount_Rate)^E91</f>
        <v>3608.86771530929</v>
      </c>
      <c r="N91" s="353"/>
      <c r="O91" s="324" t="n">
        <v>8</v>
      </c>
      <c r="P91" s="327" t="n">
        <f aca="false">C91</f>
        <v>0</v>
      </c>
      <c r="Q91" s="328" t="n">
        <f aca="false">H91</f>
        <v>3608.86771530929</v>
      </c>
      <c r="R91" s="345" t="n">
        <f aca="false">Q91-P91</f>
        <v>3608.86771530929</v>
      </c>
    </row>
    <row r="92" customFormat="false" ht="12" hidden="false" customHeight="false" outlineLevel="0" collapsed="false">
      <c r="A92" s="324" t="n">
        <v>9</v>
      </c>
      <c r="B92" s="327" t="n">
        <f aca="false">0</f>
        <v>0</v>
      </c>
      <c r="C92" s="345" t="n">
        <f aca="false">B92/(1+Discount_Rate)^A92</f>
        <v>0</v>
      </c>
      <c r="E92" s="324" t="n">
        <v>9</v>
      </c>
      <c r="F92" s="327" t="n">
        <f aca="false">'Fuel &amp; Emission'!N15</f>
        <v>5036.35433438891</v>
      </c>
      <c r="G92" s="328" t="n">
        <f aca="false">SUM(F92)</f>
        <v>5036.35433438891</v>
      </c>
      <c r="H92" s="345" t="n">
        <f aca="false">G92/(1+Discount_Rate)^E92</f>
        <v>4214.1960101005</v>
      </c>
      <c r="N92" s="353"/>
      <c r="O92" s="324" t="n">
        <v>9</v>
      </c>
      <c r="P92" s="327" t="n">
        <f aca="false">C92</f>
        <v>0</v>
      </c>
      <c r="Q92" s="328" t="n">
        <f aca="false">H92</f>
        <v>4214.1960101005</v>
      </c>
      <c r="R92" s="345" t="n">
        <f aca="false">Q92-P92</f>
        <v>4214.1960101005</v>
      </c>
    </row>
    <row r="93" customFormat="false" ht="12" hidden="false" customHeight="false" outlineLevel="0" collapsed="false">
      <c r="A93" s="324" t="n">
        <v>10</v>
      </c>
      <c r="B93" s="327" t="n">
        <f aca="false">0</f>
        <v>0</v>
      </c>
      <c r="C93" s="345" t="n">
        <f aca="false">B93/(1+Discount_Rate)^A93</f>
        <v>0</v>
      </c>
      <c r="E93" s="324" t="n">
        <v>10</v>
      </c>
      <c r="F93" s="327" t="n">
        <f aca="false">'Fuel &amp; Emission'!N16</f>
        <v>5897.00702528462</v>
      </c>
      <c r="G93" s="328" t="n">
        <f aca="false">SUM(F93)</f>
        <v>5897.00702528462</v>
      </c>
      <c r="H93" s="345" t="n">
        <f aca="false">G93/(1+Discount_Rate)^E93</f>
        <v>4837.59968754408</v>
      </c>
      <c r="N93" s="353"/>
      <c r="O93" s="324" t="n">
        <v>10</v>
      </c>
      <c r="P93" s="327" t="n">
        <f aca="false">C93</f>
        <v>0</v>
      </c>
      <c r="Q93" s="328" t="n">
        <f aca="false">H93</f>
        <v>4837.59968754408</v>
      </c>
      <c r="R93" s="345" t="n">
        <f aca="false">Q93-P93</f>
        <v>4837.59968754408</v>
      </c>
    </row>
    <row r="94" customFormat="false" ht="12" hidden="false" customHeight="false" outlineLevel="0" collapsed="false">
      <c r="A94" s="324" t="n">
        <v>11</v>
      </c>
      <c r="B94" s="327" t="n">
        <f aca="false">0</f>
        <v>0</v>
      </c>
      <c r="C94" s="345" t="n">
        <f aca="false">B94/(1+Discount_Rate)^A94</f>
        <v>0</v>
      </c>
      <c r="E94" s="324" t="n">
        <v>11</v>
      </c>
      <c r="F94" s="327" t="n">
        <f aca="false">'Fuel &amp; Emission'!N17</f>
        <v>6846.87884055103</v>
      </c>
      <c r="G94" s="328" t="n">
        <f aca="false">SUM(F94)</f>
        <v>6846.87884055103</v>
      </c>
      <c r="H94" s="345" t="n">
        <f aca="false">G94/(1+Discount_Rate)^E94</f>
        <v>5506.69158460511</v>
      </c>
      <c r="N94" s="353"/>
      <c r="O94" s="324" t="n">
        <v>11</v>
      </c>
      <c r="P94" s="327" t="n">
        <f aca="false">C94</f>
        <v>0</v>
      </c>
      <c r="Q94" s="328" t="n">
        <f aca="false">H94</f>
        <v>5506.69158460511</v>
      </c>
      <c r="R94" s="345" t="n">
        <f aca="false">Q94-P94</f>
        <v>5506.69158460511</v>
      </c>
    </row>
    <row r="95" customFormat="false" ht="12" hidden="false" customHeight="false" outlineLevel="0" collapsed="false">
      <c r="A95" s="324" t="n">
        <v>12</v>
      </c>
      <c r="B95" s="327" t="n">
        <f aca="false">0</f>
        <v>0</v>
      </c>
      <c r="C95" s="345" t="n">
        <f aca="false">B95/(1+Discount_Rate)^A95</f>
        <v>0</v>
      </c>
      <c r="E95" s="324" t="n">
        <v>12</v>
      </c>
      <c r="F95" s="327" t="n">
        <f aca="false">'Fuel &amp; Emission'!N18</f>
        <v>7868.43167980816</v>
      </c>
      <c r="G95" s="328" t="n">
        <f aca="false">SUM(F95)</f>
        <v>7868.43167980816</v>
      </c>
      <c r="H95" s="345" t="n">
        <f aca="false">G95/(1+Discount_Rate)^E95</f>
        <v>6204.20468205924</v>
      </c>
      <c r="N95" s="353"/>
      <c r="O95" s="324" t="n">
        <v>12</v>
      </c>
      <c r="P95" s="327" t="n">
        <f aca="false">C95</f>
        <v>0</v>
      </c>
      <c r="Q95" s="328" t="n">
        <f aca="false">H95</f>
        <v>6204.20468205924</v>
      </c>
      <c r="R95" s="345" t="n">
        <f aca="false">Q95-P95</f>
        <v>6204.20468205924</v>
      </c>
    </row>
    <row r="96" customFormat="false" ht="12" hidden="false" customHeight="false" outlineLevel="0" collapsed="false">
      <c r="A96" s="324" t="n">
        <v>13</v>
      </c>
      <c r="B96" s="327" t="n">
        <f aca="false">0</f>
        <v>0</v>
      </c>
      <c r="C96" s="345" t="n">
        <f aca="false">B96/(1+Discount_Rate)^A96</f>
        <v>0</v>
      </c>
      <c r="E96" s="324" t="n">
        <v>13</v>
      </c>
      <c r="F96" s="327" t="n">
        <f aca="false">'Fuel &amp; Emission'!N19</f>
        <v>8977.89302331637</v>
      </c>
      <c r="G96" s="328" t="n">
        <f aca="false">SUM(F96)</f>
        <v>8977.89302331637</v>
      </c>
      <c r="H96" s="345" t="n">
        <f aca="false">G96/(1+Discount_Rate)^E96</f>
        <v>6940.20331371287</v>
      </c>
      <c r="N96" s="353"/>
      <c r="O96" s="324" t="n">
        <v>13</v>
      </c>
      <c r="P96" s="327" t="n">
        <f aca="false">C96</f>
        <v>0</v>
      </c>
      <c r="Q96" s="328" t="n">
        <f aca="false">H96</f>
        <v>6940.20331371287</v>
      </c>
      <c r="R96" s="345" t="n">
        <f aca="false">Q96-P96</f>
        <v>6940.20331371287</v>
      </c>
    </row>
    <row r="97" customFormat="false" ht="12" hidden="false" customHeight="false" outlineLevel="0" collapsed="false">
      <c r="A97" s="324" t="n">
        <v>14</v>
      </c>
      <c r="B97" s="327" t="n">
        <f aca="false">0</f>
        <v>0</v>
      </c>
      <c r="C97" s="345" t="n">
        <f aca="false">B97/(1+Discount_Rate)^A97</f>
        <v>0</v>
      </c>
      <c r="E97" s="324" t="n">
        <v>14</v>
      </c>
      <c r="F97" s="327" t="n">
        <f aca="false">'Fuel &amp; Emission'!N20</f>
        <v>10172.8985363688</v>
      </c>
      <c r="G97" s="328" t="n">
        <f aca="false">SUM(F97)</f>
        <v>10172.8985363688</v>
      </c>
      <c r="H97" s="345" t="n">
        <f aca="false">G97/(1+Discount_Rate)^E97</f>
        <v>7709.78572838471</v>
      </c>
      <c r="N97" s="353"/>
      <c r="O97" s="324" t="n">
        <v>14</v>
      </c>
      <c r="P97" s="327" t="n">
        <f aca="false">C97</f>
        <v>0</v>
      </c>
      <c r="Q97" s="328" t="n">
        <f aca="false">H97</f>
        <v>7709.78572838471</v>
      </c>
      <c r="R97" s="345" t="n">
        <f aca="false">Q97-P97</f>
        <v>7709.78572838471</v>
      </c>
    </row>
    <row r="98" customFormat="false" ht="12" hidden="false" customHeight="false" outlineLevel="0" collapsed="false">
      <c r="A98" s="324" t="n">
        <v>15</v>
      </c>
      <c r="B98" s="327" t="n">
        <f aca="false">0</f>
        <v>0</v>
      </c>
      <c r="C98" s="345" t="n">
        <f aca="false">B98/(1+Discount_Rate)^A98</f>
        <v>0</v>
      </c>
      <c r="E98" s="324" t="n">
        <v>15</v>
      </c>
      <c r="F98" s="327" t="n">
        <f aca="false">'Fuel &amp; Emission'!N21</f>
        <v>11466.7436559192</v>
      </c>
      <c r="G98" s="328" t="n">
        <f aca="false">SUM(F98)</f>
        <v>11466.7436559192</v>
      </c>
      <c r="H98" s="345" t="n">
        <f aca="false">G98/(1+Discount_Rate)^E98</f>
        <v>8519.95944135035</v>
      </c>
      <c r="N98" s="353"/>
      <c r="O98" s="324" t="n">
        <v>15</v>
      </c>
      <c r="P98" s="327" t="n">
        <f aca="false">C98</f>
        <v>0</v>
      </c>
      <c r="Q98" s="328" t="n">
        <f aca="false">H98</f>
        <v>8519.95944135035</v>
      </c>
      <c r="R98" s="345" t="n">
        <f aca="false">Q98-P98</f>
        <v>8519.95944135035</v>
      </c>
    </row>
    <row r="99" customFormat="false" ht="12" hidden="false" customHeight="false" outlineLevel="0" collapsed="false">
      <c r="A99" s="324" t="n">
        <v>16</v>
      </c>
      <c r="B99" s="327" t="n">
        <f aca="false">0</f>
        <v>0</v>
      </c>
      <c r="C99" s="345" t="n">
        <f aca="false">B99/(1+Discount_Rate)^A99</f>
        <v>0</v>
      </c>
      <c r="E99" s="324" t="n">
        <v>16</v>
      </c>
      <c r="F99" s="327" t="n">
        <f aca="false">'Fuel &amp; Emission'!N22</f>
        <v>12857.442072033</v>
      </c>
      <c r="G99" s="328" t="n">
        <f aca="false">SUM(F99)</f>
        <v>12857.442072033</v>
      </c>
      <c r="H99" s="345" t="n">
        <f aca="false">G99/(1+Discount_Rate)^E99</f>
        <v>9365.94985244569</v>
      </c>
      <c r="N99" s="353"/>
      <c r="O99" s="324" t="n">
        <v>16</v>
      </c>
      <c r="P99" s="327" t="n">
        <f aca="false">C99</f>
        <v>0</v>
      </c>
      <c r="Q99" s="328" t="n">
        <f aca="false">H99</f>
        <v>9365.94985244569</v>
      </c>
      <c r="R99" s="345" t="n">
        <f aca="false">Q99-P99</f>
        <v>9365.94985244569</v>
      </c>
    </row>
    <row r="100" customFormat="false" ht="12" hidden="false" customHeight="false" outlineLevel="0" collapsed="false">
      <c r="A100" s="324" t="n">
        <v>17</v>
      </c>
      <c r="B100" s="327" t="n">
        <f aca="false">0</f>
        <v>0</v>
      </c>
      <c r="C100" s="345" t="n">
        <f aca="false">B100/(1+Discount_Rate)^A100</f>
        <v>0</v>
      </c>
      <c r="E100" s="324" t="n">
        <v>17</v>
      </c>
      <c r="F100" s="327" t="n">
        <f aca="false">'Fuel &amp; Emission'!N23</f>
        <v>14354.2958839101</v>
      </c>
      <c r="G100" s="328" t="n">
        <f aca="false">SUM(F100)</f>
        <v>14354.2958839101</v>
      </c>
      <c r="H100" s="345" t="n">
        <f aca="false">G100/(1+Discount_Rate)^E100</f>
        <v>10251.3007308331</v>
      </c>
      <c r="N100" s="353"/>
      <c r="O100" s="324" t="n">
        <v>17</v>
      </c>
      <c r="P100" s="327" t="n">
        <f aca="false">C100</f>
        <v>0</v>
      </c>
      <c r="Q100" s="328" t="n">
        <f aca="false">H100</f>
        <v>10251.3007308331</v>
      </c>
      <c r="R100" s="345" t="n">
        <f aca="false">Q100-P100</f>
        <v>10251.3007308331</v>
      </c>
    </row>
    <row r="101" customFormat="false" ht="12" hidden="false" customHeight="false" outlineLevel="0" collapsed="false">
      <c r="A101" s="324" t="n">
        <v>18</v>
      </c>
      <c r="B101" s="327" t="n">
        <f aca="false">0</f>
        <v>0</v>
      </c>
      <c r="C101" s="345" t="n">
        <f aca="false">B101/(1+Discount_Rate)^A101</f>
        <v>0</v>
      </c>
      <c r="E101" s="324" t="n">
        <v>18</v>
      </c>
      <c r="F101" s="327" t="n">
        <f aca="false">'Fuel &amp; Emission'!N24</f>
        <v>15964.481746467</v>
      </c>
      <c r="G101" s="328" t="n">
        <f aca="false">SUM(F101)</f>
        <v>15964.481746467</v>
      </c>
      <c r="H101" s="345" t="n">
        <f aca="false">G101/(1+Discount_Rate)^E101</f>
        <v>11177.6815612564</v>
      </c>
      <c r="N101" s="353"/>
      <c r="O101" s="324" t="n">
        <v>18</v>
      </c>
      <c r="P101" s="327" t="n">
        <f aca="false">C101</f>
        <v>0</v>
      </c>
      <c r="Q101" s="328" t="n">
        <f aca="false">H101</f>
        <v>11177.6815612564</v>
      </c>
      <c r="R101" s="345" t="n">
        <f aca="false">Q101-P101</f>
        <v>11177.6815612564</v>
      </c>
    </row>
    <row r="102" customFormat="false" ht="12" hidden="false" customHeight="false" outlineLevel="0" collapsed="false">
      <c r="A102" s="324" t="n">
        <v>19</v>
      </c>
      <c r="B102" s="327" t="n">
        <f aca="false">0</f>
        <v>0</v>
      </c>
      <c r="C102" s="345" t="n">
        <f aca="false">B102/(1+Discount_Rate)^A102</f>
        <v>0</v>
      </c>
      <c r="E102" s="324" t="n">
        <v>19</v>
      </c>
      <c r="F102" s="327" t="n">
        <f aca="false">'Fuel &amp; Emission'!N25</f>
        <v>17692.2945774885</v>
      </c>
      <c r="G102" s="328" t="n">
        <f aca="false">SUM(F102)</f>
        <v>17692.2945774885</v>
      </c>
      <c r="H102" s="345" t="n">
        <f aca="false">G102/(1+Discount_Rate)^E102</f>
        <v>12144.535208904</v>
      </c>
      <c r="N102" s="353"/>
      <c r="O102" s="324" t="n">
        <v>19</v>
      </c>
      <c r="P102" s="327" t="n">
        <f aca="false">C102</f>
        <v>0</v>
      </c>
      <c r="Q102" s="328" t="n">
        <f aca="false">H102</f>
        <v>12144.535208904</v>
      </c>
      <c r="R102" s="345" t="n">
        <f aca="false">Q102-P102</f>
        <v>12144.535208904</v>
      </c>
    </row>
    <row r="103" customFormat="false" ht="13" hidden="false" customHeight="false" outlineLevel="0" collapsed="false">
      <c r="A103" s="330" t="n">
        <v>20</v>
      </c>
      <c r="B103" s="333" t="n">
        <f aca="false">0</f>
        <v>0</v>
      </c>
      <c r="C103" s="346" t="n">
        <f aca="false">B103/(1+Discount_Rate)^A103</f>
        <v>0</v>
      </c>
      <c r="E103" s="330" t="n">
        <v>20</v>
      </c>
      <c r="F103" s="333" t="n">
        <f aca="false">'Fuel &amp; Emission'!N26</f>
        <v>19546.7391351237</v>
      </c>
      <c r="G103" s="331" t="n">
        <f aca="false">SUM(F103)</f>
        <v>19546.7391351237</v>
      </c>
      <c r="H103" s="346" t="n">
        <f aca="false">G103/(1+Discount_Rate)^E103</f>
        <v>13154.3950936797</v>
      </c>
      <c r="N103" s="353"/>
      <c r="O103" s="330" t="n">
        <v>20</v>
      </c>
      <c r="P103" s="333" t="n">
        <f aca="false">C103</f>
        <v>0</v>
      </c>
      <c r="Q103" s="331" t="n">
        <f aca="false">H103</f>
        <v>13154.3950936797</v>
      </c>
      <c r="R103" s="346" t="n">
        <f aca="false">Q103-P103</f>
        <v>13154.3950936797</v>
      </c>
    </row>
    <row r="104" customFormat="false" ht="14" hidden="false" customHeight="false" outlineLevel="0" collapsed="false">
      <c r="E104" s="7" t="s">
        <v>308</v>
      </c>
      <c r="N104" s="353"/>
      <c r="O104" s="347" t="s">
        <v>274</v>
      </c>
      <c r="P104" s="348" t="n">
        <f aca="false">SUM(P83:P103)</f>
        <v>0</v>
      </c>
      <c r="Q104" s="348" t="n">
        <f aca="false">SUM(Q83:Q103)</f>
        <v>114897.640220602</v>
      </c>
      <c r="R104" s="352" t="n">
        <f aca="false">SUM(R83:R103)</f>
        <v>114897.640220602</v>
      </c>
    </row>
    <row r="105" customFormat="false" ht="13" hidden="false" customHeight="false" outlineLevel="0" collapsed="false">
      <c r="N105" s="353"/>
    </row>
    <row r="106" customFormat="false" ht="12" hidden="false" customHeight="false" outlineLevel="0" collapsed="false">
      <c r="N106" s="353"/>
    </row>
    <row r="107" customFormat="false" ht="12" hidden="false" customHeight="false" outlineLevel="0" collapsed="false">
      <c r="N107" s="353"/>
    </row>
    <row r="108" customFormat="false" ht="12" hidden="false" customHeight="false" outlineLevel="0" collapsed="false">
      <c r="N108" s="353"/>
    </row>
    <row r="109" customFormat="false" ht="12" hidden="false" customHeight="false" outlineLevel="0" collapsed="false">
      <c r="N109" s="353"/>
    </row>
    <row r="110" customFormat="false" ht="12" hidden="false" customHeight="false" outlineLevel="0" collapsed="false">
      <c r="M110" s="353"/>
    </row>
  </sheetData>
  <sheetProtection sheet="true" password="ea2e" objects="true" scenarios="true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W30"/>
  <sheetViews>
    <sheetView showFormulas="false" showGridLines="true" showRowColHeaders="true" showZeros="true" rightToLeft="false" tabSelected="false" showOutlineSymbols="true" defaultGridColor="true" view="normal" topLeftCell="A29" colorId="64" zoomScale="100" zoomScaleNormal="100" zoomScalePageLayoutView="100" workbookViewId="0">
      <selection pane="topLeft" activeCell="B5" activeCellId="0" sqref="B5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7" width="5.5"/>
    <col collapsed="false" customWidth="true" hidden="false" outlineLevel="0" max="2" min="2" style="7" width="8.66"/>
    <col collapsed="false" customWidth="true" hidden="false" outlineLevel="0" max="3" min="3" style="7" width="10.82"/>
    <col collapsed="false" customWidth="true" hidden="false" outlineLevel="0" max="4" min="4" style="7" width="18.15"/>
    <col collapsed="false" customWidth="true" hidden="false" outlineLevel="0" max="5" min="5" style="7" width="8.33"/>
    <col collapsed="false" customWidth="true" hidden="false" outlineLevel="0" max="6" min="6" style="7" width="10.82"/>
    <col collapsed="false" customWidth="true" hidden="false" outlineLevel="0" max="7" min="7" style="7" width="8.82"/>
    <col collapsed="false" customWidth="true" hidden="false" outlineLevel="0" max="8" min="8" style="7" width="9.82"/>
    <col collapsed="false" customWidth="true" hidden="false" outlineLevel="0" max="9" min="9" style="7" width="17.82"/>
    <col collapsed="false" customWidth="true" hidden="false" outlineLevel="0" max="10" min="10" style="7" width="8.49"/>
    <col collapsed="false" customWidth="true" hidden="false" outlineLevel="0" max="11" min="11" style="7" width="9.82"/>
    <col collapsed="false" customWidth="true" hidden="false" outlineLevel="0" max="12" min="12" style="7" width="11.32"/>
    <col collapsed="false" customWidth="true" hidden="false" outlineLevel="0" max="13" min="13" style="7" width="7.5"/>
    <col collapsed="false" customWidth="true" hidden="false" outlineLevel="0" max="14" min="14" style="7" width="11.66"/>
    <col collapsed="false" customWidth="true" hidden="false" outlineLevel="0" max="15" min="15" style="7" width="21.32"/>
    <col collapsed="false" customWidth="true" hidden="false" outlineLevel="0" max="16" min="16" style="7" width="21.16"/>
    <col collapsed="false" customWidth="true" hidden="false" outlineLevel="0" max="17" min="17" style="7" width="10.66"/>
    <col collapsed="false" customWidth="true" hidden="false" outlineLevel="0" max="18" min="18" style="7" width="11.66"/>
    <col collapsed="false" customWidth="true" hidden="false" outlineLevel="0" max="19" min="19" style="7" width="12.66"/>
    <col collapsed="false" customWidth="true" hidden="false" outlineLevel="0" max="20" min="20" style="7" width="2.66"/>
    <col collapsed="false" customWidth="false" hidden="false" outlineLevel="0" max="257" min="21" style="7" width="9.15"/>
  </cols>
  <sheetData>
    <row r="2" customFormat="false" ht="13" hidden="false" customHeight="false" outlineLevel="0" collapsed="false">
      <c r="F2" s="354" t="s">
        <v>309</v>
      </c>
    </row>
    <row r="3" customFormat="false" ht="15" hidden="false" customHeight="true" outlineLevel="0" collapsed="false">
      <c r="F3" s="355"/>
      <c r="G3" s="355"/>
      <c r="H3" s="355"/>
    </row>
    <row r="4" customFormat="false" ht="13.5" hidden="false" customHeight="true" outlineLevel="0" collapsed="false">
      <c r="A4" s="316" t="s">
        <v>96</v>
      </c>
      <c r="B4" s="356" t="s">
        <v>215</v>
      </c>
      <c r="C4" s="356"/>
      <c r="D4" s="356"/>
      <c r="E4" s="356"/>
      <c r="F4" s="356"/>
      <c r="G4" s="357" t="s">
        <v>216</v>
      </c>
      <c r="H4" s="357"/>
      <c r="I4" s="357"/>
      <c r="J4" s="357"/>
      <c r="K4" s="357"/>
      <c r="L4" s="358" t="s">
        <v>310</v>
      </c>
      <c r="M4" s="359"/>
      <c r="N4" s="359"/>
      <c r="O4" s="359"/>
      <c r="P4" s="359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359"/>
      <c r="AD4" s="359"/>
      <c r="AE4" s="359"/>
      <c r="AF4" s="359"/>
      <c r="AG4" s="359"/>
      <c r="AH4" s="359"/>
      <c r="AI4" s="359"/>
      <c r="AJ4" s="359"/>
      <c r="AK4" s="359"/>
      <c r="AL4" s="359"/>
      <c r="AM4" s="359"/>
      <c r="AN4" s="359"/>
      <c r="AO4" s="359"/>
      <c r="AP4" s="359"/>
      <c r="AQ4" s="359"/>
      <c r="AR4" s="359"/>
      <c r="AS4" s="359"/>
      <c r="AT4" s="359"/>
      <c r="AU4" s="359"/>
      <c r="AV4" s="359"/>
      <c r="AW4" s="359"/>
      <c r="AX4" s="359"/>
      <c r="AY4" s="359"/>
      <c r="AZ4" s="359"/>
      <c r="BA4" s="359"/>
      <c r="BB4" s="359"/>
      <c r="BC4" s="359"/>
      <c r="BD4" s="359"/>
      <c r="BE4" s="359"/>
      <c r="BF4" s="359"/>
      <c r="BG4" s="359"/>
      <c r="BH4" s="359"/>
      <c r="BI4" s="359"/>
      <c r="BJ4" s="359"/>
      <c r="BK4" s="359"/>
      <c r="BL4" s="359"/>
      <c r="BM4" s="359"/>
      <c r="BN4" s="359"/>
      <c r="BO4" s="359"/>
      <c r="BP4" s="359"/>
      <c r="BQ4" s="359"/>
      <c r="BR4" s="359"/>
      <c r="BS4" s="359"/>
      <c r="BT4" s="359"/>
      <c r="BU4" s="359"/>
      <c r="BV4" s="359"/>
      <c r="BW4" s="359"/>
      <c r="BX4" s="359"/>
      <c r="BY4" s="359"/>
      <c r="BZ4" s="359"/>
      <c r="CA4" s="359"/>
      <c r="CB4" s="359"/>
      <c r="CC4" s="359"/>
      <c r="CD4" s="359"/>
      <c r="CE4" s="359"/>
      <c r="CF4" s="359"/>
      <c r="CG4" s="359"/>
      <c r="CH4" s="359"/>
      <c r="CI4" s="359"/>
      <c r="CJ4" s="359"/>
      <c r="CK4" s="359"/>
      <c r="CL4" s="359"/>
      <c r="CM4" s="359"/>
      <c r="CN4" s="359"/>
      <c r="CO4" s="359"/>
      <c r="CP4" s="359"/>
      <c r="CQ4" s="359"/>
      <c r="CR4" s="359"/>
      <c r="CS4" s="359"/>
      <c r="CT4" s="359"/>
      <c r="CU4" s="359"/>
      <c r="CV4" s="359"/>
      <c r="CW4" s="359"/>
      <c r="CX4" s="359"/>
      <c r="CY4" s="359"/>
      <c r="CZ4" s="359"/>
      <c r="DA4" s="359"/>
      <c r="DB4" s="359"/>
      <c r="DC4" s="359"/>
      <c r="DD4" s="359"/>
      <c r="DE4" s="359"/>
      <c r="DF4" s="359"/>
      <c r="DG4" s="359"/>
      <c r="DH4" s="359"/>
      <c r="DI4" s="359"/>
      <c r="DJ4" s="359"/>
      <c r="DK4" s="359"/>
      <c r="DL4" s="359"/>
      <c r="DM4" s="359"/>
      <c r="DN4" s="359"/>
      <c r="DO4" s="359"/>
      <c r="DP4" s="359"/>
      <c r="DQ4" s="359"/>
      <c r="DR4" s="359"/>
      <c r="DS4" s="359"/>
      <c r="DT4" s="359"/>
      <c r="DU4" s="359"/>
      <c r="DV4" s="359"/>
      <c r="DW4" s="359"/>
      <c r="DX4" s="359"/>
      <c r="DY4" s="359"/>
      <c r="DZ4" s="359"/>
      <c r="EA4" s="359"/>
      <c r="EB4" s="359"/>
      <c r="EC4" s="359"/>
      <c r="ED4" s="359"/>
      <c r="EE4" s="359"/>
      <c r="EF4" s="359"/>
      <c r="EG4" s="359"/>
      <c r="EH4" s="359"/>
      <c r="EI4" s="359"/>
      <c r="EJ4" s="359"/>
      <c r="EK4" s="359"/>
      <c r="EL4" s="359"/>
      <c r="EM4" s="359"/>
      <c r="EN4" s="359"/>
      <c r="EO4" s="359"/>
      <c r="EP4" s="359"/>
      <c r="EQ4" s="359"/>
      <c r="ER4" s="359"/>
      <c r="ES4" s="359"/>
      <c r="ET4" s="359"/>
      <c r="EU4" s="359"/>
      <c r="EV4" s="359"/>
      <c r="EW4" s="359"/>
      <c r="EX4" s="359"/>
      <c r="EY4" s="359"/>
      <c r="EZ4" s="359"/>
      <c r="FA4" s="359"/>
      <c r="FB4" s="359"/>
      <c r="FC4" s="359"/>
      <c r="FD4" s="359"/>
      <c r="FE4" s="359"/>
      <c r="FF4" s="359"/>
      <c r="FG4" s="359"/>
      <c r="FH4" s="359"/>
      <c r="FI4" s="359"/>
      <c r="FJ4" s="359"/>
      <c r="FK4" s="359"/>
      <c r="FL4" s="359"/>
      <c r="FM4" s="359"/>
      <c r="FN4" s="359"/>
      <c r="FO4" s="359"/>
      <c r="FP4" s="359"/>
      <c r="FQ4" s="359"/>
      <c r="FR4" s="359"/>
      <c r="FS4" s="359"/>
      <c r="FT4" s="359"/>
      <c r="FU4" s="359"/>
      <c r="FV4" s="359"/>
      <c r="FW4" s="359"/>
      <c r="FX4" s="359"/>
      <c r="FY4" s="359"/>
      <c r="FZ4" s="359"/>
      <c r="GA4" s="359"/>
      <c r="GB4" s="359"/>
      <c r="GC4" s="359"/>
      <c r="GD4" s="359"/>
      <c r="GE4" s="359"/>
      <c r="GF4" s="359"/>
      <c r="GG4" s="359"/>
      <c r="GH4" s="359"/>
      <c r="GI4" s="359"/>
      <c r="GJ4" s="359"/>
      <c r="GK4" s="359"/>
      <c r="GL4" s="359"/>
      <c r="GM4" s="359"/>
      <c r="GN4" s="359"/>
      <c r="GO4" s="359"/>
      <c r="GP4" s="359"/>
      <c r="GQ4" s="359"/>
      <c r="GR4" s="359"/>
      <c r="GS4" s="359"/>
      <c r="GT4" s="359"/>
      <c r="GU4" s="359"/>
      <c r="GV4" s="359"/>
      <c r="GW4" s="359"/>
      <c r="GX4" s="359"/>
      <c r="GY4" s="359"/>
      <c r="GZ4" s="359"/>
      <c r="HA4" s="359"/>
      <c r="HB4" s="359"/>
      <c r="HC4" s="359"/>
      <c r="HD4" s="359"/>
      <c r="HE4" s="359"/>
      <c r="HF4" s="359"/>
      <c r="HG4" s="359"/>
      <c r="HH4" s="359"/>
      <c r="HI4" s="359"/>
      <c r="HJ4" s="359"/>
      <c r="HK4" s="359"/>
      <c r="HL4" s="359"/>
      <c r="HM4" s="359"/>
      <c r="HN4" s="359"/>
      <c r="HO4" s="359"/>
      <c r="HP4" s="359"/>
      <c r="HQ4" s="359"/>
      <c r="HR4" s="359"/>
      <c r="HS4" s="359"/>
      <c r="HT4" s="359"/>
      <c r="HU4" s="359"/>
      <c r="HV4" s="359"/>
      <c r="HW4" s="359"/>
      <c r="HX4" s="359"/>
      <c r="HY4" s="359"/>
      <c r="HZ4" s="359"/>
      <c r="IA4" s="359"/>
      <c r="IB4" s="359"/>
      <c r="IC4" s="359"/>
      <c r="ID4" s="359"/>
      <c r="IE4" s="359"/>
      <c r="IF4" s="359"/>
      <c r="IG4" s="359"/>
      <c r="IH4" s="359"/>
      <c r="II4" s="359"/>
      <c r="IJ4" s="359"/>
      <c r="IK4" s="359"/>
      <c r="IL4" s="359"/>
      <c r="IM4" s="359"/>
      <c r="IN4" s="359"/>
      <c r="IO4" s="359"/>
      <c r="IP4" s="359"/>
      <c r="IQ4" s="359"/>
      <c r="IR4" s="359"/>
      <c r="IS4" s="359"/>
      <c r="IT4" s="359"/>
      <c r="IU4" s="359"/>
      <c r="IV4" s="359"/>
      <c r="IW4" s="359"/>
    </row>
    <row r="5" customFormat="false" ht="13" hidden="false" customHeight="false" outlineLevel="0" collapsed="false">
      <c r="A5" s="316"/>
      <c r="B5" s="360" t="s">
        <v>311</v>
      </c>
      <c r="C5" s="360" t="s">
        <v>106</v>
      </c>
      <c r="D5" s="360" t="s">
        <v>107</v>
      </c>
      <c r="E5" s="360" t="s">
        <v>312</v>
      </c>
      <c r="F5" s="361" t="s">
        <v>274</v>
      </c>
      <c r="G5" s="360" t="s">
        <v>311</v>
      </c>
      <c r="H5" s="360" t="s">
        <v>106</v>
      </c>
      <c r="I5" s="360" t="s">
        <v>107</v>
      </c>
      <c r="J5" s="360" t="s">
        <v>312</v>
      </c>
      <c r="K5" s="362" t="s">
        <v>274</v>
      </c>
      <c r="L5" s="358"/>
    </row>
    <row r="6" customFormat="false" ht="13" hidden="false" customHeight="false" outlineLevel="0" collapsed="false">
      <c r="A6" s="324" t="s">
        <v>114</v>
      </c>
      <c r="B6" s="363" t="n">
        <f aca="false">'Input-Detail'!AE14</f>
        <v>0</v>
      </c>
      <c r="C6" s="363" t="n">
        <f aca="false">'Input-Detail'!AF14</f>
        <v>4004650</v>
      </c>
      <c r="D6" s="363" t="n">
        <f aca="false">'Input-Detail'!AG14</f>
        <v>8356.16</v>
      </c>
      <c r="E6" s="363" t="n">
        <f aca="false">'Input-Detail'!AH14</f>
        <v>297120</v>
      </c>
      <c r="F6" s="364" t="n">
        <f aca="false">SUM(B6:E6)</f>
        <v>4310126.16</v>
      </c>
      <c r="G6" s="363" t="n">
        <f aca="false">'Input-Detail'!AO14</f>
        <v>0</v>
      </c>
      <c r="H6" s="363" t="n">
        <f aca="false">'Input-Detail'!AP14</f>
        <v>4004650</v>
      </c>
      <c r="I6" s="363" t="n">
        <f aca="false">'Input-Detail'!AQ14</f>
        <v>8356</v>
      </c>
      <c r="J6" s="363" t="n">
        <f aca="false">'Input-Detail'!AR14</f>
        <v>301760</v>
      </c>
      <c r="K6" s="364" t="n">
        <f aca="false">SUM(G6:J6)</f>
        <v>4314766</v>
      </c>
      <c r="L6" s="365" t="n">
        <f aca="false">F6-K6</f>
        <v>-4639.83999999985</v>
      </c>
    </row>
    <row r="7" customFormat="false" ht="12" hidden="false" customHeight="false" outlineLevel="0" collapsed="false">
      <c r="A7" s="324" t="n">
        <v>1</v>
      </c>
      <c r="B7" s="363" t="n">
        <f aca="false">'Input-Detail'!AE15</f>
        <v>0</v>
      </c>
      <c r="C7" s="363" t="n">
        <f aca="false">'Input-Detail'!AF15</f>
        <v>4230053.20491783</v>
      </c>
      <c r="D7" s="363" t="n">
        <f aca="false">'Input-Detail'!AG15</f>
        <v>8606.8448</v>
      </c>
      <c r="E7" s="363" t="n">
        <f aca="false">'Input-Detail'!AH15</f>
        <v>306033.6</v>
      </c>
      <c r="F7" s="366" t="n">
        <f aca="false">SUM(B7:E7)</f>
        <v>4544693.64971783</v>
      </c>
      <c r="G7" s="363" t="n">
        <f aca="false">'Input-Detail'!AO15</f>
        <v>0</v>
      </c>
      <c r="H7" s="363" t="n">
        <f aca="false">'Input-Detail'!AP15</f>
        <v>4005040.87873028</v>
      </c>
      <c r="I7" s="363" t="n">
        <f aca="false">'Input-Detail'!AQ15</f>
        <v>8606.68</v>
      </c>
      <c r="J7" s="363" t="n">
        <f aca="false">'Input-Detail'!AR15</f>
        <v>310812.8</v>
      </c>
      <c r="K7" s="366" t="n">
        <f aca="false">SUM(G7:J7)</f>
        <v>4324460.35873028</v>
      </c>
      <c r="L7" s="365" t="n">
        <f aca="false">F7-K7</f>
        <v>220233.29098755</v>
      </c>
    </row>
    <row r="8" customFormat="false" ht="12" hidden="false" customHeight="false" outlineLevel="0" collapsed="false">
      <c r="A8" s="324" t="n">
        <v>2</v>
      </c>
      <c r="B8" s="363" t="n">
        <f aca="false">'Input-Detail'!AE16</f>
        <v>0</v>
      </c>
      <c r="C8" s="363" t="n">
        <f aca="false">'Input-Detail'!AF16</f>
        <v>4465376.41713074</v>
      </c>
      <c r="D8" s="363" t="n">
        <f aca="false">'Input-Detail'!AG16</f>
        <v>8865.050144</v>
      </c>
      <c r="E8" s="363" t="n">
        <f aca="false">'Input-Detail'!AH16</f>
        <v>315214.608</v>
      </c>
      <c r="F8" s="366" t="n">
        <f aca="false">SUM(B8:E8)</f>
        <v>4789456.07527474</v>
      </c>
      <c r="G8" s="363" t="n">
        <f aca="false">'Input-Detail'!AO16</f>
        <v>0</v>
      </c>
      <c r="H8" s="363" t="n">
        <f aca="false">'Input-Detail'!AP16</f>
        <v>4031681.10872332</v>
      </c>
      <c r="I8" s="363" t="n">
        <f aca="false">'Input-Detail'!AQ16</f>
        <v>8864.8804</v>
      </c>
      <c r="J8" s="363" t="n">
        <f aca="false">'Input-Detail'!AR16</f>
        <v>320137.184</v>
      </c>
      <c r="K8" s="366" t="n">
        <f aca="false">SUM(G8:J8)</f>
        <v>4360683.17312332</v>
      </c>
      <c r="L8" s="365" t="n">
        <f aca="false">F8-K8</f>
        <v>428772.902151413</v>
      </c>
    </row>
    <row r="9" customFormat="false" ht="12" hidden="false" customHeight="false" outlineLevel="0" collapsed="false">
      <c r="A9" s="324" t="n">
        <v>3</v>
      </c>
      <c r="B9" s="363" t="n">
        <f aca="false">'Input-Detail'!AE17</f>
        <v>0</v>
      </c>
      <c r="C9" s="363" t="n">
        <f aca="false">'Input-Detail'!AF17</f>
        <v>4711011.97419199</v>
      </c>
      <c r="D9" s="363" t="n">
        <f aca="false">'Input-Detail'!AG17</f>
        <v>9131.00164832</v>
      </c>
      <c r="E9" s="363" t="n">
        <f aca="false">'Input-Detail'!AH17</f>
        <v>324671.04624</v>
      </c>
      <c r="F9" s="366" t="n">
        <f aca="false">SUM(B9:E9)</f>
        <v>5044814.02208031</v>
      </c>
      <c r="G9" s="363" t="n">
        <f aca="false">'Input-Detail'!AO17</f>
        <v>0</v>
      </c>
      <c r="H9" s="363" t="n">
        <f aca="false">'Input-Detail'!AP17</f>
        <v>4045259.4635349</v>
      </c>
      <c r="I9" s="363" t="n">
        <f aca="false">'Input-Detail'!AQ17</f>
        <v>9130.826812</v>
      </c>
      <c r="J9" s="363" t="n">
        <f aca="false">'Input-Detail'!AR17</f>
        <v>329741.29952</v>
      </c>
      <c r="K9" s="366" t="n">
        <f aca="false">SUM(G9:J9)</f>
        <v>4384131.5898669</v>
      </c>
      <c r="L9" s="365" t="n">
        <f aca="false">F9-K9</f>
        <v>660682.432213405</v>
      </c>
    </row>
    <row r="10" customFormat="false" ht="12" hidden="false" customHeight="false" outlineLevel="0" collapsed="false">
      <c r="A10" s="324" t="n">
        <v>4</v>
      </c>
      <c r="B10" s="363" t="n">
        <f aca="false">'Input-Detail'!AE18</f>
        <v>0</v>
      </c>
      <c r="C10" s="363" t="n">
        <f aca="false">'Input-Detail'!AF18</f>
        <v>4967366.82590149</v>
      </c>
      <c r="D10" s="363" t="n">
        <f aca="false">'Input-Detail'!AG18</f>
        <v>9404.9316977696</v>
      </c>
      <c r="E10" s="363" t="n">
        <f aca="false">'Input-Detail'!AH18</f>
        <v>334411.1776272</v>
      </c>
      <c r="F10" s="366" t="n">
        <f aca="false">SUM(B10:E10)</f>
        <v>5311182.93522646</v>
      </c>
      <c r="G10" s="363" t="n">
        <f aca="false">'Input-Detail'!AO18</f>
        <v>0</v>
      </c>
      <c r="H10" s="363" t="n">
        <f aca="false">'Input-Detail'!AP18</f>
        <v>4044636.58188143</v>
      </c>
      <c r="I10" s="363" t="n">
        <f aca="false">'Input-Detail'!AQ18</f>
        <v>9404.75161636</v>
      </c>
      <c r="J10" s="363" t="n">
        <f aca="false">'Input-Detail'!AR18</f>
        <v>339633.5385056</v>
      </c>
      <c r="K10" s="366" t="n">
        <f aca="false">SUM(G10:J10)</f>
        <v>4393674.87200339</v>
      </c>
      <c r="L10" s="365" t="n">
        <f aca="false">F10-K10</f>
        <v>917508.06322307</v>
      </c>
    </row>
    <row r="11" customFormat="false" ht="12" hidden="false" customHeight="false" outlineLevel="0" collapsed="false">
      <c r="A11" s="324" t="n">
        <v>5</v>
      </c>
      <c r="B11" s="363" t="n">
        <f aca="false">'Input-Detail'!AE19</f>
        <v>0</v>
      </c>
      <c r="C11" s="363" t="n">
        <f aca="false">'Input-Detail'!AF19</f>
        <v>5234863.0579368</v>
      </c>
      <c r="D11" s="363" t="n">
        <f aca="false">'Input-Detail'!AG19</f>
        <v>9687.07964870269</v>
      </c>
      <c r="E11" s="363" t="n">
        <f aca="false">'Input-Detail'!AH19</f>
        <v>344443.512956016</v>
      </c>
      <c r="F11" s="366" t="n">
        <f aca="false">SUM(B11:E11)</f>
        <v>5588993.65054152</v>
      </c>
      <c r="G11" s="363" t="n">
        <f aca="false">'Input-Detail'!AO19</f>
        <v>0</v>
      </c>
      <c r="H11" s="363" t="n">
        <f aca="false">'Input-Detail'!AP19</f>
        <v>3984281.36111918</v>
      </c>
      <c r="I11" s="363" t="n">
        <f aca="false">'Input-Detail'!AQ19</f>
        <v>9686.8941648508</v>
      </c>
      <c r="J11" s="363" t="n">
        <f aca="false">'Input-Detail'!AR19</f>
        <v>349822.544660768</v>
      </c>
      <c r="K11" s="366" t="n">
        <f aca="false">SUM(G11:J11)</f>
        <v>4343790.7999448</v>
      </c>
      <c r="L11" s="365" t="n">
        <f aca="false">F11-K11</f>
        <v>1245202.85059672</v>
      </c>
    </row>
    <row r="12" customFormat="false" ht="12" hidden="false" customHeight="false" outlineLevel="0" collapsed="false">
      <c r="A12" s="324" t="n">
        <v>6</v>
      </c>
      <c r="B12" s="363" t="n">
        <f aca="false">'Input-Detail'!AE20</f>
        <v>0</v>
      </c>
      <c r="C12" s="363" t="n">
        <f aca="false">'Input-Detail'!AF20</f>
        <v>5513938.43375091</v>
      </c>
      <c r="D12" s="363" t="n">
        <f aca="false">'Input-Detail'!AG20</f>
        <v>9977.69203816377</v>
      </c>
      <c r="E12" s="363" t="n">
        <f aca="false">'Input-Detail'!AH20</f>
        <v>354776.818344697</v>
      </c>
      <c r="F12" s="366" t="n">
        <f aca="false">SUM(B12:E12)</f>
        <v>5878692.94413377</v>
      </c>
      <c r="G12" s="363" t="n">
        <f aca="false">'Input-Detail'!AO20</f>
        <v>0</v>
      </c>
      <c r="H12" s="363" t="n">
        <f aca="false">'Input-Detail'!AP20</f>
        <v>3950238.67601362</v>
      </c>
      <c r="I12" s="363" t="n">
        <f aca="false">'Input-Detail'!AQ20</f>
        <v>9977.50098979632</v>
      </c>
      <c r="J12" s="363" t="n">
        <f aca="false">'Input-Detail'!AR20</f>
        <v>360317.221000591</v>
      </c>
      <c r="K12" s="366" t="n">
        <f aca="false">SUM(G12:J12)</f>
        <v>4320533.39800401</v>
      </c>
      <c r="L12" s="365" t="n">
        <f aca="false">F12-K12</f>
        <v>1558159.54612977</v>
      </c>
    </row>
    <row r="13" customFormat="false" ht="12" hidden="false" customHeight="false" outlineLevel="0" collapsed="false">
      <c r="A13" s="324" t="n">
        <v>7</v>
      </c>
      <c r="B13" s="363" t="n">
        <f aca="false">'Input-Detail'!AE21</f>
        <v>0</v>
      </c>
      <c r="C13" s="363" t="n">
        <f aca="false">'Input-Detail'!AF21</f>
        <v>5805046.95536173</v>
      </c>
      <c r="D13" s="363" t="n">
        <f aca="false">'Input-Detail'!AG21</f>
        <v>10277.0227993087</v>
      </c>
      <c r="E13" s="363" t="n">
        <f aca="false">'Input-Detail'!AH21</f>
        <v>365420.122895038</v>
      </c>
      <c r="F13" s="366" t="n">
        <f aca="false">SUM(B13:E13)</f>
        <v>6180744.10105608</v>
      </c>
      <c r="G13" s="363" t="n">
        <f aca="false">'Input-Detail'!AO21</f>
        <v>0</v>
      </c>
      <c r="H13" s="363" t="n">
        <f aca="false">'Input-Detail'!AP21</f>
        <v>3898124.23008548</v>
      </c>
      <c r="I13" s="363" t="n">
        <f aca="false">'Input-Detail'!AQ21</f>
        <v>10276.8260194902</v>
      </c>
      <c r="J13" s="363" t="n">
        <f aca="false">'Input-Detail'!AR21</f>
        <v>371126.737630609</v>
      </c>
      <c r="K13" s="366" t="n">
        <f aca="false">SUM(G13:J13)</f>
        <v>4279527.79373558</v>
      </c>
      <c r="L13" s="365" t="n">
        <f aca="false">F13-K13</f>
        <v>1901216.30732049</v>
      </c>
    </row>
    <row r="14" customFormat="false" ht="12" hidden="false" customHeight="false" outlineLevel="0" collapsed="false">
      <c r="A14" s="324" t="n">
        <v>8</v>
      </c>
      <c r="B14" s="363" t="n">
        <f aca="false">'Input-Detail'!AE22</f>
        <v>0</v>
      </c>
      <c r="C14" s="363" t="n">
        <f aca="false">'Input-Detail'!AF22</f>
        <v>6108659.44367882</v>
      </c>
      <c r="D14" s="363" t="n">
        <f aca="false">'Input-Detail'!AG22</f>
        <v>10585.3334832879</v>
      </c>
      <c r="E14" s="363" t="n">
        <f aca="false">'Input-Detail'!AH22</f>
        <v>376382.726581889</v>
      </c>
      <c r="F14" s="366" t="n">
        <f aca="false">SUM(B14:E14)</f>
        <v>6495627.503744</v>
      </c>
      <c r="G14" s="363" t="n">
        <f aca="false">'Input-Detail'!AO22</f>
        <v>0</v>
      </c>
      <c r="H14" s="363" t="n">
        <f aca="false">'Input-Detail'!AP22</f>
        <v>3778075.72906599</v>
      </c>
      <c r="I14" s="363" t="n">
        <f aca="false">'Input-Detail'!AQ22</f>
        <v>10585.1308000749</v>
      </c>
      <c r="J14" s="363" t="n">
        <f aca="false">'Input-Detail'!AR22</f>
        <v>382260.539759527</v>
      </c>
      <c r="K14" s="366" t="n">
        <f aca="false">SUM(G14:J14)</f>
        <v>4170921.39962559</v>
      </c>
      <c r="L14" s="365" t="n">
        <f aca="false">F14-K14</f>
        <v>2324706.1041184</v>
      </c>
    </row>
    <row r="15" customFormat="false" ht="12" hidden="false" customHeight="false" outlineLevel="0" collapsed="false">
      <c r="A15" s="324" t="n">
        <v>9</v>
      </c>
      <c r="B15" s="363" t="n">
        <f aca="false">'Input-Detail'!AE23</f>
        <v>0</v>
      </c>
      <c r="C15" s="363" t="n">
        <f aca="false">'Input-Detail'!AF23</f>
        <v>6425264.13903511</v>
      </c>
      <c r="D15" s="363" t="n">
        <f aca="false">'Input-Detail'!AG23</f>
        <v>10902.8934877866</v>
      </c>
      <c r="E15" s="363" t="n">
        <f aca="false">'Input-Detail'!AH23</f>
        <v>387674.208379345</v>
      </c>
      <c r="F15" s="366" t="n">
        <f aca="false">SUM(B15:E15)</f>
        <v>6823841.24090224</v>
      </c>
      <c r="G15" s="363" t="n">
        <f aca="false">'Input-Detail'!AO23</f>
        <v>0</v>
      </c>
      <c r="H15" s="363" t="n">
        <f aca="false">'Input-Detail'!AP23</f>
        <v>3684003.24632623</v>
      </c>
      <c r="I15" s="363" t="n">
        <f aca="false">'Input-Detail'!AQ23</f>
        <v>10902.6847240772</v>
      </c>
      <c r="J15" s="363" t="n">
        <f aca="false">'Input-Detail'!AR23</f>
        <v>393728.355952313</v>
      </c>
      <c r="K15" s="366" t="n">
        <f aca="false">SUM(G15:J15)</f>
        <v>4088634.28700262</v>
      </c>
      <c r="L15" s="365" t="n">
        <f aca="false">F15-K15</f>
        <v>2735206.95389962</v>
      </c>
    </row>
    <row r="16" customFormat="false" ht="12" hidden="false" customHeight="false" outlineLevel="0" collapsed="false">
      <c r="A16" s="324" t="n">
        <v>10</v>
      </c>
      <c r="B16" s="363" t="n">
        <f aca="false">'Input-Detail'!AE24</f>
        <v>0</v>
      </c>
      <c r="C16" s="363" t="n">
        <f aca="false">'Input-Detail'!AF24</f>
        <v>6755367.32261347</v>
      </c>
      <c r="D16" s="363" t="n">
        <f aca="false">'Input-Detail'!AG24</f>
        <v>11229.9802924202</v>
      </c>
      <c r="E16" s="363" t="n">
        <f aca="false">'Input-Detail'!AH24</f>
        <v>399304.434630726</v>
      </c>
      <c r="F16" s="366" t="n">
        <f aca="false">SUM(B16:E16)</f>
        <v>7165901.73753661</v>
      </c>
      <c r="G16" s="363" t="n">
        <f aca="false">'Input-Detail'!AO24</f>
        <v>0</v>
      </c>
      <c r="H16" s="363" t="n">
        <f aca="false">'Input-Detail'!AP24</f>
        <v>3567288.96578461</v>
      </c>
      <c r="I16" s="363" t="n">
        <f aca="false">'Input-Detail'!AQ24</f>
        <v>11229.7652657995</v>
      </c>
      <c r="J16" s="363" t="n">
        <f aca="false">'Input-Detail'!AR24</f>
        <v>405540.206630882</v>
      </c>
      <c r="K16" s="366" t="n">
        <f aca="false">SUM(G16:J16)</f>
        <v>3984058.93768129</v>
      </c>
      <c r="L16" s="365" t="n">
        <f aca="false">F16-K16</f>
        <v>3181842.79985532</v>
      </c>
    </row>
    <row r="17" customFormat="false" ht="12" hidden="false" customHeight="false" outlineLevel="0" collapsed="false">
      <c r="A17" s="324" t="n">
        <v>11</v>
      </c>
      <c r="B17" s="363" t="n">
        <f aca="false">'Input-Detail'!AE25</f>
        <v>0</v>
      </c>
      <c r="C17" s="363" t="n">
        <f aca="false">'Input-Detail'!AF25</f>
        <v>7099493.95948139</v>
      </c>
      <c r="D17" s="363" t="n">
        <f aca="false">'Input-Detail'!AG25</f>
        <v>11566.8797011928</v>
      </c>
      <c r="E17" s="363" t="n">
        <f aca="false">'Input-Detail'!AH25</f>
        <v>411283.567669648</v>
      </c>
      <c r="F17" s="366" t="n">
        <f aca="false">SUM(B17:E17)</f>
        <v>7522344.40685223</v>
      </c>
      <c r="G17" s="363" t="n">
        <f aca="false">'Input-Detail'!AO25</f>
        <v>0</v>
      </c>
      <c r="H17" s="363" t="n">
        <f aca="false">'Input-Detail'!AP25</f>
        <v>3373324.54021227</v>
      </c>
      <c r="I17" s="363" t="n">
        <f aca="false">'Input-Detail'!AQ25</f>
        <v>11566.6582237735</v>
      </c>
      <c r="J17" s="363" t="n">
        <f aca="false">'Input-Detail'!AR25</f>
        <v>417706.412829809</v>
      </c>
      <c r="K17" s="366" t="n">
        <f aca="false">SUM(G17:J17)</f>
        <v>3802597.61126585</v>
      </c>
      <c r="L17" s="365" t="n">
        <f aca="false">F17-K17</f>
        <v>3719746.79558638</v>
      </c>
    </row>
    <row r="18" customFormat="false" ht="12" hidden="false" customHeight="false" outlineLevel="0" collapsed="false">
      <c r="A18" s="324" t="n">
        <v>12</v>
      </c>
      <c r="B18" s="363" t="n">
        <f aca="false">'Input-Detail'!AE26</f>
        <v>0</v>
      </c>
      <c r="C18" s="363" t="n">
        <f aca="false">'Input-Detail'!AF26</f>
        <v>7458188.36397104</v>
      </c>
      <c r="D18" s="363" t="n">
        <f aca="false">'Input-Detail'!AG26</f>
        <v>11913.8860922286</v>
      </c>
      <c r="E18" s="363" t="n">
        <f aca="false">'Input-Detail'!AH26</f>
        <v>423622.074699737</v>
      </c>
      <c r="F18" s="366" t="n">
        <f aca="false">SUM(B18:E18)</f>
        <v>7893724.32476301</v>
      </c>
      <c r="G18" s="363" t="n">
        <f aca="false">'Input-Detail'!AO26</f>
        <v>0</v>
      </c>
      <c r="H18" s="363" t="n">
        <f aca="false">'Input-Detail'!AP26</f>
        <v>3204600.82690157</v>
      </c>
      <c r="I18" s="363" t="n">
        <f aca="false">'Input-Detail'!AQ26</f>
        <v>11913.6579704867</v>
      </c>
      <c r="J18" s="363" t="n">
        <f aca="false">'Input-Detail'!AR26</f>
        <v>430237.605214703</v>
      </c>
      <c r="K18" s="366" t="n">
        <f aca="false">SUM(G18:J18)</f>
        <v>3646752.09008676</v>
      </c>
      <c r="L18" s="365" t="n">
        <f aca="false">F18-K18</f>
        <v>4246972.23467625</v>
      </c>
    </row>
    <row r="19" customFormat="false" ht="12" hidden="false" customHeight="false" outlineLevel="0" collapsed="false">
      <c r="A19" s="324" t="n">
        <v>13</v>
      </c>
      <c r="B19" s="363" t="n">
        <f aca="false">'Input-Detail'!AE27</f>
        <v>0</v>
      </c>
      <c r="C19" s="363" t="n">
        <f aca="false">'Input-Detail'!AF27</f>
        <v>7832014.88816654</v>
      </c>
      <c r="D19" s="363" t="n">
        <f aca="false">'Input-Detail'!AG27</f>
        <v>12271.3026749954</v>
      </c>
      <c r="E19" s="363" t="n">
        <f aca="false">'Input-Detail'!AH27</f>
        <v>436330.736940729</v>
      </c>
      <c r="F19" s="366" t="n">
        <f aca="false">SUM(B19:E19)</f>
        <v>8280616.92778226</v>
      </c>
      <c r="G19" s="363" t="n">
        <f aca="false">'Input-Detail'!AO27</f>
        <v>0</v>
      </c>
      <c r="H19" s="363" t="n">
        <f aca="false">'Input-Detail'!AP27</f>
        <v>2951709.87379618</v>
      </c>
      <c r="I19" s="363" t="n">
        <f aca="false">'Input-Detail'!AQ27</f>
        <v>12271.0677096013</v>
      </c>
      <c r="J19" s="363" t="n">
        <f aca="false">'Input-Detail'!AR27</f>
        <v>443144.733371144</v>
      </c>
      <c r="K19" s="366" t="n">
        <f aca="false">SUM(G19:J19)</f>
        <v>3407125.67487692</v>
      </c>
      <c r="L19" s="365" t="n">
        <f aca="false">F19-K19</f>
        <v>4873491.25290534</v>
      </c>
    </row>
    <row r="20" customFormat="false" ht="12" hidden="false" customHeight="false" outlineLevel="0" collapsed="false">
      <c r="A20" s="324" t="n">
        <v>14</v>
      </c>
      <c r="B20" s="363" t="n">
        <f aca="false">'Input-Detail'!AE28</f>
        <v>0</v>
      </c>
      <c r="C20" s="363" t="n">
        <f aca="false">'Input-Detail'!AF28</f>
        <v>8221558.63428619</v>
      </c>
      <c r="D20" s="363" t="n">
        <f aca="false">'Input-Detail'!AG28</f>
        <v>12639.4417552453</v>
      </c>
      <c r="E20" s="363" t="n">
        <f aca="false">'Input-Detail'!AH28</f>
        <v>449420.659048951</v>
      </c>
      <c r="F20" s="366" t="n">
        <f aca="false">SUM(B20:E20)</f>
        <v>8683618.73509038</v>
      </c>
      <c r="G20" s="363" t="n">
        <f aca="false">'Input-Detail'!AO28</f>
        <v>0</v>
      </c>
      <c r="H20" s="363" t="n">
        <f aca="false">'Input-Detail'!AP28</f>
        <v>2723291.88912143</v>
      </c>
      <c r="I20" s="363" t="n">
        <f aca="false">'Input-Detail'!AQ28</f>
        <v>12639.1997408893</v>
      </c>
      <c r="J20" s="363" t="n">
        <f aca="false">'Input-Detail'!AR28</f>
        <v>456439.075372279</v>
      </c>
      <c r="K20" s="366" t="n">
        <f aca="false">SUM(G20:J20)</f>
        <v>3192370.16423459</v>
      </c>
      <c r="L20" s="365" t="n">
        <f aca="false">F20-K20</f>
        <v>5491248.57085579</v>
      </c>
    </row>
    <row r="21" customFormat="false" ht="12" hidden="false" customHeight="false" outlineLevel="0" collapsed="false">
      <c r="A21" s="324" t="n">
        <v>15</v>
      </c>
      <c r="B21" s="363" t="n">
        <f aca="false">'Input-Detail'!AE29</f>
        <v>0</v>
      </c>
      <c r="C21" s="363" t="n">
        <f aca="false">'Input-Detail'!AF29</f>
        <v>8627426.19177367</v>
      </c>
      <c r="D21" s="363" t="n">
        <f aca="false">'Input-Detail'!AG29</f>
        <v>13018.6250079026</v>
      </c>
      <c r="E21" s="363" t="n">
        <f aca="false">'Input-Detail'!AH29</f>
        <v>462903.278820419</v>
      </c>
      <c r="F21" s="366" t="n">
        <f aca="false">SUM(B21:E21)</f>
        <v>9103348.09560199</v>
      </c>
      <c r="G21" s="363" t="n">
        <f aca="false">'Input-Detail'!AO29</f>
        <v>0</v>
      </c>
      <c r="H21" s="363" t="n">
        <f aca="false">'Input-Detail'!AP29</f>
        <v>2403180.0850329</v>
      </c>
      <c r="I21" s="363" t="n">
        <f aca="false">'Input-Detail'!AQ29</f>
        <v>13018.375733116</v>
      </c>
      <c r="J21" s="363" t="n">
        <f aca="false">'Input-Detail'!AR29</f>
        <v>470132.247633447</v>
      </c>
      <c r="K21" s="366" t="n">
        <f aca="false">SUM(G21:J21)</f>
        <v>2886330.70839946</v>
      </c>
      <c r="L21" s="365" t="n">
        <f aca="false">F21-K21</f>
        <v>6217017.38720253</v>
      </c>
    </row>
    <row r="22" customFormat="false" ht="12" hidden="false" customHeight="false" outlineLevel="0" collapsed="false">
      <c r="A22" s="324" t="n">
        <v>16</v>
      </c>
      <c r="B22" s="363" t="n">
        <f aca="false">'Input-Detail'!AE30</f>
        <v>0</v>
      </c>
      <c r="C22" s="363" t="n">
        <f aca="false">'Input-Detail'!AF30</f>
        <v>9050246.39993954</v>
      </c>
      <c r="D22" s="363" t="n">
        <f aca="false">'Input-Detail'!AG30</f>
        <v>13409.1837581397</v>
      </c>
      <c r="E22" s="363" t="n">
        <f aca="false">'Input-Detail'!AH30</f>
        <v>476790.377185032</v>
      </c>
      <c r="F22" s="366" t="n">
        <f aca="false">SUM(B22:E22)</f>
        <v>9540445.96088271</v>
      </c>
      <c r="G22" s="363" t="n">
        <f aca="false">'Input-Detail'!AO30</f>
        <v>0</v>
      </c>
      <c r="H22" s="363" t="n">
        <f aca="false">'Input-Detail'!AP30</f>
        <v>2045174.86518</v>
      </c>
      <c r="I22" s="363" t="n">
        <f aca="false">'Input-Detail'!AQ30</f>
        <v>13408.9270051095</v>
      </c>
      <c r="J22" s="363" t="n">
        <f aca="false">'Input-Detail'!AR30</f>
        <v>484236.21506245</v>
      </c>
      <c r="K22" s="366" t="n">
        <f aca="false">SUM(G22:J22)</f>
        <v>2542820.00724756</v>
      </c>
      <c r="L22" s="365" t="n">
        <f aca="false">F22-K22</f>
        <v>6997625.95363515</v>
      </c>
    </row>
    <row r="23" customFormat="false" ht="12" hidden="false" customHeight="false" outlineLevel="0" collapsed="false">
      <c r="A23" s="324" t="n">
        <v>17</v>
      </c>
      <c r="B23" s="363" t="n">
        <f aca="false">'Input-Detail'!AE31</f>
        <v>0</v>
      </c>
      <c r="C23" s="363" t="n">
        <f aca="false">'Input-Detail'!AF31</f>
        <v>9490671.13702276</v>
      </c>
      <c r="D23" s="363" t="n">
        <f aca="false">'Input-Detail'!AG31</f>
        <v>13811.4592708839</v>
      </c>
      <c r="E23" s="363" t="n">
        <f aca="false">'Input-Detail'!AH31</f>
        <v>491094.088500583</v>
      </c>
      <c r="F23" s="366" t="n">
        <f aca="false">SUM(B23:E23)</f>
        <v>9995576.68479423</v>
      </c>
      <c r="G23" s="363" t="n">
        <f aca="false">'Input-Detail'!AO31</f>
        <v>0</v>
      </c>
      <c r="H23" s="363" t="n">
        <f aca="false">'Input-Detail'!AP31</f>
        <v>1710000.76824754</v>
      </c>
      <c r="I23" s="363" t="n">
        <f aca="false">'Input-Detail'!AQ31</f>
        <v>13811.1948152628</v>
      </c>
      <c r="J23" s="363" t="n">
        <f aca="false">'Input-Detail'!AR31</f>
        <v>498763.301514324</v>
      </c>
      <c r="K23" s="366" t="n">
        <f aca="false">SUM(G23:J23)</f>
        <v>2222575.26457713</v>
      </c>
      <c r="L23" s="365" t="n">
        <f aca="false">F23-K23</f>
        <v>7773001.4202171</v>
      </c>
    </row>
    <row r="24" customFormat="false" ht="12" hidden="false" customHeight="false" outlineLevel="0" collapsed="false">
      <c r="A24" s="324" t="n">
        <v>18</v>
      </c>
      <c r="B24" s="363" t="n">
        <f aca="false">'Input-Detail'!AE32</f>
        <v>0</v>
      </c>
      <c r="C24" s="363" t="n">
        <f aca="false">'Input-Detail'!AF32</f>
        <v>9949376.13657104</v>
      </c>
      <c r="D24" s="363" t="n">
        <f aca="false">'Input-Detail'!AG32</f>
        <v>14225.8030490104</v>
      </c>
      <c r="E24" s="363" t="n">
        <f aca="false">'Input-Detail'!AH32</f>
        <v>505826.911155601</v>
      </c>
      <c r="F24" s="366" t="n">
        <f aca="false">SUM(B24:E24)</f>
        <v>10469428.8507757</v>
      </c>
      <c r="G24" s="363" t="n">
        <f aca="false">'Input-Detail'!AO32</f>
        <v>0</v>
      </c>
      <c r="H24" s="363" t="n">
        <f aca="false">'Input-Detail'!AP32</f>
        <v>1270558.03763004</v>
      </c>
      <c r="I24" s="363" t="n">
        <f aca="false">'Input-Detail'!AQ32</f>
        <v>14225.5306597206</v>
      </c>
      <c r="J24" s="363" t="n">
        <f aca="false">'Input-Detail'!AR32</f>
        <v>513726.200559754</v>
      </c>
      <c r="K24" s="366" t="n">
        <f aca="false">SUM(G24:J24)</f>
        <v>1798509.76884952</v>
      </c>
      <c r="L24" s="365" t="n">
        <f aca="false">F24-K24</f>
        <v>8670919.08192614</v>
      </c>
    </row>
    <row r="25" customFormat="false" ht="12" hidden="false" customHeight="false" outlineLevel="0" collapsed="false">
      <c r="A25" s="324" t="n">
        <v>19</v>
      </c>
      <c r="B25" s="363" t="n">
        <f aca="false">'Input-Detail'!AE33</f>
        <v>0</v>
      </c>
      <c r="C25" s="363" t="n">
        <f aca="false">'Input-Detail'!AF33</f>
        <v>10427061.8320689</v>
      </c>
      <c r="D25" s="363" t="n">
        <f aca="false">'Input-Detail'!AG33</f>
        <v>14652.5771404808</v>
      </c>
      <c r="E25" s="363" t="n">
        <f aca="false">'Input-Detail'!AH33</f>
        <v>521001.718490269</v>
      </c>
      <c r="F25" s="366" t="n">
        <f aca="false">SUM(B25:E25)</f>
        <v>10962716.1276996</v>
      </c>
      <c r="G25" s="363" t="n">
        <f aca="false">'Input-Detail'!AO33</f>
        <v>0</v>
      </c>
      <c r="H25" s="363" t="n">
        <f aca="false">'Input-Detail'!AP33</f>
        <v>785468.505755398</v>
      </c>
      <c r="I25" s="363" t="n">
        <f aca="false">'Input-Detail'!AQ33</f>
        <v>14652.2965795123</v>
      </c>
      <c r="J25" s="363" t="n">
        <f aca="false">'Input-Detail'!AR33</f>
        <v>529137.986576546</v>
      </c>
      <c r="K25" s="366" t="n">
        <f aca="false">SUM(G25:J25)</f>
        <v>1329258.78891146</v>
      </c>
      <c r="L25" s="365" t="n">
        <f aca="false">F25-K25</f>
        <v>9633457.33878818</v>
      </c>
    </row>
    <row r="26" customFormat="false" ht="13" hidden="false" customHeight="false" outlineLevel="0" collapsed="false">
      <c r="A26" s="330" t="n">
        <v>20</v>
      </c>
      <c r="B26" s="367" t="n">
        <f aca="false">'Input-Detail'!AE34</f>
        <v>0</v>
      </c>
      <c r="C26" s="367" t="n">
        <f aca="false">'Input-Detail'!AF34</f>
        <v>10924454.2307737</v>
      </c>
      <c r="D26" s="367" t="n">
        <f aca="false">'Input-Detail'!AG34</f>
        <v>15092.1544546952</v>
      </c>
      <c r="E26" s="367" t="n">
        <f aca="false">'Input-Detail'!AH34</f>
        <v>536631.770044977</v>
      </c>
      <c r="F26" s="368" t="n">
        <f aca="false">SUM(B26:E26)</f>
        <v>11476178.1552734</v>
      </c>
      <c r="G26" s="367" t="n">
        <f aca="false">'Input-Detail'!AO34</f>
        <v>0</v>
      </c>
      <c r="H26" s="367" t="n">
        <f aca="false">'Input-Detail'!AP34</f>
        <v>182799.431637104</v>
      </c>
      <c r="I26" s="367" t="n">
        <f aca="false">'Input-Detail'!AQ34</f>
        <v>15091.8654768976</v>
      </c>
      <c r="J26" s="367" t="n">
        <f aca="false">'Input-Detail'!AR34</f>
        <v>545012.126173843</v>
      </c>
      <c r="K26" s="368" t="n">
        <f aca="false">SUM(G26:J26)</f>
        <v>742903.423287844</v>
      </c>
      <c r="L26" s="369" t="n">
        <f aca="false">F26-K26</f>
        <v>10733274.7319855</v>
      </c>
    </row>
    <row r="27" customFormat="false" ht="13" hidden="false" customHeight="false" outlineLevel="0" collapsed="false"/>
    <row r="29" customFormat="false" ht="12" hidden="false" customHeight="false" outlineLevel="0" collapsed="false">
      <c r="O29" s="339"/>
      <c r="P29" s="370"/>
    </row>
    <row r="30" customFormat="false" ht="12" hidden="false" customHeight="false" outlineLevel="0" collapsed="false">
      <c r="O30" s="371"/>
    </row>
  </sheetData>
  <sheetProtection sheet="true" password="ea2e" objects="true" scenarios="true"/>
  <mergeCells count="4">
    <mergeCell ref="A4:A5"/>
    <mergeCell ref="B4:F4"/>
    <mergeCell ref="G4:K4"/>
    <mergeCell ref="L4:L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152"/>
  <sheetViews>
    <sheetView showFormulas="false" showGridLines="true" showRowColHeaders="true" showZeros="true" rightToLeft="false" tabSelected="false" showOutlineSymbols="true" defaultGridColor="true" view="normal" topLeftCell="G1" colorId="64" zoomScale="75" zoomScaleNormal="75" zoomScalePageLayoutView="100" workbookViewId="0">
      <selection pane="topLeft" activeCell="AD34" activeCellId="0" sqref="AD34"/>
    </sheetView>
  </sheetViews>
  <sheetFormatPr defaultColWidth="8.82421875" defaultRowHeight="12" customHeight="false" zeroHeight="false" outlineLevelRow="0" outlineLevelCol="0"/>
  <cols>
    <col collapsed="false" customWidth="true" hidden="false" outlineLevel="0" max="1" min="1" style="372" width="1.5"/>
    <col collapsed="false" customWidth="true" hidden="false" outlineLevel="0" max="2" min="2" style="372" width="9.33"/>
    <col collapsed="false" customWidth="true" hidden="false" outlineLevel="0" max="3" min="3" style="372" width="13.82"/>
    <col collapsed="false" customWidth="false" hidden="false" outlineLevel="0" max="4" min="4" style="372" width="8.82"/>
    <col collapsed="false" customWidth="true" hidden="false" outlineLevel="0" max="5" min="5" style="372" width="5.15"/>
    <col collapsed="false" customWidth="true" hidden="false" outlineLevel="0" max="7" min="6" style="372" width="1.66"/>
    <col collapsed="false" customWidth="true" hidden="false" outlineLevel="0" max="8" min="8" style="372" width="5.82"/>
    <col collapsed="false" customWidth="true" hidden="false" outlineLevel="0" max="9" min="9" style="372" width="11.32"/>
    <col collapsed="false" customWidth="true" hidden="false" outlineLevel="0" max="10" min="10" style="372" width="9.82"/>
    <col collapsed="false" customWidth="true" hidden="false" outlineLevel="0" max="11" min="11" style="372" width="16.15"/>
    <col collapsed="false" customWidth="true" hidden="false" outlineLevel="0" max="12" min="12" style="372" width="11.66"/>
    <col collapsed="false" customWidth="true" hidden="false" outlineLevel="0" max="13" min="13" style="372" width="9.15"/>
    <col collapsed="false" customWidth="true" hidden="false" outlineLevel="0" max="14" min="14" style="372" width="16.82"/>
    <col collapsed="false" customWidth="true" hidden="false" outlineLevel="0" max="15" min="15" style="372" width="14.66"/>
    <col collapsed="false" customWidth="true" hidden="false" outlineLevel="0" max="16" min="16" style="372" width="9.82"/>
    <col collapsed="false" customWidth="false" hidden="false" outlineLevel="0" max="17" min="17" style="372" width="8.82"/>
    <col collapsed="false" customWidth="false" hidden="false" outlineLevel="0" max="18" min="18" style="7" width="8.82"/>
    <col collapsed="false" customWidth="true" hidden="false" outlineLevel="0" max="19" min="19" style="7" width="7.16"/>
    <col collapsed="false" customWidth="true" hidden="false" outlineLevel="0" max="20" min="20" style="7" width="10.5"/>
    <col collapsed="false" customWidth="true" hidden="false" outlineLevel="0" max="21" min="21" style="7" width="7.32"/>
    <col collapsed="false" customWidth="true" hidden="false" outlineLevel="0" max="23" min="22" style="7" width="10.5"/>
    <col collapsed="false" customWidth="true" hidden="false" outlineLevel="0" max="24" min="24" style="7" width="11.66"/>
    <col collapsed="false" customWidth="true" hidden="false" outlineLevel="0" max="25" min="25" style="7" width="8.99"/>
    <col collapsed="false" customWidth="true" hidden="false" outlineLevel="0" max="26" min="26" style="7" width="11.15"/>
    <col collapsed="false" customWidth="true" hidden="false" outlineLevel="0" max="27" min="27" style="7" width="9.82"/>
    <col collapsed="false" customWidth="true" hidden="false" outlineLevel="0" max="30" min="28" style="7" width="8.33"/>
    <col collapsed="false" customWidth="true" hidden="false" outlineLevel="0" max="31" min="31" style="7" width="7.99"/>
    <col collapsed="false" customWidth="true" hidden="false" outlineLevel="0" max="32" min="32" style="7" width="6.66"/>
    <col collapsed="false" customWidth="true" hidden="false" outlineLevel="0" max="33" min="33" style="7" width="6.5"/>
    <col collapsed="false" customWidth="true" hidden="false" outlineLevel="0" max="34" min="34" style="7" width="5.82"/>
    <col collapsed="false" customWidth="true" hidden="false" outlineLevel="0" max="35" min="35" style="7" width="6.5"/>
    <col collapsed="false" customWidth="true" hidden="false" outlineLevel="0" max="36" min="36" style="7" width="6.32"/>
    <col collapsed="false" customWidth="true" hidden="false" outlineLevel="0" max="37" min="37" style="7" width="6.66"/>
    <col collapsed="false" customWidth="true" hidden="false" outlineLevel="0" max="38" min="38" style="7" width="7.16"/>
    <col collapsed="false" customWidth="true" hidden="false" outlineLevel="0" max="40" min="39" style="7" width="6.5"/>
    <col collapsed="false" customWidth="true" hidden="false" outlineLevel="0" max="42" min="41" style="7" width="7.5"/>
    <col collapsed="false" customWidth="true" hidden="false" outlineLevel="0" max="43" min="43" style="7" width="7.32"/>
    <col collapsed="false" customWidth="true" hidden="false" outlineLevel="0" max="44" min="44" style="7" width="8.15"/>
    <col collapsed="false" customWidth="true" hidden="false" outlineLevel="0" max="45" min="45" style="7" width="7.5"/>
    <col collapsed="false" customWidth="true" hidden="false" outlineLevel="0" max="46" min="46" style="7" width="7.99"/>
    <col collapsed="false" customWidth="true" hidden="false" outlineLevel="0" max="47" min="47" style="7" width="7.66"/>
    <col collapsed="false" customWidth="true" hidden="false" outlineLevel="0" max="48" min="48" style="7" width="7.5"/>
    <col collapsed="false" customWidth="true" hidden="false" outlineLevel="0" max="49" min="49" style="7" width="7.66"/>
    <col collapsed="false" customWidth="true" hidden="false" outlineLevel="0" max="50" min="50" style="7" width="7.5"/>
    <col collapsed="false" customWidth="true" hidden="false" outlineLevel="0" max="51" min="51" style="7" width="7.82"/>
    <col collapsed="false" customWidth="true" hidden="false" outlineLevel="0" max="52" min="52" style="7" width="10.32"/>
    <col collapsed="false" customWidth="true" hidden="false" outlineLevel="0" max="53" min="53" style="359" width="9.99"/>
    <col collapsed="false" customWidth="true" hidden="false" outlineLevel="0" max="54" min="54" style="359" width="11.82"/>
    <col collapsed="false" customWidth="true" hidden="false" outlineLevel="0" max="55" min="55" style="7" width="13.15"/>
    <col collapsed="false" customWidth="true" hidden="false" outlineLevel="0" max="56" min="56" style="7" width="10.15"/>
    <col collapsed="false" customWidth="false" hidden="false" outlineLevel="0" max="60" min="57" style="7" width="8.82"/>
    <col collapsed="false" customWidth="true" hidden="false" outlineLevel="0" max="61" min="61" style="7" width="10.82"/>
    <col collapsed="false" customWidth="true" hidden="false" outlineLevel="0" max="62" min="62" style="7" width="11.15"/>
    <col collapsed="false" customWidth="true" hidden="false" outlineLevel="0" max="63" min="63" style="7" width="7.5"/>
    <col collapsed="false" customWidth="true" hidden="false" outlineLevel="0" max="64" min="64" style="7" width="10.66"/>
    <col collapsed="false" customWidth="true" hidden="false" outlineLevel="0" max="65" min="65" style="7" width="9.82"/>
    <col collapsed="false" customWidth="true" hidden="false" outlineLevel="0" max="66" min="66" style="7" width="6.5"/>
    <col collapsed="false" customWidth="true" hidden="false" outlineLevel="0" max="67" min="67" style="7" width="5.5"/>
    <col collapsed="false" customWidth="true" hidden="false" outlineLevel="0" max="68" min="68" style="7" width="5.99"/>
    <col collapsed="false" customWidth="true" hidden="false" outlineLevel="0" max="69" min="69" style="7" width="5.82"/>
    <col collapsed="false" customWidth="true" hidden="false" outlineLevel="0" max="70" min="70" style="7" width="7.82"/>
    <col collapsed="false" customWidth="true" hidden="false" outlineLevel="0" max="72" min="71" style="7" width="6.5"/>
    <col collapsed="false" customWidth="true" hidden="false" outlineLevel="0" max="73" min="73" style="7" width="6.99"/>
    <col collapsed="false" customWidth="true" hidden="false" outlineLevel="0" max="74" min="74" style="7" width="5.99"/>
    <col collapsed="false" customWidth="true" hidden="false" outlineLevel="0" max="75" min="75" style="7" width="7.5"/>
    <col collapsed="false" customWidth="true" hidden="false" outlineLevel="0" max="76" min="76" style="7" width="6.15"/>
    <col collapsed="false" customWidth="true" hidden="false" outlineLevel="0" max="77" min="77" style="7" width="5.82"/>
    <col collapsed="false" customWidth="true" hidden="false" outlineLevel="0" max="78" min="78" style="7" width="6.15"/>
    <col collapsed="false" customWidth="true" hidden="false" outlineLevel="0" max="79" min="79" style="7" width="6.5"/>
    <col collapsed="false" customWidth="true" hidden="false" outlineLevel="0" max="80" min="80" style="7" width="5.5"/>
    <col collapsed="false" customWidth="true" hidden="false" outlineLevel="0" max="81" min="81" style="7" width="5.66"/>
    <col collapsed="false" customWidth="true" hidden="false" outlineLevel="0" max="82" min="82" style="7" width="5.5"/>
    <col collapsed="false" customWidth="true" hidden="false" outlineLevel="0" max="83" min="83" style="7" width="5.15"/>
    <col collapsed="false" customWidth="true" hidden="false" outlineLevel="0" max="84" min="84" style="372" width="10.15"/>
    <col collapsed="false" customWidth="false" hidden="false" outlineLevel="0" max="85" min="85" style="7" width="8.82"/>
    <col collapsed="false" customWidth="true" hidden="false" outlineLevel="0" max="87" min="86" style="7" width="11.5"/>
    <col collapsed="false" customWidth="false" hidden="false" outlineLevel="0" max="89" min="88" style="7" width="8.82"/>
    <col collapsed="false" customWidth="true" hidden="false" outlineLevel="0" max="90" min="90" style="7" width="7.99"/>
    <col collapsed="false" customWidth="true" hidden="false" outlineLevel="0" max="91" min="91" style="7" width="10.66"/>
    <col collapsed="false" customWidth="true" hidden="false" outlineLevel="0" max="92" min="92" style="7" width="10.15"/>
    <col collapsed="false" customWidth="true" hidden="false" outlineLevel="0" max="93" min="93" style="7" width="10.66"/>
    <col collapsed="false" customWidth="false" hidden="false" outlineLevel="0" max="94" min="94" style="7" width="8.82"/>
    <col collapsed="false" customWidth="true" hidden="false" outlineLevel="0" max="95" min="95" style="7" width="6.5"/>
    <col collapsed="false" customWidth="true" hidden="false" outlineLevel="0" max="96" min="96" style="7" width="6.99"/>
    <col collapsed="false" customWidth="true" hidden="false" outlineLevel="0" max="97" min="97" style="372" width="6.5"/>
    <col collapsed="false" customWidth="true" hidden="false" outlineLevel="0" max="98" min="98" style="372" width="6.66"/>
    <col collapsed="false" customWidth="true" hidden="false" outlineLevel="0" max="99" min="99" style="372" width="6.32"/>
    <col collapsed="false" customWidth="true" hidden="false" outlineLevel="0" max="100" min="100" style="372" width="6.15"/>
    <col collapsed="false" customWidth="true" hidden="false" outlineLevel="0" max="101" min="101" style="372" width="5.99"/>
    <col collapsed="false" customWidth="true" hidden="false" outlineLevel="0" max="102" min="102" style="372" width="6.82"/>
    <col collapsed="false" customWidth="true" hidden="false" outlineLevel="0" max="104" min="103" style="372" width="6.5"/>
    <col collapsed="false" customWidth="true" hidden="false" outlineLevel="0" max="105" min="105" style="372" width="6.15"/>
    <col collapsed="false" customWidth="true" hidden="false" outlineLevel="0" max="106" min="106" style="372" width="6.32"/>
    <col collapsed="false" customWidth="true" hidden="false" outlineLevel="0" max="107" min="107" style="372" width="6.66"/>
    <col collapsed="false" customWidth="true" hidden="false" outlineLevel="0" max="109" min="108" style="372" width="6.5"/>
    <col collapsed="false" customWidth="true" hidden="false" outlineLevel="0" max="110" min="110" style="372" width="6.32"/>
    <col collapsed="false" customWidth="true" hidden="false" outlineLevel="0" max="111" min="111" style="372" width="11.15"/>
    <col collapsed="false" customWidth="false" hidden="false" outlineLevel="0" max="257" min="112" style="372" width="8.82"/>
  </cols>
  <sheetData>
    <row r="1" customFormat="false" ht="13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373" t="s">
        <v>313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374"/>
      <c r="BB1" s="374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G1" s="1"/>
      <c r="CH1" s="1"/>
      <c r="CI1" s="1"/>
      <c r="CJ1" s="1"/>
      <c r="CK1" s="1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</row>
    <row r="2" customFormat="false" ht="13" hidden="false" customHeight="fals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75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374"/>
      <c r="BB2" s="374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G2" s="1"/>
    </row>
    <row r="3" customFormat="false" ht="14.25" hidden="false" customHeight="true" outlineLevel="0" collapsed="false">
      <c r="B3" s="341" t="s">
        <v>314</v>
      </c>
      <c r="C3" s="1"/>
      <c r="D3" s="1"/>
      <c r="E3" s="1"/>
      <c r="F3" s="1"/>
      <c r="G3" s="1"/>
      <c r="J3" s="1"/>
      <c r="K3" s="341" t="s">
        <v>315</v>
      </c>
      <c r="M3" s="1"/>
      <c r="N3" s="1"/>
      <c r="O3" s="1"/>
      <c r="P3" s="1"/>
      <c r="Q3" s="1"/>
      <c r="R3" s="1"/>
      <c r="S3" s="1"/>
      <c r="T3" s="1"/>
      <c r="U3" s="1"/>
      <c r="V3" s="1"/>
      <c r="W3" s="376" t="s">
        <v>316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374"/>
      <c r="BB3" s="374"/>
      <c r="BC3" s="1"/>
      <c r="BD3" s="1"/>
      <c r="BE3" s="1"/>
      <c r="BF3" s="1"/>
      <c r="BG3" s="1" t="s">
        <v>317</v>
      </c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372"/>
      <c r="CH3" s="372"/>
      <c r="CI3" s="372"/>
      <c r="CJ3" s="1"/>
      <c r="CK3" s="1" t="s">
        <v>318</v>
      </c>
      <c r="CL3" s="1"/>
      <c r="CM3" s="1"/>
      <c r="CN3" s="1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</row>
    <row r="4" customFormat="false" ht="13" hidden="false" customHeight="false" outlineLevel="0" collapsed="fals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T4" s="359"/>
    </row>
    <row r="5" customFormat="false" ht="18.75" hidden="false" customHeight="true" outlineLevel="0" collapsed="false">
      <c r="B5" s="377"/>
      <c r="C5" s="148"/>
      <c r="D5" s="148"/>
      <c r="E5" s="149"/>
      <c r="H5" s="378" t="s">
        <v>96</v>
      </c>
      <c r="I5" s="378" t="s">
        <v>223</v>
      </c>
      <c r="J5" s="379" t="s">
        <v>319</v>
      </c>
      <c r="K5" s="380" t="s">
        <v>320</v>
      </c>
      <c r="L5" s="380" t="s">
        <v>321</v>
      </c>
      <c r="M5" s="381" t="s">
        <v>322</v>
      </c>
      <c r="N5" s="381"/>
      <c r="O5" s="381"/>
      <c r="P5" s="380" t="s">
        <v>323</v>
      </c>
      <c r="Q5" s="382" t="s">
        <v>324</v>
      </c>
      <c r="R5" s="382"/>
      <c r="S5" s="382"/>
      <c r="T5" s="378" t="s">
        <v>323</v>
      </c>
      <c r="U5" s="372"/>
      <c r="V5" s="372"/>
      <c r="W5" s="378" t="s">
        <v>96</v>
      </c>
      <c r="X5" s="378" t="s">
        <v>223</v>
      </c>
      <c r="Y5" s="378" t="s">
        <v>319</v>
      </c>
      <c r="Z5" s="378" t="s">
        <v>230</v>
      </c>
      <c r="AA5" s="378" t="s">
        <v>231</v>
      </c>
      <c r="AB5" s="378" t="s">
        <v>143</v>
      </c>
      <c r="AC5" s="383" t="s">
        <v>232</v>
      </c>
      <c r="AD5" s="380" t="s">
        <v>325</v>
      </c>
      <c r="AE5" s="384" t="s">
        <v>326</v>
      </c>
      <c r="AF5" s="384"/>
      <c r="AG5" s="384"/>
      <c r="AH5" s="384"/>
      <c r="AI5" s="384"/>
      <c r="AJ5" s="384"/>
      <c r="AK5" s="384"/>
      <c r="AL5" s="384"/>
      <c r="AM5" s="384"/>
      <c r="AN5" s="384"/>
      <c r="AO5" s="384"/>
      <c r="AP5" s="384"/>
      <c r="AQ5" s="384"/>
      <c r="AR5" s="384"/>
      <c r="AS5" s="384"/>
      <c r="AT5" s="384"/>
      <c r="AU5" s="384"/>
      <c r="AV5" s="384"/>
      <c r="AW5" s="384"/>
      <c r="AX5" s="384"/>
      <c r="AY5" s="384"/>
      <c r="AZ5" s="384"/>
      <c r="BA5" s="383" t="s">
        <v>327</v>
      </c>
      <c r="BB5" s="383" t="s">
        <v>328</v>
      </c>
      <c r="BC5" s="378" t="s">
        <v>329</v>
      </c>
      <c r="BD5" s="383" t="s">
        <v>328</v>
      </c>
      <c r="BG5" s="378" t="s">
        <v>96</v>
      </c>
      <c r="BH5" s="379" t="s">
        <v>319</v>
      </c>
      <c r="BI5" s="380" t="s">
        <v>325</v>
      </c>
      <c r="BJ5" s="385" t="s">
        <v>330</v>
      </c>
      <c r="BK5" s="386" t="s">
        <v>326</v>
      </c>
      <c r="BL5" s="386"/>
      <c r="BM5" s="386"/>
      <c r="BN5" s="386"/>
      <c r="BO5" s="386"/>
      <c r="BP5" s="386"/>
      <c r="BQ5" s="386"/>
      <c r="BR5" s="386"/>
      <c r="BS5" s="386"/>
      <c r="BT5" s="386"/>
      <c r="BU5" s="386"/>
      <c r="BV5" s="386"/>
      <c r="BW5" s="386"/>
      <c r="BX5" s="386"/>
      <c r="BY5" s="386"/>
      <c r="BZ5" s="386"/>
      <c r="CA5" s="386"/>
      <c r="CB5" s="386"/>
      <c r="CC5" s="386"/>
      <c r="CD5" s="386"/>
      <c r="CE5" s="386"/>
      <c r="CF5" s="386"/>
      <c r="CG5" s="386"/>
      <c r="CH5" s="386"/>
      <c r="CI5" s="378" t="s">
        <v>331</v>
      </c>
      <c r="CK5" s="378" t="s">
        <v>96</v>
      </c>
      <c r="CL5" s="379" t="s">
        <v>319</v>
      </c>
      <c r="CM5" s="380" t="s">
        <v>325</v>
      </c>
      <c r="CN5" s="383" t="s">
        <v>332</v>
      </c>
      <c r="CO5" s="386" t="s">
        <v>326</v>
      </c>
      <c r="CP5" s="386"/>
      <c r="CQ5" s="386"/>
      <c r="CR5" s="386"/>
      <c r="CS5" s="386"/>
      <c r="CT5" s="386"/>
      <c r="CU5" s="386"/>
      <c r="CV5" s="386"/>
      <c r="CW5" s="386"/>
      <c r="CX5" s="386"/>
      <c r="CY5" s="386"/>
      <c r="CZ5" s="386"/>
      <c r="DA5" s="386"/>
      <c r="DB5" s="386"/>
      <c r="DC5" s="386"/>
      <c r="DD5" s="386"/>
      <c r="DE5" s="386"/>
      <c r="DF5" s="386"/>
      <c r="DG5" s="386"/>
      <c r="DH5" s="386"/>
      <c r="DI5" s="386"/>
      <c r="DJ5" s="386"/>
      <c r="DK5" s="378" t="s">
        <v>333</v>
      </c>
    </row>
    <row r="6" customFormat="false" ht="33.75" hidden="false" customHeight="true" outlineLevel="0" collapsed="false">
      <c r="B6" s="387" t="s">
        <v>91</v>
      </c>
      <c r="C6" s="78"/>
      <c r="D6" s="153"/>
      <c r="E6" s="73"/>
      <c r="H6" s="378"/>
      <c r="I6" s="378"/>
      <c r="J6" s="379"/>
      <c r="K6" s="380"/>
      <c r="L6" s="380"/>
      <c r="M6" s="360" t="s">
        <v>137</v>
      </c>
      <c r="N6" s="388" t="s">
        <v>138</v>
      </c>
      <c r="O6" s="388" t="s">
        <v>274</v>
      </c>
      <c r="P6" s="380"/>
      <c r="Q6" s="360" t="s">
        <v>137</v>
      </c>
      <c r="R6" s="388" t="s">
        <v>138</v>
      </c>
      <c r="S6" s="388" t="s">
        <v>274</v>
      </c>
      <c r="T6" s="378"/>
      <c r="U6" s="372"/>
      <c r="V6" s="372"/>
      <c r="W6" s="378"/>
      <c r="X6" s="378"/>
      <c r="Y6" s="378"/>
      <c r="Z6" s="378"/>
      <c r="AA6" s="378"/>
      <c r="AB6" s="378"/>
      <c r="AC6" s="383"/>
      <c r="AD6" s="380"/>
      <c r="AE6" s="389" t="s">
        <v>334</v>
      </c>
      <c r="AF6" s="390" t="n">
        <v>1</v>
      </c>
      <c r="AG6" s="390" t="n">
        <v>2</v>
      </c>
      <c r="AH6" s="390" t="n">
        <v>3</v>
      </c>
      <c r="AI6" s="390" t="n">
        <v>4</v>
      </c>
      <c r="AJ6" s="390" t="n">
        <v>5</v>
      </c>
      <c r="AK6" s="390" t="n">
        <v>6</v>
      </c>
      <c r="AL6" s="390" t="n">
        <v>7</v>
      </c>
      <c r="AM6" s="390" t="n">
        <v>8</v>
      </c>
      <c r="AN6" s="390" t="n">
        <v>9</v>
      </c>
      <c r="AO6" s="390" t="n">
        <v>10</v>
      </c>
      <c r="AP6" s="390" t="n">
        <v>11</v>
      </c>
      <c r="AQ6" s="390" t="n">
        <v>12</v>
      </c>
      <c r="AR6" s="390" t="n">
        <v>13</v>
      </c>
      <c r="AS6" s="390" t="n">
        <v>14</v>
      </c>
      <c r="AT6" s="390" t="n">
        <v>15</v>
      </c>
      <c r="AU6" s="390" t="n">
        <v>16</v>
      </c>
      <c r="AV6" s="390" t="n">
        <v>17</v>
      </c>
      <c r="AW6" s="390" t="n">
        <v>18</v>
      </c>
      <c r="AX6" s="390" t="n">
        <v>19</v>
      </c>
      <c r="AY6" s="390" t="n">
        <v>20</v>
      </c>
      <c r="AZ6" s="391" t="n">
        <v>21</v>
      </c>
      <c r="BA6" s="383"/>
      <c r="BB6" s="383"/>
      <c r="BC6" s="378"/>
      <c r="BD6" s="383"/>
      <c r="BG6" s="378"/>
      <c r="BH6" s="379"/>
      <c r="BI6" s="380"/>
      <c r="BJ6" s="385"/>
      <c r="BK6" s="392" t="s">
        <v>335</v>
      </c>
      <c r="BL6" s="393" t="s">
        <v>334</v>
      </c>
      <c r="BM6" s="392" t="s">
        <v>336</v>
      </c>
      <c r="BN6" s="394" t="n">
        <v>1</v>
      </c>
      <c r="BO6" s="394" t="n">
        <v>2</v>
      </c>
      <c r="BP6" s="394" t="n">
        <v>3</v>
      </c>
      <c r="BQ6" s="394" t="n">
        <v>4</v>
      </c>
      <c r="BR6" s="394" t="n">
        <v>5</v>
      </c>
      <c r="BS6" s="394" t="n">
        <v>6</v>
      </c>
      <c r="BT6" s="394" t="n">
        <v>7</v>
      </c>
      <c r="BU6" s="394" t="n">
        <v>8</v>
      </c>
      <c r="BV6" s="394" t="n">
        <v>9</v>
      </c>
      <c r="BW6" s="394" t="n">
        <v>10</v>
      </c>
      <c r="BX6" s="394" t="n">
        <v>11</v>
      </c>
      <c r="BY6" s="394" t="n">
        <v>12</v>
      </c>
      <c r="BZ6" s="394" t="n">
        <v>13</v>
      </c>
      <c r="CA6" s="394" t="n">
        <v>14</v>
      </c>
      <c r="CB6" s="394" t="n">
        <v>15</v>
      </c>
      <c r="CC6" s="394" t="n">
        <v>16</v>
      </c>
      <c r="CD6" s="394" t="n">
        <v>17</v>
      </c>
      <c r="CE6" s="394" t="n">
        <v>18</v>
      </c>
      <c r="CF6" s="394" t="n">
        <v>19</v>
      </c>
      <c r="CG6" s="394" t="n">
        <v>20</v>
      </c>
      <c r="CH6" s="395" t="n">
        <v>21</v>
      </c>
      <c r="CI6" s="378"/>
      <c r="CK6" s="378"/>
      <c r="CL6" s="379"/>
      <c r="CM6" s="380"/>
      <c r="CN6" s="383"/>
      <c r="CO6" s="396" t="s">
        <v>336</v>
      </c>
      <c r="CP6" s="390" t="n">
        <v>1</v>
      </c>
      <c r="CQ6" s="390" t="n">
        <v>2</v>
      </c>
      <c r="CR6" s="390" t="n">
        <v>3</v>
      </c>
      <c r="CS6" s="390" t="n">
        <v>4</v>
      </c>
      <c r="CT6" s="390" t="n">
        <v>5</v>
      </c>
      <c r="CU6" s="390" t="n">
        <v>6</v>
      </c>
      <c r="CV6" s="390" t="n">
        <v>7</v>
      </c>
      <c r="CW6" s="390" t="n">
        <v>8</v>
      </c>
      <c r="CX6" s="390" t="n">
        <v>9</v>
      </c>
      <c r="CY6" s="390" t="n">
        <v>10</v>
      </c>
      <c r="CZ6" s="390" t="n">
        <v>11</v>
      </c>
      <c r="DA6" s="390" t="n">
        <v>12</v>
      </c>
      <c r="DB6" s="390" t="n">
        <v>13</v>
      </c>
      <c r="DC6" s="390" t="n">
        <v>14</v>
      </c>
      <c r="DD6" s="390" t="n">
        <v>15</v>
      </c>
      <c r="DE6" s="390" t="n">
        <v>16</v>
      </c>
      <c r="DF6" s="390" t="n">
        <v>17</v>
      </c>
      <c r="DG6" s="390" t="n">
        <v>18</v>
      </c>
      <c r="DH6" s="390" t="n">
        <v>19</v>
      </c>
      <c r="DI6" s="390" t="n">
        <v>20</v>
      </c>
      <c r="DJ6" s="397" t="n">
        <v>21</v>
      </c>
      <c r="DK6" s="378"/>
    </row>
    <row r="7" customFormat="false" ht="14" hidden="false" customHeight="false" outlineLevel="0" collapsed="false">
      <c r="B7" s="398"/>
      <c r="C7" s="71" t="s">
        <v>99</v>
      </c>
      <c r="D7" s="399" t="n">
        <f aca="false">'Input-Detail'!AZ10</f>
        <v>7</v>
      </c>
      <c r="E7" s="73"/>
      <c r="H7" s="400" t="s">
        <v>114</v>
      </c>
      <c r="I7" s="401" t="n">
        <f aca="false">'Input-Detail'!E14</f>
        <v>19016173</v>
      </c>
      <c r="J7" s="402" t="n">
        <f aca="false">'Input-Detail'!F14</f>
        <v>0</v>
      </c>
      <c r="K7" s="403" t="n">
        <f aca="false">AD7</f>
        <v>5740</v>
      </c>
      <c r="L7" s="403" t="n">
        <f aca="false">0</f>
        <v>0</v>
      </c>
      <c r="M7" s="404"/>
      <c r="N7" s="405"/>
      <c r="O7" s="405"/>
      <c r="P7" s="406"/>
      <c r="Q7" s="404"/>
      <c r="R7" s="405"/>
      <c r="S7" s="405"/>
      <c r="T7" s="407"/>
      <c r="U7" s="372"/>
      <c r="V7" s="372"/>
      <c r="W7" s="400" t="s">
        <v>114</v>
      </c>
      <c r="X7" s="401" t="n">
        <f aca="false">'Input-Detail'!E14</f>
        <v>19016173</v>
      </c>
      <c r="Y7" s="402" t="n">
        <f aca="false">J7</f>
        <v>0</v>
      </c>
      <c r="Z7" s="408" t="n">
        <f aca="false">'Input-Detail'!V18</f>
        <v>8200</v>
      </c>
      <c r="AA7" s="409" t="n">
        <f aca="false">'Input-Detail'!W18</f>
        <v>2319.04548780488</v>
      </c>
      <c r="AB7" s="408" t="n">
        <f aca="false">'Input-Detail'!X18</f>
        <v>2</v>
      </c>
      <c r="AC7" s="410" t="n">
        <f aca="false">'Input-Detail'!Y18</f>
        <v>0.7</v>
      </c>
      <c r="AD7" s="411" t="n">
        <f aca="false">Z7*AC7</f>
        <v>5740</v>
      </c>
      <c r="AE7" s="412" t="n">
        <f aca="false">Peak_Time_Eve*$BI7*(3600/K40+BL7)/3600</f>
        <v>32.9464087601818</v>
      </c>
      <c r="AF7" s="413"/>
      <c r="AG7" s="413"/>
      <c r="AH7" s="413"/>
      <c r="AI7" s="413"/>
      <c r="AJ7" s="413"/>
      <c r="AK7" s="413"/>
      <c r="AL7" s="413"/>
      <c r="AM7" s="413"/>
      <c r="AN7" s="413"/>
      <c r="AO7" s="413"/>
      <c r="AP7" s="413"/>
      <c r="AQ7" s="413"/>
      <c r="AR7" s="413"/>
      <c r="AS7" s="413"/>
      <c r="AT7" s="413"/>
      <c r="AU7" s="413"/>
      <c r="AV7" s="413"/>
      <c r="AW7" s="413"/>
      <c r="AX7" s="413"/>
      <c r="AY7" s="413"/>
      <c r="AZ7" s="414"/>
      <c r="BA7" s="415"/>
      <c r="BB7" s="416"/>
      <c r="BC7" s="417"/>
      <c r="BD7" s="417"/>
      <c r="BG7" s="400" t="s">
        <v>114</v>
      </c>
      <c r="BH7" s="402" t="n">
        <f aca="false">$Y7</f>
        <v>0</v>
      </c>
      <c r="BI7" s="418" t="n">
        <f aca="false">$AD7</f>
        <v>5740</v>
      </c>
      <c r="BJ7" s="419" t="n">
        <f aca="false">BI7*(1-BH7)</f>
        <v>5740</v>
      </c>
      <c r="BK7" s="420" t="n">
        <f aca="false">Peak_Arrival_Manual/K40</f>
        <v>10.4834722222222</v>
      </c>
      <c r="BL7" s="421" t="n">
        <f aca="false">900*Peak_Time_Eve*(BK7/Total_Lanes-1+SQRT((BK7/Total_Lanes-1)^2+8*(BK7/Total_Lanes)/(Peak_Time_Eve*$K40*Total_Lanes)))</f>
        <v>3.75662644047512</v>
      </c>
      <c r="BM7" s="422" t="n">
        <f aca="false">Peak_Arrival_Manual/N40</f>
        <v>10.4834722222222</v>
      </c>
      <c r="BN7" s="423" t="n">
        <f aca="false">IF(BN$6&lt;Total_Lanes,900*Peak_Time_Eve*(($BM7/(Total_Lanes-BN$6))-1+SQRT((($BM7/(Total_Lanes-BN$6))-1)^2+8*($BM7/(Total_Lanes-BN$6))/(Peak_Time_Eve*$N40*(Total_Lanes-BN$6)))),"-")</f>
        <v>11.3671393917207</v>
      </c>
      <c r="BO7" s="423" t="n">
        <f aca="false">IF(BO$6&lt;Total_Lanes,900*Peak_Time_Eve*(($BM7/(Total_Lanes-BO$6))-1+SQRT((($BM7/(Total_Lanes-BO$6))-1)^2+8*($BM7/(Total_Lanes-BO$6))/(Peak_Time_Eve*$N40*(Total_Lanes-BO$6)))),"-")</f>
        <v>187.29856830192</v>
      </c>
      <c r="BP7" s="423" t="n">
        <f aca="false">IF(BP$6&lt;Total_Lanes,900*Peak_Time_Eve*(($BM7/(Total_Lanes-BP$6))-1+SQRT((($BM7/(Total_Lanes-BP$6))-1)^2+8*($BM7/(Total_Lanes-BP$6))/(Peak_Time_Eve*$N40*(Total_Lanes-BP$6)))),"-")</f>
        <v>598.507460919182</v>
      </c>
      <c r="BQ7" s="423" t="n">
        <f aca="false">IF(BQ$6&lt;Total_Lanes,900*Peak_Time_Eve*(($BM7/(Total_Lanes-BQ$6))-1+SQRT((($BM7/(Total_Lanes-BQ$6))-1)^2+8*($BM7/(Total_Lanes-BQ$6))/(Peak_Time_Eve*$N40*(Total_Lanes-BQ$6)))),"-")</f>
        <v>1121.02117390371</v>
      </c>
      <c r="BR7" s="423" t="n">
        <f aca="false">IF(BR$6&lt;Total_Lanes,900*Peak_Time_Eve*(($BM7/(Total_Lanes-BR$6))-1+SQRT((($BM7/(Total_Lanes-BR$6))-1)^2+8*($BM7/(Total_Lanes-BR$6))/(Peak_Time_Eve*$N40*(Total_Lanes-BR$6)))),"-")</f>
        <v>1794.3223239832</v>
      </c>
      <c r="BS7" s="423" t="n">
        <f aca="false">IF(BS$6&lt;Total_Lanes,900*Peak_Time_Eve*(($BM7/(Total_Lanes-BS$6))-1+SQRT((($BM7/(Total_Lanes-BS$6))-1)^2+8*($BM7/(Total_Lanes-BS$6))/(Peak_Time_Eve*$N40*(Total_Lanes-BS$6)))),"-")</f>
        <v>2692.64322798053</v>
      </c>
      <c r="BT7" s="423" t="n">
        <f aca="false">IF(BT$6&lt;Total_Lanes,900*Peak_Time_Eve*(($BM7/(Total_Lanes-BT$6))-1+SQRT((($BM7/(Total_Lanes-BT$6))-1)^2+8*($BM7/(Total_Lanes-BT$6))/(Peak_Time_Eve*$N40*(Total_Lanes-BT$6)))),"-")</f>
        <v>3950.612458917</v>
      </c>
      <c r="BU7" s="423" t="n">
        <f aca="false">IF(BU$6&lt;Total_Lanes,900*Peak_Time_Eve*(($BM7/(Total_Lanes-BU$6))-1+SQRT((($BM7/(Total_Lanes-BU$6))-1)^2+8*($BM7/(Total_Lanes-BU$6))/(Peak_Time_Eve*$N40*(Total_Lanes-BU$6)))),"-")</f>
        <v>5837.78165755051</v>
      </c>
      <c r="BV7" s="423" t="n">
        <f aca="false">IF(BV$6&lt;Total_Lanes,900*Peak_Time_Eve*(($BM7/(Total_Lanes-BV$6))-1+SQRT((($BM7/(Total_Lanes-BV$6))-1)^2+8*($BM7/(Total_Lanes-BV$6))/(Peak_Time_Eve*$N40*(Total_Lanes-BV$6)))),"-")</f>
        <v>8983.23588718928</v>
      </c>
      <c r="BW7" s="423" t="n">
        <f aca="false">IF(BW$6&lt;Total_Lanes,900*Peak_Time_Eve*(($BM7/(Total_Lanes-BW$6))-1+SQRT((($BM7/(Total_Lanes-BW$6))-1)^2+8*($BM7/(Total_Lanes-BW$6))/(Peak_Time_Eve*$N40*(Total_Lanes-BW$6)))),"-")</f>
        <v>15274.3114561941</v>
      </c>
      <c r="BX7" s="423" t="n">
        <f aca="false">IF(BX$6&lt;Total_Lanes,900*Peak_Time_Eve*(($BM7/(Total_Lanes-BX$6))-1+SQRT((($BM7/(Total_Lanes-BX$6))-1)^2+8*($BM7/(Total_Lanes-BX$6))/(Peak_Time_Eve*$N40*(Total_Lanes-BX$6)))),"-")</f>
        <v>34147.7667647407</v>
      </c>
      <c r="BY7" s="413" t="str">
        <f aca="false">IF(BY$6&lt;Total_Lanes,900*Peak_Time_Eve*(($BM7/(Total_Lanes-BY$6))-1+SQRT((($BM7/(Total_Lanes-BY$6))-1)^2+8*($BM7/(Total_Lanes-BY$6))/(Peak_Time_Eve*$N40*(Total_Lanes-BY$6)))),"-")</f>
        <v>-</v>
      </c>
      <c r="BZ7" s="413" t="str">
        <f aca="false">IF(BZ$6&lt;Total_Lanes,900*Peak_Time_Eve*(($BM7/(Total_Lanes-BZ$6))-1+SQRT((($BM7/(Total_Lanes-BZ$6))-1)^2+8*($BM7/(Total_Lanes-BZ$6))/(Peak_Time_Eve*$N40*(Total_Lanes-BZ$6)))),"-")</f>
        <v>-</v>
      </c>
      <c r="CA7" s="413" t="str">
        <f aca="false">IF(CA$6&lt;Total_Lanes,900*Peak_Time_Eve*(($BM7/(Total_Lanes-CA$6))-1+SQRT((($BM7/(Total_Lanes-CA$6))-1)^2+8*($BM7/(Total_Lanes-CA$6))/(Peak_Time_Eve*$N40*(Total_Lanes-CA$6)))),"-")</f>
        <v>-</v>
      </c>
      <c r="CB7" s="413" t="str">
        <f aca="false">IF(CB$6&lt;Total_Lanes,900*Peak_Time_Eve*(($BM7/(Total_Lanes-CB$6))-1+SQRT((($BM7/(Total_Lanes-CB$6))-1)^2+8*($BM7/(Total_Lanes-CB$6))/(Peak_Time_Eve*$N40*(Total_Lanes-CB$6)))),"-")</f>
        <v>-</v>
      </c>
      <c r="CC7" s="413" t="str">
        <f aca="false">IF(CC$6&lt;Total_Lanes,900*Peak_Time_Eve*(($BM7/(Total_Lanes-CC$6))-1+SQRT((($BM7/(Total_Lanes-CC$6))-1)^2+8*($BM7/(Total_Lanes-CC$6))/(Peak_Time_Eve*$N40*(Total_Lanes-CC$6)))),"-")</f>
        <v>-</v>
      </c>
      <c r="CD7" s="413" t="str">
        <f aca="false">IF(CD$6&lt;Total_Lanes,900*Peak_Time_Eve*(($BM7/(Total_Lanes-CD$6))-1+SQRT((($BM7/(Total_Lanes-CD$6))-1)^2+8*($BM7/(Total_Lanes-CD$6))/(Peak_Time_Eve*$N40*(Total_Lanes-CD$6)))),"-")</f>
        <v>-</v>
      </c>
      <c r="CE7" s="413" t="str">
        <f aca="false">IF(CE$6&lt;Total_Lanes,900*Peak_Time_Eve*(($BM7/(Total_Lanes-CE$6))-1+SQRT((($BM7/(Total_Lanes-CE$6))-1)^2+8*($BM7/(Total_Lanes-CE$6))/(Peak_Time_Eve*$N40*(Total_Lanes-CE$6)))),"-")</f>
        <v>-</v>
      </c>
      <c r="CF7" s="413" t="str">
        <f aca="false">IF(CF$6&lt;Total_Lanes,900*Peak_Time_Eve*(($BM7/(Total_Lanes-CF$6))-1+SQRT((($BM7/(Total_Lanes-CF$6))-1)^2+8*($BM7/(Total_Lanes-CF$6))/(Peak_Time_Eve*$N40*(Total_Lanes-CF$6)))),"-")</f>
        <v>-</v>
      </c>
      <c r="CG7" s="413" t="str">
        <f aca="false">IF(CG$6&lt;Total_Lanes,900*Peak_Time_Eve*(($BM7/(Total_Lanes-CG$6))-1+SQRT((($BM7/(Total_Lanes-CG$6))-1)^2+8*($BM7/(Total_Lanes-CG$6))/(Peak_Time_Eve*$N40*(Total_Lanes-CG$6)))),"-")</f>
        <v>-</v>
      </c>
      <c r="CH7" s="424" t="str">
        <f aca="false">IF(CH$6&lt;Total_Lanes,900*Peak_Time_Eve*(($BM7/(Total_Lanes-CH$6))-1+SQRT((($BM7/(Total_Lanes-CH$6))-1)^2+8*($BM7/(Total_Lanes-CH$6))/(Peak_Time_Eve*$N40*(Total_Lanes-CH$6)))),"-")</f>
        <v>-</v>
      </c>
      <c r="CI7" s="425" t="n">
        <f aca="false">3600/N40</f>
        <v>6.575</v>
      </c>
      <c r="CK7" s="400" t="s">
        <v>114</v>
      </c>
      <c r="CL7" s="402" t="n">
        <f aca="false">$Y7</f>
        <v>0</v>
      </c>
      <c r="CM7" s="411" t="n">
        <f aca="false">$AD7</f>
        <v>5740</v>
      </c>
      <c r="CN7" s="426" t="n">
        <f aca="false">CM7*CL7</f>
        <v>0</v>
      </c>
      <c r="CO7" s="427"/>
      <c r="CP7" s="428"/>
      <c r="CQ7" s="429"/>
      <c r="CR7" s="429"/>
      <c r="CS7" s="429"/>
      <c r="CT7" s="429"/>
      <c r="CU7" s="429"/>
      <c r="CV7" s="429"/>
      <c r="CW7" s="429"/>
      <c r="CX7" s="429"/>
      <c r="CY7" s="429"/>
      <c r="CZ7" s="429"/>
      <c r="DA7" s="429"/>
      <c r="DB7" s="429"/>
      <c r="DC7" s="429"/>
      <c r="DD7" s="429"/>
      <c r="DE7" s="429"/>
      <c r="DF7" s="429"/>
      <c r="DG7" s="429"/>
      <c r="DH7" s="429"/>
      <c r="DI7" s="429"/>
      <c r="DJ7" s="430"/>
      <c r="DK7" s="425"/>
    </row>
    <row r="8" customFormat="false" ht="13" hidden="false" customHeight="false" outlineLevel="0" collapsed="false">
      <c r="B8" s="398"/>
      <c r="C8" s="71" t="s">
        <v>109</v>
      </c>
      <c r="D8" s="399" t="n">
        <f aca="false">'Input-Detail'!AZ11</f>
        <v>4.5</v>
      </c>
      <c r="E8" s="73"/>
      <c r="H8" s="400" t="n">
        <v>1</v>
      </c>
      <c r="I8" s="401" t="n">
        <f aca="false">'Input-Detail'!E15</f>
        <v>19565364.35</v>
      </c>
      <c r="J8" s="402" t="n">
        <f aca="false">'Input-Detail'!F15</f>
        <v>0.0495</v>
      </c>
      <c r="K8" s="403" t="n">
        <f aca="false">AD8</f>
        <v>5905.7724900273</v>
      </c>
      <c r="L8" s="431" t="n">
        <f aca="false">IF(AD8&gt;AD56,BC8,BC56)</f>
        <v>1</v>
      </c>
      <c r="M8" s="412" t="n">
        <f aca="false">AE56</f>
        <v>9.72022882694747</v>
      </c>
      <c r="N8" s="427" t="n">
        <f aca="false">AE8</f>
        <v>32.0543806372458</v>
      </c>
      <c r="O8" s="427" t="n">
        <f aca="false">SUM(M8:N8)</f>
        <v>41.7746094641932</v>
      </c>
      <c r="P8" s="432" t="n">
        <f aca="false">$S$34*O8</f>
        <v>10861.3984606902</v>
      </c>
      <c r="Q8" s="412" t="n">
        <f aca="false">SUMIF($AF$54:$AZ$54,L8,$AF56:$AZ56)</f>
        <v>9.36716738249709</v>
      </c>
      <c r="R8" s="427" t="n">
        <f aca="false">SUMIF($AF$6:$AZ$6,$L8,$AF8:$AZ8)</f>
        <v>46.6575260056746</v>
      </c>
      <c r="S8" s="427" t="n">
        <f aca="false">SUM(Q8:R8)</f>
        <v>56.0246933881717</v>
      </c>
      <c r="T8" s="433" t="n">
        <f aca="false">$S$34*S8</f>
        <v>14566.4202809246</v>
      </c>
      <c r="U8" s="372"/>
      <c r="V8" s="372"/>
      <c r="W8" s="400" t="n">
        <v>1</v>
      </c>
      <c r="X8" s="408" t="n">
        <f aca="false">X$7+(X$27-X$7)*$W8/20</f>
        <v>19565364.35</v>
      </c>
      <c r="Y8" s="402" t="n">
        <f aca="false">J8</f>
        <v>0.0495</v>
      </c>
      <c r="Z8" s="408" t="n">
        <f aca="false">'Input-Detail'!E15/AA8</f>
        <v>8436.81784289615</v>
      </c>
      <c r="AA8" s="434" t="n">
        <f aca="false">AA7</f>
        <v>2319.04548780488</v>
      </c>
      <c r="AB8" s="434" t="n">
        <f aca="false">AB7</f>
        <v>2</v>
      </c>
      <c r="AC8" s="435" t="n">
        <f aca="false">AC7</f>
        <v>0.7</v>
      </c>
      <c r="AD8" s="411" t="n">
        <f aca="false">Z8*AC8</f>
        <v>5905.7724900273</v>
      </c>
      <c r="AE8" s="412" t="n">
        <f aca="false">Peak_Time_Eve*$BI8*(3600/K41+BL8)/3600</f>
        <v>32.0543806372458</v>
      </c>
      <c r="AF8" s="413" t="n">
        <f aca="false">IF(AF$6&lt;Total_Lanes,($BJ8*($CI8+BN8)+$CN8*CP8)*Peak_Time_Eve/3600,"-")</f>
        <v>46.6575260056746</v>
      </c>
      <c r="AG8" s="413" t="n">
        <f aca="false">IF(AG$6&lt;Total_Lanes,($BJ8*($CI8+BO8)+$CN8*CQ8)*Peak_Time_Eve/3600,"-")</f>
        <v>403.157945750823</v>
      </c>
      <c r="AH8" s="413" t="n">
        <f aca="false">IF(AH$6&lt;Total_Lanes,($BJ8*($CI8+BP8)+$CN8*CR8)*Peak_Time_Eve/3600,"-")</f>
        <v>1642.17808493561</v>
      </c>
      <c r="AI8" s="413" t="n">
        <f aca="false">IF(AI$6&lt;Total_Lanes,($BJ8*($CI8+BQ8)+$CN8*CS8)*Peak_Time_Eve/3600,"-")</f>
        <v>3239.41860744984</v>
      </c>
      <c r="AJ8" s="413" t="n">
        <f aca="false">IF(AJ$6&lt;Total_Lanes,($BJ8*($CI8+BR8)+$CN8*CT8)*Peak_Time_Eve/3600,"-")</f>
        <v>5299.09647337014</v>
      </c>
      <c r="AK8" s="413" t="n">
        <f aca="false">IF(AK$6&lt;Total_Lanes,($BJ8*($CI8+BS8)+$CN8*CU8)*Peak_Time_Eve/3600,"-")</f>
        <v>8047.50048598751</v>
      </c>
      <c r="AL8" s="413" t="n">
        <f aca="false">IF(AL$6&lt;Total_Lanes,($BJ8*($CI8+BT8)+$CN8*CV8)*Peak_Time_Eve/3600,"-")</f>
        <v>11896.3965792005</v>
      </c>
      <c r="AM8" s="413" t="n">
        <f aca="false">IF(AM$6&lt;Total_Lanes,($BJ8*($CI8+BU8)+$CN8*CW8)*Peak_Time_Eve/3600,"-")</f>
        <v>17670.4811265162</v>
      </c>
      <c r="AN8" s="413" t="n">
        <f aca="false">IF(AN$6&lt;Total_Lanes,($BJ8*($CI8+BV8)+$CN8*CX8)*Peak_Time_Eve/3600,"-")</f>
        <v>27294.536802263</v>
      </c>
      <c r="AO8" s="413" t="n">
        <f aca="false">IF(AO$6&lt;Total_Lanes,($BJ8*($CI8+BW8)+$CN8*CY8)*Peak_Time_Eve/3600,"-")</f>
        <v>46543.2049229367</v>
      </c>
      <c r="AP8" s="413" t="n">
        <f aca="false">IF(AP$6&lt;Total_Lanes,($BJ8*($CI8+BX8)+$CN8*CZ8)*Peak_Time_Eve/3600,"-")</f>
        <v>104289.963403454</v>
      </c>
      <c r="AQ8" s="413" t="str">
        <f aca="false">IF(AQ$6&lt;Total_Lanes,($BJ8*($CI8+BY8)+$CN8*DA8)*Peak_Time_Eve/3600,"-")</f>
        <v>-</v>
      </c>
      <c r="AR8" s="413" t="str">
        <f aca="false">IF(AR$6&lt;Total_Lanes,($BJ8*($CI8+BZ8)+$CN8*DB8)*Peak_Time_Eve/3600,"-")</f>
        <v>-</v>
      </c>
      <c r="AS8" s="413" t="str">
        <f aca="false">IF(AS$6&lt;Total_Lanes,($BJ8*($CI8+CA8)+$CN8*DC8)*Peak_Time_Eve/3600,"-")</f>
        <v>-</v>
      </c>
      <c r="AT8" s="413" t="str">
        <f aca="false">IF(AT$6&lt;Total_Lanes,($BJ8*($CI8+CB8)+$CN8*DD8)*Peak_Time_Eve/3600,"-")</f>
        <v>-</v>
      </c>
      <c r="AU8" s="413" t="str">
        <f aca="false">IF(AU$6&lt;Total_Lanes,($BJ8*($CI8+CC8)+$CN8*DE8)*Peak_Time_Eve/3600,"-")</f>
        <v>-</v>
      </c>
      <c r="AV8" s="413" t="str">
        <f aca="false">IF(AV$6&lt;Total_Lanes,($BJ8*($CI8+CD8)+$CN8*DF8)*Peak_Time_Eve/3600,"-")</f>
        <v>-</v>
      </c>
      <c r="AW8" s="413" t="str">
        <f aca="false">IF(AW$6&lt;Total_Lanes,($BJ8*($CI8+CE8)+$CN8*DG8)*Peak_Time_Eve/3600,"-")</f>
        <v>-</v>
      </c>
      <c r="AX8" s="413" t="str">
        <f aca="false">IF(AX$6&lt;Total_Lanes,($BJ8*($CI8+CF8)+$CN8*DH8)*Peak_Time_Eve/3600,"-")</f>
        <v>-</v>
      </c>
      <c r="AY8" s="413" t="str">
        <f aca="false">IF(AY$6&lt;Total_Lanes,($BJ8*($CI8+CG8)+$CN8*DI8)*Peak_Time_Eve/3600,"-")</f>
        <v>-</v>
      </c>
      <c r="AZ8" s="414" t="str">
        <f aca="false">IF(AZ$6&lt;Total_Lanes,($BJ8*($CI8+CH8)+$CN8*DJ8)*Peak_Time_Eve/3600,"-")</f>
        <v>-</v>
      </c>
      <c r="BA8" s="436" t="n">
        <f aca="false">SUMIF(AF8:AZ8,BB8,$AF$6:$AZ$6)</f>
        <v>1</v>
      </c>
      <c r="BB8" s="437" t="n">
        <f aca="false">MIN(AF8:AZ8)</f>
        <v>46.6575260056746</v>
      </c>
      <c r="BC8" s="436" t="n">
        <f aca="false">IF((SUMIF($BN6:$CH6,$BA8,$BN8:$CH8)+$CI8)&lt;(SUMIF($CP6:$DJ6,$BA8,$CP8:$DJ8)+$DK8),BA8+1,BA8)</f>
        <v>1</v>
      </c>
      <c r="BD8" s="437" t="n">
        <f aca="false">SUMIF($AF$6:$AZ$6,$BC8,$AF8:$AZ8)</f>
        <v>46.6575260056746</v>
      </c>
      <c r="BG8" s="400" t="n">
        <v>1</v>
      </c>
      <c r="BH8" s="402" t="n">
        <f aca="false">$Y8</f>
        <v>0.0495</v>
      </c>
      <c r="BI8" s="418" t="n">
        <f aca="false">$AD8</f>
        <v>5905.7724900273</v>
      </c>
      <c r="BJ8" s="438" t="n">
        <f aca="false">BI8*(1-BH8)</f>
        <v>5613.43675177095</v>
      </c>
      <c r="BK8" s="420" t="n">
        <f aca="false">Peak_Arrival_Manual/K41</f>
        <v>10.252318511915</v>
      </c>
      <c r="BL8" s="421" t="n">
        <f aca="false">900*Peak_Time_Eve*(BK8/Total_Lanes-1+SQRT((BK8/Total_Lanes-1)^2+8*(BK8/Total_Lanes)/(Peak_Time_Eve*$K41*Total_Lanes)))</f>
        <v>3.19474396566631</v>
      </c>
      <c r="BM8" s="422" t="n">
        <f aca="false">Peak_Arrival_Manual/N41</f>
        <v>10.2854533816303</v>
      </c>
      <c r="BN8" s="423" t="n">
        <f aca="false">IF(BN$6&lt;Total_Lanes,900*Peak_Time_Eve*(($BM8/(Total_Lanes-BN$6))-1+SQRT((($BM8/(Total_Lanes-BN$6))-1)^2+8*($BM8/(Total_Lanes-BN$6))/(Peak_Time_Eve*$N41*(Total_Lanes-BN$6)))),"-")</f>
        <v>8.33466467813802</v>
      </c>
      <c r="BO8" s="423" t="n">
        <f aca="false">IF(BO$6&lt;Total_Lanes,900*Peak_Time_Eve*(($BM8/(Total_Lanes-BO$6))-1+SQRT((($BM8/(Total_Lanes-BO$6))-1)^2+8*($BM8/(Total_Lanes-BO$6))/(Peak_Time_Eve*$N41*(Total_Lanes-BO$6)))),"-")</f>
        <v>122.673297544237</v>
      </c>
      <c r="BP8" s="423" t="n">
        <f aca="false">IF(BP$6&lt;Total_Lanes,900*Peak_Time_Eve*(($BM8/(Total_Lanes-BP$6))-1+SQRT((($BM8/(Total_Lanes-BP$6))-1)^2+8*($BM8/(Total_Lanes-BP$6))/(Peak_Time_Eve*$N41*(Total_Lanes-BP$6)))),"-")</f>
        <v>519.980326059256</v>
      </c>
      <c r="BQ8" s="423" t="n">
        <f aca="false">IF(BQ$6&lt;Total_Lanes,900*Peak_Time_Eve*(($BM8/(Total_Lanes-BQ$6))-1+SQRT((($BM8/(Total_Lanes-BQ$6))-1)^2+8*($BM8/(Total_Lanes-BQ$6))/(Peak_Time_Eve*$N41*(Total_Lanes-BQ$6)))),"-")</f>
        <v>1032.15144906716</v>
      </c>
      <c r="BR8" s="423" t="n">
        <f aca="false">IF(BR$6&lt;Total_Lanes,900*Peak_Time_Eve*(($BM8/(Total_Lanes-BR$6))-1+SQRT((($BM8/(Total_Lanes-BR$6))-1)^2+8*($BM8/(Total_Lanes-BR$6))/(Peak_Time_Eve*$N41*(Total_Lanes-BR$6)))),"-")</f>
        <v>1692.60664166912</v>
      </c>
      <c r="BS8" s="423" t="n">
        <f aca="false">IF(BS$6&lt;Total_Lanes,900*Peak_Time_Eve*(($BM8/(Total_Lanes-BS$6))-1+SQRT((($BM8/(Total_Lanes-BS$6))-1)^2+8*($BM8/(Total_Lanes-BS$6))/(Peak_Time_Eve*$N41*(Total_Lanes-BS$6)))),"-")</f>
        <v>2573.90792054708</v>
      </c>
      <c r="BT8" s="423" t="n">
        <f aca="false">IF(BT$6&lt;Total_Lanes,900*Peak_Time_Eve*(($BM8/(Total_Lanes-BT$6))-1+SQRT((($BM8/(Total_Lanes-BT$6))-1)^2+8*($BM8/(Total_Lanes-BT$6))/(Peak_Time_Eve*$N41*(Total_Lanes-BT$6)))),"-")</f>
        <v>3808.09195600124</v>
      </c>
      <c r="BU8" s="423" t="n">
        <f aca="false">IF(BU$6&lt;Total_Lanes,900*Peak_Time_Eve*(($BM8/(Total_Lanes-BU$6))-1+SQRT((($BM8/(Total_Lanes-BU$6))-1)^2+8*($BM8/(Total_Lanes-BU$6))/(Peak_Time_Eve*$N41*(Total_Lanes-BU$6)))),"-")</f>
        <v>5659.60526689552</v>
      </c>
      <c r="BV8" s="423" t="n">
        <f aca="false">IF(BV$6&lt;Total_Lanes,900*Peak_Time_Eve*(($BM8/(Total_Lanes-BV$6))-1+SQRT((($BM8/(Total_Lanes-BV$6))-1)^2+8*($BM8/(Total_Lanes-BV$6))/(Peak_Time_Eve*$N41*(Total_Lanes-BV$6)))),"-")</f>
        <v>8745.64710664066</v>
      </c>
      <c r="BW8" s="423" t="n">
        <f aca="false">IF(BW$6&lt;Total_Lanes,900*Peak_Time_Eve*(($BM8/(Total_Lanes-BW$6))-1+SQRT((($BM8/(Total_Lanes-BW$6))-1)^2+8*($BM8/(Total_Lanes-BW$6))/(Peak_Time_Eve*$N41*(Total_Lanes-BW$6)))),"-")</f>
        <v>14917.9092127748</v>
      </c>
      <c r="BX8" s="423" t="n">
        <f aca="false">IF(BX$6&lt;Total_Lanes,900*Peak_Time_Eve*(($BM8/(Total_Lanes-BX$6))-1+SQRT((($BM8/(Total_Lanes-BX$6))-1)^2+8*($BM8/(Total_Lanes-BX$6))/(Peak_Time_Eve*$N41*(Total_Lanes-BX$6)))),"-")</f>
        <v>33434.937212822</v>
      </c>
      <c r="BY8" s="413" t="str">
        <f aca="false">IF(BY$6&lt;Total_Lanes,900*Peak_Time_Eve*(($BM8/(Total_Lanes-BY$6))-1+SQRT((($BM8/(Total_Lanes-BY$6))-1)^2+8*($BM8/(Total_Lanes-BY$6))/(Peak_Time_Eve*$N41*(Total_Lanes-BY$6)))),"-")</f>
        <v>-</v>
      </c>
      <c r="BZ8" s="413" t="str">
        <f aca="false">IF(BZ$6&lt;Total_Lanes,900*Peak_Time_Eve*(($BM8/(Total_Lanes-BZ$6))-1+SQRT((($BM8/(Total_Lanes-BZ$6))-1)^2+8*($BM8/(Total_Lanes-BZ$6))/(Peak_Time_Eve*$N41*(Total_Lanes-BZ$6)))),"-")</f>
        <v>-</v>
      </c>
      <c r="CA8" s="413" t="str">
        <f aca="false">IF(CA$6&lt;Total_Lanes,900*Peak_Time_Eve*(($BM8/(Total_Lanes-CA$6))-1+SQRT((($BM8/(Total_Lanes-CA$6))-1)^2+8*($BM8/(Total_Lanes-CA$6))/(Peak_Time_Eve*$N41*(Total_Lanes-CA$6)))),"-")</f>
        <v>-</v>
      </c>
      <c r="CB8" s="413" t="str">
        <f aca="false">IF(CB$6&lt;Total_Lanes,900*Peak_Time_Eve*(($BM8/(Total_Lanes-CB$6))-1+SQRT((($BM8/(Total_Lanes-CB$6))-1)^2+8*($BM8/(Total_Lanes-CB$6))/(Peak_Time_Eve*$N41*(Total_Lanes-CB$6)))),"-")</f>
        <v>-</v>
      </c>
      <c r="CC8" s="413" t="str">
        <f aca="false">IF(CC$6&lt;Total_Lanes,900*Peak_Time_Eve*(($BM8/(Total_Lanes-CC$6))-1+SQRT((($BM8/(Total_Lanes-CC$6))-1)^2+8*($BM8/(Total_Lanes-CC$6))/(Peak_Time_Eve*$N41*(Total_Lanes-CC$6)))),"-")</f>
        <v>-</v>
      </c>
      <c r="CD8" s="413" t="str">
        <f aca="false">IF(CD$6&lt;Total_Lanes,900*Peak_Time_Eve*(($BM8/(Total_Lanes-CD$6))-1+SQRT((($BM8/(Total_Lanes-CD$6))-1)^2+8*($BM8/(Total_Lanes-CD$6))/(Peak_Time_Eve*$N41*(Total_Lanes-CD$6)))),"-")</f>
        <v>-</v>
      </c>
      <c r="CE8" s="413" t="str">
        <f aca="false">IF(CE$6&lt;Total_Lanes,900*Peak_Time_Eve*(($BM8/(Total_Lanes-CE$6))-1+SQRT((($BM8/(Total_Lanes-CE$6))-1)^2+8*($BM8/(Total_Lanes-CE$6))/(Peak_Time_Eve*$N41*(Total_Lanes-CE$6)))),"-")</f>
        <v>-</v>
      </c>
      <c r="CF8" s="413" t="str">
        <f aca="false">IF(CF$6&lt;Total_Lanes,900*Peak_Time_Eve*(($BM8/(Total_Lanes-CF$6))-1+SQRT((($BM8/(Total_Lanes-CF$6))-1)^2+8*($BM8/(Total_Lanes-CF$6))/(Peak_Time_Eve*$N41*(Total_Lanes-CF$6)))),"-")</f>
        <v>-</v>
      </c>
      <c r="CG8" s="413" t="str">
        <f aca="false">IF(CG$6&lt;Total_Lanes,900*Peak_Time_Eve*(($BM8/(Total_Lanes-CG$6))-1+SQRT((($BM8/(Total_Lanes-CG$6))-1)^2+8*($BM8/(Total_Lanes-CG$6))/(Peak_Time_Eve*$N41*(Total_Lanes-CG$6)))),"-")</f>
        <v>-</v>
      </c>
      <c r="CH8" s="424" t="str">
        <f aca="false">IF(CH$6&lt;Total_Lanes,900*Peak_Time_Eve*(($BM8/(Total_Lanes-CH$6))-1+SQRT((($BM8/(Total_Lanes-CH$6))-1)^2+8*($BM8/(Total_Lanes-CH$6))/(Peak_Time_Eve*$N41*(Total_Lanes-CH$6)))),"-")</f>
        <v>-</v>
      </c>
      <c r="CI8" s="439" t="n">
        <f aca="false">3600/N41</f>
        <v>6.59625</v>
      </c>
      <c r="CK8" s="400" t="n">
        <v>1</v>
      </c>
      <c r="CL8" s="402" t="n">
        <f aca="false">$Y8</f>
        <v>0.0495</v>
      </c>
      <c r="CM8" s="411" t="n">
        <f aca="false">$AD8</f>
        <v>5905.7724900273</v>
      </c>
      <c r="CN8" s="412" t="n">
        <f aca="false">CM8*CL8</f>
        <v>292.335738256352</v>
      </c>
      <c r="CO8" s="440" t="n">
        <f aca="false">CN8/O40</f>
        <v>0.194890492170901</v>
      </c>
      <c r="CP8" s="428" t="n">
        <f aca="false">IF(CP$6&lt;Total_Lanes,900*Peak_Time_Eve*(($CO8/CP$6-1)+SQRT(($CO8/CP$6-1)^2+8*($CO8/CP$6)/(Peak_Time_Eve*$O41*CP$6))),"-")</f>
        <v>0.580844543368841</v>
      </c>
      <c r="CQ8" s="428" t="n">
        <f aca="false">IF(CQ$6&lt;Total_Lanes,900*Peak_Time_Eve*(($CO8/CQ$6-1)+SQRT(($CO8/CQ$6-1)^2+8*($CO8/CQ$6)/(Peak_Time_Eve*$O41*CQ$6))),"-")</f>
        <v>0.129554060296688</v>
      </c>
      <c r="CR8" s="428" t="n">
        <f aca="false">IF(CR$6&lt;Total_Lanes,900*Peak_Time_Eve*(($CO8/CR$6-1)+SQRT(($CO8/CR$6-1)^2+8*($CO8/CR$6)/(Peak_Time_Eve*$O41*CR$6))),"-")</f>
        <v>0.0555806534326964</v>
      </c>
      <c r="CS8" s="428" t="n">
        <f aca="false">IF(CS$6&lt;Total_Lanes,900*Peak_Time_Eve*(($CO8/CS$6-1)+SQRT(($CO8/CS$6-1)^2+8*($CO8/CS$6)/(Peak_Time_Eve*$O41*CS$6))),"-")</f>
        <v>0.0307305862716767</v>
      </c>
      <c r="CT8" s="428" t="n">
        <f aca="false">IF(CT$6&lt;Total_Lanes,900*Peak_Time_Eve*(($CO8/CT$6-1)+SQRT(($CO8/CT$6-1)^2+8*($CO8/CT$6)/(Peak_Time_Eve*$O41*CT$6))),"-")</f>
        <v>0.0194682160072901</v>
      </c>
      <c r="CU8" s="428" t="n">
        <f aca="false">IF(CU$6&lt;Total_Lanes,900*Peak_Time_Eve*(($CO8/CU$6-1)+SQRT(($CO8/CU$6-1)^2+8*($CO8/CU$6)/(Peak_Time_Eve*$O41*CU$6))),"-")</f>
        <v>0.0134288416448802</v>
      </c>
      <c r="CV8" s="428" t="n">
        <f aca="false">IF(CV$6&lt;Total_Lanes,900*Peak_Time_Eve*(($CO8/CV$6-1)+SQRT(($CO8/CV$6-1)^2+8*($CO8/CV$6)/(Peak_Time_Eve*$O41*CV$6))),"-")</f>
        <v>0.00981900581762396</v>
      </c>
      <c r="CW8" s="428" t="n">
        <f aca="false">IF(CW$6&lt;Total_Lanes,900*Peak_Time_Eve*(($CO8/CW$6-1)+SQRT(($CO8/CW$6-1)^2+8*($CO8/CW$6)/(Peak_Time_Eve*$O41*CW$6))),"-")</f>
        <v>0.0074908651695571</v>
      </c>
      <c r="CX8" s="428" t="n">
        <f aca="false">IF(CX$6&lt;Total_Lanes,900*Peak_Time_Eve*(($CO8/CX$6-1)+SQRT(($CO8/CX$6-1)^2+8*($CO8/CX$6)/(Peak_Time_Eve*$O41*CX$6))),"-")</f>
        <v>0.00590233554411679</v>
      </c>
      <c r="CY8" s="428" t="n">
        <f aca="false">IF(CY$6&lt;Total_Lanes,900*Peak_Time_Eve*(($CO8/CY$6-1)+SQRT(($CO8/CY$6-1)^2+8*($CO8/CY$6)/(Peak_Time_Eve*$O41*CY$6))),"-")</f>
        <v>0.00477033478039068</v>
      </c>
      <c r="CZ8" s="428" t="n">
        <f aca="false">IF(CZ$6&lt;Total_Lanes,900*Peak_Time_Eve*(($CO8/CZ$6-1)+SQRT(($CO8/CZ$6-1)^2+8*($CO8/CZ$6)/(Peak_Time_Eve*$O41*CZ$6))),"-")</f>
        <v>0.00393531547069337</v>
      </c>
      <c r="DA8" s="441" t="str">
        <f aca="false">IF(DA$6&lt;Total_Lanes,900*Peak_Time_Eve*(($CO8/DA$6-1)+SQRT(($CO8/DA$6-1)^2+8*($CO8/DA$6)/(Peak_Time_Eve*$O41*DA$6))),"-")</f>
        <v>-</v>
      </c>
      <c r="DB8" s="441" t="str">
        <f aca="false">IF(DB$6&lt;Total_Lanes,900*Peak_Time_Eve*(($CO8/DB$6-1)+SQRT(($CO8/DB$6-1)^2+8*($CO8/DB$6)/(Peak_Time_Eve*$O41*DB$6))),"-")</f>
        <v>-</v>
      </c>
      <c r="DC8" s="441" t="str">
        <f aca="false">IF(DC$6&lt;Total_Lanes,900*Peak_Time_Eve*(($CO8/DC$6-1)+SQRT(($CO8/DC$6-1)^2+8*($CO8/DC$6)/(Peak_Time_Eve*$O41*DC$6))),"-")</f>
        <v>-</v>
      </c>
      <c r="DD8" s="441" t="str">
        <f aca="false">IF(DD$6&lt;Total_Lanes,900*Peak_Time_Eve*(($CO8/DD$6-1)+SQRT(($CO8/DD$6-1)^2+8*($CO8/DD$6)/(Peak_Time_Eve*$O41*DD$6))),"-")</f>
        <v>-</v>
      </c>
      <c r="DE8" s="441" t="str">
        <f aca="false">IF(DE$6&lt;Total_Lanes,900*Peak_Time_Eve*(($CO8/DE$6-1)+SQRT(($CO8/DE$6-1)^2+8*($CO8/DE$6)/(Peak_Time_Eve*$O41*DE$6))),"-")</f>
        <v>-</v>
      </c>
      <c r="DF8" s="441" t="str">
        <f aca="false">IF(DF$6&lt;Total_Lanes,900*Peak_Time_Eve*(($CO8/DF$6-1)+SQRT(($CO8/DF$6-1)^2+8*($CO8/DF$6)/(Peak_Time_Eve*$O41*DF$6))),"-")</f>
        <v>-</v>
      </c>
      <c r="DG8" s="441" t="str">
        <f aca="false">IF(DG$6&lt;Total_Lanes,900*Peak_Time_Eve*(($CO8/DG$6-1)+SQRT(($CO8/DG$6-1)^2+8*($CO8/DG$6)/(Peak_Time_Eve*$O41*DG$6))),"-")</f>
        <v>-</v>
      </c>
      <c r="DH8" s="441" t="str">
        <f aca="false">IF(DH$6&lt;Total_Lanes,900*Peak_Time_Eve*(($CO8/DH$6-1)+SQRT(($CO8/DH$6-1)^2+8*($CO8/DH$6)/(Peak_Time_Eve*$O41*DH$6))),"-")</f>
        <v>-</v>
      </c>
      <c r="DI8" s="441" t="str">
        <f aca="false">IF(DI$6&lt;Total_Lanes,900*Peak_Time_Eve*(($CO8/DI$6-1)+SQRT(($CO8/DI$6-1)^2+8*($CO8/DI$6)/(Peak_Time_Eve*$O41*DI$6))),"-")</f>
        <v>-</v>
      </c>
      <c r="DJ8" s="442" t="str">
        <f aca="false">IF(DJ$6&lt;Total_Lanes,900*Peak_Time_Eve*(($CO8/DJ$6-1)+SQRT(($CO8/DJ$6-1)^2+8*($CO8/DJ$6)/(Peak_Time_Eve*$O41*DJ$6))),"-")</f>
        <v>-</v>
      </c>
      <c r="DK8" s="439" t="n">
        <f aca="false">3600/O41</f>
        <v>2.4</v>
      </c>
    </row>
    <row r="9" customFormat="false" ht="14.25" hidden="false" customHeight="true" outlineLevel="0" collapsed="false">
      <c r="B9" s="398"/>
      <c r="C9" s="71" t="s">
        <v>337</v>
      </c>
      <c r="D9" s="399" t="n">
        <f aca="false">'Input-Detail'!AZ12</f>
        <v>2.4</v>
      </c>
      <c r="E9" s="73"/>
      <c r="H9" s="400" t="n">
        <v>2</v>
      </c>
      <c r="I9" s="401" t="n">
        <f aca="false">'Input-Detail'!E16</f>
        <v>20114555.7</v>
      </c>
      <c r="J9" s="402" t="n">
        <f aca="false">'Input-Detail'!F16</f>
        <v>0.099</v>
      </c>
      <c r="K9" s="403" t="n">
        <f aca="false">AD9</f>
        <v>6071.54498005461</v>
      </c>
      <c r="L9" s="443" t="n">
        <f aca="false">IF(AD9&gt;AD57,BC9,BC57)</f>
        <v>1</v>
      </c>
      <c r="M9" s="412" t="n">
        <f aca="false">AE57</f>
        <v>10.005676772878</v>
      </c>
      <c r="N9" s="427" t="n">
        <f aca="false">AE9</f>
        <v>31.3290171548393</v>
      </c>
      <c r="O9" s="427" t="n">
        <f aca="false">SUM(M9:N9)</f>
        <v>41.3346939277172</v>
      </c>
      <c r="P9" s="432" t="n">
        <f aca="false">$S$34*O9</f>
        <v>10747.0204212065</v>
      </c>
      <c r="Q9" s="412" t="n">
        <f aca="false">SUMIF($AF$54:$AZ$54,L9,$AF57:$AZ57)</f>
        <v>9.19508688577882</v>
      </c>
      <c r="R9" s="427" t="n">
        <f aca="false">SUMIF($AF$6:$AZ$6,$L9,$AF9:$AZ9)</f>
        <v>39.7304411897019</v>
      </c>
      <c r="S9" s="427" t="n">
        <f aca="false">SUM(Q9:R9)</f>
        <v>48.9255280754807</v>
      </c>
      <c r="T9" s="433" t="n">
        <f aca="false">$S$34*S9</f>
        <v>12720.637299625</v>
      </c>
      <c r="U9" s="372"/>
      <c r="V9" s="372"/>
      <c r="W9" s="400" t="n">
        <v>2</v>
      </c>
      <c r="X9" s="408" t="n">
        <f aca="false">X$7+(X$27-X$7)*$W9/20</f>
        <v>20114555.7</v>
      </c>
      <c r="Y9" s="402" t="n">
        <f aca="false">J9</f>
        <v>0.099</v>
      </c>
      <c r="Z9" s="408" t="n">
        <f aca="false">'Input-Detail'!E16/AA9</f>
        <v>8673.6356857923</v>
      </c>
      <c r="AA9" s="434" t="n">
        <f aca="false">AA8</f>
        <v>2319.04548780488</v>
      </c>
      <c r="AB9" s="434" t="n">
        <f aca="false">AB8</f>
        <v>2</v>
      </c>
      <c r="AC9" s="435" t="n">
        <f aca="false">AC8</f>
        <v>0.7</v>
      </c>
      <c r="AD9" s="411" t="n">
        <f aca="false">Z9*AC9</f>
        <v>6071.54498005461</v>
      </c>
      <c r="AE9" s="412" t="n">
        <f aca="false">Peak_Time_Eve*$BI9*(3600/K42+BL9)/3600</f>
        <v>31.3290171548393</v>
      </c>
      <c r="AF9" s="413" t="n">
        <f aca="false">IF(AF$6&lt;Total_Lanes,($BJ9*($CI9+BN9)+$CN9*CP9)*Peak_Time_Eve/3600,"-")</f>
        <v>39.7304411897019</v>
      </c>
      <c r="AG9" s="413" t="n">
        <f aca="false">IF(AG$6&lt;Total_Lanes,($BJ9*($CI9+BO9)+$CN9*CQ9)*Peak_Time_Eve/3600,"-")</f>
        <v>202.569239739972</v>
      </c>
      <c r="AH9" s="413" t="n">
        <f aca="false">IF(AH$6&lt;Total_Lanes,($BJ9*($CI9+BP9)+$CN9*CR9)*Peak_Time_Eve/3600,"-")</f>
        <v>1324.553779467</v>
      </c>
      <c r="AI9" s="413" t="n">
        <f aca="false">IF(AI$6&lt;Total_Lanes,($BJ9*($CI9+BQ9)+$CN9*CS9)*Peak_Time_Eve/3600,"-")</f>
        <v>2843.88434335118</v>
      </c>
      <c r="AJ9" s="413" t="n">
        <f aca="false">IF(AJ$6&lt;Total_Lanes,($BJ9*($CI9+BR9)+$CN9*CT9)*Peak_Time_Eve/3600,"-")</f>
        <v>4805.70133911038</v>
      </c>
      <c r="AK9" s="413" t="n">
        <f aca="false">IF(AK$6&lt;Total_Lanes,($BJ9*($CI9+BS9)+$CN9*CU9)*Peak_Time_Eve/3600,"-")</f>
        <v>7424.07301571435</v>
      </c>
      <c r="AL9" s="413" t="n">
        <f aca="false">IF(AL$6&lt;Total_Lanes,($BJ9*($CI9+BT9)+$CN9*CV9)*Peak_Time_Eve/3600,"-")</f>
        <v>11091.0784481968</v>
      </c>
      <c r="AM9" s="413" t="n">
        <f aca="false">IF(AM$6&lt;Total_Lanes,($BJ9*($CI9+BU9)+$CN9*CW9)*Peak_Time_Eve/3600,"-")</f>
        <v>16592.399429444</v>
      </c>
      <c r="AN9" s="413" t="n">
        <f aca="false">IF(AN$6&lt;Total_Lanes,($BJ9*($CI9+BV9)+$CN9*CX9)*Peak_Time_Eve/3600,"-")</f>
        <v>25761.8915381426</v>
      </c>
      <c r="AO9" s="413" t="n">
        <f aca="false">IF(AO$6&lt;Total_Lanes,($BJ9*($CI9+BW9)+$CN9*CY9)*Peak_Time_Eve/3600,"-")</f>
        <v>44101.4634134572</v>
      </c>
      <c r="AP9" s="413" t="n">
        <f aca="false">IF(AP$6&lt;Total_Lanes,($BJ9*($CI9+BX9)+$CN9*CZ9)*Peak_Time_Eve/3600,"-")</f>
        <v>99120.9652904979</v>
      </c>
      <c r="AQ9" s="413" t="str">
        <f aca="false">IF(AQ$6&lt;Total_Lanes,($BJ9*($CI9+BY9)+$CN9*DA9)*Peak_Time_Eve/3600,"-")</f>
        <v>-</v>
      </c>
      <c r="AR9" s="413" t="str">
        <f aca="false">IF(AR$6&lt;Total_Lanes,($BJ9*($CI9+BZ9)+$CN9*DB9)*Peak_Time_Eve/3600,"-")</f>
        <v>-</v>
      </c>
      <c r="AS9" s="413" t="str">
        <f aca="false">IF(AS$6&lt;Total_Lanes,($BJ9*($CI9+CA9)+$CN9*DC9)*Peak_Time_Eve/3600,"-")</f>
        <v>-</v>
      </c>
      <c r="AT9" s="413" t="str">
        <f aca="false">IF(AT$6&lt;Total_Lanes,($BJ9*($CI9+CB9)+$CN9*DD9)*Peak_Time_Eve/3600,"-")</f>
        <v>-</v>
      </c>
      <c r="AU9" s="413" t="str">
        <f aca="false">IF(AU$6&lt;Total_Lanes,($BJ9*($CI9+CC9)+$CN9*DE9)*Peak_Time_Eve/3600,"-")</f>
        <v>-</v>
      </c>
      <c r="AV9" s="413" t="str">
        <f aca="false">IF(AV$6&lt;Total_Lanes,($BJ9*($CI9+CD9)+$CN9*DF9)*Peak_Time_Eve/3600,"-")</f>
        <v>-</v>
      </c>
      <c r="AW9" s="413" t="str">
        <f aca="false">IF(AW$6&lt;Total_Lanes,($BJ9*($CI9+CE9)+$CN9*DG9)*Peak_Time_Eve/3600,"-")</f>
        <v>-</v>
      </c>
      <c r="AX9" s="413" t="str">
        <f aca="false">IF(AX$6&lt;Total_Lanes,($BJ9*($CI9+CF9)+$CN9*DH9)*Peak_Time_Eve/3600,"-")</f>
        <v>-</v>
      </c>
      <c r="AY9" s="413" t="str">
        <f aca="false">IF(AY$6&lt;Total_Lanes,($BJ9*($CI9+CG9)+$CN9*DI9)*Peak_Time_Eve/3600,"-")</f>
        <v>-</v>
      </c>
      <c r="AZ9" s="414" t="str">
        <f aca="false">IF(AZ$6&lt;Total_Lanes,($BJ9*($CI9+CH9)+$CN9*DJ9)*Peak_Time_Eve/3600,"-")</f>
        <v>-</v>
      </c>
      <c r="BA9" s="436" t="n">
        <f aca="false">SUMIF(AF9:AZ9,BB9,$AF$6:$AZ$6)</f>
        <v>1</v>
      </c>
      <c r="BB9" s="437" t="n">
        <f aca="false">MIN(AF9:AZ9)</f>
        <v>39.7304411897019</v>
      </c>
      <c r="BC9" s="436" t="n">
        <f aca="false">IF((SUMIF($BN7:$CH7,$BA9,$BN9:$CH9)+$CI9)&lt;(SUMIF($CP7:$DJ7,$BA9,$CP9:$DJ9)+$DK9),BA9+1,BA9)</f>
        <v>1</v>
      </c>
      <c r="BD9" s="437" t="n">
        <f aca="false">SUMIF($AF$6:$AZ$6,$BC9,$AF9:$AZ9)</f>
        <v>39.7304411897019</v>
      </c>
      <c r="BG9" s="400" t="n">
        <v>2</v>
      </c>
      <c r="BH9" s="402" t="n">
        <f aca="false">$Y9</f>
        <v>0.099</v>
      </c>
      <c r="BI9" s="418" t="n">
        <f aca="false">$AD9</f>
        <v>6071.54498005461</v>
      </c>
      <c r="BJ9" s="438" t="n">
        <f aca="false">BI9*(1-BH9)</f>
        <v>5470.4620270292</v>
      </c>
      <c r="BK9" s="420" t="n">
        <f aca="false">Peak_Arrival_Manual/K42</f>
        <v>9.99119106325472</v>
      </c>
      <c r="BL9" s="421" t="n">
        <f aca="false">900*Peak_Time_Eve*(BK9/Total_Lanes-1+SQRT((BK9/Total_Lanes-1)^2+8*(BK9/Total_Lanes)/(Peak_Time_Eve*$K42*Total_Lanes)))</f>
        <v>2.71295406506293</v>
      </c>
      <c r="BM9" s="422" t="n">
        <f aca="false">Peak_Arrival_Manual/N42</f>
        <v>10.0557729066294</v>
      </c>
      <c r="BN9" s="423" t="n">
        <f aca="false">IF(BN$6&lt;Total_Lanes,900*Peak_Time_Eve*(($BM9/(Total_Lanes-BN$6))-1+SQRT((($BM9/(Total_Lanes-BN$6))-1)^2+8*($BM9/(Total_Lanes-BN$6))/(Peak_Time_Eve*$N42*(Total_Lanes-BN$6)))),"-")</f>
        <v>6.27919519424216</v>
      </c>
      <c r="BO9" s="423" t="n">
        <f aca="false">IF(BO$6&lt;Total_Lanes,900*Peak_Time_Eve*(($BM9/(Total_Lanes-BO$6))-1+SQRT((($BM9/(Total_Lanes-BO$6))-1)^2+8*($BM9/(Total_Lanes-BO$6))/(Peak_Time_Eve*$N42*(Total_Lanes-BO$6)))),"-")</f>
        <v>60.0028177528005</v>
      </c>
      <c r="BP9" s="423" t="n">
        <f aca="false">IF(BP$6&lt;Total_Lanes,900*Peak_Time_Eve*(($BM9/(Total_Lanes-BP$6))-1+SQRT((($BM9/(Total_Lanes-BP$6))-1)^2+8*($BM9/(Total_Lanes-BP$6))/(Peak_Time_Eve*$N42*(Total_Lanes-BP$6)))),"-")</f>
        <v>429.199924678021</v>
      </c>
      <c r="BQ9" s="423" t="n">
        <f aca="false">IF(BQ$6&lt;Total_Lanes,900*Peak_Time_Eve*(($BM9/(Total_Lanes-BQ$6))-1+SQRT((($BM9/(Total_Lanes-BQ$6))-1)^2+8*($BM9/(Total_Lanes-BQ$6))/(Peak_Time_Eve*$N42*(Total_Lanes-BQ$6)))),"-")</f>
        <v>929.126435519736</v>
      </c>
      <c r="BR9" s="423" t="n">
        <f aca="false">IF(BR$6&lt;Total_Lanes,900*Peak_Time_Eve*(($BM9/(Total_Lanes-BR$6))-1+SQRT((($BM9/(Total_Lanes-BR$6))-1)^2+8*($BM9/(Total_Lanes-BR$6))/(Peak_Time_Eve*$N42*(Total_Lanes-BR$6)))),"-")</f>
        <v>1574.64514839562</v>
      </c>
      <c r="BS9" s="423" t="n">
        <f aca="false">IF(BS$6&lt;Total_Lanes,900*Peak_Time_Eve*(($BM9/(Total_Lanes-BS$6))-1+SQRT((($BM9/(Total_Lanes-BS$6))-1)^2+8*($BM9/(Total_Lanes-BS$6))/(Peak_Time_Eve*$N42*(Total_Lanes-BS$6)))),"-")</f>
        <v>2436.19521954558</v>
      </c>
      <c r="BT9" s="423" t="n">
        <f aca="false">IF(BT$6&lt;Total_Lanes,900*Peak_Time_Eve*(($BM9/(Total_Lanes-BT$6))-1+SQRT((($BM9/(Total_Lanes-BT$6))-1)^2+8*($BM9/(Total_Lanes-BT$6))/(Peak_Time_Eve*$N42*(Total_Lanes-BT$6)))),"-")</f>
        <v>3642.78699165769</v>
      </c>
      <c r="BU9" s="423" t="n">
        <f aca="false">IF(BU$6&lt;Total_Lanes,900*Peak_Time_Eve*(($BM9/(Total_Lanes-BU$6))-1+SQRT((($BM9/(Total_Lanes-BU$6))-1)^2+8*($BM9/(Total_Lanes-BU$6))/(Peak_Time_Eve*$N42*(Total_Lanes-BU$6)))),"-")</f>
        <v>5452.94136662934</v>
      </c>
      <c r="BV9" s="423" t="n">
        <f aca="false">IF(BV$6&lt;Total_Lanes,900*Peak_Time_Eve*(($BM9/(Total_Lanes-BV$6))-1+SQRT((($BM9/(Total_Lanes-BV$6))-1)^2+8*($BM9/(Total_Lanes-BV$6))/(Peak_Time_Eve*$N42*(Total_Lanes-BV$6)))),"-")</f>
        <v>8470.07003940524</v>
      </c>
      <c r="BW9" s="423" t="n">
        <f aca="false">IF(BW$6&lt;Total_Lanes,900*Peak_Time_Eve*(($BM9/(Total_Lanes-BW$6))-1+SQRT((($BM9/(Total_Lanes-BW$6))-1)^2+8*($BM9/(Total_Lanes-BW$6))/(Peak_Time_Eve*$N42*(Total_Lanes-BW$6)))),"-")</f>
        <v>14504.5202667708</v>
      </c>
      <c r="BX9" s="423" t="n">
        <f aca="false">IF(BX$6&lt;Total_Lanes,900*Peak_Time_Eve*(($BM9/(Total_Lanes-BX$6))-1+SQRT((($BM9/(Total_Lanes-BX$6))-1)^2+8*($BM9/(Total_Lanes-BX$6))/(Peak_Time_Eve*$N42*(Total_Lanes-BX$6)))),"-")</f>
        <v>32608.1290576409</v>
      </c>
      <c r="BY9" s="413" t="str">
        <f aca="false">IF(BY$6&lt;Total_Lanes,900*Peak_Time_Eve*(($BM9/(Total_Lanes-BY$6))-1+SQRT((($BM9/(Total_Lanes-BY$6))-1)^2+8*($BM9/(Total_Lanes-BY$6))/(Peak_Time_Eve*$N42*(Total_Lanes-BY$6)))),"-")</f>
        <v>-</v>
      </c>
      <c r="BZ9" s="413" t="str">
        <f aca="false">IF(BZ$6&lt;Total_Lanes,900*Peak_Time_Eve*(($BM9/(Total_Lanes-BZ$6))-1+SQRT((($BM9/(Total_Lanes-BZ$6))-1)^2+8*($BM9/(Total_Lanes-BZ$6))/(Peak_Time_Eve*$N42*(Total_Lanes-BZ$6)))),"-")</f>
        <v>-</v>
      </c>
      <c r="CA9" s="413" t="str">
        <f aca="false">IF(CA$6&lt;Total_Lanes,900*Peak_Time_Eve*(($BM9/(Total_Lanes-CA$6))-1+SQRT((($BM9/(Total_Lanes-CA$6))-1)^2+8*($BM9/(Total_Lanes-CA$6))/(Peak_Time_Eve*$N42*(Total_Lanes-CA$6)))),"-")</f>
        <v>-</v>
      </c>
      <c r="CB9" s="413" t="str">
        <f aca="false">IF(CB$6&lt;Total_Lanes,900*Peak_Time_Eve*(($BM9/(Total_Lanes-CB$6))-1+SQRT((($BM9/(Total_Lanes-CB$6))-1)^2+8*($BM9/(Total_Lanes-CB$6))/(Peak_Time_Eve*$N42*(Total_Lanes-CB$6)))),"-")</f>
        <v>-</v>
      </c>
      <c r="CC9" s="413" t="str">
        <f aca="false">IF(CC$6&lt;Total_Lanes,900*Peak_Time_Eve*(($BM9/(Total_Lanes-CC$6))-1+SQRT((($BM9/(Total_Lanes-CC$6))-1)^2+8*($BM9/(Total_Lanes-CC$6))/(Peak_Time_Eve*$N42*(Total_Lanes-CC$6)))),"-")</f>
        <v>-</v>
      </c>
      <c r="CD9" s="413" t="str">
        <f aca="false">IF(CD$6&lt;Total_Lanes,900*Peak_Time_Eve*(($BM9/(Total_Lanes-CD$6))-1+SQRT((($BM9/(Total_Lanes-CD$6))-1)^2+8*($BM9/(Total_Lanes-CD$6))/(Peak_Time_Eve*$N42*(Total_Lanes-CD$6)))),"-")</f>
        <v>-</v>
      </c>
      <c r="CE9" s="413" t="str">
        <f aca="false">IF(CE$6&lt;Total_Lanes,900*Peak_Time_Eve*(($BM9/(Total_Lanes-CE$6))-1+SQRT((($BM9/(Total_Lanes-CE$6))-1)^2+8*($BM9/(Total_Lanes-CE$6))/(Peak_Time_Eve*$N42*(Total_Lanes-CE$6)))),"-")</f>
        <v>-</v>
      </c>
      <c r="CF9" s="413" t="str">
        <f aca="false">IF(CF$6&lt;Total_Lanes,900*Peak_Time_Eve*(($BM9/(Total_Lanes-CF$6))-1+SQRT((($BM9/(Total_Lanes-CF$6))-1)^2+8*($BM9/(Total_Lanes-CF$6))/(Peak_Time_Eve*$N42*(Total_Lanes-CF$6)))),"-")</f>
        <v>-</v>
      </c>
      <c r="CG9" s="413" t="str">
        <f aca="false">IF(CG$6&lt;Total_Lanes,900*Peak_Time_Eve*(($BM9/(Total_Lanes-CG$6))-1+SQRT((($BM9/(Total_Lanes-CG$6))-1)^2+8*($BM9/(Total_Lanes-CG$6))/(Peak_Time_Eve*$N42*(Total_Lanes-CG$6)))),"-")</f>
        <v>-</v>
      </c>
      <c r="CH9" s="424" t="str">
        <f aca="false">IF(CH$6&lt;Total_Lanes,900*Peak_Time_Eve*(($BM9/(Total_Lanes-CH$6))-1+SQRT((($BM9/(Total_Lanes-CH$6))-1)^2+8*($BM9/(Total_Lanes-CH$6))/(Peak_Time_Eve*$N42*(Total_Lanes-CH$6)))),"-")</f>
        <v>-</v>
      </c>
      <c r="CI9" s="439" t="n">
        <f aca="false">3600/N42</f>
        <v>6.6175</v>
      </c>
      <c r="CK9" s="400" t="n">
        <v>2</v>
      </c>
      <c r="CL9" s="402" t="n">
        <f aca="false">$Y9</f>
        <v>0.099</v>
      </c>
      <c r="CM9" s="411" t="n">
        <f aca="false">$AD9</f>
        <v>6071.54498005461</v>
      </c>
      <c r="CN9" s="412" t="n">
        <f aca="false">CM9*CL9</f>
        <v>601.082953025406</v>
      </c>
      <c r="CO9" s="440" t="n">
        <f aca="false">CN9/O41</f>
        <v>0.400721968683604</v>
      </c>
      <c r="CP9" s="444" t="n">
        <f aca="false">IF(CP$6&lt;Total_Lanes,900*Peak_Time_Eve*(($CO9/CP$6-1)+SQRT(($CO9/CP$6-1)^2+8*($CO9/CP$6)/(Peak_Time_Eve*$O42*CP$6))),"-")</f>
        <v>1.60362692427061</v>
      </c>
      <c r="CQ9" s="444" t="n">
        <f aca="false">IF(CQ$6&lt;Total_Lanes,900*Peak_Time_Eve*(($CO9/CQ$6-1)+SQRT(($CO9/CQ$6-1)^2+8*($CO9/CQ$6)/(Peak_Time_Eve*$O42*CQ$6))),"-")</f>
        <v>0.300645752347561</v>
      </c>
      <c r="CR9" s="444" t="n">
        <f aca="false">IF(CR$6&lt;Total_Lanes,900*Peak_Time_Eve*(($CO9/CR$6-1)+SQRT(($CO9/CR$6-1)^2+8*($CO9/CR$6)/(Peak_Time_Eve*$O42*CR$6))),"-")</f>
        <v>0.12332843819125</v>
      </c>
      <c r="CS9" s="444" t="n">
        <f aca="false">IF(CS$6&lt;Total_Lanes,900*Peak_Time_Eve*(($CO9/CS$6-1)+SQRT(($CO9/CS$6-1)^2+8*($CO9/CS$6)/(Peak_Time_Eve*$O42*CS$6))),"-")</f>
        <v>0.0667990139188612</v>
      </c>
      <c r="CT9" s="444" t="n">
        <f aca="false">IF(CT$6&lt;Total_Lanes,900*Peak_Time_Eve*(($CO9/CT$6-1)+SQRT(($CO9/CT$6-1)^2+8*($CO9/CT$6)/(Peak_Time_Eve*$O42*CT$6))),"-")</f>
        <v>0.041820501947254</v>
      </c>
      <c r="CU9" s="444" t="n">
        <f aca="false">IF(CU$6&lt;Total_Lanes,900*Peak_Time_Eve*(($CO9/CU$6-1)+SQRT(($CO9/CU$6-1)^2+8*($CO9/CU$6)/(Peak_Time_Eve*$O42*CU$6))),"-")</f>
        <v>0.0286264444786744</v>
      </c>
      <c r="CV9" s="444" t="n">
        <f aca="false">IF(CV$6&lt;Total_Lanes,900*Peak_Time_Eve*(($CO9/CV$6-1)+SQRT(($CO9/CV$6-1)^2+8*($CO9/CV$6)/(Peak_Time_Eve*$O42*CV$6))),"-")</f>
        <v>0.0208188753130889</v>
      </c>
      <c r="CW9" s="444" t="n">
        <f aca="false">IF(CW$6&lt;Total_Lanes,900*Peak_Time_Eve*(($CO9/CW$6-1)+SQRT(($CO9/CW$6-1)^2+8*($CO9/CW$6)/(Peak_Time_Eve*$O42*CW$6))),"-")</f>
        <v>0.0158194020525082</v>
      </c>
      <c r="CX9" s="444" t="n">
        <f aca="false">IF(CX$6&lt;Total_Lanes,900*Peak_Time_Eve*(($CO9/CX$6-1)+SQRT(($CO9/CX$6-1)^2+8*($CO9/CX$6)/(Peak_Time_Eve*$O42*CX$6))),"-")</f>
        <v>0.0124264857138234</v>
      </c>
      <c r="CY9" s="444" t="n">
        <f aca="false">IF(CY$6&lt;Total_Lanes,900*Peak_Time_Eve*(($CO9/CY$6-1)+SQRT(($CO9/CY$6-1)^2+8*($CO9/CY$6)/(Peak_Time_Eve*$O42*CY$6))),"-")</f>
        <v>0.0100187736357116</v>
      </c>
      <c r="CZ9" s="444" t="n">
        <f aca="false">IF(CZ$6&lt;Total_Lanes,900*Peak_Time_Eve*(($CO9/CZ$6-1)+SQRT(($CO9/CZ$6-1)^2+8*($CO9/CZ$6)/(Peak_Time_Eve*$O42*CZ$6))),"-")</f>
        <v>0.00824867878281843</v>
      </c>
      <c r="DA9" s="445" t="str">
        <f aca="false">IF(DA$6&lt;Total_Lanes,900*Peak_Time_Eve*(($CO9/DA$6-1)+SQRT(($CO9/DA$6-1)^2+8*($CO9/DA$6)/(Peak_Time_Eve*$O42*DA$6))),"-")</f>
        <v>-</v>
      </c>
      <c r="DB9" s="445" t="str">
        <f aca="false">IF(DB$6&lt;Total_Lanes,900*Peak_Time_Eve*(($CO9/DB$6-1)+SQRT(($CO9/DB$6-1)^2+8*($CO9/DB$6)/(Peak_Time_Eve*$O42*DB$6))),"-")</f>
        <v>-</v>
      </c>
      <c r="DC9" s="445" t="str">
        <f aca="false">IF(DC$6&lt;Total_Lanes,900*Peak_Time_Eve*(($CO9/DC$6-1)+SQRT(($CO9/DC$6-1)^2+8*($CO9/DC$6)/(Peak_Time_Eve*$O42*DC$6))),"-")</f>
        <v>-</v>
      </c>
      <c r="DD9" s="445" t="str">
        <f aca="false">IF(DD$6&lt;Total_Lanes,900*Peak_Time_Eve*(($CO9/DD$6-1)+SQRT(($CO9/DD$6-1)^2+8*($CO9/DD$6)/(Peak_Time_Eve*$O42*DD$6))),"-")</f>
        <v>-</v>
      </c>
      <c r="DE9" s="445" t="str">
        <f aca="false">IF(DE$6&lt;Total_Lanes,900*Peak_Time_Eve*(($CO9/DE$6-1)+SQRT(($CO9/DE$6-1)^2+8*($CO9/DE$6)/(Peak_Time_Eve*$O42*DE$6))),"-")</f>
        <v>-</v>
      </c>
      <c r="DF9" s="445" t="str">
        <f aca="false">IF(DF$6&lt;Total_Lanes,900*Peak_Time_Eve*(($CO9/DF$6-1)+SQRT(($CO9/DF$6-1)^2+8*($CO9/DF$6)/(Peak_Time_Eve*$O42*DF$6))),"-")</f>
        <v>-</v>
      </c>
      <c r="DG9" s="445" t="str">
        <f aca="false">IF(DG$6&lt;Total_Lanes,900*Peak_Time_Eve*(($CO9/DG$6-1)+SQRT(($CO9/DG$6-1)^2+8*($CO9/DG$6)/(Peak_Time_Eve*$O42*DG$6))),"-")</f>
        <v>-</v>
      </c>
      <c r="DH9" s="445" t="str">
        <f aca="false">IF(DH$6&lt;Total_Lanes,900*Peak_Time_Eve*(($CO9/DH$6-1)+SQRT(($CO9/DH$6-1)^2+8*($CO9/DH$6)/(Peak_Time_Eve*$O42*DH$6))),"-")</f>
        <v>-</v>
      </c>
      <c r="DI9" s="445" t="str">
        <f aca="false">IF(DI$6&lt;Total_Lanes,900*Peak_Time_Eve*(($CO9/DI$6-1)+SQRT(($CO9/DI$6-1)^2+8*($CO9/DI$6)/(Peak_Time_Eve*$O42*DI$6))),"-")</f>
        <v>-</v>
      </c>
      <c r="DJ9" s="446" t="str">
        <f aca="false">IF(DJ$6&lt;Total_Lanes,900*Peak_Time_Eve*(($CO9/DJ$6-1)+SQRT(($CO9/DJ$6-1)^2+8*($CO9/DJ$6)/(Peak_Time_Eve*$O42*DJ$6))),"-")</f>
        <v>-</v>
      </c>
      <c r="DK9" s="447" t="n">
        <f aca="false">3600/O42</f>
        <v>2.4</v>
      </c>
    </row>
    <row r="10" customFormat="false" ht="13" hidden="false" customHeight="false" outlineLevel="0" collapsed="false">
      <c r="B10" s="448" t="s">
        <v>234</v>
      </c>
      <c r="C10" s="71"/>
      <c r="D10" s="449" t="n">
        <f aca="false">'Input-Detail'!AZ25</f>
        <v>12</v>
      </c>
      <c r="E10" s="450"/>
      <c r="H10" s="400" t="n">
        <v>3</v>
      </c>
      <c r="I10" s="401" t="n">
        <f aca="false">'Input-Detail'!E17</f>
        <v>20663747.05</v>
      </c>
      <c r="J10" s="402" t="n">
        <f aca="false">'Input-Detail'!F17</f>
        <v>0.1485</v>
      </c>
      <c r="K10" s="403" t="n">
        <f aca="false">AD10</f>
        <v>6237.31747008191</v>
      </c>
      <c r="L10" s="443" t="n">
        <f aca="false">IF(AD10&gt;AD58,BC10,BC58)</f>
        <v>1</v>
      </c>
      <c r="M10" s="412" t="n">
        <f aca="false">AE58</f>
        <v>10.2903026756692</v>
      </c>
      <c r="N10" s="427" t="n">
        <f aca="false">AE10</f>
        <v>30.7645370702668</v>
      </c>
      <c r="O10" s="427" t="n">
        <f aca="false">SUM(M10:N10)</f>
        <v>41.054839745936</v>
      </c>
      <c r="P10" s="432" t="n">
        <f aca="false">$S$34*O10</f>
        <v>10674.2583339433</v>
      </c>
      <c r="Q10" s="412" t="n">
        <f aca="false">SUMIF($AF$54:$AZ$54,L10,$AF58:$AZ58)</f>
        <v>9.0562335074027</v>
      </c>
      <c r="R10" s="427" t="n">
        <f aca="false">SUMIF($AF$6:$AZ$6,$L10,$AF10:$AZ10)</f>
        <v>35.8645638775481</v>
      </c>
      <c r="S10" s="427" t="n">
        <f aca="false">SUM(Q10:R10)</f>
        <v>44.9207973849508</v>
      </c>
      <c r="T10" s="433" t="n">
        <f aca="false">$S$34*S10</f>
        <v>11679.4073200872</v>
      </c>
      <c r="U10" s="372"/>
      <c r="V10" s="372"/>
      <c r="W10" s="400" t="n">
        <v>3</v>
      </c>
      <c r="X10" s="408" t="n">
        <f aca="false">X$7+(X$27-X$7)*$W10/20</f>
        <v>20663747.05</v>
      </c>
      <c r="Y10" s="402" t="n">
        <f aca="false">J10</f>
        <v>0.1485</v>
      </c>
      <c r="Z10" s="408" t="n">
        <f aca="false">'Input-Detail'!E17/AA10</f>
        <v>8910.45352868845</v>
      </c>
      <c r="AA10" s="434" t="n">
        <f aca="false">AA9</f>
        <v>2319.04548780488</v>
      </c>
      <c r="AB10" s="434" t="n">
        <f aca="false">AB9</f>
        <v>2</v>
      </c>
      <c r="AC10" s="435" t="n">
        <f aca="false">AC9</f>
        <v>0.7</v>
      </c>
      <c r="AD10" s="411" t="n">
        <f aca="false">Z10*AC10</f>
        <v>6237.31747008191</v>
      </c>
      <c r="AE10" s="412" t="n">
        <f aca="false">Peak_Time_Eve*$BI10*(3600/K43+BL10)/3600</f>
        <v>30.7645370702668</v>
      </c>
      <c r="AF10" s="413" t="n">
        <f aca="false">IF(AF$6&lt;Total_Lanes,($BJ10*($CI10+BN10)+$CN10*CP10)*Peak_Time_Eve/3600,"-")</f>
        <v>35.8645638775481</v>
      </c>
      <c r="AG10" s="413" t="n">
        <f aca="false">IF(AG$6&lt;Total_Lanes,($BJ10*($CI10+BO10)+$CN10*CQ10)*Peak_Time_Eve/3600,"-")</f>
        <v>90.342706121559</v>
      </c>
      <c r="AH10" s="413" t="n">
        <f aca="false">IF(AH$6&lt;Total_Lanes,($BJ10*($CI10+BP10)+$CN10*CR10)*Peak_Time_Eve/3600,"-")</f>
        <v>983.085105512299</v>
      </c>
      <c r="AI10" s="413" t="n">
        <f aca="false">IF(AI$6&lt;Total_Lanes,($BJ10*($CI10+BQ10)+$CN10*CS10)*Peak_Time_Eve/3600,"-")</f>
        <v>2415.14055989654</v>
      </c>
      <c r="AJ10" s="413" t="n">
        <f aca="false">IF(AJ$6&lt;Total_Lanes,($BJ10*($CI10+BR10)+$CN10*CT10)*Peak_Time_Eve/3600,"-")</f>
        <v>4269.37797708083</v>
      </c>
      <c r="AK10" s="413" t="n">
        <f aca="false">IF(AK$6&lt;Total_Lanes,($BJ10*($CI10+BS10)+$CN10*CU10)*Peak_Time_Eve/3600,"-")</f>
        <v>6745.01755683932</v>
      </c>
      <c r="AL10" s="413" t="n">
        <f aca="false">IF(AL$6&lt;Total_Lanes,($BJ10*($CI10+BT10)+$CN10*CV10)*Peak_Time_Eve/3600,"-")</f>
        <v>10212.4194058801</v>
      </c>
      <c r="AM10" s="413" t="n">
        <f aca="false">IF(AM$6&lt;Total_Lanes,($BJ10*($CI10+BU10)+$CN10*CW10)*Peak_Time_Eve/3600,"-")</f>
        <v>15414.4334328092</v>
      </c>
      <c r="AN10" s="413" t="n">
        <f aca="false">IF(AN$6&lt;Total_Lanes,($BJ10*($CI10+BV10)+$CN10*CX10)*Peak_Time_Eve/3600,"-")</f>
        <v>24085.1363511706</v>
      </c>
      <c r="AO10" s="413" t="n">
        <f aca="false">IF(AO$6&lt;Total_Lanes,($BJ10*($CI10+BW10)+$CN10*CY10)*Peak_Time_Eve/3600,"-")</f>
        <v>41427.1695759578</v>
      </c>
      <c r="AP10" s="413" t="n">
        <f aca="false">IF(AP$6&lt;Total_Lanes,($BJ10*($CI10+BX10)+$CN10*CZ10)*Peak_Time_Eve/3600,"-")</f>
        <v>93454.0961781771</v>
      </c>
      <c r="AQ10" s="413" t="str">
        <f aca="false">IF(AQ$6&lt;Total_Lanes,($BJ10*($CI10+BY10)+$CN10*DA10)*Peak_Time_Eve/3600,"-")</f>
        <v>-</v>
      </c>
      <c r="AR10" s="413" t="str">
        <f aca="false">IF(AR$6&lt;Total_Lanes,($BJ10*($CI10+BZ10)+$CN10*DB10)*Peak_Time_Eve/3600,"-")</f>
        <v>-</v>
      </c>
      <c r="AS10" s="413" t="str">
        <f aca="false">IF(AS$6&lt;Total_Lanes,($BJ10*($CI10+CA10)+$CN10*DC10)*Peak_Time_Eve/3600,"-")</f>
        <v>-</v>
      </c>
      <c r="AT10" s="413" t="str">
        <f aca="false">IF(AT$6&lt;Total_Lanes,($BJ10*($CI10+CB10)+$CN10*DD10)*Peak_Time_Eve/3600,"-")</f>
        <v>-</v>
      </c>
      <c r="AU10" s="413" t="str">
        <f aca="false">IF(AU$6&lt;Total_Lanes,($BJ10*($CI10+CC10)+$CN10*DE10)*Peak_Time_Eve/3600,"-")</f>
        <v>-</v>
      </c>
      <c r="AV10" s="413" t="str">
        <f aca="false">IF(AV$6&lt;Total_Lanes,($BJ10*($CI10+CD10)+$CN10*DF10)*Peak_Time_Eve/3600,"-")</f>
        <v>-</v>
      </c>
      <c r="AW10" s="413" t="str">
        <f aca="false">IF(AW$6&lt;Total_Lanes,($BJ10*($CI10+CE10)+$CN10*DG10)*Peak_Time_Eve/3600,"-")</f>
        <v>-</v>
      </c>
      <c r="AX10" s="413" t="str">
        <f aca="false">IF(AX$6&lt;Total_Lanes,($BJ10*($CI10+CF10)+$CN10*DH10)*Peak_Time_Eve/3600,"-")</f>
        <v>-</v>
      </c>
      <c r="AY10" s="413" t="str">
        <f aca="false">IF(AY$6&lt;Total_Lanes,($BJ10*($CI10+CG10)+$CN10*DI10)*Peak_Time_Eve/3600,"-")</f>
        <v>-</v>
      </c>
      <c r="AZ10" s="414" t="str">
        <f aca="false">IF(AZ$6&lt;Total_Lanes,($BJ10*($CI10+CH10)+$CN10*DJ10)*Peak_Time_Eve/3600,"-")</f>
        <v>-</v>
      </c>
      <c r="BA10" s="436" t="n">
        <f aca="false">SUMIF(AF10:AZ10,BB10,$AF$6:$AZ$6)</f>
        <v>1</v>
      </c>
      <c r="BB10" s="437" t="n">
        <f aca="false">MIN(AF10:AZ10)</f>
        <v>35.8645638775481</v>
      </c>
      <c r="BC10" s="436" t="n">
        <f aca="false">IF((SUMIF($BN8:$CH8,$BA10,$BN10:$CH10)+$CI10)&lt;(SUMIF($CP8:$DJ8,$BA10,$CP10:$DJ10)+$DK10),BA10+1,BA10)</f>
        <v>1</v>
      </c>
      <c r="BD10" s="437" t="n">
        <f aca="false">SUMIF($AF$6:$AZ$6,$BC10,$AF10:$AZ10)</f>
        <v>35.8645638775481</v>
      </c>
      <c r="BG10" s="400" t="n">
        <v>3</v>
      </c>
      <c r="BH10" s="402" t="n">
        <f aca="false">$Y10</f>
        <v>0.1485</v>
      </c>
      <c r="BI10" s="418" t="n">
        <f aca="false">$AD10</f>
        <v>6237.31747008191</v>
      </c>
      <c r="BJ10" s="438" t="n">
        <f aca="false">BI10*(1-BH10)</f>
        <v>5311.07582577475</v>
      </c>
      <c r="BK10" s="420" t="n">
        <f aca="false">Peak_Arrival_Manual/K43</f>
        <v>9.70008987624138</v>
      </c>
      <c r="BL10" s="421" t="n">
        <f aca="false">900*Peak_Time_Eve*(BK10/Total_Lanes-1+SQRT((BK10/Total_Lanes-1)^2+8*(BK10/Total_Lanes)/(Peak_Time_Eve*$K43*Total_Lanes)))</f>
        <v>2.30320236697892</v>
      </c>
      <c r="BM10" s="422" t="n">
        <f aca="false">Peak_Arrival_Manual/N43</f>
        <v>9.79414017732281</v>
      </c>
      <c r="BN10" s="423" t="n">
        <f aca="false">IF(BN$6&lt;Total_Lanes,900*Peak_Time_Eve*(($BM10/(Total_Lanes-BN$6))-1+SQRT((($BM10/(Total_Lanes-BN$6))-1)^2+8*($BM10/(Total_Lanes-BN$6))/(Peak_Time_Eve*$N43*(Total_Lanes-BN$6)))),"-")</f>
        <v>4.84246585383933</v>
      </c>
      <c r="BO10" s="423" t="n">
        <f aca="false">IF(BO$6&lt;Total_Lanes,900*Peak_Time_Eve*(($BM10/(Total_Lanes-BO$6))-1+SQRT((($BM10/(Total_Lanes-BO$6))-1)^2+8*($BM10/(Total_Lanes-BO$6))/(Peak_Time_Eve*$N43*(Total_Lanes-BO$6)))),"-")</f>
        <v>23.8862392061566</v>
      </c>
      <c r="BP10" s="423" t="n">
        <f aca="false">IF(BP$6&lt;Total_Lanes,900*Peak_Time_Eve*(($BM10/(Total_Lanes-BP$6))-1+SQRT((($BM10/(Total_Lanes-BP$6))-1)^2+8*($BM10/(Total_Lanes-BP$6))/(Peak_Time_Eve*$N43*(Total_Lanes-BP$6)))),"-")</f>
        <v>326.506776874264</v>
      </c>
      <c r="BQ10" s="423" t="n">
        <f aca="false">IF(BQ$6&lt;Total_Lanes,900*Peak_Time_Eve*(($BM10/(Total_Lanes-BQ$6))-1+SQRT((($BM10/(Total_Lanes-BQ$6))-1)^2+8*($BM10/(Total_Lanes-BQ$6))/(Peak_Time_Eve*$N43*(Total_Lanes-BQ$6)))),"-")</f>
        <v>811.868027130948</v>
      </c>
      <c r="BR10" s="423" t="n">
        <f aca="false">IF(BR$6&lt;Total_Lanes,900*Peak_Time_Eve*(($BM10/(Total_Lanes-BR$6))-1+SQRT((($BM10/(Total_Lanes-BR$6))-1)^2+8*($BM10/(Total_Lanes-BR$6))/(Peak_Time_Eve*$N43*(Total_Lanes-BR$6)))),"-")</f>
        <v>1440.30306907177</v>
      </c>
      <c r="BS10" s="423" t="n">
        <f aca="false">IF(BS$6&lt;Total_Lanes,900*Peak_Time_Eve*(($BM10/(Total_Lanes-BS$6))-1+SQRT((($BM10/(Total_Lanes-BS$6))-1)^2+8*($BM10/(Total_Lanes-BS$6))/(Peak_Time_Eve*$N43*(Total_Lanes-BS$6)))),"-")</f>
        <v>2279.33672782993</v>
      </c>
      <c r="BT10" s="423" t="n">
        <f aca="false">IF(BT$6&lt;Total_Lanes,900*Peak_Time_Eve*(($BM10/(Total_Lanes-BT$6))-1+SQRT((($BM10/(Total_Lanes-BT$6))-1)^2+8*($BM10/(Total_Lanes-BT$6))/(Peak_Time_Eve*$N43*(Total_Lanes-BT$6)))),"-")</f>
        <v>3454.49131287207</v>
      </c>
      <c r="BU10" s="423" t="n">
        <f aca="false">IF(BU$6&lt;Total_Lanes,900*Peak_Time_Eve*(($BM10/(Total_Lanes-BU$6))-1+SQRT((($BM10/(Total_Lanes-BU$6))-1)^2+8*($BM10/(Total_Lanes-BU$6))/(Peak_Time_Eve*$N43*(Total_Lanes-BU$6)))),"-")</f>
        <v>5217.530109068</v>
      </c>
      <c r="BV10" s="423" t="n">
        <f aca="false">IF(BV$6&lt;Total_Lanes,900*Peak_Time_Eve*(($BM10/(Total_Lanes-BV$6))-1+SQRT((($BM10/(Total_Lanes-BV$6))-1)^2+8*($BM10/(Total_Lanes-BV$6))/(Peak_Time_Eve*$N43*(Total_Lanes-BV$6)))),"-")</f>
        <v>8156.15701104195</v>
      </c>
      <c r="BW10" s="423" t="n">
        <f aca="false">IF(BW$6&lt;Total_Lanes,900*Peak_Time_Eve*(($BM10/(Total_Lanes-BW$6))-1+SQRT((($BM10/(Total_Lanes-BW$6))-1)^2+8*($BM10/(Total_Lanes-BW$6))/(Peak_Time_Eve*$N43*(Total_Lanes-BW$6)))),"-")</f>
        <v>14033.6222164741</v>
      </c>
      <c r="BX10" s="423" t="n">
        <f aca="false">IF(BX$6&lt;Total_Lanes,900*Peak_Time_Eve*(($BM10/(Total_Lanes-BX$6))-1+SQRT((($BM10/(Total_Lanes-BX$6))-1)^2+8*($BM10/(Total_Lanes-BX$6))/(Peak_Time_Eve*$N43*(Total_Lanes-BX$6)))),"-")</f>
        <v>31666.2965685382</v>
      </c>
      <c r="BY10" s="413" t="str">
        <f aca="false">IF(BY$6&lt;Total_Lanes,900*Peak_Time_Eve*(($BM10/(Total_Lanes-BY$6))-1+SQRT((($BM10/(Total_Lanes-BY$6))-1)^2+8*($BM10/(Total_Lanes-BY$6))/(Peak_Time_Eve*$N43*(Total_Lanes-BY$6)))),"-")</f>
        <v>-</v>
      </c>
      <c r="BZ10" s="413" t="str">
        <f aca="false">IF(BZ$6&lt;Total_Lanes,900*Peak_Time_Eve*(($BM10/(Total_Lanes-BZ$6))-1+SQRT((($BM10/(Total_Lanes-BZ$6))-1)^2+8*($BM10/(Total_Lanes-BZ$6))/(Peak_Time_Eve*$N43*(Total_Lanes-BZ$6)))),"-")</f>
        <v>-</v>
      </c>
      <c r="CA10" s="413" t="str">
        <f aca="false">IF(CA$6&lt;Total_Lanes,900*Peak_Time_Eve*(($BM10/(Total_Lanes-CA$6))-1+SQRT((($BM10/(Total_Lanes-CA$6))-1)^2+8*($BM10/(Total_Lanes-CA$6))/(Peak_Time_Eve*$N43*(Total_Lanes-CA$6)))),"-")</f>
        <v>-</v>
      </c>
      <c r="CB10" s="413" t="str">
        <f aca="false">IF(CB$6&lt;Total_Lanes,900*Peak_Time_Eve*(($BM10/(Total_Lanes-CB$6))-1+SQRT((($BM10/(Total_Lanes-CB$6))-1)^2+8*($BM10/(Total_Lanes-CB$6))/(Peak_Time_Eve*$N43*(Total_Lanes-CB$6)))),"-")</f>
        <v>-</v>
      </c>
      <c r="CC10" s="413" t="str">
        <f aca="false">IF(CC$6&lt;Total_Lanes,900*Peak_Time_Eve*(($BM10/(Total_Lanes-CC$6))-1+SQRT((($BM10/(Total_Lanes-CC$6))-1)^2+8*($BM10/(Total_Lanes-CC$6))/(Peak_Time_Eve*$N43*(Total_Lanes-CC$6)))),"-")</f>
        <v>-</v>
      </c>
      <c r="CD10" s="413" t="str">
        <f aca="false">IF(CD$6&lt;Total_Lanes,900*Peak_Time_Eve*(($BM10/(Total_Lanes-CD$6))-1+SQRT((($BM10/(Total_Lanes-CD$6))-1)^2+8*($BM10/(Total_Lanes-CD$6))/(Peak_Time_Eve*$N43*(Total_Lanes-CD$6)))),"-")</f>
        <v>-</v>
      </c>
      <c r="CE10" s="413" t="str">
        <f aca="false">IF(CE$6&lt;Total_Lanes,900*Peak_Time_Eve*(($BM10/(Total_Lanes-CE$6))-1+SQRT((($BM10/(Total_Lanes-CE$6))-1)^2+8*($BM10/(Total_Lanes-CE$6))/(Peak_Time_Eve*$N43*(Total_Lanes-CE$6)))),"-")</f>
        <v>-</v>
      </c>
      <c r="CF10" s="413" t="str">
        <f aca="false">IF(CF$6&lt;Total_Lanes,900*Peak_Time_Eve*(($BM10/(Total_Lanes-CF$6))-1+SQRT((($BM10/(Total_Lanes-CF$6))-1)^2+8*($BM10/(Total_Lanes-CF$6))/(Peak_Time_Eve*$N43*(Total_Lanes-CF$6)))),"-")</f>
        <v>-</v>
      </c>
      <c r="CG10" s="413" t="str">
        <f aca="false">IF(CG$6&lt;Total_Lanes,900*Peak_Time_Eve*(($BM10/(Total_Lanes-CG$6))-1+SQRT((($BM10/(Total_Lanes-CG$6))-1)^2+8*($BM10/(Total_Lanes-CG$6))/(Peak_Time_Eve*$N43*(Total_Lanes-CG$6)))),"-")</f>
        <v>-</v>
      </c>
      <c r="CH10" s="424" t="str">
        <f aca="false">IF(CH$6&lt;Total_Lanes,900*Peak_Time_Eve*(($BM10/(Total_Lanes-CH$6))-1+SQRT((($BM10/(Total_Lanes-CH$6))-1)^2+8*($BM10/(Total_Lanes-CH$6))/(Peak_Time_Eve*$N43*(Total_Lanes-CH$6)))),"-")</f>
        <v>-</v>
      </c>
      <c r="CI10" s="439" t="n">
        <f aca="false">3600/N43</f>
        <v>6.63875</v>
      </c>
      <c r="CK10" s="400" t="n">
        <v>3</v>
      </c>
      <c r="CL10" s="402" t="n">
        <f aca="false">$Y10</f>
        <v>0.1485</v>
      </c>
      <c r="CM10" s="411" t="n">
        <f aca="false">$AD10</f>
        <v>6237.31747008191</v>
      </c>
      <c r="CN10" s="412" t="n">
        <f aca="false">CM10*CL10</f>
        <v>926.241644307164</v>
      </c>
      <c r="CO10" s="440" t="n">
        <f aca="false">CN10/O42</f>
        <v>0.61749442953811</v>
      </c>
      <c r="CP10" s="444" t="n">
        <f aca="false">IF(CP$6&lt;Total_Lanes,900*Peak_Time_Eve*(($CO10/CP$6-1)+SQRT(($CO10/CP$6-1)^2+8*($CO10/CP$6)/(Peak_Time_Eve*$O43*CP$6))),"-")</f>
        <v>3.86357818151819</v>
      </c>
      <c r="CQ10" s="444" t="n">
        <f aca="false">IF(CQ$6&lt;Total_Lanes,900*Peak_Time_Eve*(($CO10/CQ$6-1)+SQRT(($CO10/CQ$6-1)^2+8*($CO10/CQ$6)/(Peak_Time_Eve*$O43*CQ$6))),"-")</f>
        <v>0.535863148675442</v>
      </c>
      <c r="CR10" s="444" t="n">
        <f aca="false">IF(CR$6&lt;Total_Lanes,900*Peak_Time_Eve*(($CO10/CR$6-1)+SQRT(($CO10/CR$6-1)^2+8*($CO10/CR$6)/(Peak_Time_Eve*$O43*CR$6))),"-")</f>
        <v>0.207327835477922</v>
      </c>
      <c r="CS10" s="444" t="n">
        <f aca="false">IF(CS$6&lt;Total_Lanes,900*Peak_Time_Eve*(($CO10/CS$6-1)+SQRT(($CO10/CS$6-1)^2+8*($CO10/CS$6)/(Peak_Time_Eve*$O43*CS$6))),"-")</f>
        <v>0.109529258824481</v>
      </c>
      <c r="CT10" s="444" t="n">
        <f aca="false">IF(CT$6&lt;Total_Lanes,900*Peak_Time_Eve*(($CO10/CT$6-1)+SQRT(($CO10/CT$6-1)^2+8*($CO10/CT$6)/(Peak_Time_Eve*$O43*CT$6))),"-")</f>
        <v>0.0676304841599196</v>
      </c>
      <c r="CU10" s="444" t="n">
        <f aca="false">IF(CU$6&lt;Total_Lanes,900*Peak_Time_Eve*(($CO10/CU$6-1)+SQRT(($CO10/CU$6-1)^2+8*($CO10/CU$6)/(Peak_Time_Eve*$O43*CU$6))),"-")</f>
        <v>0.0458883430801915</v>
      </c>
      <c r="CV10" s="444" t="n">
        <f aca="false">IF(CV$6&lt;Total_Lanes,900*Peak_Time_Eve*(($CO10/CV$6-1)+SQRT(($CO10/CV$6-1)^2+8*($CO10/CV$6)/(Peak_Time_Eve*$O43*CV$6))),"-")</f>
        <v>0.0331703958706298</v>
      </c>
      <c r="CW10" s="444" t="n">
        <f aca="false">IF(CW$6&lt;Total_Lanes,900*Peak_Time_Eve*(($CO10/CW$6-1)+SQRT(($CO10/CW$6-1)^2+8*($CO10/CW$6)/(Peak_Time_Eve*$O43*CW$6))),"-")</f>
        <v>0.0250926908061944</v>
      </c>
      <c r="CX10" s="444" t="n">
        <f aca="false">IF(CX$6&lt;Total_Lanes,900*Peak_Time_Eve*(($CO10/CX$6-1)+SQRT(($CO10/CX$6-1)^2+8*($CO10/CX$6)/(Peak_Time_Eve*$O43*CX$6))),"-")</f>
        <v>0.0196437944632644</v>
      </c>
      <c r="CY10" s="444" t="n">
        <f aca="false">IF(CY$6&lt;Total_Lanes,900*Peak_Time_Eve*(($CO10/CY$6-1)+SQRT(($CO10/CY$6-1)^2+8*($CO10/CY$6)/(Peak_Time_Eve*$O43*CY$6))),"-")</f>
        <v>0.015795137978758</v>
      </c>
      <c r="CZ10" s="444" t="n">
        <f aca="false">IF(CZ$6&lt;Total_Lanes,900*Peak_Time_Eve*(($CO10/CZ$6-1)+SQRT(($CO10/CZ$6-1)^2+8*($CO10/CZ$6)/(Peak_Time_Eve*$O43*CZ$6))),"-")</f>
        <v>0.0129762071340078</v>
      </c>
      <c r="DA10" s="445" t="str">
        <f aca="false">IF(DA$6&lt;Total_Lanes,900*Peak_Time_Eve*(($CO10/DA$6-1)+SQRT(($CO10/DA$6-1)^2+8*($CO10/DA$6)/(Peak_Time_Eve*$O43*DA$6))),"-")</f>
        <v>-</v>
      </c>
      <c r="DB10" s="445" t="str">
        <f aca="false">IF(DB$6&lt;Total_Lanes,900*Peak_Time_Eve*(($CO10/DB$6-1)+SQRT(($CO10/DB$6-1)^2+8*($CO10/DB$6)/(Peak_Time_Eve*$O43*DB$6))),"-")</f>
        <v>-</v>
      </c>
      <c r="DC10" s="445" t="str">
        <f aca="false">IF(DC$6&lt;Total_Lanes,900*Peak_Time_Eve*(($CO10/DC$6-1)+SQRT(($CO10/DC$6-1)^2+8*($CO10/DC$6)/(Peak_Time_Eve*$O43*DC$6))),"-")</f>
        <v>-</v>
      </c>
      <c r="DD10" s="445" t="str">
        <f aca="false">IF(DD$6&lt;Total_Lanes,900*Peak_Time_Eve*(($CO10/DD$6-1)+SQRT(($CO10/DD$6-1)^2+8*($CO10/DD$6)/(Peak_Time_Eve*$O43*DD$6))),"-")</f>
        <v>-</v>
      </c>
      <c r="DE10" s="445" t="str">
        <f aca="false">IF(DE$6&lt;Total_Lanes,900*Peak_Time_Eve*(($CO10/DE$6-1)+SQRT(($CO10/DE$6-1)^2+8*($CO10/DE$6)/(Peak_Time_Eve*$O43*DE$6))),"-")</f>
        <v>-</v>
      </c>
      <c r="DF10" s="445" t="str">
        <f aca="false">IF(DF$6&lt;Total_Lanes,900*Peak_Time_Eve*(($CO10/DF$6-1)+SQRT(($CO10/DF$6-1)^2+8*($CO10/DF$6)/(Peak_Time_Eve*$O43*DF$6))),"-")</f>
        <v>-</v>
      </c>
      <c r="DG10" s="445" t="str">
        <f aca="false">IF(DG$6&lt;Total_Lanes,900*Peak_Time_Eve*(($CO10/DG$6-1)+SQRT(($CO10/DG$6-1)^2+8*($CO10/DG$6)/(Peak_Time_Eve*$O43*DG$6))),"-")</f>
        <v>-</v>
      </c>
      <c r="DH10" s="445" t="str">
        <f aca="false">IF(DH$6&lt;Total_Lanes,900*Peak_Time_Eve*(($CO10/DH$6-1)+SQRT(($CO10/DH$6-1)^2+8*($CO10/DH$6)/(Peak_Time_Eve*$O43*DH$6))),"-")</f>
        <v>-</v>
      </c>
      <c r="DI10" s="445" t="str">
        <f aca="false">IF(DI$6&lt;Total_Lanes,900*Peak_Time_Eve*(($CO10/DI$6-1)+SQRT(($CO10/DI$6-1)^2+8*($CO10/DI$6)/(Peak_Time_Eve*$O43*DI$6))),"-")</f>
        <v>-</v>
      </c>
      <c r="DJ10" s="446" t="str">
        <f aca="false">IF(DJ$6&lt;Total_Lanes,900*Peak_Time_Eve*(($CO10/DJ$6-1)+SQRT(($CO10/DJ$6-1)^2+8*($CO10/DJ$6)/(Peak_Time_Eve*$O43*DJ$6))),"-")</f>
        <v>-</v>
      </c>
      <c r="DK10" s="447" t="n">
        <f aca="false">3600/O43</f>
        <v>2.4</v>
      </c>
    </row>
    <row r="11" customFormat="false" ht="13" hidden="false" customHeight="false" outlineLevel="0" collapsed="false">
      <c r="B11" s="451"/>
      <c r="C11" s="141"/>
      <c r="D11" s="272"/>
      <c r="E11" s="143"/>
      <c r="F11" s="48"/>
      <c r="G11" s="48"/>
      <c r="H11" s="400" t="n">
        <v>4</v>
      </c>
      <c r="I11" s="401" t="n">
        <f aca="false">'Input-Detail'!E18</f>
        <v>21212938.4</v>
      </c>
      <c r="J11" s="402" t="n">
        <f aca="false">'Input-Detail'!F18</f>
        <v>0.198</v>
      </c>
      <c r="K11" s="403" t="n">
        <f aca="false">AD11</f>
        <v>6403.08996010922</v>
      </c>
      <c r="L11" s="443" t="n">
        <f aca="false">IF(AD11&gt;AD59,BC11,BC59)</f>
        <v>1</v>
      </c>
      <c r="M11" s="412" t="n">
        <f aca="false">AE59</f>
        <v>10.5741584705292</v>
      </c>
      <c r="N11" s="427" t="n">
        <f aca="false">AE11</f>
        <v>30.3464391827845</v>
      </c>
      <c r="O11" s="427" t="n">
        <f aca="false">SUM(M11:N11)</f>
        <v>40.9205976533137</v>
      </c>
      <c r="P11" s="432" t="n">
        <f aca="false">$S$34*O11</f>
        <v>10639.3553898616</v>
      </c>
      <c r="Q11" s="412" t="n">
        <f aca="false">SUMIF($AF$54:$AZ$54,L11,$AF59:$AZ59)</f>
        <v>8.98927344008067</v>
      </c>
      <c r="R11" s="427" t="n">
        <f aca="false">SUMIF($AF$6:$AZ$6,$L11,$AF11:$AZ11)</f>
        <v>38.8809943709994</v>
      </c>
      <c r="S11" s="427" t="n">
        <f aca="false">SUM(Q11:R11)</f>
        <v>47.87026781108</v>
      </c>
      <c r="T11" s="433" t="n">
        <f aca="false">$S$34*S11</f>
        <v>12446.2696308808</v>
      </c>
      <c r="U11" s="48"/>
      <c r="V11" s="48"/>
      <c r="W11" s="400" t="n">
        <v>4</v>
      </c>
      <c r="X11" s="408" t="n">
        <f aca="false">X$7+(X$27-X$7)*$W11/20</f>
        <v>21212938.4</v>
      </c>
      <c r="Y11" s="402" t="n">
        <f aca="false">J11</f>
        <v>0.198</v>
      </c>
      <c r="Z11" s="408" t="n">
        <f aca="false">'Input-Detail'!E18/AA11</f>
        <v>9147.2713715846</v>
      </c>
      <c r="AA11" s="434" t="n">
        <f aca="false">AA10</f>
        <v>2319.04548780488</v>
      </c>
      <c r="AB11" s="434" t="n">
        <f aca="false">AB10</f>
        <v>2</v>
      </c>
      <c r="AC11" s="435" t="n">
        <f aca="false">AC10</f>
        <v>0.7</v>
      </c>
      <c r="AD11" s="411" t="n">
        <f aca="false">Z11*AC11</f>
        <v>6403.08996010922</v>
      </c>
      <c r="AE11" s="412" t="n">
        <f aca="false">Peak_Time_Eve*$BI11*(3600/K44+BL11)/3600</f>
        <v>30.3464391827845</v>
      </c>
      <c r="AF11" s="413" t="n">
        <f aca="false">IF(AF$6&lt;Total_Lanes,($BJ11*($CI11+BN11)+$CN11*CP11)*Peak_Time_Eve/3600,"-")</f>
        <v>38.8809943709994</v>
      </c>
      <c r="AG11" s="413" t="n">
        <f aca="false">IF(AG$6&lt;Total_Lanes,($BJ11*($CI11+BO11)+$CN11*CQ11)*Peak_Time_Eve/3600,"-")</f>
        <v>53.5030455721495</v>
      </c>
      <c r="AH11" s="413" t="n">
        <f aca="false">IF(AH$6&lt;Total_Lanes,($BJ11*($CI11+BP11)+$CN11*CR11)*Peak_Time_Eve/3600,"-")</f>
        <v>627.723787966593</v>
      </c>
      <c r="AI11" s="413" t="n">
        <f aca="false">IF(AI$6&lt;Total_Lanes,($BJ11*($CI11+BQ11)+$CN11*CS11)*Peak_Time_Eve/3600,"-")</f>
        <v>1960.10692507187</v>
      </c>
      <c r="AJ11" s="413" t="n">
        <f aca="false">IF(AJ$6&lt;Total_Lanes,($BJ11*($CI11+BR11)+$CN11*CT11)*Peak_Time_Eve/3600,"-")</f>
        <v>3697.79824529837</v>
      </c>
      <c r="AK11" s="413" t="n">
        <f aca="false">IF(AK$6&lt;Total_Lanes,($BJ11*($CI11+BS11)+$CN11*CU11)*Peak_Time_Eve/3600,"-")</f>
        <v>6019.24022179601</v>
      </c>
      <c r="AL11" s="413" t="n">
        <f aca="false">IF(AL$6&lt;Total_Lanes,($BJ11*($CI11+BT11)+$CN11*CV11)*Peak_Time_Eve/3600,"-")</f>
        <v>9271.09306910666</v>
      </c>
      <c r="AM11" s="413" t="n">
        <f aca="false">IF(AM$6&lt;Total_Lanes,($BJ11*($CI11+BU11)+$CN11*CW11)*Peak_Time_Eve/3600,"-")</f>
        <v>14149.9195742425</v>
      </c>
      <c r="AN11" s="413" t="n">
        <f aca="false">IF(AN$6&lt;Total_Lanes,($BJ11*($CI11+BV11)+$CN11*CX11)*Peak_Time_Eve/3600,"-")</f>
        <v>22282.050446186</v>
      </c>
      <c r="AO11" s="413" t="n">
        <f aca="false">IF(AO$6&lt;Total_Lanes,($BJ11*($CI11+BW11)+$CN11*CY11)*Peak_Time_Eve/3600,"-")</f>
        <v>38546.9907276122</v>
      </c>
      <c r="AP11" s="413" t="n">
        <f aca="false">IF(AP$6&lt;Total_Lanes,($BJ11*($CI11+BX11)+$CN11*CZ11)*Peak_Time_Eve/3600,"-")</f>
        <v>87342.6898090933</v>
      </c>
      <c r="AQ11" s="413" t="str">
        <f aca="false">IF(AQ$6&lt;Total_Lanes,($BJ11*($CI11+BY11)+$CN11*DA11)*Peak_Time_Eve/3600,"-")</f>
        <v>-</v>
      </c>
      <c r="AR11" s="413" t="str">
        <f aca="false">IF(AR$6&lt;Total_Lanes,($BJ11*($CI11+BZ11)+$CN11*DB11)*Peak_Time_Eve/3600,"-")</f>
        <v>-</v>
      </c>
      <c r="AS11" s="413" t="str">
        <f aca="false">IF(AS$6&lt;Total_Lanes,($BJ11*($CI11+CA11)+$CN11*DC11)*Peak_Time_Eve/3600,"-")</f>
        <v>-</v>
      </c>
      <c r="AT11" s="413" t="str">
        <f aca="false">IF(AT$6&lt;Total_Lanes,($BJ11*($CI11+CB11)+$CN11*DD11)*Peak_Time_Eve/3600,"-")</f>
        <v>-</v>
      </c>
      <c r="AU11" s="413" t="str">
        <f aca="false">IF(AU$6&lt;Total_Lanes,($BJ11*($CI11+CC11)+$CN11*DE11)*Peak_Time_Eve/3600,"-")</f>
        <v>-</v>
      </c>
      <c r="AV11" s="413" t="str">
        <f aca="false">IF(AV$6&lt;Total_Lanes,($BJ11*($CI11+CD11)+$CN11*DF11)*Peak_Time_Eve/3600,"-")</f>
        <v>-</v>
      </c>
      <c r="AW11" s="413" t="str">
        <f aca="false">IF(AW$6&lt;Total_Lanes,($BJ11*($CI11+CE11)+$CN11*DG11)*Peak_Time_Eve/3600,"-")</f>
        <v>-</v>
      </c>
      <c r="AX11" s="413" t="str">
        <f aca="false">IF(AX$6&lt;Total_Lanes,($BJ11*($CI11+CF11)+$CN11*DH11)*Peak_Time_Eve/3600,"-")</f>
        <v>-</v>
      </c>
      <c r="AY11" s="413" t="str">
        <f aca="false">IF(AY$6&lt;Total_Lanes,($BJ11*($CI11+CG11)+$CN11*DI11)*Peak_Time_Eve/3600,"-")</f>
        <v>-</v>
      </c>
      <c r="AZ11" s="414" t="str">
        <f aca="false">IF(AZ$6&lt;Total_Lanes,($BJ11*($CI11+CH11)+$CN11*DJ11)*Peak_Time_Eve/3600,"-")</f>
        <v>-</v>
      </c>
      <c r="BA11" s="436" t="n">
        <f aca="false">SUMIF(AF11:AZ11,BB11,$AF$6:$AZ$6)</f>
        <v>1</v>
      </c>
      <c r="BB11" s="437" t="n">
        <f aca="false">MIN(AF11:AZ11)</f>
        <v>38.8809943709994</v>
      </c>
      <c r="BC11" s="436" t="n">
        <f aca="false">IF((SUMIF($BN9:$CH9,$BA11,$BN11:$CH11)+$CI11)&lt;(SUMIF($CP9:$DJ9,$BA11,$CP11:$DJ11)+$DK11),BA11+1,BA11)</f>
        <v>1</v>
      </c>
      <c r="BD11" s="437" t="n">
        <f aca="false">SUMIF($AF$6:$AZ$6,$BC11,$AF11:$AZ11)</f>
        <v>38.8809943709994</v>
      </c>
      <c r="BG11" s="400" t="n">
        <v>4</v>
      </c>
      <c r="BH11" s="402" t="n">
        <f aca="false">$Y11</f>
        <v>0.198</v>
      </c>
      <c r="BI11" s="418" t="n">
        <f aca="false">$AD11</f>
        <v>6403.08996010922</v>
      </c>
      <c r="BJ11" s="438" t="n">
        <f aca="false">BI11*(1-BH11)</f>
        <v>5135.27814800759</v>
      </c>
      <c r="BK11" s="420" t="n">
        <f aca="false">Peak_Arrival_Manual/K44</f>
        <v>9.37901495087498</v>
      </c>
      <c r="BL11" s="421" t="n">
        <f aca="false">900*Peak_Time_Eve*(BK11/Total_Lanes-1+SQRT((BK11/Total_Lanes-1)^2+8*(BK11/Total_Lanes)/(Peak_Time_Eve*$K44*Total_Lanes)))</f>
        <v>1.95581728810826</v>
      </c>
      <c r="BM11" s="422" t="n">
        <f aca="false">Peak_Arrival_Manual/N44</f>
        <v>9.50026457381405</v>
      </c>
      <c r="BN11" s="423" t="n">
        <f aca="false">IF(BN$6&lt;Total_Lanes,900*Peak_Time_Eve*(($BM11/(Total_Lanes-BN$6))-1+SQRT((($BM11/(Total_Lanes-BN$6))-1)^2+8*($BM11/(Total_Lanes-BN$6))/(Peak_Time_Eve*$N44*(Total_Lanes-BN$6)))),"-")</f>
        <v>3.80581856236714</v>
      </c>
      <c r="BO11" s="423" t="n">
        <f aca="false">IF(BO$6&lt;Total_Lanes,900*Peak_Time_Eve*(($BM11/(Total_Lanes-BO$6))-1+SQRT((($BM11/(Total_Lanes-BO$6))-1)^2+8*($BM11/(Total_Lanes-BO$6))/(Peak_Time_Eve*$N44*(Total_Lanes-BO$6)))),"-")</f>
        <v>11.8769585029578</v>
      </c>
      <c r="BP11" s="423" t="n">
        <f aca="false">IF(BP$6&lt;Total_Lanes,900*Peak_Time_Eve*(($BM11/(Total_Lanes-BP$6))-1+SQRT((($BM11/(Total_Lanes-BP$6))-1)^2+8*($BM11/(Total_Lanes-BP$6))/(Peak_Time_Eve*$N44*(Total_Lanes-BP$6)))),"-")</f>
        <v>213.290117423343</v>
      </c>
      <c r="BQ11" s="423" t="n">
        <f aca="false">IF(BQ$6&lt;Total_Lanes,900*Peak_Time_Eve*(($BM11/(Total_Lanes-BQ$6))-1+SQRT((($BM11/(Total_Lanes-BQ$6))-1)^2+8*($BM11/(Total_Lanes-BQ$6))/(Peak_Time_Eve*$N44*(Total_Lanes-BQ$6)))),"-")</f>
        <v>680.35024121642</v>
      </c>
      <c r="BR11" s="423" t="n">
        <f aca="false">IF(BR$6&lt;Total_Lanes,900*Peak_Time_Eve*(($BM11/(Total_Lanes-BR$6))-1+SQRT((($BM11/(Total_Lanes-BR$6))-1)^2+8*($BM11/(Total_Lanes-BR$6))/(Peak_Time_Eve*$N44*(Total_Lanes-BR$6)))),"-")</f>
        <v>1289.45539174731</v>
      </c>
      <c r="BS11" s="423" t="n">
        <f aca="false">IF(BS$6&lt;Total_Lanes,900*Peak_Time_Eve*(($BM11/(Total_Lanes-BS$6))-1+SQRT((($BM11/(Total_Lanes-BS$6))-1)^2+8*($BM11/(Total_Lanes-BS$6))/(Peak_Time_Eve*$N44*(Total_Lanes-BS$6)))),"-")</f>
        <v>2103.16714816716</v>
      </c>
      <c r="BT11" s="423" t="n">
        <f aca="false">IF(BT$6&lt;Total_Lanes,900*Peak_Time_Eve*(($BM11/(Total_Lanes-BT$6))-1+SQRT((($BM11/(Total_Lanes-BT$6))-1)^2+8*($BM11/(Total_Lanes-BT$6))/(Peak_Time_Eve*$N44*(Total_Lanes-BT$6)))),"-")</f>
        <v>3242.99997011831</v>
      </c>
      <c r="BU11" s="423" t="n">
        <f aca="false">IF(BU$6&lt;Total_Lanes,900*Peak_Time_Eve*(($BM11/(Total_Lanes-BU$6))-1+SQRT((($BM11/(Total_Lanes-BU$6))-1)^2+8*($BM11/(Total_Lanes-BU$6))/(Peak_Time_Eve*$N44*(Total_Lanes-BU$6)))),"-")</f>
        <v>4953.11229848343</v>
      </c>
      <c r="BV11" s="423" t="n">
        <f aca="false">IF(BV$6&lt;Total_Lanes,900*Peak_Time_Eve*(($BM11/(Total_Lanes-BV$6))-1+SQRT((($BM11/(Total_Lanes-BV$6))-1)^2+8*($BM11/(Total_Lanes-BV$6))/(Peak_Time_Eve*$N44*(Total_Lanes-BV$6)))),"-")</f>
        <v>7803.56071378556</v>
      </c>
      <c r="BW11" s="423" t="n">
        <f aca="false">IF(BW$6&lt;Total_Lanes,900*Peak_Time_Eve*(($BM11/(Total_Lanes-BW$6))-1+SQRT((($BM11/(Total_Lanes-BW$6))-1)^2+8*($BM11/(Total_Lanes-BW$6))/(Peak_Time_Eve*$N44*(Total_Lanes-BW$6)))),"-")</f>
        <v>13504.6928845391</v>
      </c>
      <c r="BX11" s="423" t="n">
        <f aca="false">IF(BX$6&lt;Total_Lanes,900*Peak_Time_Eve*(($BM11/(Total_Lanes-BX$6))-1+SQRT((($BM11/(Total_Lanes-BX$6))-1)^2+8*($BM11/(Total_Lanes-BX$6))/(Peak_Time_Eve*$N44*(Total_Lanes-BX$6)))),"-")</f>
        <v>30608.3941610454</v>
      </c>
      <c r="BY11" s="413" t="str">
        <f aca="false">IF(BY$6&lt;Total_Lanes,900*Peak_Time_Eve*(($BM11/(Total_Lanes-BY$6))-1+SQRT((($BM11/(Total_Lanes-BY$6))-1)^2+8*($BM11/(Total_Lanes-BY$6))/(Peak_Time_Eve*$N44*(Total_Lanes-BY$6)))),"-")</f>
        <v>-</v>
      </c>
      <c r="BZ11" s="413" t="str">
        <f aca="false">IF(BZ$6&lt;Total_Lanes,900*Peak_Time_Eve*(($BM11/(Total_Lanes-BZ$6))-1+SQRT((($BM11/(Total_Lanes-BZ$6))-1)^2+8*($BM11/(Total_Lanes-BZ$6))/(Peak_Time_Eve*$N44*(Total_Lanes-BZ$6)))),"-")</f>
        <v>-</v>
      </c>
      <c r="CA11" s="413" t="str">
        <f aca="false">IF(CA$6&lt;Total_Lanes,900*Peak_Time_Eve*(($BM11/(Total_Lanes-CA$6))-1+SQRT((($BM11/(Total_Lanes-CA$6))-1)^2+8*($BM11/(Total_Lanes-CA$6))/(Peak_Time_Eve*$N44*(Total_Lanes-CA$6)))),"-")</f>
        <v>-</v>
      </c>
      <c r="CB11" s="413" t="str">
        <f aca="false">IF(CB$6&lt;Total_Lanes,900*Peak_Time_Eve*(($BM11/(Total_Lanes-CB$6))-1+SQRT((($BM11/(Total_Lanes-CB$6))-1)^2+8*($BM11/(Total_Lanes-CB$6))/(Peak_Time_Eve*$N44*(Total_Lanes-CB$6)))),"-")</f>
        <v>-</v>
      </c>
      <c r="CC11" s="413" t="str">
        <f aca="false">IF(CC$6&lt;Total_Lanes,900*Peak_Time_Eve*(($BM11/(Total_Lanes-CC$6))-1+SQRT((($BM11/(Total_Lanes-CC$6))-1)^2+8*($BM11/(Total_Lanes-CC$6))/(Peak_Time_Eve*$N44*(Total_Lanes-CC$6)))),"-")</f>
        <v>-</v>
      </c>
      <c r="CD11" s="413" t="str">
        <f aca="false">IF(CD$6&lt;Total_Lanes,900*Peak_Time_Eve*(($BM11/(Total_Lanes-CD$6))-1+SQRT((($BM11/(Total_Lanes-CD$6))-1)^2+8*($BM11/(Total_Lanes-CD$6))/(Peak_Time_Eve*$N44*(Total_Lanes-CD$6)))),"-")</f>
        <v>-</v>
      </c>
      <c r="CE11" s="413" t="str">
        <f aca="false">IF(CE$6&lt;Total_Lanes,900*Peak_Time_Eve*(($BM11/(Total_Lanes-CE$6))-1+SQRT((($BM11/(Total_Lanes-CE$6))-1)^2+8*($BM11/(Total_Lanes-CE$6))/(Peak_Time_Eve*$N44*(Total_Lanes-CE$6)))),"-")</f>
        <v>-</v>
      </c>
      <c r="CF11" s="413" t="str">
        <f aca="false">IF(CF$6&lt;Total_Lanes,900*Peak_Time_Eve*(($BM11/(Total_Lanes-CF$6))-1+SQRT((($BM11/(Total_Lanes-CF$6))-1)^2+8*($BM11/(Total_Lanes-CF$6))/(Peak_Time_Eve*$N44*(Total_Lanes-CF$6)))),"-")</f>
        <v>-</v>
      </c>
      <c r="CG11" s="413" t="str">
        <f aca="false">IF(CG$6&lt;Total_Lanes,900*Peak_Time_Eve*(($BM11/(Total_Lanes-CG$6))-1+SQRT((($BM11/(Total_Lanes-CG$6))-1)^2+8*($BM11/(Total_Lanes-CG$6))/(Peak_Time_Eve*$N44*(Total_Lanes-CG$6)))),"-")</f>
        <v>-</v>
      </c>
      <c r="CH11" s="424" t="str">
        <f aca="false">IF(CH$6&lt;Total_Lanes,900*Peak_Time_Eve*(($BM11/(Total_Lanes-CH$6))-1+SQRT((($BM11/(Total_Lanes-CH$6))-1)^2+8*($BM11/(Total_Lanes-CH$6))/(Peak_Time_Eve*$N44*(Total_Lanes-CH$6)))),"-")</f>
        <v>-</v>
      </c>
      <c r="CI11" s="439" t="n">
        <f aca="false">3600/N44</f>
        <v>6.66</v>
      </c>
      <c r="CK11" s="400" t="n">
        <v>4</v>
      </c>
      <c r="CL11" s="402" t="n">
        <f aca="false">$Y11</f>
        <v>0.198</v>
      </c>
      <c r="CM11" s="411" t="n">
        <f aca="false">$AD11</f>
        <v>6403.08996010922</v>
      </c>
      <c r="CN11" s="412" t="n">
        <f aca="false">CM11*CL11</f>
        <v>1267.81181210163</v>
      </c>
      <c r="CO11" s="440" t="n">
        <f aca="false">CN11/O43</f>
        <v>0.845207874734417</v>
      </c>
      <c r="CP11" s="444" t="n">
        <f aca="false">IF(CP$6&lt;Total_Lanes,900*Peak_Time_Eve*(($CO11/CP$6-1)+SQRT(($CO11/CP$6-1)^2+8*($CO11/CP$6)/(Peak_Time_Eve*$O44*CP$6))),"-")</f>
        <v>12.8101823539098</v>
      </c>
      <c r="CQ11" s="444" t="n">
        <f aca="false">IF(CQ$6&lt;Total_Lanes,900*Peak_Time_Eve*(($CO11/CQ$6-1)+SQRT(($CO11/CQ$6-1)^2+8*($CO11/CQ$6)/(Peak_Time_Eve*$O44*CQ$6))),"-")</f>
        <v>0.877925326520757</v>
      </c>
      <c r="CR11" s="444" t="n">
        <f aca="false">IF(CR$6&lt;Total_Lanes,900*Peak_Time_Eve*(($CO11/CR$6-1)+SQRT(($CO11/CR$6-1)^2+8*($CO11/CR$6)/(Peak_Time_Eve*$O44*CR$6))),"-")</f>
        <v>0.313758461841185</v>
      </c>
      <c r="CS11" s="444" t="n">
        <f aca="false">IF(CS$6&lt;Total_Lanes,900*Peak_Time_Eve*(($CO11/CS$6-1)+SQRT(($CO11/CS$6-1)^2+8*($CO11/CS$6)/(Peak_Time_Eve*$O44*CS$6))),"-")</f>
        <v>0.160738329860699</v>
      </c>
      <c r="CT11" s="444" t="n">
        <f aca="false">IF(CT$6&lt;Total_Lanes,900*Peak_Time_Eve*(($CO11/CT$6-1)+SQRT(($CO11/CT$6-1)^2+8*($CO11/CT$6)/(Peak_Time_Eve*$O44*CT$6))),"-")</f>
        <v>0.0976430410348561</v>
      </c>
      <c r="CU11" s="444" t="n">
        <f aca="false">IF(CU$6&lt;Total_Lanes,900*Peak_Time_Eve*(($CO11/CU$6-1)+SQRT(($CO11/CU$6-1)^2+8*($CO11/CU$6)/(Peak_Time_Eve*$O44*CU$6))),"-")</f>
        <v>0.0655847942528487</v>
      </c>
      <c r="CV11" s="444" t="n">
        <f aca="false">IF(CV$6&lt;Total_Lanes,900*Peak_Time_Eve*(($CO11/CV$6-1)+SQRT(($CO11/CV$6-1)^2+8*($CO11/CV$6)/(Peak_Time_Eve*$O44*CV$6))),"-")</f>
        <v>0.0470822150992367</v>
      </c>
      <c r="CW11" s="444" t="n">
        <f aca="false">IF(CW$6&lt;Total_Lanes,900*Peak_Time_Eve*(($CO11/CW$6-1)+SQRT(($CO11/CW$6-1)^2+8*($CO11/CW$6)/(Peak_Time_Eve*$O44*CW$6))),"-")</f>
        <v>0.0354391248581054</v>
      </c>
      <c r="CX11" s="444" t="n">
        <f aca="false">IF(CX$6&lt;Total_Lanes,900*Peak_Time_Eve*(($CO11/CX$6-1)+SQRT(($CO11/CX$6-1)^2+8*($CO11/CX$6)/(Peak_Time_Eve*$O44*CX$6))),"-")</f>
        <v>0.0276385778333887</v>
      </c>
      <c r="CY11" s="444" t="n">
        <f aca="false">IF(CY$6&lt;Total_Lanes,900*Peak_Time_Eve*(($CO11/CY$6-1)+SQRT(($CO11/CY$6-1)^2+8*($CO11/CY$6)/(Peak_Time_Eve*$O44*CY$6))),"-")</f>
        <v>0.0221576332242179</v>
      </c>
      <c r="CZ11" s="444" t="n">
        <f aca="false">IF(CZ$6&lt;Total_Lanes,900*Peak_Time_Eve*(($CO11/CZ$6-1)+SQRT(($CO11/CZ$6-1)^2+8*($CO11/CZ$6)/(Peak_Time_Eve*$O44*CZ$6))),"-")</f>
        <v>0.018159700457776</v>
      </c>
      <c r="DA11" s="445" t="str">
        <f aca="false">IF(DA$6&lt;Total_Lanes,900*Peak_Time_Eve*(($CO11/DA$6-1)+SQRT(($CO11/DA$6-1)^2+8*($CO11/DA$6)/(Peak_Time_Eve*$O44*DA$6))),"-")</f>
        <v>-</v>
      </c>
      <c r="DB11" s="445" t="str">
        <f aca="false">IF(DB$6&lt;Total_Lanes,900*Peak_Time_Eve*(($CO11/DB$6-1)+SQRT(($CO11/DB$6-1)^2+8*($CO11/DB$6)/(Peak_Time_Eve*$O44*DB$6))),"-")</f>
        <v>-</v>
      </c>
      <c r="DC11" s="445" t="str">
        <f aca="false">IF(DC$6&lt;Total_Lanes,900*Peak_Time_Eve*(($CO11/DC$6-1)+SQRT(($CO11/DC$6-1)^2+8*($CO11/DC$6)/(Peak_Time_Eve*$O44*DC$6))),"-")</f>
        <v>-</v>
      </c>
      <c r="DD11" s="445" t="str">
        <f aca="false">IF(DD$6&lt;Total_Lanes,900*Peak_Time_Eve*(($CO11/DD$6-1)+SQRT(($CO11/DD$6-1)^2+8*($CO11/DD$6)/(Peak_Time_Eve*$O44*DD$6))),"-")</f>
        <v>-</v>
      </c>
      <c r="DE11" s="445" t="str">
        <f aca="false">IF(DE$6&lt;Total_Lanes,900*Peak_Time_Eve*(($CO11/DE$6-1)+SQRT(($CO11/DE$6-1)^2+8*($CO11/DE$6)/(Peak_Time_Eve*$O44*DE$6))),"-")</f>
        <v>-</v>
      </c>
      <c r="DF11" s="445" t="str">
        <f aca="false">IF(DF$6&lt;Total_Lanes,900*Peak_Time_Eve*(($CO11/DF$6-1)+SQRT(($CO11/DF$6-1)^2+8*($CO11/DF$6)/(Peak_Time_Eve*$O44*DF$6))),"-")</f>
        <v>-</v>
      </c>
      <c r="DG11" s="445" t="str">
        <f aca="false">IF(DG$6&lt;Total_Lanes,900*Peak_Time_Eve*(($CO11/DG$6-1)+SQRT(($CO11/DG$6-1)^2+8*($CO11/DG$6)/(Peak_Time_Eve*$O44*DG$6))),"-")</f>
        <v>-</v>
      </c>
      <c r="DH11" s="445" t="str">
        <f aca="false">IF(DH$6&lt;Total_Lanes,900*Peak_Time_Eve*(($CO11/DH$6-1)+SQRT(($CO11/DH$6-1)^2+8*($CO11/DH$6)/(Peak_Time_Eve*$O44*DH$6))),"-")</f>
        <v>-</v>
      </c>
      <c r="DI11" s="445" t="str">
        <f aca="false">IF(DI$6&lt;Total_Lanes,900*Peak_Time_Eve*(($CO11/DI$6-1)+SQRT(($CO11/DI$6-1)^2+8*($CO11/DI$6)/(Peak_Time_Eve*$O44*DI$6))),"-")</f>
        <v>-</v>
      </c>
      <c r="DJ11" s="446" t="str">
        <f aca="false">IF(DJ$6&lt;Total_Lanes,900*Peak_Time_Eve*(($CO11/DJ$6-1)+SQRT(($CO11/DJ$6-1)^2+8*($CO11/DJ$6)/(Peak_Time_Eve*$O44*DJ$6))),"-")</f>
        <v>-</v>
      </c>
      <c r="DK11" s="447" t="n">
        <f aca="false">3600/O44</f>
        <v>2.4</v>
      </c>
    </row>
    <row r="12" customFormat="false" ht="12" hidden="false" customHeight="false" outlineLevel="0" collapsed="false">
      <c r="H12" s="400" t="n">
        <v>5</v>
      </c>
      <c r="I12" s="401" t="n">
        <f aca="false">'Input-Detail'!E19</f>
        <v>21762129.75</v>
      </c>
      <c r="J12" s="402" t="n">
        <f aca="false">'Input-Detail'!F19</f>
        <v>0.2475</v>
      </c>
      <c r="K12" s="403" t="n">
        <f aca="false">AD12</f>
        <v>6568.86245013652</v>
      </c>
      <c r="L12" s="443" t="n">
        <f aca="false">IF(AD12&gt;AD60,BC12,BC60)</f>
        <v>2</v>
      </c>
      <c r="M12" s="412" t="n">
        <f aca="false">AE60</f>
        <v>10.8573159375286</v>
      </c>
      <c r="N12" s="427" t="n">
        <f aca="false">AE12</f>
        <v>30.0572089783627</v>
      </c>
      <c r="O12" s="427" t="n">
        <f aca="false">SUM(M12:N12)</f>
        <v>40.9145249158913</v>
      </c>
      <c r="P12" s="432" t="n">
        <f aca="false">$S$34*O12</f>
        <v>10637.7764781317</v>
      </c>
      <c r="Q12" s="412" t="n">
        <f aca="false">SUMIF($AF$54:$AZ$54,L12,$AF60:$AZ60)</f>
        <v>8.51316824598917</v>
      </c>
      <c r="R12" s="427" t="n">
        <f aca="false">SUMIF($AF$6:$AZ$6,$L12,$AF12:$AZ12)</f>
        <v>39.5186044492456</v>
      </c>
      <c r="S12" s="427" t="n">
        <f aca="false">SUM(Q12:R12)</f>
        <v>48.0317726952348</v>
      </c>
      <c r="T12" s="433" t="n">
        <f aca="false">$S$34*S12</f>
        <v>12488.260900761</v>
      </c>
      <c r="U12" s="372"/>
      <c r="V12" s="372"/>
      <c r="W12" s="400" t="n">
        <v>5</v>
      </c>
      <c r="X12" s="408" t="n">
        <f aca="false">X$7+(X$27-X$7)*$W12/20</f>
        <v>21762129.75</v>
      </c>
      <c r="Y12" s="402" t="n">
        <f aca="false">J12</f>
        <v>0.2475</v>
      </c>
      <c r="Z12" s="408" t="n">
        <f aca="false">'Input-Detail'!E19/AA12</f>
        <v>9384.08921448075</v>
      </c>
      <c r="AA12" s="434" t="n">
        <f aca="false">AA11</f>
        <v>2319.04548780488</v>
      </c>
      <c r="AB12" s="434" t="n">
        <f aca="false">AB11</f>
        <v>2</v>
      </c>
      <c r="AC12" s="435" t="n">
        <f aca="false">AC11</f>
        <v>0.7</v>
      </c>
      <c r="AD12" s="411" t="n">
        <f aca="false">Z12*AC12</f>
        <v>6568.86245013652</v>
      </c>
      <c r="AE12" s="412" t="n">
        <f aca="false">Peak_Time_Eve*$BI12*(3600/K45+BL12)/3600</f>
        <v>30.0572089783627</v>
      </c>
      <c r="AF12" s="413" t="n">
        <f aca="false">IF(AF$6&lt;Total_Lanes,($BJ12*($CI12+BN12)+$CN12*CP12)*Peak_Time_Eve/3600,"-")</f>
        <v>324.981132942397</v>
      </c>
      <c r="AG12" s="413" t="n">
        <f aca="false">IF(AG$6&lt;Total_Lanes,($BJ12*($CI12+BO12)+$CN12*CQ12)*Peak_Time_Eve/3600,"-")</f>
        <v>39.5186044492456</v>
      </c>
      <c r="AH12" s="413" t="n">
        <f aca="false">IF(AH$6&lt;Total_Lanes,($BJ12*($CI12+BP12)+$CN12*CR12)*Peak_Time_Eve/3600,"-")</f>
        <v>286.46737403076</v>
      </c>
      <c r="AI12" s="413" t="n">
        <f aca="false">IF(AI$6&lt;Total_Lanes,($BJ12*($CI12+BQ12)+$CN12*CS12)*Peak_Time_Eve/3600,"-")</f>
        <v>1486.86887464081</v>
      </c>
      <c r="AJ12" s="413" t="n">
        <f aca="false">IF(AJ$6&lt;Total_Lanes,($BJ12*($CI12+BR12)+$CN12*CT12)*Peak_Time_Eve/3600,"-")</f>
        <v>3099.6372874591</v>
      </c>
      <c r="AK12" s="413" t="n">
        <f aca="false">IF(AK$6&lt;Total_Lanes,($BJ12*($CI12+BS12)+$CN12*CU12)*Peak_Time_Eve/3600,"-")</f>
        <v>5256.7801800972</v>
      </c>
      <c r="AL12" s="413" t="n">
        <f aca="false">IF(AL$6&lt;Total_Lanes,($BJ12*($CI12+BT12)+$CN12*CV12)*Peak_Time_Eve/3600,"-")</f>
        <v>8279.12422061423</v>
      </c>
      <c r="AM12" s="413" t="n">
        <f aca="false">IF(AM$6&lt;Total_Lanes,($BJ12*($CI12+BU12)+$CN12*CW12)*Peak_Time_Eve/3600,"-")</f>
        <v>12813.8804629577</v>
      </c>
      <c r="AN12" s="413" t="n">
        <f aca="false">IF(AN$6&lt;Total_Lanes,($BJ12*($CI12+BV12)+$CN12*CX12)*Peak_Time_Eve/3600,"-")</f>
        <v>20372.6600939153</v>
      </c>
      <c r="AO12" s="413" t="n">
        <f aca="false">IF(AO$6&lt;Total_Lanes,($BJ12*($CI12+BW12)+$CN12*CY12)*Peak_Time_Eve/3600,"-")</f>
        <v>35490.9641890872</v>
      </c>
      <c r="AP12" s="413" t="n">
        <f aca="false">IF(AP$6&lt;Total_Lanes,($BJ12*($CI12+BX12)+$CN12*CZ12)*Peak_Time_Eve/3600,"-")</f>
        <v>80846.8195265635</v>
      </c>
      <c r="AQ12" s="413" t="str">
        <f aca="false">IF(AQ$6&lt;Total_Lanes,($BJ12*($CI12+BY12)+$CN12*DA12)*Peak_Time_Eve/3600,"-")</f>
        <v>-</v>
      </c>
      <c r="AR12" s="413" t="str">
        <f aca="false">IF(AR$6&lt;Total_Lanes,($BJ12*($CI12+BZ12)+$CN12*DB12)*Peak_Time_Eve/3600,"-")</f>
        <v>-</v>
      </c>
      <c r="AS12" s="413" t="str">
        <f aca="false">IF(AS$6&lt;Total_Lanes,($BJ12*($CI12+CA12)+$CN12*DC12)*Peak_Time_Eve/3600,"-")</f>
        <v>-</v>
      </c>
      <c r="AT12" s="413" t="str">
        <f aca="false">IF(AT$6&lt;Total_Lanes,($BJ12*($CI12+CB12)+$CN12*DD12)*Peak_Time_Eve/3600,"-")</f>
        <v>-</v>
      </c>
      <c r="AU12" s="413" t="str">
        <f aca="false">IF(AU$6&lt;Total_Lanes,($BJ12*($CI12+CC12)+$CN12*DE12)*Peak_Time_Eve/3600,"-")</f>
        <v>-</v>
      </c>
      <c r="AV12" s="413" t="str">
        <f aca="false">IF(AV$6&lt;Total_Lanes,($BJ12*($CI12+CD12)+$CN12*DF12)*Peak_Time_Eve/3600,"-")</f>
        <v>-</v>
      </c>
      <c r="AW12" s="413" t="str">
        <f aca="false">IF(AW$6&lt;Total_Lanes,($BJ12*($CI12+CE12)+$CN12*DG12)*Peak_Time_Eve/3600,"-")</f>
        <v>-</v>
      </c>
      <c r="AX12" s="413" t="str">
        <f aca="false">IF(AX$6&lt;Total_Lanes,($BJ12*($CI12+CF12)+$CN12*DH12)*Peak_Time_Eve/3600,"-")</f>
        <v>-</v>
      </c>
      <c r="AY12" s="413" t="str">
        <f aca="false">IF(AY$6&lt;Total_Lanes,($BJ12*($CI12+CG12)+$CN12*DI12)*Peak_Time_Eve/3600,"-")</f>
        <v>-</v>
      </c>
      <c r="AZ12" s="414" t="str">
        <f aca="false">IF(AZ$6&lt;Total_Lanes,($BJ12*($CI12+CH12)+$CN12*DJ12)*Peak_Time_Eve/3600,"-")</f>
        <v>-</v>
      </c>
      <c r="BA12" s="436" t="n">
        <f aca="false">SUMIF(AF12:AZ12,BB12,$AF$6:$AZ$6)</f>
        <v>2</v>
      </c>
      <c r="BB12" s="437" t="n">
        <f aca="false">MIN(AF12:AZ12)</f>
        <v>39.5186044492456</v>
      </c>
      <c r="BC12" s="436" t="n">
        <f aca="false">IF((SUMIF($BN10:$CH10,$BA12,$BN12:$CH12)+$CI12)&lt;(SUMIF($CP10:$DJ10,$BA12,$CP12:$DJ12)+$DK12),BA12+1,BA12)</f>
        <v>2</v>
      </c>
      <c r="BD12" s="437" t="n">
        <f aca="false">SUMIF($AF$6:$AZ$6,$BC12,$AF12:$AZ12)</f>
        <v>39.5186044492456</v>
      </c>
      <c r="BG12" s="400" t="n">
        <v>5</v>
      </c>
      <c r="BH12" s="402" t="n">
        <f aca="false">$Y12</f>
        <v>0.2475</v>
      </c>
      <c r="BI12" s="418" t="n">
        <f aca="false">$AD12</f>
        <v>6568.86245013652</v>
      </c>
      <c r="BJ12" s="438" t="n">
        <f aca="false">BI12*(1-BH12)</f>
        <v>4943.06899372773</v>
      </c>
      <c r="BK12" s="420" t="n">
        <f aca="false">Peak_Arrival_Manual/K45</f>
        <v>9.02796628715551</v>
      </c>
      <c r="BL12" s="421" t="n">
        <f aca="false">900*Peak_Time_Eve*(BK12/Total_Lanes-1+SQRT((BK12/Total_Lanes-1)^2+8*(BK12/Total_Lanes)/(Peak_Time_Eve*$K45*Total_Lanes)))</f>
        <v>1.6612778291892</v>
      </c>
      <c r="BM12" s="422" t="n">
        <f aca="false">Peak_Arrival_Manual/N45</f>
        <v>9.17385547620651</v>
      </c>
      <c r="BN12" s="423" t="n">
        <f aca="false">IF(BN$6&lt;Total_Lanes,900*Peak_Time_Eve*(($BM12/(Total_Lanes-BN$6))-1+SQRT((($BM12/(Total_Lanes-BN$6))-1)^2+8*($BM12/(Total_Lanes-BN$6))/(Peak_Time_Eve*$N45*(Total_Lanes-BN$6)))),"-")</f>
        <v>3.03585687841507</v>
      </c>
      <c r="BO12" s="423" t="n">
        <f aca="false">IF(BO$6&lt;Total_Lanes,900*Peak_Time_Eve*(($BM12/(Total_Lanes-BO$6))-1+SQRT((($BM12/(Total_Lanes-BO$6))-1)^2+8*($BM12/(Total_Lanes-BO$6))/(Peak_Time_Eve*$N45*(Total_Lanes-BO$6)))),"-")</f>
        <v>7.24276023078978</v>
      </c>
      <c r="BP12" s="423" t="n">
        <f aca="false">IF(BP$6&lt;Total_Lanes,900*Peak_Time_Eve*(($BM12/(Total_Lanes-BP$6))-1+SQRT((($BM12/(Total_Lanes-BP$6))-1)^2+8*($BM12/(Total_Lanes-BP$6))/(Peak_Time_Eve*$N45*(Total_Lanes-BP$6)))),"-")</f>
        <v>97.4859617569475</v>
      </c>
      <c r="BQ12" s="423" t="n">
        <f aca="false">IF(BQ$6&lt;Total_Lanes,900*Peak_Time_Eve*(($BM12/(Total_Lanes-BQ$6))-1+SQRT((($BM12/(Total_Lanes-BQ$6))-1)^2+8*($BM12/(Total_Lanes-BQ$6))/(Peak_Time_Eve*$N45*(Total_Lanes-BQ$6)))),"-")</f>
        <v>534.683122254895</v>
      </c>
      <c r="BR12" s="423" t="n">
        <f aca="false">IF(BR$6&lt;Total_Lanes,900*Peak_Time_Eve*(($BM12/(Total_Lanes-BR$6))-1+SQRT((($BM12/(Total_Lanes-BR$6))-1)^2+8*($BM12/(Total_Lanes-BR$6))/(Peak_Time_Eve*$N45*(Total_Lanes-BR$6)))),"-")</f>
        <v>1121.99632866433</v>
      </c>
      <c r="BS12" s="423" t="n">
        <f aca="false">IF(BS$6&lt;Total_Lanes,900*Peak_Time_Eve*(($BM12/(Total_Lanes-BS$6))-1+SQRT((($BM12/(Total_Lanes-BS$6))-1)^2+8*($BM12/(Total_Lanes-BS$6))/(Peak_Time_Eve*$N45*(Total_Lanes-BS$6)))),"-")</f>
        <v>1907.52649518941</v>
      </c>
      <c r="BT12" s="423" t="n">
        <f aca="false">IF(BT$6&lt;Total_Lanes,900*Peak_Time_Eve*(($BM12/(Total_Lanes-BT$6))-1+SQRT((($BM12/(Total_Lanes-BT$6))-1)^2+8*($BM12/(Total_Lanes-BT$6))/(Peak_Time_Eve*$N45*(Total_Lanes-BT$6)))),"-")</f>
        <v>3008.11006634123</v>
      </c>
      <c r="BU12" s="423" t="n">
        <f aca="false">IF(BU$6&lt;Total_Lanes,900*Peak_Time_Eve*(($BM12/(Total_Lanes-BU$6))-1+SQRT((($BM12/(Total_Lanes-BU$6))-1)^2+8*($BM12/(Total_Lanes-BU$6))/(Peak_Time_Eve*$N45*(Total_Lanes-BU$6)))),"-")</f>
        <v>4659.42970817077</v>
      </c>
      <c r="BV12" s="423" t="n">
        <f aca="false">IF(BV$6&lt;Total_Lanes,900*Peak_Time_Eve*(($BM12/(Total_Lanes-BV$6))-1+SQRT((($BM12/(Total_Lanes-BV$6))-1)^2+8*($BM12/(Total_Lanes-BV$6))/(Peak_Time_Eve*$N45*(Total_Lanes-BV$6)))),"-")</f>
        <v>7411.93436231072</v>
      </c>
      <c r="BW12" s="423" t="n">
        <f aca="false">IF(BW$6&lt;Total_Lanes,900*Peak_Time_Eve*(($BM12/(Total_Lanes-BW$6))-1+SQRT((($BM12/(Total_Lanes-BW$6))-1)^2+8*($BM12/(Total_Lanes-BW$6))/(Peak_Time_Eve*$N45*(Total_Lanes-BW$6)))),"-")</f>
        <v>12917.210403055</v>
      </c>
      <c r="BX12" s="423" t="n">
        <f aca="false">IF(BX$6&lt;Total_Lanes,900*Peak_Time_Eve*(($BM12/(Total_Lanes-BX$6))-1+SQRT((($BM12/(Total_Lanes-BX$6))-1)^2+8*($BM12/(Total_Lanes-BX$6))/(Peak_Time_Eve*$N45*(Total_Lanes-BX$6)))),"-")</f>
        <v>29433.3764471507</v>
      </c>
      <c r="BY12" s="413" t="str">
        <f aca="false">IF(BY$6&lt;Total_Lanes,900*Peak_Time_Eve*(($BM12/(Total_Lanes-BY$6))-1+SQRT((($BM12/(Total_Lanes-BY$6))-1)^2+8*($BM12/(Total_Lanes-BY$6))/(Peak_Time_Eve*$N45*(Total_Lanes-BY$6)))),"-")</f>
        <v>-</v>
      </c>
      <c r="BZ12" s="413" t="str">
        <f aca="false">IF(BZ$6&lt;Total_Lanes,900*Peak_Time_Eve*(($BM12/(Total_Lanes-BZ$6))-1+SQRT((($BM12/(Total_Lanes-BZ$6))-1)^2+8*($BM12/(Total_Lanes-BZ$6))/(Peak_Time_Eve*$N45*(Total_Lanes-BZ$6)))),"-")</f>
        <v>-</v>
      </c>
      <c r="CA12" s="413" t="str">
        <f aca="false">IF(CA$6&lt;Total_Lanes,900*Peak_Time_Eve*(($BM12/(Total_Lanes-CA$6))-1+SQRT((($BM12/(Total_Lanes-CA$6))-1)^2+8*($BM12/(Total_Lanes-CA$6))/(Peak_Time_Eve*$N45*(Total_Lanes-CA$6)))),"-")</f>
        <v>-</v>
      </c>
      <c r="CB12" s="413" t="str">
        <f aca="false">IF(CB$6&lt;Total_Lanes,900*Peak_Time_Eve*(($BM12/(Total_Lanes-CB$6))-1+SQRT((($BM12/(Total_Lanes-CB$6))-1)^2+8*($BM12/(Total_Lanes-CB$6))/(Peak_Time_Eve*$N45*(Total_Lanes-CB$6)))),"-")</f>
        <v>-</v>
      </c>
      <c r="CC12" s="413" t="str">
        <f aca="false">IF(CC$6&lt;Total_Lanes,900*Peak_Time_Eve*(($BM12/(Total_Lanes-CC$6))-1+SQRT((($BM12/(Total_Lanes-CC$6))-1)^2+8*($BM12/(Total_Lanes-CC$6))/(Peak_Time_Eve*$N45*(Total_Lanes-CC$6)))),"-")</f>
        <v>-</v>
      </c>
      <c r="CD12" s="413" t="str">
        <f aca="false">IF(CD$6&lt;Total_Lanes,900*Peak_Time_Eve*(($BM12/(Total_Lanes-CD$6))-1+SQRT((($BM12/(Total_Lanes-CD$6))-1)^2+8*($BM12/(Total_Lanes-CD$6))/(Peak_Time_Eve*$N45*(Total_Lanes-CD$6)))),"-")</f>
        <v>-</v>
      </c>
      <c r="CE12" s="413" t="str">
        <f aca="false">IF(CE$6&lt;Total_Lanes,900*Peak_Time_Eve*(($BM12/(Total_Lanes-CE$6))-1+SQRT((($BM12/(Total_Lanes-CE$6))-1)^2+8*($BM12/(Total_Lanes-CE$6))/(Peak_Time_Eve*$N45*(Total_Lanes-CE$6)))),"-")</f>
        <v>-</v>
      </c>
      <c r="CF12" s="413" t="str">
        <f aca="false">IF(CF$6&lt;Total_Lanes,900*Peak_Time_Eve*(($BM12/(Total_Lanes-CF$6))-1+SQRT((($BM12/(Total_Lanes-CF$6))-1)^2+8*($BM12/(Total_Lanes-CF$6))/(Peak_Time_Eve*$N45*(Total_Lanes-CF$6)))),"-")</f>
        <v>-</v>
      </c>
      <c r="CG12" s="413" t="str">
        <f aca="false">IF(CG$6&lt;Total_Lanes,900*Peak_Time_Eve*(($BM12/(Total_Lanes-CG$6))-1+SQRT((($BM12/(Total_Lanes-CG$6))-1)^2+8*($BM12/(Total_Lanes-CG$6))/(Peak_Time_Eve*$N45*(Total_Lanes-CG$6)))),"-")</f>
        <v>-</v>
      </c>
      <c r="CH12" s="424" t="str">
        <f aca="false">IF(CH$6&lt;Total_Lanes,900*Peak_Time_Eve*(($BM12/(Total_Lanes-CH$6))-1+SQRT((($BM12/(Total_Lanes-CH$6))-1)^2+8*($BM12/(Total_Lanes-CH$6))/(Peak_Time_Eve*$N45*(Total_Lanes-CH$6)))),"-")</f>
        <v>-</v>
      </c>
      <c r="CI12" s="439" t="n">
        <f aca="false">3600/N45</f>
        <v>6.68125</v>
      </c>
      <c r="CK12" s="400" t="n">
        <v>5</v>
      </c>
      <c r="CL12" s="402" t="n">
        <f aca="false">$Y12</f>
        <v>0.2475</v>
      </c>
      <c r="CM12" s="411" t="n">
        <f aca="false">$AD12</f>
        <v>6568.86245013652</v>
      </c>
      <c r="CN12" s="412" t="n">
        <f aca="false">CM12*CL12</f>
        <v>1625.79345640879</v>
      </c>
      <c r="CO12" s="440" t="n">
        <f aca="false">CN12/O44</f>
        <v>1.08386230427253</v>
      </c>
      <c r="CP12" s="444" t="n">
        <f aca="false">IF(CP$6&lt;Total_Lanes,900*Peak_Time_Eve*(($CO12/CP$6-1)+SQRT(($CO12/CP$6-1)^2+8*($CO12/CP$6)/(Peak_Time_Eve*$O45*CP$6))),"-")</f>
        <v>330.259484967367</v>
      </c>
      <c r="CQ12" s="444" t="n">
        <f aca="false">IF(CQ$6&lt;Total_Lanes,900*Peak_Time_Eve*(($CO12/CQ$6-1)+SQRT(($CO12/CQ$6-1)^2+8*($CO12/CQ$6)/(Peak_Time_Eve*$O45*CQ$6))),"-")</f>
        <v>1.41847339795024</v>
      </c>
      <c r="CR12" s="444" t="n">
        <f aca="false">IF(CR$6&lt;Total_Lanes,900*Peak_Time_Eve*(($CO12/CR$6-1)+SQRT(($CO12/CR$6-1)^2+8*($CO12/CR$6)/(Peak_Time_Eve*$O45*CR$6))),"-")</f>
        <v>0.452430567752016</v>
      </c>
      <c r="CS12" s="444" t="n">
        <f aca="false">IF(CS$6&lt;Total_Lanes,900*Peak_Time_Eve*(($CO12/CS$6-1)+SQRT(($CO12/CS$6-1)^2+8*($CO12/CS$6)/(Peak_Time_Eve*$O45*CS$6))),"-")</f>
        <v>0.222987458818169</v>
      </c>
      <c r="CT12" s="444" t="n">
        <f aca="false">IF(CT$6&lt;Total_Lanes,900*Peak_Time_Eve*(($CO12/CT$6-1)+SQRT(($CO12/CT$6-1)^2+8*($CO12/CT$6)/(Peak_Time_Eve*$O45*CT$6))),"-")</f>
        <v>0.132842467905903</v>
      </c>
      <c r="CU12" s="444" t="n">
        <f aca="false">IF(CU$6&lt;Total_Lanes,900*Peak_Time_Eve*(($CO12/CU$6-1)+SQRT(($CO12/CU$6-1)^2+8*($CO12/CU$6)/(Peak_Time_Eve*$O45*CU$6))),"-")</f>
        <v>0.0881854796204395</v>
      </c>
      <c r="CV12" s="444" t="n">
        <f aca="false">IF(CV$6&lt;Total_Lanes,900*Peak_Time_Eve*(($CO12/CV$6-1)+SQRT(($CO12/CV$6-1)^2+8*($CO12/CV$6)/(Peak_Time_Eve*$O45*CV$6))),"-")</f>
        <v>0.0628116316059302</v>
      </c>
      <c r="CW12" s="444" t="n">
        <f aca="false">IF(CW$6&lt;Total_Lanes,900*Peak_Time_Eve*(($CO12/CW$6-1)+SQRT(($CO12/CW$6-1)^2+8*($CO12/CW$6)/(Peak_Time_Eve*$O45*CW$6))),"-")</f>
        <v>0.0470137804970516</v>
      </c>
      <c r="CX12" s="444" t="n">
        <f aca="false">IF(CX$6&lt;Total_Lanes,900*Peak_Time_Eve*(($CO12/CX$6-1)+SQRT(($CO12/CX$6-1)^2+8*($CO12/CX$6)/(Peak_Time_Eve*$O45*CX$6))),"-")</f>
        <v>0.0365110646466382</v>
      </c>
      <c r="CY12" s="444" t="n">
        <f aca="false">IF(CY$6&lt;Total_Lanes,900*Peak_Time_Eve*(($CO12/CY$6-1)+SQRT(($CO12/CY$6-1)^2+8*($CO12/CY$6)/(Peak_Time_Eve*$O45*CY$6))),"-")</f>
        <v>0.0291745818177924</v>
      </c>
      <c r="CZ12" s="444" t="n">
        <f aca="false">IF(CZ$6&lt;Total_Lanes,900*Peak_Time_Eve*(($CO12/CZ$6-1)+SQRT(($CO12/CZ$6-1)^2+8*($CO12/CZ$6)/(Peak_Time_Eve*$O45*CZ$6))),"-")</f>
        <v>0.0238477235517065</v>
      </c>
      <c r="DA12" s="445" t="str">
        <f aca="false">IF(DA$6&lt;Total_Lanes,900*Peak_Time_Eve*(($CO12/DA$6-1)+SQRT(($CO12/DA$6-1)^2+8*($CO12/DA$6)/(Peak_Time_Eve*$O45*DA$6))),"-")</f>
        <v>-</v>
      </c>
      <c r="DB12" s="445" t="str">
        <f aca="false">IF(DB$6&lt;Total_Lanes,900*Peak_Time_Eve*(($CO12/DB$6-1)+SQRT(($CO12/DB$6-1)^2+8*($CO12/DB$6)/(Peak_Time_Eve*$O45*DB$6))),"-")</f>
        <v>-</v>
      </c>
      <c r="DC12" s="445" t="str">
        <f aca="false">IF(DC$6&lt;Total_Lanes,900*Peak_Time_Eve*(($CO12/DC$6-1)+SQRT(($CO12/DC$6-1)^2+8*($CO12/DC$6)/(Peak_Time_Eve*$O45*DC$6))),"-")</f>
        <v>-</v>
      </c>
      <c r="DD12" s="445" t="str">
        <f aca="false">IF(DD$6&lt;Total_Lanes,900*Peak_Time_Eve*(($CO12/DD$6-1)+SQRT(($CO12/DD$6-1)^2+8*($CO12/DD$6)/(Peak_Time_Eve*$O45*DD$6))),"-")</f>
        <v>-</v>
      </c>
      <c r="DE12" s="445" t="str">
        <f aca="false">IF(DE$6&lt;Total_Lanes,900*Peak_Time_Eve*(($CO12/DE$6-1)+SQRT(($CO12/DE$6-1)^2+8*($CO12/DE$6)/(Peak_Time_Eve*$O45*DE$6))),"-")</f>
        <v>-</v>
      </c>
      <c r="DF12" s="445" t="str">
        <f aca="false">IF(DF$6&lt;Total_Lanes,900*Peak_Time_Eve*(($CO12/DF$6-1)+SQRT(($CO12/DF$6-1)^2+8*($CO12/DF$6)/(Peak_Time_Eve*$O45*DF$6))),"-")</f>
        <v>-</v>
      </c>
      <c r="DG12" s="445" t="str">
        <f aca="false">IF(DG$6&lt;Total_Lanes,900*Peak_Time_Eve*(($CO12/DG$6-1)+SQRT(($CO12/DG$6-1)^2+8*($CO12/DG$6)/(Peak_Time_Eve*$O45*DG$6))),"-")</f>
        <v>-</v>
      </c>
      <c r="DH12" s="445" t="str">
        <f aca="false">IF(DH$6&lt;Total_Lanes,900*Peak_Time_Eve*(($CO12/DH$6-1)+SQRT(($CO12/DH$6-1)^2+8*($CO12/DH$6)/(Peak_Time_Eve*$O45*DH$6))),"-")</f>
        <v>-</v>
      </c>
      <c r="DI12" s="445" t="str">
        <f aca="false">IF(DI$6&lt;Total_Lanes,900*Peak_Time_Eve*(($CO12/DI$6-1)+SQRT(($CO12/DI$6-1)^2+8*($CO12/DI$6)/(Peak_Time_Eve*$O45*DI$6))),"-")</f>
        <v>-</v>
      </c>
      <c r="DJ12" s="446" t="str">
        <f aca="false">IF(DJ$6&lt;Total_Lanes,900*Peak_Time_Eve*(($CO12/DJ$6-1)+SQRT(($CO12/DJ$6-1)^2+8*($CO12/DJ$6)/(Peak_Time_Eve*$O45*DJ$6))),"-")</f>
        <v>-</v>
      </c>
      <c r="DK12" s="447" t="n">
        <f aca="false">3600/O45</f>
        <v>2.4</v>
      </c>
    </row>
    <row r="13" customFormat="false" ht="12" hidden="false" customHeight="false" outlineLevel="0" collapsed="false">
      <c r="H13" s="400" t="n">
        <v>6</v>
      </c>
      <c r="I13" s="401" t="n">
        <f aca="false">'Input-Detail'!E20</f>
        <v>22311321.1</v>
      </c>
      <c r="J13" s="402" t="n">
        <f aca="false">'Input-Detail'!F20</f>
        <v>0.297</v>
      </c>
      <c r="K13" s="403" t="n">
        <f aca="false">AD13</f>
        <v>6734.63494016383</v>
      </c>
      <c r="L13" s="443" t="n">
        <f aca="false">IF(AD13&gt;AD61,BC13,BC61)</f>
        <v>2</v>
      </c>
      <c r="M13" s="412" t="n">
        <f aca="false">AE61</f>
        <v>11.1398639462281</v>
      </c>
      <c r="N13" s="427" t="n">
        <f aca="false">AE13</f>
        <v>29.8793371263916</v>
      </c>
      <c r="O13" s="427" t="n">
        <f aca="false">SUM(M13:N13)</f>
        <v>41.0192010726197</v>
      </c>
      <c r="P13" s="432" t="n">
        <f aca="false">$S$34*O13</f>
        <v>10664.9922788811</v>
      </c>
      <c r="Q13" s="412" t="n">
        <f aca="false">SUMIF($AF$54:$AZ$54,L13,$AF61:$AZ61)</f>
        <v>8.24259118970341</v>
      </c>
      <c r="R13" s="427" t="n">
        <f aca="false">SUMIF($AF$6:$AZ$6,$L13,$AF13:$AZ13)</f>
        <v>33.2512891571127</v>
      </c>
      <c r="S13" s="427" t="n">
        <f aca="false">SUM(Q13:R13)</f>
        <v>41.4938803468161</v>
      </c>
      <c r="T13" s="433" t="n">
        <f aca="false">$S$34*S13</f>
        <v>10788.4088901722</v>
      </c>
      <c r="U13" s="372"/>
      <c r="V13" s="372"/>
      <c r="W13" s="400" t="n">
        <v>6</v>
      </c>
      <c r="X13" s="408" t="n">
        <f aca="false">X$7+(X$27-X$7)*$W13/20</f>
        <v>22311321.1</v>
      </c>
      <c r="Y13" s="402" t="n">
        <f aca="false">J13</f>
        <v>0.297</v>
      </c>
      <c r="Z13" s="408" t="n">
        <f aca="false">'Input-Detail'!E20/AA13</f>
        <v>9620.9070573769</v>
      </c>
      <c r="AA13" s="434" t="n">
        <f aca="false">AA12</f>
        <v>2319.04548780488</v>
      </c>
      <c r="AB13" s="434" t="n">
        <f aca="false">AB12</f>
        <v>2</v>
      </c>
      <c r="AC13" s="435" t="n">
        <f aca="false">AC12</f>
        <v>0.7</v>
      </c>
      <c r="AD13" s="411" t="n">
        <f aca="false">Z13*AC13</f>
        <v>6734.63494016383</v>
      </c>
      <c r="AE13" s="412" t="n">
        <f aca="false">Peak_Time_Eve*$BI13*(3600/K46+BL13)/3600</f>
        <v>29.8793371263916</v>
      </c>
      <c r="AF13" s="413" t="n">
        <f aca="false">IF(AF$6&lt;Total_Lanes,($BJ13*($CI13+BN13)+$CN13*CP13)*Peak_Time_Eve/3600,"-")</f>
        <v>1368.60749015042</v>
      </c>
      <c r="AG13" s="413" t="n">
        <f aca="false">IF(AG$6&lt;Total_Lanes,($BJ13*($CI13+BO13)+$CN13*CQ13)*Peak_Time_Eve/3600,"-")</f>
        <v>33.2512891571127</v>
      </c>
      <c r="AH13" s="413" t="n">
        <f aca="false">IF(AH$6&lt;Total_Lanes,($BJ13*($CI13+BP13)+$CN13*CR13)*Peak_Time_Eve/3600,"-")</f>
        <v>87.1817300935805</v>
      </c>
      <c r="AI13" s="413" t="n">
        <f aca="false">IF(AI$6&lt;Total_Lanes,($BJ13*($CI13+BQ13)+$CN13*CS13)*Peak_Time_Eve/3600,"-")</f>
        <v>1005.44183476628</v>
      </c>
      <c r="AJ13" s="413" t="n">
        <f aca="false">IF(AJ$6&lt;Total_Lanes,($BJ13*($CI13+BR13)+$CN13*CT13)*Peak_Time_Eve/3600,"-")</f>
        <v>2484.63510013597</v>
      </c>
      <c r="AK13" s="413" t="n">
        <f aca="false">IF(AK$6&lt;Total_Lanes,($BJ13*($CI13+BS13)+$CN13*CU13)*Peak_Time_Eve/3600,"-")</f>
        <v>4468.83351526231</v>
      </c>
      <c r="AL13" s="413" t="n">
        <f aca="false">IF(AL$6&lt;Total_Lanes,($BJ13*($CI13+BT13)+$CN13*CV13)*Peak_Time_Eve/3600,"-")</f>
        <v>7249.9099234256</v>
      </c>
      <c r="AM13" s="413" t="n">
        <f aca="false">IF(AM$6&lt;Total_Lanes,($BJ13*($CI13+BU13)+$CN13*CW13)*Peak_Time_Eve/3600,"-")</f>
        <v>11423.0493845311</v>
      </c>
      <c r="AN13" s="413" t="n">
        <f aca="false">IF(AN$6&lt;Total_Lanes,($BJ13*($CI13+BV13)+$CN13*CX13)*Peak_Time_Eve/3600,"-")</f>
        <v>18379.2706681166</v>
      </c>
      <c r="AO13" s="413" t="n">
        <f aca="false">IF(AO$6&lt;Total_Lanes,($BJ13*($CI13+BW13)+$CN13*CY13)*Peak_Time_Eve/3600,"-")</f>
        <v>32292.5450716071</v>
      </c>
      <c r="AP13" s="413" t="n">
        <f aca="false">IF(AP$6&lt;Total_Lanes,($BJ13*($CI13+BX13)+$CN13*CZ13)*Peak_Time_Eve/3600,"-")</f>
        <v>74033.3936979858</v>
      </c>
      <c r="AQ13" s="413" t="str">
        <f aca="false">IF(AQ$6&lt;Total_Lanes,($BJ13*($CI13+BY13)+$CN13*DA13)*Peak_Time_Eve/3600,"-")</f>
        <v>-</v>
      </c>
      <c r="AR13" s="413" t="str">
        <f aca="false">IF(AR$6&lt;Total_Lanes,($BJ13*($CI13+BZ13)+$CN13*DB13)*Peak_Time_Eve/3600,"-")</f>
        <v>-</v>
      </c>
      <c r="AS13" s="413" t="str">
        <f aca="false">IF(AS$6&lt;Total_Lanes,($BJ13*($CI13+CA13)+$CN13*DC13)*Peak_Time_Eve/3600,"-")</f>
        <v>-</v>
      </c>
      <c r="AT13" s="413" t="str">
        <f aca="false">IF(AT$6&lt;Total_Lanes,($BJ13*($CI13+CB13)+$CN13*DD13)*Peak_Time_Eve/3600,"-")</f>
        <v>-</v>
      </c>
      <c r="AU13" s="413" t="str">
        <f aca="false">IF(AU$6&lt;Total_Lanes,($BJ13*($CI13+CC13)+$CN13*DE13)*Peak_Time_Eve/3600,"-")</f>
        <v>-</v>
      </c>
      <c r="AV13" s="413" t="str">
        <f aca="false">IF(AV$6&lt;Total_Lanes,($BJ13*($CI13+CD13)+$CN13*DF13)*Peak_Time_Eve/3600,"-")</f>
        <v>-</v>
      </c>
      <c r="AW13" s="413" t="str">
        <f aca="false">IF(AW$6&lt;Total_Lanes,($BJ13*($CI13+CE13)+$CN13*DG13)*Peak_Time_Eve/3600,"-")</f>
        <v>-</v>
      </c>
      <c r="AX13" s="413" t="str">
        <f aca="false">IF(AX$6&lt;Total_Lanes,($BJ13*($CI13+CF13)+$CN13*DH13)*Peak_Time_Eve/3600,"-")</f>
        <v>-</v>
      </c>
      <c r="AY13" s="413" t="str">
        <f aca="false">IF(AY$6&lt;Total_Lanes,($BJ13*($CI13+CG13)+$CN13*DI13)*Peak_Time_Eve/3600,"-")</f>
        <v>-</v>
      </c>
      <c r="AZ13" s="414" t="str">
        <f aca="false">IF(AZ$6&lt;Total_Lanes,($BJ13*($CI13+CH13)+$CN13*DJ13)*Peak_Time_Eve/3600,"-")</f>
        <v>-</v>
      </c>
      <c r="BA13" s="436" t="n">
        <f aca="false">SUMIF(AF13:AZ13,BB13,$AF$6:$AZ$6)</f>
        <v>2</v>
      </c>
      <c r="BB13" s="437" t="n">
        <f aca="false">MIN(AF13:AZ13)</f>
        <v>33.2512891571127</v>
      </c>
      <c r="BC13" s="436" t="n">
        <f aca="false">IF((SUMIF($BN11:$CH11,$BA13,$BN13:$CH13)+$CI13)&lt;(SUMIF($CP11:$DJ11,$BA13,$CP13:$DJ13)+$DK13),BA13+1,BA13)</f>
        <v>2</v>
      </c>
      <c r="BD13" s="437" t="n">
        <f aca="false">SUMIF($AF$6:$AZ$6,$BC13,$AF13:$AZ13)</f>
        <v>33.2512891571127</v>
      </c>
      <c r="BG13" s="400" t="n">
        <v>6</v>
      </c>
      <c r="BH13" s="402" t="n">
        <f aca="false">$Y13</f>
        <v>0.297</v>
      </c>
      <c r="BI13" s="418" t="n">
        <f aca="false">$AD13</f>
        <v>6734.63494016383</v>
      </c>
      <c r="BJ13" s="438" t="n">
        <f aca="false">BI13*(1-BH13)</f>
        <v>4734.44836293517</v>
      </c>
      <c r="BK13" s="420" t="n">
        <f aca="false">Peak_Arrival_Manual/K46</f>
        <v>8.64694388508299</v>
      </c>
      <c r="BL13" s="421" t="n">
        <f aca="false">900*Peak_Time_Eve*(BK13/Total_Lanes-1+SQRT((BK13/Total_Lanes-1)^2+8*(BK13/Total_Lanes)/(Peak_Time_Eve*$K46*Total_Lanes)))</f>
        <v>1.41100181084153</v>
      </c>
      <c r="BM13" s="422" t="n">
        <f aca="false">Peak_Arrival_Manual/N46</f>
        <v>8.81462226460361</v>
      </c>
      <c r="BN13" s="423" t="n">
        <f aca="false">IF(BN$6&lt;Total_Lanes,900*Peak_Time_Eve*(($BM13/(Total_Lanes-BN$6))-1+SQRT((($BM13/(Total_Lanes-BN$6))-1)^2+8*($BM13/(Total_Lanes-BN$6))/(Peak_Time_Eve*$N46*(Total_Lanes-BN$6)))),"-")</f>
        <v>2.44926974621242</v>
      </c>
      <c r="BO13" s="423" t="n">
        <f aca="false">IF(BO$6&lt;Total_Lanes,900*Peak_Time_Eve*(($BM13/(Total_Lanes-BO$6))-1+SQRT((($BM13/(Total_Lanes-BO$6))-1)^2+8*($BM13/(Total_Lanes-BO$6))/(Peak_Time_Eve*$N46*(Total_Lanes-BO$6)))),"-")</f>
        <v>4.92717563473908</v>
      </c>
      <c r="BP13" s="423" t="n">
        <f aca="false">IF(BP$6&lt;Total_Lanes,900*Peak_Time_Eve*(($BM13/(Total_Lanes-BP$6))-1+SQRT((($BM13/(Total_Lanes-BP$6))-1)^2+8*($BM13/(Total_Lanes-BP$6))/(Peak_Time_Eve*$N46*(Total_Lanes-BP$6)))),"-")</f>
        <v>26.1729645522674</v>
      </c>
      <c r="BQ13" s="423" t="n">
        <f aca="false">IF(BQ$6&lt;Total_Lanes,900*Peak_Time_Eve*(($BM13/(Total_Lanes-BQ$6))-1+SQRT((($BM13/(Total_Lanes-BQ$6))-1)^2+8*($BM13/(Total_Lanes-BQ$6))/(Peak_Time_Eve*$N46*(Total_Lanes-BQ$6)))),"-")</f>
        <v>375.431826738278</v>
      </c>
      <c r="BR13" s="423" t="n">
        <f aca="false">IF(BR$6&lt;Total_Lanes,900*Peak_Time_Eve*(($BM13/(Total_Lanes-BR$6))-1+SQRT((($BM13/(Total_Lanes-BR$6))-1)^2+8*($BM13/(Total_Lanes-BR$6))/(Peak_Time_Eve*$N46*(Total_Lanes-BR$6)))),"-")</f>
        <v>937.862461453928</v>
      </c>
      <c r="BS13" s="423" t="n">
        <f aca="false">IF(BS$6&lt;Total_Lanes,900*Peak_Time_Eve*(($BM13/(Total_Lanes-BS$6))-1+SQRT((($BM13/(Total_Lanes-BS$6))-1)^2+8*($BM13/(Total_Lanes-BS$6))/(Peak_Time_Eve*$N46*(Total_Lanes-BS$6)))),"-")</f>
        <v>1692.26453903367</v>
      </c>
      <c r="BT13" s="423" t="n">
        <f aca="false">IF(BT$6&lt;Total_Lanes,900*Peak_Time_Eve*(($BM13/(Total_Lanes-BT$6))-1+SQRT((($BM13/(Total_Lanes-BT$6))-1)^2+8*($BM13/(Total_Lanes-BT$6))/(Peak_Time_Eve*$N46*(Total_Lanes-BT$6)))),"-")</f>
        <v>2749.62209963269</v>
      </c>
      <c r="BU13" s="423" t="n">
        <f aca="false">IF(BU$6&lt;Total_Lanes,900*Peak_Time_Eve*(($BM13/(Total_Lanes-BU$6))-1+SQRT((($BM13/(Total_Lanes-BU$6))-1)^2+8*($BM13/(Total_Lanes-BU$6))/(Peak_Time_Eve*$N46*(Total_Lanes-BU$6)))),"-")</f>
        <v>4336.22560771722</v>
      </c>
      <c r="BV13" s="423" t="n">
        <f aca="false">IF(BV$6&lt;Total_Lanes,900*Peak_Time_Eve*(($BM13/(Total_Lanes-BV$6))-1+SQRT((($BM13/(Total_Lanes-BV$6))-1)^2+8*($BM13/(Total_Lanes-BV$6))/(Peak_Time_Eve*$N46*(Total_Lanes-BV$6)))),"-")</f>
        <v>6980.93193922497</v>
      </c>
      <c r="BW13" s="423" t="n">
        <f aca="false">IF(BW$6&lt;Total_Lanes,900*Peak_Time_Eve*(($BM13/(Total_Lanes-BW$6))-1+SQRT((($BM13/(Total_Lanes-BW$6))-1)^2+8*($BM13/(Total_Lanes-BW$6))/(Peak_Time_Eve*$N46*(Total_Lanes-BW$6)))),"-")</f>
        <v>12270.6533423052</v>
      </c>
      <c r="BX13" s="423" t="n">
        <f aca="false">IF(BX$6&lt;Total_Lanes,900*Peak_Time_Eve*(($BM13/(Total_Lanes-BX$6))-1+SQRT((($BM13/(Total_Lanes-BX$6))-1)^2+8*($BM13/(Total_Lanes-BX$6))/(Peak_Time_Eve*$N46*(Total_Lanes-BX$6)))),"-")</f>
        <v>28140.198308997</v>
      </c>
      <c r="BY13" s="413" t="str">
        <f aca="false">IF(BY$6&lt;Total_Lanes,900*Peak_Time_Eve*(($BM13/(Total_Lanes-BY$6))-1+SQRT((($BM13/(Total_Lanes-BY$6))-1)^2+8*($BM13/(Total_Lanes-BY$6))/(Peak_Time_Eve*$N46*(Total_Lanes-BY$6)))),"-")</f>
        <v>-</v>
      </c>
      <c r="BZ13" s="413" t="str">
        <f aca="false">IF(BZ$6&lt;Total_Lanes,900*Peak_Time_Eve*(($BM13/(Total_Lanes-BZ$6))-1+SQRT((($BM13/(Total_Lanes-BZ$6))-1)^2+8*($BM13/(Total_Lanes-BZ$6))/(Peak_Time_Eve*$N46*(Total_Lanes-BZ$6)))),"-")</f>
        <v>-</v>
      </c>
      <c r="CA13" s="413" t="str">
        <f aca="false">IF(CA$6&lt;Total_Lanes,900*Peak_Time_Eve*(($BM13/(Total_Lanes-CA$6))-1+SQRT((($BM13/(Total_Lanes-CA$6))-1)^2+8*($BM13/(Total_Lanes-CA$6))/(Peak_Time_Eve*$N46*(Total_Lanes-CA$6)))),"-")</f>
        <v>-</v>
      </c>
      <c r="CB13" s="413" t="str">
        <f aca="false">IF(CB$6&lt;Total_Lanes,900*Peak_Time_Eve*(($BM13/(Total_Lanes-CB$6))-1+SQRT((($BM13/(Total_Lanes-CB$6))-1)^2+8*($BM13/(Total_Lanes-CB$6))/(Peak_Time_Eve*$N46*(Total_Lanes-CB$6)))),"-")</f>
        <v>-</v>
      </c>
      <c r="CC13" s="413" t="str">
        <f aca="false">IF(CC$6&lt;Total_Lanes,900*Peak_Time_Eve*(($BM13/(Total_Lanes-CC$6))-1+SQRT((($BM13/(Total_Lanes-CC$6))-1)^2+8*($BM13/(Total_Lanes-CC$6))/(Peak_Time_Eve*$N46*(Total_Lanes-CC$6)))),"-")</f>
        <v>-</v>
      </c>
      <c r="CD13" s="413" t="str">
        <f aca="false">IF(CD$6&lt;Total_Lanes,900*Peak_Time_Eve*(($BM13/(Total_Lanes-CD$6))-1+SQRT((($BM13/(Total_Lanes-CD$6))-1)^2+8*($BM13/(Total_Lanes-CD$6))/(Peak_Time_Eve*$N46*(Total_Lanes-CD$6)))),"-")</f>
        <v>-</v>
      </c>
      <c r="CE13" s="413" t="str">
        <f aca="false">IF(CE$6&lt;Total_Lanes,900*Peak_Time_Eve*(($BM13/(Total_Lanes-CE$6))-1+SQRT((($BM13/(Total_Lanes-CE$6))-1)^2+8*($BM13/(Total_Lanes-CE$6))/(Peak_Time_Eve*$N46*(Total_Lanes-CE$6)))),"-")</f>
        <v>-</v>
      </c>
      <c r="CF13" s="413" t="str">
        <f aca="false">IF(CF$6&lt;Total_Lanes,900*Peak_Time_Eve*(($BM13/(Total_Lanes-CF$6))-1+SQRT((($BM13/(Total_Lanes-CF$6))-1)^2+8*($BM13/(Total_Lanes-CF$6))/(Peak_Time_Eve*$N46*(Total_Lanes-CF$6)))),"-")</f>
        <v>-</v>
      </c>
      <c r="CG13" s="413" t="str">
        <f aca="false">IF(CG$6&lt;Total_Lanes,900*Peak_Time_Eve*(($BM13/(Total_Lanes-CG$6))-1+SQRT((($BM13/(Total_Lanes-CG$6))-1)^2+8*($BM13/(Total_Lanes-CG$6))/(Peak_Time_Eve*$N46*(Total_Lanes-CG$6)))),"-")</f>
        <v>-</v>
      </c>
      <c r="CH13" s="424" t="str">
        <f aca="false">IF(CH$6&lt;Total_Lanes,900*Peak_Time_Eve*(($BM13/(Total_Lanes-CH$6))-1+SQRT((($BM13/(Total_Lanes-CH$6))-1)^2+8*($BM13/(Total_Lanes-CH$6))/(Peak_Time_Eve*$N46*(Total_Lanes-CH$6)))),"-")</f>
        <v>-</v>
      </c>
      <c r="CI13" s="439" t="n">
        <f aca="false">3600/N46</f>
        <v>6.7025</v>
      </c>
      <c r="CK13" s="400" t="n">
        <v>6</v>
      </c>
      <c r="CL13" s="402" t="n">
        <f aca="false">$Y13</f>
        <v>0.297</v>
      </c>
      <c r="CM13" s="411" t="n">
        <f aca="false">$AD13</f>
        <v>6734.63494016383</v>
      </c>
      <c r="CN13" s="412" t="n">
        <f aca="false">CM13*CL13</f>
        <v>2000.18657722866</v>
      </c>
      <c r="CO13" s="440" t="n">
        <f aca="false">CN13/O45</f>
        <v>1.33345771815244</v>
      </c>
      <c r="CP13" s="444" t="n">
        <f aca="false">IF(CP$6&lt;Total_Lanes,900*Peak_Time_Eve*(($CO13/CP$6-1)+SQRT(($CO13/CP$6-1)^2+8*($CO13/CP$6)/(Peak_Time_Eve*$O46*CP$6))),"-")</f>
        <v>1209.96957410398</v>
      </c>
      <c r="CQ13" s="444" t="n">
        <f aca="false">IF(CQ$6&lt;Total_Lanes,900*Peak_Time_Eve*(($CO13/CQ$6-1)+SQRT(($CO13/CQ$6-1)^2+8*($CO13/CQ$6)/(Peak_Time_Eve*$O46*CQ$6))),"-")</f>
        <v>2.39588734721201</v>
      </c>
      <c r="CR13" s="444" t="n">
        <f aca="false">IF(CR$6&lt;Total_Lanes,900*Peak_Time_Eve*(($CO13/CR$6-1)+SQRT(($CO13/CR$6-1)^2+8*($CO13/CR$6)/(Peak_Time_Eve*$O46*CR$6))),"-")</f>
        <v>0.63990272347616</v>
      </c>
      <c r="CS13" s="444" t="n">
        <f aca="false">IF(CS$6&lt;Total_Lanes,900*Peak_Time_Eve*(($CO13/CS$6-1)+SQRT(($CO13/CS$6-1)^2+8*($CO13/CS$6)/(Peak_Time_Eve*$O46*CS$6))),"-")</f>
        <v>0.300004478965565</v>
      </c>
      <c r="CT13" s="444" t="n">
        <f aca="false">IF(CT$6&lt;Total_Lanes,900*Peak_Time_Eve*(($CO13/CT$6-1)+SQRT(($CO13/CT$6-1)^2+8*($CO13/CT$6)/(Peak_Time_Eve*$O46*CT$6))),"-")</f>
        <v>0.174556117534164</v>
      </c>
      <c r="CU13" s="444" t="n">
        <f aca="false">IF(CU$6&lt;Total_Lanes,900*Peak_Time_Eve*(($CO13/CU$6-1)+SQRT(($CO13/CU$6-1)^2+8*($CO13/CU$6)/(Peak_Time_Eve*$O46*CU$6))),"-")</f>
        <v>0.114294756780331</v>
      </c>
      <c r="CV13" s="444" t="n">
        <f aca="false">IF(CV$6&lt;Total_Lanes,900*Peak_Time_Eve*(($CO13/CV$6-1)+SQRT(($CO13/CV$6-1)^2+8*($CO13/CV$6)/(Peak_Time_Eve*$O46*CV$6))),"-")</f>
        <v>0.080679332110889</v>
      </c>
      <c r="CW13" s="444" t="n">
        <f aca="false">IF(CW$6&lt;Total_Lanes,900*Peak_Time_Eve*(($CO13/CW$6-1)+SQRT(($CO13/CW$6-1)^2+8*($CO13/CW$6)/(Peak_Time_Eve*$O46*CW$6))),"-")</f>
        <v>0.0600055166623203</v>
      </c>
      <c r="CX13" s="444" t="n">
        <f aca="false">IF(CX$6&lt;Total_Lanes,900*Peak_Time_Eve*(($CO13/CX$6-1)+SQRT(($CO13/CX$6-1)^2+8*($CO13/CX$6)/(Peak_Time_Eve*$O46*CX$6))),"-")</f>
        <v>0.0463811890330401</v>
      </c>
      <c r="CY13" s="444" t="n">
        <f aca="false">IF(CY$6&lt;Total_Lanes,900*Peak_Time_Eve*(($CO13/CY$6-1)+SQRT(($CO13/CY$6-1)^2+8*($CO13/CY$6)/(Peak_Time_Eve*$O46*CY$6))),"-")</f>
        <v>0.0369266143568803</v>
      </c>
      <c r="CZ13" s="444" t="n">
        <f aca="false">IF(CZ$6&lt;Total_Lanes,900*Peak_Time_Eve*(($CO13/CZ$6-1)+SQRT(($CO13/CZ$6-1)^2+8*($CO13/CZ$6)/(Peak_Time_Eve*$O46*CZ$6))),"-")</f>
        <v>0.0300969522636141</v>
      </c>
      <c r="DA13" s="445" t="str">
        <f aca="false">IF(DA$6&lt;Total_Lanes,900*Peak_Time_Eve*(($CO13/DA$6-1)+SQRT(($CO13/DA$6-1)^2+8*($CO13/DA$6)/(Peak_Time_Eve*$O46*DA$6))),"-")</f>
        <v>-</v>
      </c>
      <c r="DB13" s="445" t="str">
        <f aca="false">IF(DB$6&lt;Total_Lanes,900*Peak_Time_Eve*(($CO13/DB$6-1)+SQRT(($CO13/DB$6-1)^2+8*($CO13/DB$6)/(Peak_Time_Eve*$O46*DB$6))),"-")</f>
        <v>-</v>
      </c>
      <c r="DC13" s="445" t="str">
        <f aca="false">IF(DC$6&lt;Total_Lanes,900*Peak_Time_Eve*(($CO13/DC$6-1)+SQRT(($CO13/DC$6-1)^2+8*($CO13/DC$6)/(Peak_Time_Eve*$O46*DC$6))),"-")</f>
        <v>-</v>
      </c>
      <c r="DD13" s="445" t="str">
        <f aca="false">IF(DD$6&lt;Total_Lanes,900*Peak_Time_Eve*(($CO13/DD$6-1)+SQRT(($CO13/DD$6-1)^2+8*($CO13/DD$6)/(Peak_Time_Eve*$O46*DD$6))),"-")</f>
        <v>-</v>
      </c>
      <c r="DE13" s="445" t="str">
        <f aca="false">IF(DE$6&lt;Total_Lanes,900*Peak_Time_Eve*(($CO13/DE$6-1)+SQRT(($CO13/DE$6-1)^2+8*($CO13/DE$6)/(Peak_Time_Eve*$O46*DE$6))),"-")</f>
        <v>-</v>
      </c>
      <c r="DF13" s="445" t="str">
        <f aca="false">IF(DF$6&lt;Total_Lanes,900*Peak_Time_Eve*(($CO13/DF$6-1)+SQRT(($CO13/DF$6-1)^2+8*($CO13/DF$6)/(Peak_Time_Eve*$O46*DF$6))),"-")</f>
        <v>-</v>
      </c>
      <c r="DG13" s="445" t="str">
        <f aca="false">IF(DG$6&lt;Total_Lanes,900*Peak_Time_Eve*(($CO13/DG$6-1)+SQRT(($CO13/DG$6-1)^2+8*($CO13/DG$6)/(Peak_Time_Eve*$O46*DG$6))),"-")</f>
        <v>-</v>
      </c>
      <c r="DH13" s="445" t="str">
        <f aca="false">IF(DH$6&lt;Total_Lanes,900*Peak_Time_Eve*(($CO13/DH$6-1)+SQRT(($CO13/DH$6-1)^2+8*($CO13/DH$6)/(Peak_Time_Eve*$O46*DH$6))),"-")</f>
        <v>-</v>
      </c>
      <c r="DI13" s="445" t="str">
        <f aca="false">IF(DI$6&lt;Total_Lanes,900*Peak_Time_Eve*(($CO13/DI$6-1)+SQRT(($CO13/DI$6-1)^2+8*($CO13/DI$6)/(Peak_Time_Eve*$O46*DI$6))),"-")</f>
        <v>-</v>
      </c>
      <c r="DJ13" s="446" t="str">
        <f aca="false">IF(DJ$6&lt;Total_Lanes,900*Peak_Time_Eve*(($CO13/DJ$6-1)+SQRT(($CO13/DJ$6-1)^2+8*($CO13/DJ$6)/(Peak_Time_Eve*$O46*DJ$6))),"-")</f>
        <v>-</v>
      </c>
      <c r="DK13" s="447" t="n">
        <f aca="false">3600/O46</f>
        <v>2.4</v>
      </c>
    </row>
    <row r="14" customFormat="false" ht="12" hidden="false" customHeight="false" outlineLevel="0" collapsed="false">
      <c r="H14" s="400" t="n">
        <v>7</v>
      </c>
      <c r="I14" s="401" t="n">
        <f aca="false">'Input-Detail'!E21</f>
        <v>22860512.45</v>
      </c>
      <c r="J14" s="402" t="n">
        <f aca="false">'Input-Detail'!F21</f>
        <v>0.3465</v>
      </c>
      <c r="K14" s="403" t="n">
        <f aca="false">AD14</f>
        <v>6900.40743019113</v>
      </c>
      <c r="L14" s="443" t="n">
        <f aca="false">IF(AD14&gt;AD62,BC14,BC62)</f>
        <v>2</v>
      </c>
      <c r="M14" s="412" t="n">
        <f aca="false">AE62</f>
        <v>11.421905592481</v>
      </c>
      <c r="N14" s="427" t="n">
        <f aca="false">AE14</f>
        <v>29.7967292831594</v>
      </c>
      <c r="O14" s="427" t="n">
        <f aca="false">SUM(M14:N14)</f>
        <v>41.2186348756405</v>
      </c>
      <c r="P14" s="432" t="n">
        <f aca="false">$S$34*O14</f>
        <v>10716.8450676665</v>
      </c>
      <c r="Q14" s="412" t="n">
        <f aca="false">SUMIF($AF$54:$AZ$54,L14,$AF62:$AZ62)</f>
        <v>7.98107999931326</v>
      </c>
      <c r="R14" s="427" t="n">
        <f aca="false">SUMIF($AF$6:$AZ$6,$L14,$AF14:$AZ14)</f>
        <v>31.9987000327775</v>
      </c>
      <c r="S14" s="427" t="n">
        <f aca="false">SUM(Q14:R14)</f>
        <v>39.9797800320908</v>
      </c>
      <c r="T14" s="433" t="n">
        <f aca="false">$S$34*S14</f>
        <v>10394.7428083436</v>
      </c>
      <c r="U14" s="372"/>
      <c r="V14" s="372"/>
      <c r="W14" s="400" t="n">
        <v>7</v>
      </c>
      <c r="X14" s="408" t="n">
        <f aca="false">X$7+(X$27-X$7)*$W14/20</f>
        <v>22860512.45</v>
      </c>
      <c r="Y14" s="402" t="n">
        <f aca="false">J14</f>
        <v>0.3465</v>
      </c>
      <c r="Z14" s="408" t="n">
        <f aca="false">'Input-Detail'!E21/AA14</f>
        <v>9857.72490027305</v>
      </c>
      <c r="AA14" s="434" t="n">
        <f aca="false">AA13</f>
        <v>2319.04548780488</v>
      </c>
      <c r="AB14" s="434" t="n">
        <f aca="false">AB13</f>
        <v>2</v>
      </c>
      <c r="AC14" s="435" t="n">
        <f aca="false">AC13</f>
        <v>0.7</v>
      </c>
      <c r="AD14" s="411" t="n">
        <f aca="false">Z14*AC14</f>
        <v>6900.40743019113</v>
      </c>
      <c r="AE14" s="412" t="n">
        <f aca="false">Peak_Time_Eve*$BI14*(3600/K47+BL14)/3600</f>
        <v>29.7967292831594</v>
      </c>
      <c r="AF14" s="413" t="n">
        <f aca="false">IF(AF$6&lt;Total_Lanes,($BJ14*($CI14+BN14)+$CN14*CP14)*Peak_Time_Eve/3600,"-")</f>
        <v>2870.83488498097</v>
      </c>
      <c r="AG14" s="413" t="n">
        <f aca="false">IF(AG$6&lt;Total_Lanes,($BJ14*($CI14+BO14)+$CN14*CQ14)*Peak_Time_Eve/3600,"-")</f>
        <v>31.9987000327775</v>
      </c>
      <c r="AH14" s="413" t="n">
        <f aca="false">IF(AH$6&lt;Total_Lanes,($BJ14*($CI14+BP14)+$CN14*CR14)*Peak_Time_Eve/3600,"-")</f>
        <v>44.15633095732</v>
      </c>
      <c r="AI14" s="413" t="n">
        <f aca="false">IF(AI$6&lt;Total_Lanes,($BJ14*($CI14+BQ14)+$CN14*CS14)*Peak_Time_Eve/3600,"-")</f>
        <v>532.253760611798</v>
      </c>
      <c r="AJ14" s="413" t="n">
        <f aca="false">IF(AJ$6&lt;Total_Lanes,($BJ14*($CI14+BR14)+$CN14*CT14)*Peak_Time_Eve/3600,"-")</f>
        <v>1863.74838642228</v>
      </c>
      <c r="AK14" s="413" t="n">
        <f aca="false">IF(AK$6&lt;Total_Lanes,($BJ14*($CI14+BS14)+$CN14*CU14)*Peak_Time_Eve/3600,"-")</f>
        <v>3667.78657453568</v>
      </c>
      <c r="AL14" s="413" t="n">
        <f aca="false">IF(AL$6&lt;Total_Lanes,($BJ14*($CI14+BT14)+$CN14*CV14)*Peak_Time_Eve/3600,"-")</f>
        <v>6198.24244490594</v>
      </c>
      <c r="AM14" s="413" t="n">
        <f aca="false">IF(AM$6&lt;Total_Lanes,($BJ14*($CI14+BU14)+$CN14*CW14)*Peak_Time_Eve/3600,"-")</f>
        <v>9995.89527479928</v>
      </c>
      <c r="AN14" s="413" t="n">
        <f aca="false">IF(AN$6&lt;Total_Lanes,($BJ14*($CI14+BV14)+$CN14*CX14)*Peak_Time_Eve/3600,"-")</f>
        <v>16326.4988259169</v>
      </c>
      <c r="AO14" s="413" t="n">
        <f aca="false">IF(AO$6&lt;Total_Lanes,($BJ14*($CI14+BW14)+$CN14*CY14)*Peak_Time_Eve/3600,"-")</f>
        <v>28988.6541102955</v>
      </c>
      <c r="AP14" s="413" t="n">
        <f aca="false">IF(AP$6&lt;Total_Lanes,($BJ14*($CI14+BX14)+$CN14*CZ14)*Peak_Time_Eve/3600,"-")</f>
        <v>66976.2511518935</v>
      </c>
      <c r="AQ14" s="413" t="str">
        <f aca="false">IF(AQ$6&lt;Total_Lanes,($BJ14*($CI14+BY14)+$CN14*DA14)*Peak_Time_Eve/3600,"-")</f>
        <v>-</v>
      </c>
      <c r="AR14" s="413" t="str">
        <f aca="false">IF(AR$6&lt;Total_Lanes,($BJ14*($CI14+BZ14)+$CN14*DB14)*Peak_Time_Eve/3600,"-")</f>
        <v>-</v>
      </c>
      <c r="AS14" s="413" t="str">
        <f aca="false">IF(AS$6&lt;Total_Lanes,($BJ14*($CI14+CA14)+$CN14*DC14)*Peak_Time_Eve/3600,"-")</f>
        <v>-</v>
      </c>
      <c r="AT14" s="413" t="str">
        <f aca="false">IF(AT$6&lt;Total_Lanes,($BJ14*($CI14+CB14)+$CN14*DD14)*Peak_Time_Eve/3600,"-")</f>
        <v>-</v>
      </c>
      <c r="AU14" s="413" t="str">
        <f aca="false">IF(AU$6&lt;Total_Lanes,($BJ14*($CI14+CC14)+$CN14*DE14)*Peak_Time_Eve/3600,"-")</f>
        <v>-</v>
      </c>
      <c r="AV14" s="413" t="str">
        <f aca="false">IF(AV$6&lt;Total_Lanes,($BJ14*($CI14+CD14)+$CN14*DF14)*Peak_Time_Eve/3600,"-")</f>
        <v>-</v>
      </c>
      <c r="AW14" s="413" t="str">
        <f aca="false">IF(AW$6&lt;Total_Lanes,($BJ14*($CI14+CE14)+$CN14*DG14)*Peak_Time_Eve/3600,"-")</f>
        <v>-</v>
      </c>
      <c r="AX14" s="413" t="str">
        <f aca="false">IF(AX$6&lt;Total_Lanes,($BJ14*($CI14+CF14)+$CN14*DH14)*Peak_Time_Eve/3600,"-")</f>
        <v>-</v>
      </c>
      <c r="AY14" s="413" t="str">
        <f aca="false">IF(AY$6&lt;Total_Lanes,($BJ14*($CI14+CG14)+$CN14*DI14)*Peak_Time_Eve/3600,"-")</f>
        <v>-</v>
      </c>
      <c r="AZ14" s="414" t="str">
        <f aca="false">IF(AZ$6&lt;Total_Lanes,($BJ14*($CI14+CH14)+$CN14*DJ14)*Peak_Time_Eve/3600,"-")</f>
        <v>-</v>
      </c>
      <c r="BA14" s="436" t="n">
        <f aca="false">SUMIF(AF14:AZ14,BB14,$AF$6:$AZ$6)</f>
        <v>2</v>
      </c>
      <c r="BB14" s="437" t="n">
        <f aca="false">MIN(AF14:AZ14)</f>
        <v>31.9987000327775</v>
      </c>
      <c r="BC14" s="436" t="n">
        <f aca="false">IF((SUMIF($BN12:$CH12,$BA14,$BN14:$CH14)+$CI14)&lt;(SUMIF($CP12:$DJ12,$BA14,$CP14:$DJ14)+$DK14),BA14+1,BA14)</f>
        <v>2</v>
      </c>
      <c r="BD14" s="437" t="n">
        <f aca="false">SUMIF($AF$6:$AZ$6,$BC14,$AF14:$AZ14)</f>
        <v>31.9987000327775</v>
      </c>
      <c r="BG14" s="400" t="n">
        <v>7</v>
      </c>
      <c r="BH14" s="402" t="n">
        <f aca="false">$Y14</f>
        <v>0.3465</v>
      </c>
      <c r="BI14" s="418" t="n">
        <f aca="false">$AD14</f>
        <v>6900.40743019113</v>
      </c>
      <c r="BJ14" s="438" t="n">
        <f aca="false">BI14*(1-BH14)</f>
        <v>4509.4162556299</v>
      </c>
      <c r="BK14" s="420" t="n">
        <f aca="false">Peak_Arrival_Manual/K47</f>
        <v>8.2359477446574</v>
      </c>
      <c r="BL14" s="421" t="n">
        <f aca="false">900*Peak_Time_Eve*(BK14/Total_Lanes-1+SQRT((BK14/Total_Lanes-1)^2+8*(BK14/Total_Lanes)/(Peak_Time_Eve*$K47*Total_Lanes)))</f>
        <v>1.19760085759912</v>
      </c>
      <c r="BM14" s="422" t="n">
        <f aca="false">Peak_Arrival_Manual/N47</f>
        <v>8.42227431910877</v>
      </c>
      <c r="BN14" s="423" t="n">
        <f aca="false">IF(BN$6&lt;Total_Lanes,900*Peak_Time_Eve*(($BM14/(Total_Lanes-BN$6))-1+SQRT((($BM14/(Total_Lanes-BN$6))-1)^2+8*($BM14/(Total_Lanes-BN$6))/(Peak_Time_Eve*$N47*(Total_Lanes-BN$6)))),"-")</f>
        <v>1.99244827253865</v>
      </c>
      <c r="BO14" s="423" t="n">
        <f aca="false">IF(BO$6&lt;Total_Lanes,900*Peak_Time_Eve*(($BM14/(Total_Lanes-BO$6))-1+SQRT((($BM14/(Total_Lanes-BO$6))-1)^2+8*($BM14/(Total_Lanes-BO$6))/(Peak_Time_Eve*$N47*(Total_Lanes-BO$6)))),"-")</f>
        <v>3.56689744656364</v>
      </c>
      <c r="BP14" s="423" t="n">
        <f aca="false">IF(BP$6&lt;Total_Lanes,900*Peak_Time_Eve*(($BM14/(Total_Lanes-BP$6))-1+SQRT((($BM14/(Total_Lanes-BP$6))-1)^2+8*($BM14/(Total_Lanes-BP$6))/(Peak_Time_Eve*$N47*(Total_Lanes-BP$6)))),"-")</f>
        <v>10.4212672929828</v>
      </c>
      <c r="BQ14" s="423" t="n">
        <f aca="false">IF(BQ$6&lt;Total_Lanes,900*Peak_Time_Eve*(($BM14/(Total_Lanes-BQ$6))-1+SQRT((($BM14/(Total_Lanes-BQ$6))-1)^2+8*($BM14/(Total_Lanes-BQ$6))/(Peak_Time_Eve*$N47*(Total_Lanes-BQ$6)))),"-")</f>
        <v>205.522461302079</v>
      </c>
      <c r="BR14" s="423" t="n">
        <f aca="false">IF(BR$6&lt;Total_Lanes,900*Peak_Time_Eve*(($BM14/(Total_Lanes-BR$6))-1+SQRT((($BM14/(Total_Lanes-BR$6))-1)^2+8*($BM14/(Total_Lanes-BR$6))/(Peak_Time_Eve*$N47*(Total_Lanes-BR$6)))),"-")</f>
        <v>737.099806743512</v>
      </c>
      <c r="BS14" s="423" t="n">
        <f aca="false">IF(BS$6&lt;Total_Lanes,900*Peak_Time_Eve*(($BM14/(Total_Lanes-BS$6))-1+SQRT((($BM14/(Total_Lanes-BS$6))-1)^2+8*($BM14/(Total_Lanes-BS$6))/(Peak_Time_Eve*$N47*(Total_Lanes-BS$6)))),"-")</f>
        <v>1457.25062629902</v>
      </c>
      <c r="BT14" s="423" t="n">
        <f aca="false">IF(BT$6&lt;Total_Lanes,900*Peak_Time_Eve*(($BM14/(Total_Lanes-BT$6))-1+SQRT((($BM14/(Total_Lanes-BT$6))-1)^2+8*($BM14/(Total_Lanes-BT$6))/(Peak_Time_Eve*$N47*(Total_Lanes-BT$6)))),"-")</f>
        <v>2467.34252896239</v>
      </c>
      <c r="BU14" s="423" t="n">
        <f aca="false">IF(BU$6&lt;Total_Lanes,900*Peak_Time_Eve*(($BM14/(Total_Lanes-BU$6))-1+SQRT((($BM14/(Total_Lanes-BU$6))-1)^2+8*($BM14/(Total_Lanes-BU$6))/(Peak_Time_Eve*$N47*(Total_Lanes-BU$6)))),"-")</f>
        <v>3983.2456818699</v>
      </c>
      <c r="BV14" s="423" t="n">
        <f aca="false">IF(BV$6&lt;Total_Lanes,900*Peak_Time_Eve*(($BM14/(Total_Lanes-BV$6))-1+SQRT((($BM14/(Total_Lanes-BV$6))-1)^2+8*($BM14/(Total_Lanes-BV$6))/(Peak_Time_Eve*$N47*(Total_Lanes-BV$6)))),"-")</f>
        <v>6510.20859629281</v>
      </c>
      <c r="BW14" s="423" t="n">
        <f aca="false">IF(BW$6&lt;Total_Lanes,900*Peak_Time_Eve*(($BM14/(Total_Lanes-BW$6))-1+SQRT((($BM14/(Total_Lanes-BW$6))-1)^2+8*($BM14/(Total_Lanes-BW$6))/(Peak_Time_Eve*$N47*(Total_Lanes-BW$6)))),"-")</f>
        <v>11564.5009114308</v>
      </c>
      <c r="BX14" s="423" t="n">
        <f aca="false">IF(BX$6&lt;Total_Lanes,900*Peak_Time_Eve*(($BM14/(Total_Lanes-BX$6))-1+SQRT((($BM14/(Total_Lanes-BX$6))-1)^2+8*($BM14/(Total_Lanes-BX$6))/(Peak_Time_Eve*$N47*(Total_Lanes-BX$6)))),"-")</f>
        <v>26727.8150095832</v>
      </c>
      <c r="BY14" s="413" t="str">
        <f aca="false">IF(BY$6&lt;Total_Lanes,900*Peak_Time_Eve*(($BM14/(Total_Lanes-BY$6))-1+SQRT((($BM14/(Total_Lanes-BY$6))-1)^2+8*($BM14/(Total_Lanes-BY$6))/(Peak_Time_Eve*$N47*(Total_Lanes-BY$6)))),"-")</f>
        <v>-</v>
      </c>
      <c r="BZ14" s="413" t="str">
        <f aca="false">IF(BZ$6&lt;Total_Lanes,900*Peak_Time_Eve*(($BM14/(Total_Lanes-BZ$6))-1+SQRT((($BM14/(Total_Lanes-BZ$6))-1)^2+8*($BM14/(Total_Lanes-BZ$6))/(Peak_Time_Eve*$N47*(Total_Lanes-BZ$6)))),"-")</f>
        <v>-</v>
      </c>
      <c r="CA14" s="413" t="str">
        <f aca="false">IF(CA$6&lt;Total_Lanes,900*Peak_Time_Eve*(($BM14/(Total_Lanes-CA$6))-1+SQRT((($BM14/(Total_Lanes-CA$6))-1)^2+8*($BM14/(Total_Lanes-CA$6))/(Peak_Time_Eve*$N47*(Total_Lanes-CA$6)))),"-")</f>
        <v>-</v>
      </c>
      <c r="CB14" s="413" t="str">
        <f aca="false">IF(CB$6&lt;Total_Lanes,900*Peak_Time_Eve*(($BM14/(Total_Lanes-CB$6))-1+SQRT((($BM14/(Total_Lanes-CB$6))-1)^2+8*($BM14/(Total_Lanes-CB$6))/(Peak_Time_Eve*$N47*(Total_Lanes-CB$6)))),"-")</f>
        <v>-</v>
      </c>
      <c r="CC14" s="413" t="str">
        <f aca="false">IF(CC$6&lt;Total_Lanes,900*Peak_Time_Eve*(($BM14/(Total_Lanes-CC$6))-1+SQRT((($BM14/(Total_Lanes-CC$6))-1)^2+8*($BM14/(Total_Lanes-CC$6))/(Peak_Time_Eve*$N47*(Total_Lanes-CC$6)))),"-")</f>
        <v>-</v>
      </c>
      <c r="CD14" s="413" t="str">
        <f aca="false">IF(CD$6&lt;Total_Lanes,900*Peak_Time_Eve*(($BM14/(Total_Lanes-CD$6))-1+SQRT((($BM14/(Total_Lanes-CD$6))-1)^2+8*($BM14/(Total_Lanes-CD$6))/(Peak_Time_Eve*$N47*(Total_Lanes-CD$6)))),"-")</f>
        <v>-</v>
      </c>
      <c r="CE14" s="413" t="str">
        <f aca="false">IF(CE$6&lt;Total_Lanes,900*Peak_Time_Eve*(($BM14/(Total_Lanes-CE$6))-1+SQRT((($BM14/(Total_Lanes-CE$6))-1)^2+8*($BM14/(Total_Lanes-CE$6))/(Peak_Time_Eve*$N47*(Total_Lanes-CE$6)))),"-")</f>
        <v>-</v>
      </c>
      <c r="CF14" s="413" t="str">
        <f aca="false">IF(CF$6&lt;Total_Lanes,900*Peak_Time_Eve*(($BM14/(Total_Lanes-CF$6))-1+SQRT((($BM14/(Total_Lanes-CF$6))-1)^2+8*($BM14/(Total_Lanes-CF$6))/(Peak_Time_Eve*$N47*(Total_Lanes-CF$6)))),"-")</f>
        <v>-</v>
      </c>
      <c r="CG14" s="413" t="str">
        <f aca="false">IF(CG$6&lt;Total_Lanes,900*Peak_Time_Eve*(($BM14/(Total_Lanes-CG$6))-1+SQRT((($BM14/(Total_Lanes-CG$6))-1)^2+8*($BM14/(Total_Lanes-CG$6))/(Peak_Time_Eve*$N47*(Total_Lanes-CG$6)))),"-")</f>
        <v>-</v>
      </c>
      <c r="CH14" s="424" t="str">
        <f aca="false">IF(CH$6&lt;Total_Lanes,900*Peak_Time_Eve*(($BM14/(Total_Lanes-CH$6))-1+SQRT((($BM14/(Total_Lanes-CH$6))-1)^2+8*($BM14/(Total_Lanes-CH$6))/(Peak_Time_Eve*$N47*(Total_Lanes-CH$6)))),"-")</f>
        <v>-</v>
      </c>
      <c r="CI14" s="439" t="n">
        <f aca="false">3600/N47</f>
        <v>6.72375</v>
      </c>
      <c r="CK14" s="400" t="n">
        <v>7</v>
      </c>
      <c r="CL14" s="402" t="n">
        <f aca="false">$Y14</f>
        <v>0.3465</v>
      </c>
      <c r="CM14" s="411" t="n">
        <f aca="false">$AD14</f>
        <v>6900.40743019113</v>
      </c>
      <c r="CN14" s="412" t="n">
        <f aca="false">CM14*CL14</f>
        <v>2390.99117456123</v>
      </c>
      <c r="CO14" s="440" t="n">
        <f aca="false">CN14/O46</f>
        <v>1.59399411637415</v>
      </c>
      <c r="CP14" s="444" t="n">
        <f aca="false">IF(CP$6&lt;Total_Lanes,900*Peak_Time_Eve*(($CO14/CP$6-1)+SQRT(($CO14/CP$6-1)^2+8*($CO14/CP$6)/(Peak_Time_Eve*$O47*CP$6))),"-")</f>
        <v>2144.79998142584</v>
      </c>
      <c r="CQ14" s="444" t="n">
        <f aca="false">IF(CQ$6&lt;Total_Lanes,900*Peak_Time_Eve*(($CO14/CQ$6-1)+SQRT(($CO14/CQ$6-1)^2+8*($CO14/CQ$6)/(Peak_Time_Eve*$O47*CQ$6))),"-")</f>
        <v>4.68125825874833</v>
      </c>
      <c r="CR14" s="444" t="n">
        <f aca="false">IF(CR$6&lt;Total_Lanes,900*Peak_Time_Eve*(($CO14/CR$6-1)+SQRT(($CO14/CR$6-1)^2+8*($CO14/CR$6)/(Peak_Time_Eve*$O47*CR$6))),"-")</f>
        <v>0.906475967875953</v>
      </c>
      <c r="CS14" s="444" t="n">
        <f aca="false">IF(CS$6&lt;Total_Lanes,900*Peak_Time_Eve*(($CO14/CS$6-1)+SQRT(($CO14/CS$6-1)^2+8*($CO14/CS$6)/(Peak_Time_Eve*$O47*CS$6))),"-")</f>
        <v>0.397430852063829</v>
      </c>
      <c r="CT14" s="444" t="n">
        <f aca="false">IF(CT$6&lt;Total_Lanes,900*Peak_Time_Eve*(($CO14/CT$6-1)+SQRT(($CO14/CT$6-1)^2+8*($CO14/CT$6)/(Peak_Time_Eve*$O47*CT$6))),"-")</f>
        <v>0.224617081889855</v>
      </c>
      <c r="CU14" s="444" t="n">
        <f aca="false">IF(CU$6&lt;Total_Lanes,900*Peak_Time_Eve*(($CO14/CU$6-1)+SQRT(($CO14/CU$6-1)^2+8*($CO14/CU$6)/(Peak_Time_Eve*$O47*CU$6))),"-")</f>
        <v>0.14470310868222</v>
      </c>
      <c r="CV14" s="444" t="n">
        <f aca="false">IF(CV$6&lt;Total_Lanes,900*Peak_Time_Eve*(($CO14/CV$6-1)+SQRT(($CO14/CV$6-1)^2+8*($CO14/CV$6)/(Peak_Time_Eve*$O47*CV$6))),"-")</f>
        <v>0.101089863689752</v>
      </c>
      <c r="CW14" s="444" t="n">
        <f aca="false">IF(CW$6&lt;Total_Lanes,900*Peak_Time_Eve*(($CO14/CW$6-1)+SQRT(($CO14/CW$6-1)^2+8*($CO14/CW$6)/(Peak_Time_Eve*$O47*CW$6))),"-")</f>
        <v>0.0746464897408261</v>
      </c>
      <c r="CX14" s="444" t="n">
        <f aca="false">IF(CX$6&lt;Total_Lanes,900*Peak_Time_Eve*(($CO14/CX$6-1)+SQRT(($CO14/CX$6-1)^2+8*($CO14/CX$6)/(Peak_Time_Eve*$O47*CX$6))),"-")</f>
        <v>0.0573935356430466</v>
      </c>
      <c r="CY14" s="444" t="n">
        <f aca="false">IF(CY$6&lt;Total_Lanes,900*Peak_Time_Eve*(($CO14/CY$6-1)+SQRT(($CO14/CY$6-1)^2+8*($CO14/CY$6)/(Peak_Time_Eve*$O47*CY$6))),"-")</f>
        <v>0.0455094655104737</v>
      </c>
      <c r="CZ14" s="444" t="n">
        <f aca="false">IF(CZ$6&lt;Total_Lanes,900*Peak_Time_Eve*(($CO14/CZ$6-1)+SQRT(($CO14/CZ$6-1)^2+8*($CO14/CZ$6)/(Peak_Time_Eve*$O47*CZ$6))),"-")</f>
        <v>0.0369738613432036</v>
      </c>
      <c r="DA14" s="445" t="str">
        <f aca="false">IF(DA$6&lt;Total_Lanes,900*Peak_Time_Eve*(($CO14/DA$6-1)+SQRT(($CO14/DA$6-1)^2+8*($CO14/DA$6)/(Peak_Time_Eve*$O47*DA$6))),"-")</f>
        <v>-</v>
      </c>
      <c r="DB14" s="445" t="str">
        <f aca="false">IF(DB$6&lt;Total_Lanes,900*Peak_Time_Eve*(($CO14/DB$6-1)+SQRT(($CO14/DB$6-1)^2+8*($CO14/DB$6)/(Peak_Time_Eve*$O47*DB$6))),"-")</f>
        <v>-</v>
      </c>
      <c r="DC14" s="445" t="str">
        <f aca="false">IF(DC$6&lt;Total_Lanes,900*Peak_Time_Eve*(($CO14/DC$6-1)+SQRT(($CO14/DC$6-1)^2+8*($CO14/DC$6)/(Peak_Time_Eve*$O47*DC$6))),"-")</f>
        <v>-</v>
      </c>
      <c r="DD14" s="445" t="str">
        <f aca="false">IF(DD$6&lt;Total_Lanes,900*Peak_Time_Eve*(($CO14/DD$6-1)+SQRT(($CO14/DD$6-1)^2+8*($CO14/DD$6)/(Peak_Time_Eve*$O47*DD$6))),"-")</f>
        <v>-</v>
      </c>
      <c r="DE14" s="445" t="str">
        <f aca="false">IF(DE$6&lt;Total_Lanes,900*Peak_Time_Eve*(($CO14/DE$6-1)+SQRT(($CO14/DE$6-1)^2+8*($CO14/DE$6)/(Peak_Time_Eve*$O47*DE$6))),"-")</f>
        <v>-</v>
      </c>
      <c r="DF14" s="445" t="str">
        <f aca="false">IF(DF$6&lt;Total_Lanes,900*Peak_Time_Eve*(($CO14/DF$6-1)+SQRT(($CO14/DF$6-1)^2+8*($CO14/DF$6)/(Peak_Time_Eve*$O47*DF$6))),"-")</f>
        <v>-</v>
      </c>
      <c r="DG14" s="445" t="str">
        <f aca="false">IF(DG$6&lt;Total_Lanes,900*Peak_Time_Eve*(($CO14/DG$6-1)+SQRT(($CO14/DG$6-1)^2+8*($CO14/DG$6)/(Peak_Time_Eve*$O47*DG$6))),"-")</f>
        <v>-</v>
      </c>
      <c r="DH14" s="445" t="str">
        <f aca="false">IF(DH$6&lt;Total_Lanes,900*Peak_Time_Eve*(($CO14/DH$6-1)+SQRT(($CO14/DH$6-1)^2+8*($CO14/DH$6)/(Peak_Time_Eve*$O47*DH$6))),"-")</f>
        <v>-</v>
      </c>
      <c r="DI14" s="445" t="str">
        <f aca="false">IF(DI$6&lt;Total_Lanes,900*Peak_Time_Eve*(($CO14/DI$6-1)+SQRT(($CO14/DI$6-1)^2+8*($CO14/DI$6)/(Peak_Time_Eve*$O47*DI$6))),"-")</f>
        <v>-</v>
      </c>
      <c r="DJ14" s="446" t="str">
        <f aca="false">IF(DJ$6&lt;Total_Lanes,900*Peak_Time_Eve*(($CO14/DJ$6-1)+SQRT(($CO14/DJ$6-1)^2+8*($CO14/DJ$6)/(Peak_Time_Eve*$O47*DJ$6))),"-")</f>
        <v>-</v>
      </c>
      <c r="DK14" s="447" t="n">
        <f aca="false">3600/O47</f>
        <v>2.4</v>
      </c>
    </row>
    <row r="15" customFormat="false" ht="12" hidden="false" customHeight="false" outlineLevel="0" collapsed="false">
      <c r="H15" s="400" t="n">
        <v>8</v>
      </c>
      <c r="I15" s="401" t="n">
        <f aca="false">'Input-Detail'!E22</f>
        <v>23409703.8</v>
      </c>
      <c r="J15" s="402" t="n">
        <f aca="false">'Input-Detail'!F22</f>
        <v>0.396</v>
      </c>
      <c r="K15" s="403" t="n">
        <f aca="false">AD15</f>
        <v>7066.17992021844</v>
      </c>
      <c r="L15" s="443" t="n">
        <f aca="false">IF(AD15&gt;AD63,BC15,BC63)</f>
        <v>3</v>
      </c>
      <c r="M15" s="412" t="n">
        <f aca="false">AE63</f>
        <v>11.7035553296497</v>
      </c>
      <c r="N15" s="427" t="n">
        <f aca="false">AE15</f>
        <v>29.7952282974859</v>
      </c>
      <c r="O15" s="427" t="n">
        <f aca="false">SUM(M15:N15)</f>
        <v>41.4987836271356</v>
      </c>
      <c r="P15" s="432" t="n">
        <f aca="false">$S$34*O15</f>
        <v>10789.6837430553</v>
      </c>
      <c r="Q15" s="412" t="n">
        <f aca="false">SUMIF($AF$54:$AZ$54,L15,$AF63:$AZ63)</f>
        <v>7.51602025242135</v>
      </c>
      <c r="R15" s="427" t="n">
        <f aca="false">SUMIF($AF$6:$AZ$6,$L15,$AF15:$AZ15)</f>
        <v>31.9919087579453</v>
      </c>
      <c r="S15" s="427" t="n">
        <f aca="false">SUM(Q15:R15)</f>
        <v>39.5079290103667</v>
      </c>
      <c r="T15" s="433" t="n">
        <f aca="false">$S$34*S15</f>
        <v>10272.0615426953</v>
      </c>
      <c r="U15" s="372"/>
      <c r="V15" s="372"/>
      <c r="W15" s="400" t="n">
        <v>8</v>
      </c>
      <c r="X15" s="408" t="n">
        <f aca="false">X$7+(X$27-X$7)*$W15/20</f>
        <v>23409703.8</v>
      </c>
      <c r="Y15" s="402" t="n">
        <f aca="false">J15</f>
        <v>0.396</v>
      </c>
      <c r="Z15" s="408" t="n">
        <f aca="false">'Input-Detail'!E22/AA15</f>
        <v>10094.5427431692</v>
      </c>
      <c r="AA15" s="434" t="n">
        <f aca="false">AA14</f>
        <v>2319.04548780488</v>
      </c>
      <c r="AB15" s="434" t="n">
        <f aca="false">AB14</f>
        <v>2</v>
      </c>
      <c r="AC15" s="435" t="n">
        <f aca="false">AC14</f>
        <v>0.7</v>
      </c>
      <c r="AD15" s="411" t="n">
        <f aca="false">Z15*AC15</f>
        <v>7066.17992021844</v>
      </c>
      <c r="AE15" s="412" t="n">
        <f aca="false">Peak_Time_Eve*$BI15*(3600/K48+BL15)/3600</f>
        <v>29.7952282974859</v>
      </c>
      <c r="AF15" s="413" t="n">
        <f aca="false">IF(AF$6&lt;Total_Lanes,($BJ15*($CI15+BN15)+$CN15*CP15)*Peak_Time_Eve/3600,"-")</f>
        <v>4871.42331785095</v>
      </c>
      <c r="AG15" s="413" t="n">
        <f aca="false">IF(AG$6&lt;Total_Lanes,($BJ15*($CI15+BO15)+$CN15*CQ15)*Peak_Time_Eve/3600,"-")</f>
        <v>46.6521761496881</v>
      </c>
      <c r="AH15" s="413" t="n">
        <f aca="false">IF(AH$6&lt;Total_Lanes,($BJ15*($CI15+BP15)+$CN15*CR15)*Peak_Time_Eve/3600,"-")</f>
        <v>31.9919087579453</v>
      </c>
      <c r="AI15" s="413" t="n">
        <f aca="false">IF(AI$6&lt;Total_Lanes,($BJ15*($CI15+BQ15)+$CN15*CS15)*Peak_Time_Eve/3600,"-")</f>
        <v>145.567772945808</v>
      </c>
      <c r="AJ15" s="413" t="n">
        <f aca="false">IF(AJ$6&lt;Total_Lanes,($BJ15*($CI15+BR15)+$CN15*CT15)*Peak_Time_Eve/3600,"-")</f>
        <v>1249.68053071465</v>
      </c>
      <c r="AK15" s="413" t="n">
        <f aca="false">IF(AK$6&lt;Total_Lanes,($BJ15*($CI15+BS15)+$CN15*CU15)*Peak_Time_Eve/3600,"-")</f>
        <v>2867.2754351659</v>
      </c>
      <c r="AL15" s="413" t="n">
        <f aca="false">IF(AL$6&lt;Total_Lanes,($BJ15*($CI15+BT15)+$CN15*CV15)*Peak_Time_Eve/3600,"-")</f>
        <v>5140.33622464513</v>
      </c>
      <c r="AM15" s="413" t="n">
        <f aca="false">IF(AM$6&lt;Total_Lanes,($BJ15*($CI15+BU15)+$CN15*CW15)*Peak_Time_Eve/3600,"-")</f>
        <v>8552.64861568155</v>
      </c>
      <c r="AN15" s="413" t="n">
        <f aca="false">IF(AN$6&lt;Total_Lanes,($BJ15*($CI15+BV15)+$CN15*CX15)*Peak_Time_Eve/3600,"-")</f>
        <v>14241.3049452471</v>
      </c>
      <c r="AO15" s="413" t="n">
        <f aca="false">IF(AO$6&lt;Total_Lanes,($BJ15*($CI15+BW15)+$CN15*CY15)*Peak_Time_Eve/3600,"-")</f>
        <v>25619.7255748722</v>
      </c>
      <c r="AP15" s="413" t="n">
        <f aca="false">IF(AP$6&lt;Total_Lanes,($BJ15*($CI15+BX15)+$CN15*CZ15)*Peak_Time_Eve/3600,"-")</f>
        <v>59756.2566363298</v>
      </c>
      <c r="AQ15" s="413" t="str">
        <f aca="false">IF(AQ$6&lt;Total_Lanes,($BJ15*($CI15+BY15)+$CN15*DA15)*Peak_Time_Eve/3600,"-")</f>
        <v>-</v>
      </c>
      <c r="AR15" s="413" t="str">
        <f aca="false">IF(AR$6&lt;Total_Lanes,($BJ15*($CI15+BZ15)+$CN15*DB15)*Peak_Time_Eve/3600,"-")</f>
        <v>-</v>
      </c>
      <c r="AS15" s="413" t="str">
        <f aca="false">IF(AS$6&lt;Total_Lanes,($BJ15*($CI15+CA15)+$CN15*DC15)*Peak_Time_Eve/3600,"-")</f>
        <v>-</v>
      </c>
      <c r="AT15" s="413" t="str">
        <f aca="false">IF(AT$6&lt;Total_Lanes,($BJ15*($CI15+CB15)+$CN15*DD15)*Peak_Time_Eve/3600,"-")</f>
        <v>-</v>
      </c>
      <c r="AU15" s="413" t="str">
        <f aca="false">IF(AU$6&lt;Total_Lanes,($BJ15*($CI15+CC15)+$CN15*DE15)*Peak_Time_Eve/3600,"-")</f>
        <v>-</v>
      </c>
      <c r="AV15" s="413" t="str">
        <f aca="false">IF(AV$6&lt;Total_Lanes,($BJ15*($CI15+CD15)+$CN15*DF15)*Peak_Time_Eve/3600,"-")</f>
        <v>-</v>
      </c>
      <c r="AW15" s="413" t="str">
        <f aca="false">IF(AW$6&lt;Total_Lanes,($BJ15*($CI15+CE15)+$CN15*DG15)*Peak_Time_Eve/3600,"-")</f>
        <v>-</v>
      </c>
      <c r="AX15" s="413" t="str">
        <f aca="false">IF(AX$6&lt;Total_Lanes,($BJ15*($CI15+CF15)+$CN15*DH15)*Peak_Time_Eve/3600,"-")</f>
        <v>-</v>
      </c>
      <c r="AY15" s="413" t="str">
        <f aca="false">IF(AY$6&lt;Total_Lanes,($BJ15*($CI15+CG15)+$CN15*DI15)*Peak_Time_Eve/3600,"-")</f>
        <v>-</v>
      </c>
      <c r="AZ15" s="414" t="str">
        <f aca="false">IF(AZ$6&lt;Total_Lanes,($BJ15*($CI15+CH15)+$CN15*DJ15)*Peak_Time_Eve/3600,"-")</f>
        <v>-</v>
      </c>
      <c r="BA15" s="436" t="n">
        <f aca="false">SUMIF(AF15:AZ15,BB15,$AF$6:$AZ$6)</f>
        <v>3</v>
      </c>
      <c r="BB15" s="437" t="n">
        <f aca="false">MIN(AF15:AZ15)</f>
        <v>31.9919087579453</v>
      </c>
      <c r="BC15" s="436" t="n">
        <f aca="false">IF((SUMIF($BN13:$CH13,$BA15,$BN15:$CH15)+$CI15)&lt;(SUMIF($CP13:$DJ13,$BA15,$CP15:$DJ15)+$DK15),BA15+1,BA15)</f>
        <v>3</v>
      </c>
      <c r="BD15" s="437" t="n">
        <f aca="false">SUMIF($AF$6:$AZ$6,$BC15,$AF15:$AZ15)</f>
        <v>31.9919087579453</v>
      </c>
      <c r="BG15" s="400" t="n">
        <v>8</v>
      </c>
      <c r="BH15" s="402" t="n">
        <f aca="false">$Y15</f>
        <v>0.396</v>
      </c>
      <c r="BI15" s="418" t="n">
        <f aca="false">$AD15</f>
        <v>7066.17992021844</v>
      </c>
      <c r="BJ15" s="438" t="n">
        <f aca="false">BI15*(1-BH15)</f>
        <v>4267.97267181194</v>
      </c>
      <c r="BK15" s="420" t="n">
        <f aca="false">Peak_Arrival_Manual/K48</f>
        <v>7.79497786587874</v>
      </c>
      <c r="BL15" s="421" t="n">
        <f aca="false">900*Peak_Time_Eve*(BK15/Total_Lanes-1+SQRT((BK15/Total_Lanes-1)^2+8*(BK15/Total_Lanes)/(Peak_Time_Eve*$K48*Total_Lanes)))</f>
        <v>1.0148733885928</v>
      </c>
      <c r="BM15" s="422" t="n">
        <f aca="false">Peak_Arrival_Manual/N48</f>
        <v>7.99652101982542</v>
      </c>
      <c r="BN15" s="423" t="n">
        <f aca="false">IF(BN$6&lt;Total_Lanes,900*Peak_Time_Eve*(($BM15/(Total_Lanes-BN$6))-1+SQRT((($BM15/(Total_Lanes-BN$6))-1)^2+8*($BM15/(Total_Lanes-BN$6))/(Peak_Time_Eve*$N48*(Total_Lanes-BN$6)))),"-")</f>
        <v>1.62984478030629</v>
      </c>
      <c r="BO15" s="423" t="n">
        <f aca="false">IF(BO$6&lt;Total_Lanes,900*Peak_Time_Eve*(($BM15/(Total_Lanes-BO$6))-1+SQRT((($BM15/(Total_Lanes-BO$6))-1)^2+8*($BM15/(Total_Lanes-BO$6))/(Peak_Time_Eve*$N48*(Total_Lanes-BO$6)))),"-")</f>
        <v>2.68216939483005</v>
      </c>
      <c r="BP15" s="423" t="n">
        <f aca="false">IF(BP$6&lt;Total_Lanes,900*Peak_Time_Eve*(($BM15/(Total_Lanes-BP$6))-1+SQRT((($BM15/(Total_Lanes-BP$6))-1)^2+8*($BM15/(Total_Lanes-BP$6))/(Peak_Time_Eve*$N48*(Total_Lanes-BP$6)))),"-")</f>
        <v>5.88586299454663</v>
      </c>
      <c r="BQ15" s="423" t="n">
        <f aca="false">IF(BQ$6&lt;Total_Lanes,900*Peak_Time_Eve*(($BM15/(Total_Lanes-BQ$6))-1+SQRT((($BM15/(Total_Lanes-BQ$6))-1)^2+8*($BM15/(Total_Lanes-BQ$6))/(Peak_Time_Eve*$N48*(Total_Lanes-BQ$6)))),"-")</f>
        <v>54.3039137219389</v>
      </c>
      <c r="BR15" s="423" t="n">
        <f aca="false">IF(BR$6&lt;Total_Lanes,900*Peak_Time_Eve*(($BM15/(Total_Lanes-BR$6))-1+SQRT((($BM15/(Total_Lanes-BR$6))-1)^2+8*($BM15/(Total_Lanes-BR$6))/(Peak_Time_Eve*$N48*(Total_Lanes-BR$6)))),"-")</f>
        <v>520.115380413077</v>
      </c>
      <c r="BS15" s="423" t="n">
        <f aca="false">IF(BS$6&lt;Total_Lanes,900*Peak_Time_Eve*(($BM15/(Total_Lanes-BS$6))-1+SQRT((($BM15/(Total_Lanes-BS$6))-1)^2+8*($BM15/(Total_Lanes-BS$6))/(Peak_Time_Eve*$N48*(Total_Lanes-BS$6)))),"-")</f>
        <v>1202.39835773247</v>
      </c>
      <c r="BT15" s="423" t="n">
        <f aca="false">IF(BT$6&lt;Total_Lanes,900*Peak_Time_Eve*(($BM15/(Total_Lanes-BT$6))-1+SQRT((($BM15/(Total_Lanes-BT$6))-1)^2+8*($BM15/(Total_Lanes-BT$6))/(Peak_Time_Eve*$N48*(Total_Lanes-BT$6)))),"-")</f>
        <v>2161.08909112136</v>
      </c>
      <c r="BU15" s="423" t="n">
        <f aca="false">IF(BU$6&lt;Total_Lanes,900*Peak_Time_Eve*(($BM15/(Total_Lanes-BU$6))-1+SQRT((($BM15/(Total_Lanes-BU$6))-1)^2+8*($BM15/(Total_Lanes-BU$6))/(Peak_Time_Eve*$N48*(Total_Lanes-BU$6)))),"-")</f>
        <v>3600.23972677054</v>
      </c>
      <c r="BV15" s="423" t="n">
        <f aca="false">IF(BV$6&lt;Total_Lanes,900*Peak_Time_Eve*(($BM15/(Total_Lanes-BV$6))-1+SQRT((($BM15/(Total_Lanes-BV$6))-1)^2+8*($BM15/(Total_Lanes-BV$6))/(Peak_Time_Eve*$N48*(Total_Lanes-BV$6)))),"-")</f>
        <v>5999.42133956407</v>
      </c>
      <c r="BW15" s="423" t="n">
        <f aca="false">IF(BW$6&lt;Total_Lanes,900*Peak_Time_Eve*(($BM15/(Total_Lanes-BW$6))-1+SQRT((($BM15/(Total_Lanes-BW$6))-1)^2+8*($BM15/(Total_Lanes-BW$6))/(Peak_Time_Eve*$N48*(Total_Lanes-BW$6)))),"-")</f>
        <v>10798.2332822632</v>
      </c>
      <c r="BX15" s="423" t="n">
        <f aca="false">IF(BX$6&lt;Total_Lanes,900*Peak_Time_Eve*(($BM15/(Total_Lanes-BX$6))-1+SQRT((($BM15/(Total_Lanes-BX$6))-1)^2+8*($BM15/(Total_Lanes-BX$6))/(Peak_Time_Eve*$N48*(Total_Lanes-BX$6)))),"-")</f>
        <v>25195.1823638891</v>
      </c>
      <c r="BY15" s="413" t="str">
        <f aca="false">IF(BY$6&lt;Total_Lanes,900*Peak_Time_Eve*(($BM15/(Total_Lanes-BY$6))-1+SQRT((($BM15/(Total_Lanes-BY$6))-1)^2+8*($BM15/(Total_Lanes-BY$6))/(Peak_Time_Eve*$N48*(Total_Lanes-BY$6)))),"-")</f>
        <v>-</v>
      </c>
      <c r="BZ15" s="413" t="str">
        <f aca="false">IF(BZ$6&lt;Total_Lanes,900*Peak_Time_Eve*(($BM15/(Total_Lanes-BZ$6))-1+SQRT((($BM15/(Total_Lanes-BZ$6))-1)^2+8*($BM15/(Total_Lanes-BZ$6))/(Peak_Time_Eve*$N48*(Total_Lanes-BZ$6)))),"-")</f>
        <v>-</v>
      </c>
      <c r="CA15" s="413" t="str">
        <f aca="false">IF(CA$6&lt;Total_Lanes,900*Peak_Time_Eve*(($BM15/(Total_Lanes-CA$6))-1+SQRT((($BM15/(Total_Lanes-CA$6))-1)^2+8*($BM15/(Total_Lanes-CA$6))/(Peak_Time_Eve*$N48*(Total_Lanes-CA$6)))),"-")</f>
        <v>-</v>
      </c>
      <c r="CB15" s="413" t="str">
        <f aca="false">IF(CB$6&lt;Total_Lanes,900*Peak_Time_Eve*(($BM15/(Total_Lanes-CB$6))-1+SQRT((($BM15/(Total_Lanes-CB$6))-1)^2+8*($BM15/(Total_Lanes-CB$6))/(Peak_Time_Eve*$N48*(Total_Lanes-CB$6)))),"-")</f>
        <v>-</v>
      </c>
      <c r="CC15" s="413" t="str">
        <f aca="false">IF(CC$6&lt;Total_Lanes,900*Peak_Time_Eve*(($BM15/(Total_Lanes-CC$6))-1+SQRT((($BM15/(Total_Lanes-CC$6))-1)^2+8*($BM15/(Total_Lanes-CC$6))/(Peak_Time_Eve*$N48*(Total_Lanes-CC$6)))),"-")</f>
        <v>-</v>
      </c>
      <c r="CD15" s="413" t="str">
        <f aca="false">IF(CD$6&lt;Total_Lanes,900*Peak_Time_Eve*(($BM15/(Total_Lanes-CD$6))-1+SQRT((($BM15/(Total_Lanes-CD$6))-1)^2+8*($BM15/(Total_Lanes-CD$6))/(Peak_Time_Eve*$N48*(Total_Lanes-CD$6)))),"-")</f>
        <v>-</v>
      </c>
      <c r="CE15" s="413" t="str">
        <f aca="false">IF(CE$6&lt;Total_Lanes,900*Peak_Time_Eve*(($BM15/(Total_Lanes-CE$6))-1+SQRT((($BM15/(Total_Lanes-CE$6))-1)^2+8*($BM15/(Total_Lanes-CE$6))/(Peak_Time_Eve*$N48*(Total_Lanes-CE$6)))),"-")</f>
        <v>-</v>
      </c>
      <c r="CF15" s="413" t="str">
        <f aca="false">IF(CF$6&lt;Total_Lanes,900*Peak_Time_Eve*(($BM15/(Total_Lanes-CF$6))-1+SQRT((($BM15/(Total_Lanes-CF$6))-1)^2+8*($BM15/(Total_Lanes-CF$6))/(Peak_Time_Eve*$N48*(Total_Lanes-CF$6)))),"-")</f>
        <v>-</v>
      </c>
      <c r="CG15" s="413" t="str">
        <f aca="false">IF(CG$6&lt;Total_Lanes,900*Peak_Time_Eve*(($BM15/(Total_Lanes-CG$6))-1+SQRT((($BM15/(Total_Lanes-CG$6))-1)^2+8*($BM15/(Total_Lanes-CG$6))/(Peak_Time_Eve*$N48*(Total_Lanes-CG$6)))),"-")</f>
        <v>-</v>
      </c>
      <c r="CH15" s="424" t="str">
        <f aca="false">IF(CH$6&lt;Total_Lanes,900*Peak_Time_Eve*(($BM15/(Total_Lanes-CH$6))-1+SQRT((($BM15/(Total_Lanes-CH$6))-1)^2+8*($BM15/(Total_Lanes-CH$6))/(Peak_Time_Eve*$N48*(Total_Lanes-CH$6)))),"-")</f>
        <v>-</v>
      </c>
      <c r="CI15" s="439" t="n">
        <f aca="false">3600/N48</f>
        <v>6.745</v>
      </c>
      <c r="CK15" s="400" t="n">
        <v>8</v>
      </c>
      <c r="CL15" s="402" t="n">
        <f aca="false">$Y15</f>
        <v>0.396</v>
      </c>
      <c r="CM15" s="411" t="n">
        <f aca="false">$AD15</f>
        <v>7066.17992021844</v>
      </c>
      <c r="CN15" s="412" t="n">
        <f aca="false">CM15*CL15</f>
        <v>2798.2072484065</v>
      </c>
      <c r="CO15" s="440" t="n">
        <f aca="false">CN15/O47</f>
        <v>1.86547149893767</v>
      </c>
      <c r="CP15" s="444" t="n">
        <f aca="false">IF(CP$6&lt;Total_Lanes,900*Peak_Time_Eve*(($CO15/CP$6-1)+SQRT(($CO15/CP$6-1)^2+8*($CO15/CP$6)/(Peak_Time_Eve*$O48*CP$6))),"-")</f>
        <v>3120.86189057361</v>
      </c>
      <c r="CQ15" s="444" t="n">
        <f aca="false">IF(CQ$6&lt;Total_Lanes,900*Peak_Time_Eve*(($CO15/CQ$6-1)+SQRT(($CO15/CQ$6-1)^2+8*($CO15/CQ$6)/(Peak_Time_Eve*$O48*CQ$6))),"-")</f>
        <v>15.6310851330509</v>
      </c>
      <c r="CR15" s="444" t="n">
        <f aca="false">IF(CR$6&lt;Total_Lanes,900*Peak_Time_Eve*(($CO15/CR$6-1)+SQRT(($CO15/CR$6-1)^2+8*($CO15/CR$6)/(Peak_Time_Eve*$O48*CR$6))),"-")</f>
        <v>1.31414772235686</v>
      </c>
      <c r="CS15" s="444" t="n">
        <f aca="false">IF(CS$6&lt;Total_Lanes,900*Peak_Time_Eve*(($CO15/CS$6-1)+SQRT(($CO15/CS$6-1)^2+8*($CO15/CS$6)/(Peak_Time_Eve*$O48*CS$6))),"-")</f>
        <v>0.524227036524816</v>
      </c>
      <c r="CT15" s="444" t="n">
        <f aca="false">IF(CT$6&lt;Total_Lanes,900*Peak_Time_Eve*(($CO15/CT$6-1)+SQRT(($CO15/CT$6-1)^2+8*($CO15/CT$6)/(Peak_Time_Eve*$O48*CT$6))),"-")</f>
        <v>0.285629244712404</v>
      </c>
      <c r="CU15" s="444" t="n">
        <f aca="false">IF(CU$6&lt;Total_Lanes,900*Peak_Time_Eve*(($CO15/CU$6-1)+SQRT(($CO15/CU$6-1)^2+8*($CO15/CU$6)/(Peak_Time_Eve*$O48*CU$6))),"-")</f>
        <v>0.180464186064366</v>
      </c>
      <c r="CV15" s="444" t="n">
        <f aca="false">IF(CV$6&lt;Total_Lanes,900*Peak_Time_Eve*(($CO15/CV$6-1)+SQRT(($CO15/CV$6-1)^2+8*($CO15/CV$6)/(Peak_Time_Eve*$O48*CV$6))),"-")</f>
        <v>0.124560621163505</v>
      </c>
      <c r="CW15" s="444" t="n">
        <f aca="false">IF(CW$6&lt;Total_Lanes,900*Peak_Time_Eve*(($CO15/CW$6-1)+SQRT(($CO15/CW$6-1)^2+8*($CO15/CW$6)/(Peak_Time_Eve*$O48*CW$6))),"-")</f>
        <v>0.0912250967959993</v>
      </c>
      <c r="CX15" s="444" t="n">
        <f aca="false">IF(CX$6&lt;Total_Lanes,900*Peak_Time_Eve*(($CO15/CX$6-1)+SQRT(($CO15/CX$6-1)^2+8*($CO15/CX$6)/(Peak_Time_Eve*$O48*CX$6))),"-")</f>
        <v>0.0697238665127831</v>
      </c>
      <c r="CY15" s="444" t="n">
        <f aca="false">IF(CY$6&lt;Total_Lanes,900*Peak_Time_Eve*(($CO15/CY$6-1)+SQRT(($CO15/CY$6-1)^2+8*($CO15/CY$6)/(Peak_Time_Eve*$O48*CY$6))),"-")</f>
        <v>0.0550375778292089</v>
      </c>
      <c r="CZ15" s="444" t="n">
        <f aca="false">IF(CZ$6&lt;Total_Lanes,900*Peak_Time_Eve*(($CO15/CZ$6-1)+SQRT(($CO15/CZ$6-1)^2+8*($CO15/CZ$6)/(Peak_Time_Eve*$O48*CZ$6))),"-")</f>
        <v>0.0445568588593126</v>
      </c>
      <c r="DA15" s="445" t="str">
        <f aca="false">IF(DA$6&lt;Total_Lanes,900*Peak_Time_Eve*(($CO15/DA$6-1)+SQRT(($CO15/DA$6-1)^2+8*($CO15/DA$6)/(Peak_Time_Eve*$O48*DA$6))),"-")</f>
        <v>-</v>
      </c>
      <c r="DB15" s="445" t="str">
        <f aca="false">IF(DB$6&lt;Total_Lanes,900*Peak_Time_Eve*(($CO15/DB$6-1)+SQRT(($CO15/DB$6-1)^2+8*($CO15/DB$6)/(Peak_Time_Eve*$O48*DB$6))),"-")</f>
        <v>-</v>
      </c>
      <c r="DC15" s="445" t="str">
        <f aca="false">IF(DC$6&lt;Total_Lanes,900*Peak_Time_Eve*(($CO15/DC$6-1)+SQRT(($CO15/DC$6-1)^2+8*($CO15/DC$6)/(Peak_Time_Eve*$O48*DC$6))),"-")</f>
        <v>-</v>
      </c>
      <c r="DD15" s="445" t="str">
        <f aca="false">IF(DD$6&lt;Total_Lanes,900*Peak_Time_Eve*(($CO15/DD$6-1)+SQRT(($CO15/DD$6-1)^2+8*($CO15/DD$6)/(Peak_Time_Eve*$O48*DD$6))),"-")</f>
        <v>-</v>
      </c>
      <c r="DE15" s="445" t="str">
        <f aca="false">IF(DE$6&lt;Total_Lanes,900*Peak_Time_Eve*(($CO15/DE$6-1)+SQRT(($CO15/DE$6-1)^2+8*($CO15/DE$6)/(Peak_Time_Eve*$O48*DE$6))),"-")</f>
        <v>-</v>
      </c>
      <c r="DF15" s="445" t="str">
        <f aca="false">IF(DF$6&lt;Total_Lanes,900*Peak_Time_Eve*(($CO15/DF$6-1)+SQRT(($CO15/DF$6-1)^2+8*($CO15/DF$6)/(Peak_Time_Eve*$O48*DF$6))),"-")</f>
        <v>-</v>
      </c>
      <c r="DG15" s="445" t="str">
        <f aca="false">IF(DG$6&lt;Total_Lanes,900*Peak_Time_Eve*(($CO15/DG$6-1)+SQRT(($CO15/DG$6-1)^2+8*($CO15/DG$6)/(Peak_Time_Eve*$O48*DG$6))),"-")</f>
        <v>-</v>
      </c>
      <c r="DH15" s="445" t="str">
        <f aca="false">IF(DH$6&lt;Total_Lanes,900*Peak_Time_Eve*(($CO15/DH$6-1)+SQRT(($CO15/DH$6-1)^2+8*($CO15/DH$6)/(Peak_Time_Eve*$O48*DH$6))),"-")</f>
        <v>-</v>
      </c>
      <c r="DI15" s="445" t="str">
        <f aca="false">IF(DI$6&lt;Total_Lanes,900*Peak_Time_Eve*(($CO15/DI$6-1)+SQRT(($CO15/DI$6-1)^2+8*($CO15/DI$6)/(Peak_Time_Eve*$O48*DI$6))),"-")</f>
        <v>-</v>
      </c>
      <c r="DJ15" s="446" t="str">
        <f aca="false">IF(DJ$6&lt;Total_Lanes,900*Peak_Time_Eve*(($CO15/DJ$6-1)+SQRT(($CO15/DJ$6-1)^2+8*($CO15/DJ$6)/(Peak_Time_Eve*$O48*DJ$6))),"-")</f>
        <v>-</v>
      </c>
      <c r="DK15" s="447" t="n">
        <f aca="false">3600/O48</f>
        <v>2.4</v>
      </c>
    </row>
    <row r="16" customFormat="false" ht="12" hidden="false" customHeight="false" outlineLevel="0" collapsed="false">
      <c r="H16" s="400" t="n">
        <v>9</v>
      </c>
      <c r="I16" s="401" t="n">
        <f aca="false">'Input-Detail'!E23</f>
        <v>23958895.15</v>
      </c>
      <c r="J16" s="402" t="n">
        <f aca="false">'Input-Detail'!F23</f>
        <v>0.4455</v>
      </c>
      <c r="K16" s="403" t="n">
        <f aca="false">AD16</f>
        <v>7231.95241024574</v>
      </c>
      <c r="L16" s="443" t="n">
        <f aca="false">IF(AD16&gt;AD64,BC16,BC64)</f>
        <v>3</v>
      </c>
      <c r="M16" s="412" t="n">
        <f aca="false">AE64</f>
        <v>11.9849361822266</v>
      </c>
      <c r="N16" s="427" t="n">
        <f aca="false">AE16</f>
        <v>29.8626824011409</v>
      </c>
      <c r="O16" s="427" t="n">
        <f aca="false">SUM(M16:N16)</f>
        <v>41.8476185833675</v>
      </c>
      <c r="P16" s="432" t="n">
        <f aca="false">$S$34*O16</f>
        <v>10880.3808316756</v>
      </c>
      <c r="Q16" s="412" t="n">
        <f aca="false">SUMIF($AF$54:$AZ$54,L16,$AF64:$AZ64)</f>
        <v>7.13375673890773</v>
      </c>
      <c r="R16" s="427" t="n">
        <f aca="false">SUMIF($AF$6:$AZ$6,$L16,$AF16:$AZ16)</f>
        <v>27.249280597946</v>
      </c>
      <c r="S16" s="427" t="n">
        <f aca="false">SUM(Q16:R16)</f>
        <v>34.3830373368537</v>
      </c>
      <c r="T16" s="433" t="n">
        <f aca="false">$S$34*S16</f>
        <v>8939.58970758196</v>
      </c>
      <c r="U16" s="372"/>
      <c r="V16" s="372"/>
      <c r="W16" s="400" t="n">
        <v>9</v>
      </c>
      <c r="X16" s="408" t="n">
        <f aca="false">X$7+(X$27-X$7)*$W16/20</f>
        <v>23958895.15</v>
      </c>
      <c r="Y16" s="402" t="n">
        <f aca="false">J16</f>
        <v>0.4455</v>
      </c>
      <c r="Z16" s="408" t="n">
        <f aca="false">'Input-Detail'!E23/AA16</f>
        <v>10331.3605860653</v>
      </c>
      <c r="AA16" s="434" t="n">
        <f aca="false">AA15</f>
        <v>2319.04548780488</v>
      </c>
      <c r="AB16" s="434" t="n">
        <f aca="false">AB15</f>
        <v>2</v>
      </c>
      <c r="AC16" s="435" t="n">
        <f aca="false">AC15</f>
        <v>0.7</v>
      </c>
      <c r="AD16" s="411" t="n">
        <f aca="false">Z16*AC16</f>
        <v>7231.95241024574</v>
      </c>
      <c r="AE16" s="412" t="n">
        <f aca="false">Peak_Time_Eve*$BI16*(3600/K49+BL16)/3600</f>
        <v>29.8626824011409</v>
      </c>
      <c r="AF16" s="413" t="n">
        <f aca="false">IF(AF$6&lt;Total_Lanes,($BJ16*($CI16+BN16)+$CN16*CP16)*Peak_Time_Eve/3600,"-")</f>
        <v>7422.70567729418</v>
      </c>
      <c r="AG16" s="413" t="n">
        <f aca="false">IF(AG$6&lt;Total_Lanes,($BJ16*($CI16+BO16)+$CN16*CQ16)*Peak_Time_Eve/3600,"-")</f>
        <v>525.536205167291</v>
      </c>
      <c r="AH16" s="413" t="n">
        <f aca="false">IF(AH$6&lt;Total_Lanes,($BJ16*($CI16+BP16)+$CN16*CR16)*Peak_Time_Eve/3600,"-")</f>
        <v>27.249280597946</v>
      </c>
      <c r="AI16" s="413" t="n">
        <f aca="false">IF(AI$6&lt;Total_Lanes,($BJ16*($CI16+BQ16)+$CN16*CS16)*Peak_Time_Eve/3600,"-")</f>
        <v>45.2001229076851</v>
      </c>
      <c r="AJ16" s="413" t="n">
        <f aca="false">IF(AJ$6&lt;Total_Lanes,($BJ16*($CI16+BR16)+$CN16*CT16)*Peak_Time_Eve/3600,"-")</f>
        <v>659.936442493556</v>
      </c>
      <c r="AK16" s="413" t="n">
        <f aca="false">IF(AK$6&lt;Total_Lanes,($BJ16*($CI16+BS16)+$CN16*CU16)*Peak_Time_Eve/3600,"-")</f>
        <v>2082.33256053554</v>
      </c>
      <c r="AL16" s="413" t="n">
        <f aca="false">IF(AL$6&lt;Total_Lanes,($BJ16*($CI16+BT16)+$CN16*CV16)*Peak_Time_Eve/3600,"-")</f>
        <v>4093.8649798064</v>
      </c>
      <c r="AM16" s="413" t="n">
        <f aca="false">IF(AM$6&lt;Total_Lanes,($BJ16*($CI16+BU16)+$CN16*CW16)*Peak_Time_Eve/3600,"-")</f>
        <v>7115.32929353864</v>
      </c>
      <c r="AN16" s="413" t="n">
        <f aca="false">IF(AN$6&lt;Total_Lanes,($BJ16*($CI16+BV16)+$CN16*CX16)*Peak_Time_Eve/3600,"-")</f>
        <v>12153.0260528033</v>
      </c>
      <c r="AO16" s="413" t="n">
        <f aca="false">IF(AO$6&lt;Total_Lanes,($BJ16*($CI16+BW16)+$CN16*CY16)*Peak_Time_Eve/3600,"-")</f>
        <v>22229.7553161664</v>
      </c>
      <c r="AP16" s="413" t="n">
        <f aca="false">IF(AP$6&lt;Total_Lanes,($BJ16*($CI16+BX16)+$CN16*CZ16)*Peak_Time_Eve/3600,"-")</f>
        <v>52461.3963118584</v>
      </c>
      <c r="AQ16" s="413" t="str">
        <f aca="false">IF(AQ$6&lt;Total_Lanes,($BJ16*($CI16+BY16)+$CN16*DA16)*Peak_Time_Eve/3600,"-")</f>
        <v>-</v>
      </c>
      <c r="AR16" s="413" t="str">
        <f aca="false">IF(AR$6&lt;Total_Lanes,($BJ16*($CI16+BZ16)+$CN16*DB16)*Peak_Time_Eve/3600,"-")</f>
        <v>-</v>
      </c>
      <c r="AS16" s="413" t="str">
        <f aca="false">IF(AS$6&lt;Total_Lanes,($BJ16*($CI16+CA16)+$CN16*DC16)*Peak_Time_Eve/3600,"-")</f>
        <v>-</v>
      </c>
      <c r="AT16" s="413" t="str">
        <f aca="false">IF(AT$6&lt;Total_Lanes,($BJ16*($CI16+CB16)+$CN16*DD16)*Peak_Time_Eve/3600,"-")</f>
        <v>-</v>
      </c>
      <c r="AU16" s="413" t="str">
        <f aca="false">IF(AU$6&lt;Total_Lanes,($BJ16*($CI16+CC16)+$CN16*DE16)*Peak_Time_Eve/3600,"-")</f>
        <v>-</v>
      </c>
      <c r="AV16" s="413" t="str">
        <f aca="false">IF(AV$6&lt;Total_Lanes,($BJ16*($CI16+CD16)+$CN16*DF16)*Peak_Time_Eve/3600,"-")</f>
        <v>-</v>
      </c>
      <c r="AW16" s="413" t="str">
        <f aca="false">IF(AW$6&lt;Total_Lanes,($BJ16*($CI16+CE16)+$CN16*DG16)*Peak_Time_Eve/3600,"-")</f>
        <v>-</v>
      </c>
      <c r="AX16" s="413" t="str">
        <f aca="false">IF(AX$6&lt;Total_Lanes,($BJ16*($CI16+CF16)+$CN16*DH16)*Peak_Time_Eve/3600,"-")</f>
        <v>-</v>
      </c>
      <c r="AY16" s="413" t="str">
        <f aca="false">IF(AY$6&lt;Total_Lanes,($BJ16*($CI16+CG16)+$CN16*DI16)*Peak_Time_Eve/3600,"-")</f>
        <v>-</v>
      </c>
      <c r="AZ16" s="414" t="str">
        <f aca="false">IF(AZ$6&lt;Total_Lanes,($BJ16*($CI16+CH16)+$CN16*DJ16)*Peak_Time_Eve/3600,"-")</f>
        <v>-</v>
      </c>
      <c r="BA16" s="436" t="n">
        <f aca="false">SUMIF(AF16:AZ16,BB16,$AF$6:$AZ$6)</f>
        <v>3</v>
      </c>
      <c r="BB16" s="437" t="n">
        <f aca="false">MIN(AF16:AZ16)</f>
        <v>27.249280597946</v>
      </c>
      <c r="BC16" s="436" t="n">
        <f aca="false">IF((SUMIF($BN14:$CH14,$BA16,$BN16:$CH16)+$CI16)&lt;(SUMIF($CP14:$DJ14,$BA16,$CP16:$DJ16)+$DK16),BA16+1,BA16)</f>
        <v>3</v>
      </c>
      <c r="BD16" s="437" t="n">
        <f aca="false">SUMIF($AF$6:$AZ$6,$BC16,$AF16:$AZ16)</f>
        <v>27.249280597946</v>
      </c>
      <c r="BG16" s="400" t="n">
        <v>9</v>
      </c>
      <c r="BH16" s="402" t="n">
        <f aca="false">$Y16</f>
        <v>0.4455</v>
      </c>
      <c r="BI16" s="418" t="n">
        <f aca="false">$AD16</f>
        <v>7231.95241024574</v>
      </c>
      <c r="BJ16" s="438" t="n">
        <f aca="false">BI16*(1-BH16)</f>
        <v>4010.11761148126</v>
      </c>
      <c r="BK16" s="420" t="n">
        <f aca="false">Peak_Arrival_Manual/K49</f>
        <v>7.32403424874703</v>
      </c>
      <c r="BL16" s="421" t="n">
        <f aca="false">900*Peak_Time_Eve*(BK16/Total_Lanes-1+SQRT((BK16/Total_Lanes-1)^2+8*(BK16/Total_Lanes)/(Peak_Time_Eve*$K49*Total_Lanes)))</f>
        <v>0.857685569929945</v>
      </c>
      <c r="BM16" s="422" t="n">
        <f aca="false">Peak_Arrival_Manual/N49</f>
        <v>7.53707174685697</v>
      </c>
      <c r="BN16" s="423" t="n">
        <f aca="false">IF(BN$6&lt;Total_Lanes,900*Peak_Time_Eve*(($BM16/(Total_Lanes-BN$6))-1+SQRT((($BM16/(Total_Lanes-BN$6))-1)^2+8*($BM16/(Total_Lanes-BN$6))/(Peak_Time_Eve*$N49*(Total_Lanes-BN$6)))),"-")</f>
        <v>1.33721852410358</v>
      </c>
      <c r="BO16" s="423" t="n">
        <f aca="false">IF(BO$6&lt;Total_Lanes,900*Peak_Time_Eve*(($BM16/(Total_Lanes-BO$6))-1+SQRT((($BM16/(Total_Lanes-BO$6))-1)^2+8*($BM16/(Total_Lanes-BO$6))/(Peak_Time_Eve*$N49*(Total_Lanes-BO$6)))),"-")</f>
        <v>2.06579989345891</v>
      </c>
      <c r="BP16" s="423" t="n">
        <f aca="false">IF(BP$6&lt;Total_Lanes,900*Peak_Time_Eve*(($BM16/(Total_Lanes-BP$6))-1+SQRT((($BM16/(Total_Lanes-BP$6))-1)^2+8*($BM16/(Total_Lanes-BP$6))/(Peak_Time_Eve*$N49*(Total_Lanes-BP$6)))),"-")</f>
        <v>3.84803153070573</v>
      </c>
      <c r="BQ16" s="423" t="n">
        <f aca="false">IF(BQ$6&lt;Total_Lanes,900*Peak_Time_Eve*(($BM16/(Total_Lanes-BQ$6))-1+SQRT((($BM16/(Total_Lanes-BQ$6))-1)^2+8*($BM16/(Total_Lanes-BQ$6))/(Peak_Time_Eve*$N49*(Total_Lanes-BQ$6)))),"-")</f>
        <v>12.9636804391496</v>
      </c>
      <c r="BR16" s="423" t="n">
        <f aca="false">IF(BR$6&lt;Total_Lanes,900*Peak_Time_Eve*(($BM16/(Total_Lanes-BR$6))-1+SQRT((($BM16/(Total_Lanes-BR$6))-1)^2+8*($BM16/(Total_Lanes-BR$6))/(Peak_Time_Eve*$N49*(Total_Lanes-BR$6)))),"-")</f>
        <v>289.16551070392</v>
      </c>
      <c r="BS16" s="423" t="n">
        <f aca="false">IF(BS$6&lt;Total_Lanes,900*Peak_Time_Eve*(($BM16/(Total_Lanes-BS$6))-1+SQRT((($BM16/(Total_Lanes-BS$6))-1)^2+8*($BM16/(Total_Lanes-BS$6))/(Peak_Time_Eve*$N49*(Total_Lanes-BS$6)))),"-")</f>
        <v>927.740031104821</v>
      </c>
      <c r="BT16" s="423" t="n">
        <f aca="false">IF(BT$6&lt;Total_Lanes,900*Peak_Time_Eve*(($BM16/(Total_Lanes-BT$6))-1+SQRT((($BM16/(Total_Lanes-BT$6))-1)^2+8*($BM16/(Total_Lanes-BT$6))/(Peak_Time_Eve*$N49*(Total_Lanes-BT$6)))),"-")</f>
        <v>1830.70305132732</v>
      </c>
      <c r="BU16" s="423" t="n">
        <f aca="false">IF(BU$6&lt;Total_Lanes,900*Peak_Time_Eve*(($BM16/(Total_Lanes-BU$6))-1+SQRT((($BM16/(Total_Lanes-BU$6))-1)^2+8*($BM16/(Total_Lanes-BU$6))/(Peak_Time_Eve*$N49*(Total_Lanes-BU$6)))),"-")</f>
        <v>3186.96501493746</v>
      </c>
      <c r="BV16" s="423" t="n">
        <f aca="false">IF(BV$6&lt;Total_Lanes,900*Peak_Time_Eve*(($BM16/(Total_Lanes-BV$6))-1+SQRT((($BM16/(Total_Lanes-BV$6))-1)^2+8*($BM16/(Total_Lanes-BV$6))/(Peak_Time_Eve*$N49*(Total_Lanes-BV$6)))),"-")</f>
        <v>5448.23026336096</v>
      </c>
      <c r="BW16" s="423" t="n">
        <f aca="false">IF(BW$6&lt;Total_Lanes,900*Peak_Time_Eve*(($BM16/(Total_Lanes-BW$6))-1+SQRT((($BM16/(Total_Lanes-BW$6))-1)^2+8*($BM16/(Total_Lanes-BW$6))/(Peak_Time_Eve*$N49*(Total_Lanes-BW$6)))),"-")</f>
        <v>9971.33213418571</v>
      </c>
      <c r="BX16" s="423" t="n">
        <f aca="false">IF(BX$6&lt;Total_Lanes,900*Peak_Time_Eve*(($BM16/(Total_Lanes-BX$6))-1+SQRT((($BM16/(Total_Lanes-BX$6))-1)^2+8*($BM16/(Total_Lanes-BX$6))/(Peak_Time_Eve*$N49*(Total_Lanes-BX$6)))),"-")</f>
        <v>23541.2570125191</v>
      </c>
      <c r="BY16" s="413" t="str">
        <f aca="false">IF(BY$6&lt;Total_Lanes,900*Peak_Time_Eve*(($BM16/(Total_Lanes-BY$6))-1+SQRT((($BM16/(Total_Lanes-BY$6))-1)^2+8*($BM16/(Total_Lanes-BY$6))/(Peak_Time_Eve*$N49*(Total_Lanes-BY$6)))),"-")</f>
        <v>-</v>
      </c>
      <c r="BZ16" s="413" t="str">
        <f aca="false">IF(BZ$6&lt;Total_Lanes,900*Peak_Time_Eve*(($BM16/(Total_Lanes-BZ$6))-1+SQRT((($BM16/(Total_Lanes-BZ$6))-1)^2+8*($BM16/(Total_Lanes-BZ$6))/(Peak_Time_Eve*$N49*(Total_Lanes-BZ$6)))),"-")</f>
        <v>-</v>
      </c>
      <c r="CA16" s="413" t="str">
        <f aca="false">IF(CA$6&lt;Total_Lanes,900*Peak_Time_Eve*(($BM16/(Total_Lanes-CA$6))-1+SQRT((($BM16/(Total_Lanes-CA$6))-1)^2+8*($BM16/(Total_Lanes-CA$6))/(Peak_Time_Eve*$N49*(Total_Lanes-CA$6)))),"-")</f>
        <v>-</v>
      </c>
      <c r="CB16" s="413" t="str">
        <f aca="false">IF(CB$6&lt;Total_Lanes,900*Peak_Time_Eve*(($BM16/(Total_Lanes-CB$6))-1+SQRT((($BM16/(Total_Lanes-CB$6))-1)^2+8*($BM16/(Total_Lanes-CB$6))/(Peak_Time_Eve*$N49*(Total_Lanes-CB$6)))),"-")</f>
        <v>-</v>
      </c>
      <c r="CC16" s="413" t="str">
        <f aca="false">IF(CC$6&lt;Total_Lanes,900*Peak_Time_Eve*(($BM16/(Total_Lanes-CC$6))-1+SQRT((($BM16/(Total_Lanes-CC$6))-1)^2+8*($BM16/(Total_Lanes-CC$6))/(Peak_Time_Eve*$N49*(Total_Lanes-CC$6)))),"-")</f>
        <v>-</v>
      </c>
      <c r="CD16" s="413" t="str">
        <f aca="false">IF(CD$6&lt;Total_Lanes,900*Peak_Time_Eve*(($BM16/(Total_Lanes-CD$6))-1+SQRT((($BM16/(Total_Lanes-CD$6))-1)^2+8*($BM16/(Total_Lanes-CD$6))/(Peak_Time_Eve*$N49*(Total_Lanes-CD$6)))),"-")</f>
        <v>-</v>
      </c>
      <c r="CE16" s="413" t="str">
        <f aca="false">IF(CE$6&lt;Total_Lanes,900*Peak_Time_Eve*(($BM16/(Total_Lanes-CE$6))-1+SQRT((($BM16/(Total_Lanes-CE$6))-1)^2+8*($BM16/(Total_Lanes-CE$6))/(Peak_Time_Eve*$N49*(Total_Lanes-CE$6)))),"-")</f>
        <v>-</v>
      </c>
      <c r="CF16" s="413" t="str">
        <f aca="false">IF(CF$6&lt;Total_Lanes,900*Peak_Time_Eve*(($BM16/(Total_Lanes-CF$6))-1+SQRT((($BM16/(Total_Lanes-CF$6))-1)^2+8*($BM16/(Total_Lanes-CF$6))/(Peak_Time_Eve*$N49*(Total_Lanes-CF$6)))),"-")</f>
        <v>-</v>
      </c>
      <c r="CG16" s="413" t="str">
        <f aca="false">IF(CG$6&lt;Total_Lanes,900*Peak_Time_Eve*(($BM16/(Total_Lanes-CG$6))-1+SQRT((($BM16/(Total_Lanes-CG$6))-1)^2+8*($BM16/(Total_Lanes-CG$6))/(Peak_Time_Eve*$N49*(Total_Lanes-CG$6)))),"-")</f>
        <v>-</v>
      </c>
      <c r="CH16" s="424" t="str">
        <f aca="false">IF(CH$6&lt;Total_Lanes,900*Peak_Time_Eve*(($BM16/(Total_Lanes-CH$6))-1+SQRT((($BM16/(Total_Lanes-CH$6))-1)^2+8*($BM16/(Total_Lanes-CH$6))/(Peak_Time_Eve*$N49*(Total_Lanes-CH$6)))),"-")</f>
        <v>-</v>
      </c>
      <c r="CI16" s="439" t="n">
        <f aca="false">3600/N49</f>
        <v>6.76625</v>
      </c>
      <c r="CK16" s="400" t="n">
        <v>9</v>
      </c>
      <c r="CL16" s="402" t="n">
        <f aca="false">$Y16</f>
        <v>0.4455</v>
      </c>
      <c r="CM16" s="411" t="n">
        <f aca="false">$AD16</f>
        <v>7231.95241024574</v>
      </c>
      <c r="CN16" s="412" t="n">
        <f aca="false">CM16*CL16</f>
        <v>3221.83479876448</v>
      </c>
      <c r="CO16" s="440" t="n">
        <f aca="false">CN16/O48</f>
        <v>2.14788986584299</v>
      </c>
      <c r="CP16" s="444" t="n">
        <f aca="false">IF(CP$6&lt;Total_Lanes,900*Peak_Time_Eve*(($CO16/CP$6-1)+SQRT(($CO16/CP$6-1)^2+8*($CO16/CP$6)/(Peak_Time_Eve*$O49*CP$6))),"-")</f>
        <v>4136.88944026495</v>
      </c>
      <c r="CQ16" s="444" t="n">
        <f aca="false">IF(CQ$6&lt;Total_Lanes,900*Peak_Time_Eve*(($CO16/CQ$6-1)+SQRT(($CO16/CQ$6-1)^2+8*($CO16/CQ$6)/(Peak_Time_Eve*$O49*CQ$6))),"-")</f>
        <v>282.617721686743</v>
      </c>
      <c r="CR16" s="444" t="n">
        <f aca="false">IF(CR$6&lt;Total_Lanes,900*Peak_Time_Eve*(($CO16/CR$6-1)+SQRT(($CO16/CR$6-1)^2+8*($CO16/CR$6)/(Peak_Time_Eve*$O49*CR$6))),"-")</f>
        <v>2.01257611944784</v>
      </c>
      <c r="CS16" s="444" t="n">
        <f aca="false">IF(CS$6&lt;Total_Lanes,900*Peak_Time_Eve*(($CO16/CS$6-1)+SQRT(($CO16/CS$6-1)^2+8*($CO16/CS$6)/(Peak_Time_Eve*$O49*CS$6))),"-")</f>
        <v>0.695529052997568</v>
      </c>
      <c r="CT16" s="444" t="n">
        <f aca="false">IF(CT$6&lt;Total_Lanes,900*Peak_Time_Eve*(($CO16/CT$6-1)+SQRT(($CO16/CT$6-1)^2+8*($CO16/CT$6)/(Peak_Time_Eve*$O49*CT$6))),"-")</f>
        <v>0.361418621897713</v>
      </c>
      <c r="CU16" s="444" t="n">
        <f aca="false">IF(CU$6&lt;Total_Lanes,900*Peak_Time_Eve*(($CO16/CU$6-1)+SQRT(($CO16/CU$6-1)^2+8*($CO16/CU$6)/(Peak_Time_Eve*$O49*CU$6))),"-")</f>
        <v>0.223013627497992</v>
      </c>
      <c r="CV16" s="444" t="n">
        <f aca="false">IF(CV$6&lt;Total_Lanes,900*Peak_Time_Eve*(($CO16/CV$6-1)+SQRT(($CO16/CV$6-1)^2+8*($CO16/CV$6)/(Peak_Time_Eve*$O49*CV$6))),"-")</f>
        <v>0.151763784681491</v>
      </c>
      <c r="CW16" s="444" t="n">
        <f aca="false">IF(CW$6&lt;Total_Lanes,900*Peak_Time_Eve*(($CO16/CW$6-1)+SQRT(($CO16/CW$6-1)^2+8*($CO16/CW$6)/(Peak_Time_Eve*$O49*CW$6))),"-")</f>
        <v>0.11010387796615</v>
      </c>
      <c r="CX16" s="444" t="n">
        <f aca="false">IF(CX$6&lt;Total_Lanes,900*Peak_Time_Eve*(($CO16/CX$6-1)+SQRT(($CO16/CX$6-1)^2+8*($CO16/CX$6)/(Peak_Time_Eve*$O49*CX$6))),"-")</f>
        <v>0.0835878513853139</v>
      </c>
      <c r="CY16" s="444" t="n">
        <f aca="false">IF(CY$6&lt;Total_Lanes,900*Peak_Time_Eve*(($CO16/CY$6-1)+SQRT(($CO16/CY$6-1)^2+8*($CO16/CY$6)/(Peak_Time_Eve*$O49*CY$6))),"-")</f>
        <v>0.0656487985301268</v>
      </c>
      <c r="CZ16" s="444" t="n">
        <f aca="false">IF(CZ$6&lt;Total_Lanes,900*Peak_Time_Eve*(($CO16/CZ$6-1)+SQRT(($CO16/CZ$6-1)^2+8*($CO16/CZ$6)/(Peak_Time_Eve*$O49*CZ$6))),"-")</f>
        <v>0.0529390106729588</v>
      </c>
      <c r="DA16" s="445" t="str">
        <f aca="false">IF(DA$6&lt;Total_Lanes,900*Peak_Time_Eve*(($CO16/DA$6-1)+SQRT(($CO16/DA$6-1)^2+8*($CO16/DA$6)/(Peak_Time_Eve*$O49*DA$6))),"-")</f>
        <v>-</v>
      </c>
      <c r="DB16" s="445" t="str">
        <f aca="false">IF(DB$6&lt;Total_Lanes,900*Peak_Time_Eve*(($CO16/DB$6-1)+SQRT(($CO16/DB$6-1)^2+8*($CO16/DB$6)/(Peak_Time_Eve*$O49*DB$6))),"-")</f>
        <v>-</v>
      </c>
      <c r="DC16" s="445" t="str">
        <f aca="false">IF(DC$6&lt;Total_Lanes,900*Peak_Time_Eve*(($CO16/DC$6-1)+SQRT(($CO16/DC$6-1)^2+8*($CO16/DC$6)/(Peak_Time_Eve*$O49*DC$6))),"-")</f>
        <v>-</v>
      </c>
      <c r="DD16" s="445" t="str">
        <f aca="false">IF(DD$6&lt;Total_Lanes,900*Peak_Time_Eve*(($CO16/DD$6-1)+SQRT(($CO16/DD$6-1)^2+8*($CO16/DD$6)/(Peak_Time_Eve*$O49*DD$6))),"-")</f>
        <v>-</v>
      </c>
      <c r="DE16" s="445" t="str">
        <f aca="false">IF(DE$6&lt;Total_Lanes,900*Peak_Time_Eve*(($CO16/DE$6-1)+SQRT(($CO16/DE$6-1)^2+8*($CO16/DE$6)/(Peak_Time_Eve*$O49*DE$6))),"-")</f>
        <v>-</v>
      </c>
      <c r="DF16" s="445" t="str">
        <f aca="false">IF(DF$6&lt;Total_Lanes,900*Peak_Time_Eve*(($CO16/DF$6-1)+SQRT(($CO16/DF$6-1)^2+8*($CO16/DF$6)/(Peak_Time_Eve*$O49*DF$6))),"-")</f>
        <v>-</v>
      </c>
      <c r="DG16" s="445" t="str">
        <f aca="false">IF(DG$6&lt;Total_Lanes,900*Peak_Time_Eve*(($CO16/DG$6-1)+SQRT(($CO16/DG$6-1)^2+8*($CO16/DG$6)/(Peak_Time_Eve*$O49*DG$6))),"-")</f>
        <v>-</v>
      </c>
      <c r="DH16" s="445" t="str">
        <f aca="false">IF(DH$6&lt;Total_Lanes,900*Peak_Time_Eve*(($CO16/DH$6-1)+SQRT(($CO16/DH$6-1)^2+8*($CO16/DH$6)/(Peak_Time_Eve*$O49*DH$6))),"-")</f>
        <v>-</v>
      </c>
      <c r="DI16" s="445" t="str">
        <f aca="false">IF(DI$6&lt;Total_Lanes,900*Peak_Time_Eve*(($CO16/DI$6-1)+SQRT(($CO16/DI$6-1)^2+8*($CO16/DI$6)/(Peak_Time_Eve*$O49*DI$6))),"-")</f>
        <v>-</v>
      </c>
      <c r="DJ16" s="446" t="str">
        <f aca="false">IF(DJ$6&lt;Total_Lanes,900*Peak_Time_Eve*(($CO16/DJ$6-1)+SQRT(($CO16/DJ$6-1)^2+8*($CO16/DJ$6)/(Peak_Time_Eve*$O49*DJ$6))),"-")</f>
        <v>-</v>
      </c>
      <c r="DK16" s="447" t="n">
        <f aca="false">3600/O49</f>
        <v>2.4</v>
      </c>
    </row>
    <row r="17" customFormat="false" ht="12" hidden="false" customHeight="false" outlineLevel="0" collapsed="false">
      <c r="H17" s="400" t="n">
        <v>10</v>
      </c>
      <c r="I17" s="401" t="n">
        <f aca="false">'Input-Detail'!E24</f>
        <v>24508086.5</v>
      </c>
      <c r="J17" s="402" t="n">
        <f aca="false">'Input-Detail'!F24</f>
        <v>0.495</v>
      </c>
      <c r="K17" s="403" t="n">
        <f aca="false">AD17</f>
        <v>7397.72490027305</v>
      </c>
      <c r="L17" s="443" t="n">
        <f aca="false">IF(AD17&gt;AD65,BC17,BC65)</f>
        <v>3</v>
      </c>
      <c r="M17" s="412" t="n">
        <f aca="false">AE65</f>
        <v>12.2661771134693</v>
      </c>
      <c r="N17" s="427" t="n">
        <f aca="false">AE17</f>
        <v>29.9888030695244</v>
      </c>
      <c r="O17" s="427" t="n">
        <f aca="false">SUM(M17:N17)</f>
        <v>42.2549801829937</v>
      </c>
      <c r="P17" s="432" t="n">
        <f aca="false">$S$34*O17</f>
        <v>10986.2948475784</v>
      </c>
      <c r="Q17" s="412" t="n">
        <f aca="false">SUMIF($AF$54:$AZ$54,L17,$AF65:$AZ65)</f>
        <v>6.74935439985392</v>
      </c>
      <c r="R17" s="427" t="n">
        <f aca="false">SUMIF($AF$6:$AZ$6,$L17,$AF17:$AZ17)</f>
        <v>26.7773950503263</v>
      </c>
      <c r="S17" s="427" t="n">
        <f aca="false">SUM(Q17:R17)</f>
        <v>33.5267494501802</v>
      </c>
      <c r="T17" s="433" t="n">
        <f aca="false">$S$34*S17</f>
        <v>8716.95485704685</v>
      </c>
      <c r="U17" s="372"/>
      <c r="V17" s="372"/>
      <c r="W17" s="400" t="n">
        <v>10</v>
      </c>
      <c r="X17" s="408" t="n">
        <f aca="false">X$7+(X$27-X$7)*$W17/20</f>
        <v>24508086.5</v>
      </c>
      <c r="Y17" s="402" t="n">
        <f aca="false">J17</f>
        <v>0.495</v>
      </c>
      <c r="Z17" s="408" t="n">
        <f aca="false">'Input-Detail'!E24/AA17</f>
        <v>10568.1784289615</v>
      </c>
      <c r="AA17" s="434" t="n">
        <f aca="false">AA16</f>
        <v>2319.04548780488</v>
      </c>
      <c r="AB17" s="434" t="n">
        <f aca="false">AB16</f>
        <v>2</v>
      </c>
      <c r="AC17" s="435" t="n">
        <f aca="false">AC16</f>
        <v>0.7</v>
      </c>
      <c r="AD17" s="411" t="n">
        <f aca="false">Z17*AC17</f>
        <v>7397.72490027305</v>
      </c>
      <c r="AE17" s="412" t="n">
        <f aca="false">Peak_Time_Eve*$BI17*(3600/K50+BL17)/3600</f>
        <v>29.9888030695244</v>
      </c>
      <c r="AF17" s="413" t="n">
        <f aca="false">IF(AF$6&lt;Total_Lanes,($BJ17*($CI17+BN17)+$CN17*CP17)*Peak_Time_Eve/3600,"-")</f>
        <v>10579.9746230898</v>
      </c>
      <c r="AG17" s="413" t="n">
        <f aca="false">IF(AG$6&lt;Total_Lanes,($BJ17*($CI17+BO17)+$CN17*CQ17)*Peak_Time_Eve/3600,"-")</f>
        <v>1646.63285559964</v>
      </c>
      <c r="AH17" s="413" t="n">
        <f aca="false">IF(AH$6&lt;Total_Lanes,($BJ17*($CI17+BP17)+$CN17*CR17)*Peak_Time_Eve/3600,"-")</f>
        <v>26.7773950503263</v>
      </c>
      <c r="AI17" s="413" t="n">
        <f aca="false">IF(AI$6&lt;Total_Lanes,($BJ17*($CI17+BQ17)+$CN17*CS17)*Peak_Time_Eve/3600,"-")</f>
        <v>28.783773751575</v>
      </c>
      <c r="AJ17" s="413" t="n">
        <f aca="false">IF(AJ$6&lt;Total_Lanes,($BJ17*($CI17+BR17)+$CN17*CT17)*Peak_Time_Eve/3600,"-")</f>
        <v>163.497232639626</v>
      </c>
      <c r="AK17" s="413" t="n">
        <f aca="false">IF(AK$6&lt;Total_Lanes,($BJ17*($CI17+BS17)+$CN17*CU17)*Peak_Time_Eve/3600,"-")</f>
        <v>1329.92566611677</v>
      </c>
      <c r="AL17" s="413" t="n">
        <f aca="false">IF(AL$6&lt;Total_Lanes,($BJ17*($CI17+BT17)+$CN17*CV17)*Peak_Time_Eve/3600,"-")</f>
        <v>3078.02849021682</v>
      </c>
      <c r="AM17" s="413" t="n">
        <f aca="false">IF(AM$6&lt;Total_Lanes,($BJ17*($CI17+BU17)+$CN17*CW17)*Peak_Time_Eve/3600,"-")</f>
        <v>5707.77907967908</v>
      </c>
      <c r="AN17" s="413" t="n">
        <f aca="false">IF(AN$6&lt;Total_Lanes,($BJ17*($CI17+BV17)+$CN17*CX17)*Peak_Time_Eve/3600,"-")</f>
        <v>10093.4097596927</v>
      </c>
      <c r="AO17" s="413" t="n">
        <f aca="false">IF(AO$6&lt;Total_Lanes,($BJ17*($CI17+BW17)+$CN17*CY17)*Peak_Time_Eve/3600,"-")</f>
        <v>18866.3490653995</v>
      </c>
      <c r="AP17" s="413" t="n">
        <f aca="false">IF(AP$6&lt;Total_Lanes,($BJ17*($CI17+BX17)+$CN17*CZ17)*Peak_Time_Eve/3600,"-")</f>
        <v>45186.8733036505</v>
      </c>
      <c r="AQ17" s="413" t="str">
        <f aca="false">IF(AQ$6&lt;Total_Lanes,($BJ17*($CI17+BY17)+$CN17*DA17)*Peak_Time_Eve/3600,"-")</f>
        <v>-</v>
      </c>
      <c r="AR17" s="413" t="str">
        <f aca="false">IF(AR$6&lt;Total_Lanes,($BJ17*($CI17+BZ17)+$CN17*DB17)*Peak_Time_Eve/3600,"-")</f>
        <v>-</v>
      </c>
      <c r="AS17" s="413" t="str">
        <f aca="false">IF(AS$6&lt;Total_Lanes,($BJ17*($CI17+CA17)+$CN17*DC17)*Peak_Time_Eve/3600,"-")</f>
        <v>-</v>
      </c>
      <c r="AT17" s="413" t="str">
        <f aca="false">IF(AT$6&lt;Total_Lanes,($BJ17*($CI17+CB17)+$CN17*DD17)*Peak_Time_Eve/3600,"-")</f>
        <v>-</v>
      </c>
      <c r="AU17" s="413" t="str">
        <f aca="false">IF(AU$6&lt;Total_Lanes,($BJ17*($CI17+CC17)+$CN17*DE17)*Peak_Time_Eve/3600,"-")</f>
        <v>-</v>
      </c>
      <c r="AV17" s="413" t="str">
        <f aca="false">IF(AV$6&lt;Total_Lanes,($BJ17*($CI17+CD17)+$CN17*DF17)*Peak_Time_Eve/3600,"-")</f>
        <v>-</v>
      </c>
      <c r="AW17" s="413" t="str">
        <f aca="false">IF(AW$6&lt;Total_Lanes,($BJ17*($CI17+CE17)+$CN17*DG17)*Peak_Time_Eve/3600,"-")</f>
        <v>-</v>
      </c>
      <c r="AX17" s="413" t="str">
        <f aca="false">IF(AX$6&lt;Total_Lanes,($BJ17*($CI17+CF17)+$CN17*DH17)*Peak_Time_Eve/3600,"-")</f>
        <v>-</v>
      </c>
      <c r="AY17" s="413" t="str">
        <f aca="false">IF(AY$6&lt;Total_Lanes,($BJ17*($CI17+CG17)+$CN17*DI17)*Peak_Time_Eve/3600,"-")</f>
        <v>-</v>
      </c>
      <c r="AZ17" s="414" t="str">
        <f aca="false">IF(AZ$6&lt;Total_Lanes,($BJ17*($CI17+CH17)+$CN17*DJ17)*Peak_Time_Eve/3600,"-")</f>
        <v>-</v>
      </c>
      <c r="BA17" s="436" t="n">
        <f aca="false">SUMIF(AF17:AZ17,BB17,$AF$6:$AZ$6)</f>
        <v>3</v>
      </c>
      <c r="BB17" s="437" t="n">
        <f aca="false">MIN(AF17:AZ17)</f>
        <v>26.7773950503263</v>
      </c>
      <c r="BC17" s="436" t="n">
        <f aca="false">IF((SUMIF($BN15:$CH15,$BA17,$BN17:$CH17)+$CI17)&lt;(SUMIF($CP15:$DJ15,$BA17,$CP17:$DJ17)+$DK17),BA17+1,BA17)</f>
        <v>3</v>
      </c>
      <c r="BD17" s="437" t="n">
        <f aca="false">SUMIF($AF$6:$AZ$6,$BC17,$AF17:$AZ17)</f>
        <v>26.7773950503263</v>
      </c>
      <c r="BG17" s="400" t="n">
        <v>10</v>
      </c>
      <c r="BH17" s="402" t="n">
        <f aca="false">$Y17</f>
        <v>0.495</v>
      </c>
      <c r="BI17" s="418" t="n">
        <f aca="false">$AD17</f>
        <v>7397.72490027305</v>
      </c>
      <c r="BJ17" s="438" t="n">
        <f aca="false">BI17*(1-BH17)</f>
        <v>3735.85107463789</v>
      </c>
      <c r="BK17" s="420" t="n">
        <f aca="false">Peak_Arrival_Manual/K50</f>
        <v>6.82311689326225</v>
      </c>
      <c r="BL17" s="421" t="n">
        <f aca="false">900*Peak_Time_Eve*(BK17/Total_Lanes-1+SQRT((BK17/Total_Lanes-1)^2+8*(BK17/Total_Lanes)/(Peak_Time_Eve*$K50*Total_Lanes)))</f>
        <v>0.721817096179345</v>
      </c>
      <c r="BM17" s="422" t="n">
        <f aca="false">Peak_Arrival_Manual/N50</f>
        <v>7.04363588030685</v>
      </c>
      <c r="BN17" s="423" t="n">
        <f aca="false">IF(BN$6&lt;Total_Lanes,900*Peak_Time_Eve*(($BM17/(Total_Lanes-BN$6))-1+SQRT((($BM17/(Total_Lanes-BN$6))-1)^2+8*($BM17/(Total_Lanes-BN$6))/(Peak_Time_Eve*$N50*(Total_Lanes-BN$6)))),"-")</f>
        <v>1.09761441789505</v>
      </c>
      <c r="BO17" s="423" t="n">
        <f aca="false">IF(BO$6&lt;Total_Lanes,900*Peak_Time_Eve*(($BM17/(Total_Lanes-BO$6))-1+SQRT((($BM17/(Total_Lanes-BO$6))-1)^2+8*($BM17/(Total_Lanes-BO$6))/(Peak_Time_Eve*$N50*(Total_Lanes-BO$6)))),"-")</f>
        <v>1.61469471616538</v>
      </c>
      <c r="BP17" s="423" t="n">
        <f aca="false">IF(BP$6&lt;Total_Lanes,900*Peak_Time_Eve*(($BM17/(Total_Lanes-BP$6))-1+SQRT((($BM17/(Total_Lanes-BP$6))-1)^2+8*($BM17/(Total_Lanes-BP$6))/(Peak_Time_Eve*$N50*(Total_Lanes-BP$6)))),"-")</f>
        <v>2.70592283603557</v>
      </c>
      <c r="BQ17" s="423" t="n">
        <f aca="false">IF(BQ$6&lt;Total_Lanes,900*Peak_Time_Eve*(($BM17/(Total_Lanes-BQ$6))-1+SQRT((($BM17/(Total_Lanes-BQ$6))-1)^2+8*($BM17/(Total_Lanes-BQ$6))/(Peak_Time_Eve*$N50*(Total_Lanes-BQ$6)))),"-")</f>
        <v>6.16056751025673</v>
      </c>
      <c r="BR17" s="423" t="n">
        <f aca="false">IF(BR$6&lt;Total_Lanes,900*Peak_Time_Eve*(($BM17/(Total_Lanes-BR$6))-1+SQRT((($BM17/(Total_Lanes-BR$6))-1)^2+8*($BM17/(Total_Lanes-BR$6))/(Peak_Time_Eve*$N50*(Total_Lanes-BR$6)))),"-")</f>
        <v>71.5396191076123</v>
      </c>
      <c r="BS17" s="423" t="n">
        <f aca="false">IF(BS$6&lt;Total_Lanes,900*Peak_Time_Eve*(($BM17/(Total_Lanes-BS$6))-1+SQRT((($BM17/(Total_Lanes-BS$6))-1)^2+8*($BM17/(Total_Lanes-BS$6))/(Peak_Time_Eve*$N50*(Total_Lanes-BS$6)))),"-")</f>
        <v>633.725594410762</v>
      </c>
      <c r="BT17" s="423" t="n">
        <f aca="false">IF(BT$6&lt;Total_Lanes,900*Peak_Time_Eve*(($BM17/(Total_Lanes-BT$6))-1+SQRT((($BM17/(Total_Lanes-BT$6))-1)^2+8*($BM17/(Total_Lanes-BT$6))/(Peak_Time_Eve*$N50*(Total_Lanes-BT$6)))),"-")</f>
        <v>1476.0818365469</v>
      </c>
      <c r="BU17" s="423" t="n">
        <f aca="false">IF(BU$6&lt;Total_Lanes,900*Peak_Time_Eve*(($BM17/(Total_Lanes-BU$6))-1+SQRT((($BM17/(Total_Lanes-BU$6))-1)^2+8*($BM17/(Total_Lanes-BU$6))/(Peak_Time_Eve*$N50*(Total_Lanes-BU$6)))),"-")</f>
        <v>2743.19361689748</v>
      </c>
      <c r="BV17" s="423" t="n">
        <f aca="false">IF(BV$6&lt;Total_Lanes,900*Peak_Time_Eve*(($BM17/(Total_Lanes-BV$6))-1+SQRT((($BM17/(Total_Lanes-BV$6))-1)^2+8*($BM17/(Total_Lanes-BV$6))/(Peak_Time_Eve*$N50*(Total_Lanes-BV$6)))),"-")</f>
        <v>4856.30092424613</v>
      </c>
      <c r="BW17" s="423" t="n">
        <f aca="false">IF(BW$6&lt;Total_Lanes,900*Peak_Time_Eve*(($BM17/(Total_Lanes-BW$6))-1+SQRT((($BM17/(Total_Lanes-BW$6))-1)^2+8*($BM17/(Total_Lanes-BW$6))/(Peak_Time_Eve*$N50*(Total_Lanes-BW$6)))),"-")</f>
        <v>9083.28161820299</v>
      </c>
      <c r="BX17" s="423" t="n">
        <f aca="false">IF(BX$6&lt;Total_Lanes,900*Peak_Time_Eve*(($BM17/(Total_Lanes-BX$6))-1+SQRT((($BM17/(Total_Lanes-BX$6))-1)^2+8*($BM17/(Total_Lanes-BX$6))/(Peak_Time_Eve*$N50*(Total_Lanes-BX$6)))),"-")</f>
        <v>21764.9968772337</v>
      </c>
      <c r="BY17" s="413" t="str">
        <f aca="false">IF(BY$6&lt;Total_Lanes,900*Peak_Time_Eve*(($BM17/(Total_Lanes-BY$6))-1+SQRT((($BM17/(Total_Lanes-BY$6))-1)^2+8*($BM17/(Total_Lanes-BY$6))/(Peak_Time_Eve*$N50*(Total_Lanes-BY$6)))),"-")</f>
        <v>-</v>
      </c>
      <c r="BZ17" s="413" t="str">
        <f aca="false">IF(BZ$6&lt;Total_Lanes,900*Peak_Time_Eve*(($BM17/(Total_Lanes-BZ$6))-1+SQRT((($BM17/(Total_Lanes-BZ$6))-1)^2+8*($BM17/(Total_Lanes-BZ$6))/(Peak_Time_Eve*$N50*(Total_Lanes-BZ$6)))),"-")</f>
        <v>-</v>
      </c>
      <c r="CA17" s="413" t="str">
        <f aca="false">IF(CA$6&lt;Total_Lanes,900*Peak_Time_Eve*(($BM17/(Total_Lanes-CA$6))-1+SQRT((($BM17/(Total_Lanes-CA$6))-1)^2+8*($BM17/(Total_Lanes-CA$6))/(Peak_Time_Eve*$N50*(Total_Lanes-CA$6)))),"-")</f>
        <v>-</v>
      </c>
      <c r="CB17" s="413" t="str">
        <f aca="false">IF(CB$6&lt;Total_Lanes,900*Peak_Time_Eve*(($BM17/(Total_Lanes-CB$6))-1+SQRT((($BM17/(Total_Lanes-CB$6))-1)^2+8*($BM17/(Total_Lanes-CB$6))/(Peak_Time_Eve*$N50*(Total_Lanes-CB$6)))),"-")</f>
        <v>-</v>
      </c>
      <c r="CC17" s="413" t="str">
        <f aca="false">IF(CC$6&lt;Total_Lanes,900*Peak_Time_Eve*(($BM17/(Total_Lanes-CC$6))-1+SQRT((($BM17/(Total_Lanes-CC$6))-1)^2+8*($BM17/(Total_Lanes-CC$6))/(Peak_Time_Eve*$N50*(Total_Lanes-CC$6)))),"-")</f>
        <v>-</v>
      </c>
      <c r="CD17" s="413" t="str">
        <f aca="false">IF(CD$6&lt;Total_Lanes,900*Peak_Time_Eve*(($BM17/(Total_Lanes-CD$6))-1+SQRT((($BM17/(Total_Lanes-CD$6))-1)^2+8*($BM17/(Total_Lanes-CD$6))/(Peak_Time_Eve*$N50*(Total_Lanes-CD$6)))),"-")</f>
        <v>-</v>
      </c>
      <c r="CE17" s="413" t="str">
        <f aca="false">IF(CE$6&lt;Total_Lanes,900*Peak_Time_Eve*(($BM17/(Total_Lanes-CE$6))-1+SQRT((($BM17/(Total_Lanes-CE$6))-1)^2+8*($BM17/(Total_Lanes-CE$6))/(Peak_Time_Eve*$N50*(Total_Lanes-CE$6)))),"-")</f>
        <v>-</v>
      </c>
      <c r="CF17" s="413" t="str">
        <f aca="false">IF(CF$6&lt;Total_Lanes,900*Peak_Time_Eve*(($BM17/(Total_Lanes-CF$6))-1+SQRT((($BM17/(Total_Lanes-CF$6))-1)^2+8*($BM17/(Total_Lanes-CF$6))/(Peak_Time_Eve*$N50*(Total_Lanes-CF$6)))),"-")</f>
        <v>-</v>
      </c>
      <c r="CG17" s="413" t="str">
        <f aca="false">IF(CG$6&lt;Total_Lanes,900*Peak_Time_Eve*(($BM17/(Total_Lanes-CG$6))-1+SQRT((($BM17/(Total_Lanes-CG$6))-1)^2+8*($BM17/(Total_Lanes-CG$6))/(Peak_Time_Eve*$N50*(Total_Lanes-CG$6)))),"-")</f>
        <v>-</v>
      </c>
      <c r="CH17" s="424" t="str">
        <f aca="false">IF(CH$6&lt;Total_Lanes,900*Peak_Time_Eve*(($BM17/(Total_Lanes-CH$6))-1+SQRT((($BM17/(Total_Lanes-CH$6))-1)^2+8*($BM17/(Total_Lanes-CH$6))/(Peak_Time_Eve*$N50*(Total_Lanes-CH$6)))),"-")</f>
        <v>-</v>
      </c>
      <c r="CI17" s="439" t="n">
        <f aca="false">3600/N50</f>
        <v>6.7875</v>
      </c>
      <c r="CK17" s="400" t="n">
        <v>10</v>
      </c>
      <c r="CL17" s="402" t="n">
        <f aca="false">$Y17</f>
        <v>0.495</v>
      </c>
      <c r="CM17" s="411" t="n">
        <f aca="false">$AD17</f>
        <v>7397.72490027305</v>
      </c>
      <c r="CN17" s="412" t="n">
        <f aca="false">CM17*CL17</f>
        <v>3661.87382563516</v>
      </c>
      <c r="CO17" s="440" t="n">
        <f aca="false">CN17/O49</f>
        <v>2.44124921709011</v>
      </c>
      <c r="CP17" s="444" t="n">
        <f aca="false">IF(CP$6&lt;Total_Lanes,900*Peak_Time_Eve*(($CO17/CP$6-1)+SQRT(($CO17/CP$6-1)^2+8*($CO17/CP$6)/(Peak_Time_Eve*$O50*CP$6))),"-")</f>
        <v>5192.55922344398</v>
      </c>
      <c r="CQ17" s="444" t="n">
        <f aca="false">IF(CQ$6&lt;Total_Lanes,900*Peak_Time_Eve*(($CO17/CQ$6-1)+SQRT(($CO17/CQ$6-1)^2+8*($CO17/CQ$6)/(Peak_Time_Eve*$O50*CQ$6))),"-")</f>
        <v>800.833106643427</v>
      </c>
      <c r="CR17" s="444" t="n">
        <f aca="false">IF(CR$6&lt;Total_Lanes,900*Peak_Time_Eve*(($CO17/CR$6-1)+SQRT(($CO17/CR$6-1)^2+8*($CO17/CR$6)/(Peak_Time_Eve*$O50*CR$6))),"-")</f>
        <v>3.47726267831834</v>
      </c>
      <c r="CS17" s="444" t="n">
        <f aca="false">IF(CS$6&lt;Total_Lanes,900*Peak_Time_Eve*(($CO17/CS$6-1)+SQRT(($CO17/CS$6-1)^2+8*($CO17/CS$6)/(Peak_Time_Eve*$O50*CS$6))),"-")</f>
        <v>0.93906589737891</v>
      </c>
      <c r="CT17" s="444" t="n">
        <f aca="false">IF(CT$6&lt;Total_Lanes,900*Peak_Time_Eve*(($CO17/CT$6-1)+SQRT(($CO17/CT$6-1)^2+8*($CO17/CT$6)/(Peak_Time_Eve*$O50*CT$6))),"-")</f>
        <v>0.45784391808541</v>
      </c>
      <c r="CU17" s="444" t="n">
        <f aca="false">IF(CU$6&lt;Total_Lanes,900*Peak_Time_Eve*(($CO17/CU$6-1)+SQRT(($CO17/CU$6-1)^2+8*($CO17/CU$6)/(Peak_Time_Eve*$O50*CU$6))),"-")</f>
        <v>0.274358698291666</v>
      </c>
      <c r="CV17" s="444" t="n">
        <f aca="false">IF(CV$6&lt;Total_Lanes,900*Peak_Time_Eve*(($CO17/CV$6-1)+SQRT(($CO17/CV$6-1)^2+8*($CO17/CV$6)/(Peak_Time_Eve*$O50*CV$6))),"-")</f>
        <v>0.183588494840659</v>
      </c>
      <c r="CW17" s="444" t="n">
        <f aca="false">IF(CW$6&lt;Total_Lanes,900*Peak_Time_Eve*(($CO17/CW$6-1)+SQRT(($CO17/CW$6-1)^2+8*($CO17/CW$6)/(Peak_Time_Eve*$O50*CW$6))),"-")</f>
        <v>0.131744743258522</v>
      </c>
      <c r="CX17" s="444" t="n">
        <f aca="false">IF(CX$6&lt;Total_Lanes,900*Peak_Time_Eve*(($CO17/CX$6-1)+SQRT(($CO17/CX$6-1)^2+8*($CO17/CX$6)/(Peak_Time_Eve*$O50*CX$6))),"-")</f>
        <v>0.0992529194834058</v>
      </c>
      <c r="CY17" s="444" t="n">
        <f aca="false">IF(CY$6&lt;Total_Lanes,900*Peak_Time_Eve*(($CO17/CY$6-1)+SQRT(($CO17/CY$6-1)^2+8*($CO17/CY$6)/(Peak_Time_Eve*$O50*CY$6))),"-")</f>
        <v>0.0775105755365546</v>
      </c>
      <c r="CZ17" s="444" t="n">
        <f aca="false">IF(CZ$6&lt;Total_Lanes,900*Peak_Time_Eve*(($CO17/CZ$6-1)+SQRT(($CO17/CZ$6-1)^2+8*($CO17/CZ$6)/(Peak_Time_Eve*$O50*CZ$6))),"-")</f>
        <v>0.0622315537485818</v>
      </c>
      <c r="DA17" s="445" t="str">
        <f aca="false">IF(DA$6&lt;Total_Lanes,900*Peak_Time_Eve*(($CO17/DA$6-1)+SQRT(($CO17/DA$6-1)^2+8*($CO17/DA$6)/(Peak_Time_Eve*$O50*DA$6))),"-")</f>
        <v>-</v>
      </c>
      <c r="DB17" s="445" t="str">
        <f aca="false">IF(DB$6&lt;Total_Lanes,900*Peak_Time_Eve*(($CO17/DB$6-1)+SQRT(($CO17/DB$6-1)^2+8*($CO17/DB$6)/(Peak_Time_Eve*$O50*DB$6))),"-")</f>
        <v>-</v>
      </c>
      <c r="DC17" s="445" t="str">
        <f aca="false">IF(DC$6&lt;Total_Lanes,900*Peak_Time_Eve*(($CO17/DC$6-1)+SQRT(($CO17/DC$6-1)^2+8*($CO17/DC$6)/(Peak_Time_Eve*$O50*DC$6))),"-")</f>
        <v>-</v>
      </c>
      <c r="DD17" s="445" t="str">
        <f aca="false">IF(DD$6&lt;Total_Lanes,900*Peak_Time_Eve*(($CO17/DD$6-1)+SQRT(($CO17/DD$6-1)^2+8*($CO17/DD$6)/(Peak_Time_Eve*$O50*DD$6))),"-")</f>
        <v>-</v>
      </c>
      <c r="DE17" s="445" t="str">
        <f aca="false">IF(DE$6&lt;Total_Lanes,900*Peak_Time_Eve*(($CO17/DE$6-1)+SQRT(($CO17/DE$6-1)^2+8*($CO17/DE$6)/(Peak_Time_Eve*$O50*DE$6))),"-")</f>
        <v>-</v>
      </c>
      <c r="DF17" s="445" t="str">
        <f aca="false">IF(DF$6&lt;Total_Lanes,900*Peak_Time_Eve*(($CO17/DF$6-1)+SQRT(($CO17/DF$6-1)^2+8*($CO17/DF$6)/(Peak_Time_Eve*$O50*DF$6))),"-")</f>
        <v>-</v>
      </c>
      <c r="DG17" s="445" t="str">
        <f aca="false">IF(DG$6&lt;Total_Lanes,900*Peak_Time_Eve*(($CO17/DG$6-1)+SQRT(($CO17/DG$6-1)^2+8*($CO17/DG$6)/(Peak_Time_Eve*$O50*DG$6))),"-")</f>
        <v>-</v>
      </c>
      <c r="DH17" s="445" t="str">
        <f aca="false">IF(DH$6&lt;Total_Lanes,900*Peak_Time_Eve*(($CO17/DH$6-1)+SQRT(($CO17/DH$6-1)^2+8*($CO17/DH$6)/(Peak_Time_Eve*$O50*DH$6))),"-")</f>
        <v>-</v>
      </c>
      <c r="DI17" s="445" t="str">
        <f aca="false">IF(DI$6&lt;Total_Lanes,900*Peak_Time_Eve*(($CO17/DI$6-1)+SQRT(($CO17/DI$6-1)^2+8*($CO17/DI$6)/(Peak_Time_Eve*$O50*DI$6))),"-")</f>
        <v>-</v>
      </c>
      <c r="DJ17" s="446" t="str">
        <f aca="false">IF(DJ$6&lt;Total_Lanes,900*Peak_Time_Eve*(($CO17/DJ$6-1)+SQRT(($CO17/DJ$6-1)^2+8*($CO17/DJ$6)/(Peak_Time_Eve*$O50*DJ$6))),"-")</f>
        <v>-</v>
      </c>
      <c r="DK17" s="447" t="n">
        <f aca="false">3600/O50</f>
        <v>2.4</v>
      </c>
    </row>
    <row r="18" customFormat="false" ht="12" hidden="false" customHeight="false" outlineLevel="0" collapsed="false">
      <c r="H18" s="400" t="n">
        <v>11</v>
      </c>
      <c r="I18" s="401" t="n">
        <f aca="false">'Input-Detail'!E25</f>
        <v>25057277.85</v>
      </c>
      <c r="J18" s="402" t="n">
        <f aca="false">'Input-Detail'!F25</f>
        <v>0.5445</v>
      </c>
      <c r="K18" s="403" t="n">
        <f aca="false">AD18</f>
        <v>7563.49739030035</v>
      </c>
      <c r="L18" s="443" t="n">
        <f aca="false">IF(AD18&gt;AD66,BC18,BC66)</f>
        <v>4</v>
      </c>
      <c r="M18" s="412" t="n">
        <f aca="false">AE66</f>
        <v>12.5474106014637</v>
      </c>
      <c r="N18" s="427" t="n">
        <f aca="false">AE18</f>
        <v>30.1649422656178</v>
      </c>
      <c r="O18" s="427" t="n">
        <f aca="false">SUM(M18:N18)</f>
        <v>42.7123528670816</v>
      </c>
      <c r="P18" s="432" t="n">
        <f aca="false">$S$34*O18</f>
        <v>11105.2117454412</v>
      </c>
      <c r="Q18" s="412" t="n">
        <f aca="false">SUMIF($AF$54:$AZ$54,L18,$AF66:$AZ66)</f>
        <v>6.20455478659399</v>
      </c>
      <c r="R18" s="427" t="n">
        <f aca="false">SUMIF($AF$6:$AZ$6,$L18,$AF18:$AZ18)</f>
        <v>23.1454313697977</v>
      </c>
      <c r="S18" s="427" t="n">
        <f aca="false">SUM(Q18:R18)</f>
        <v>29.3499861563917</v>
      </c>
      <c r="T18" s="433" t="n">
        <f aca="false">$S$34*S18</f>
        <v>7630.99640066183</v>
      </c>
      <c r="U18" s="372"/>
      <c r="V18" s="372"/>
      <c r="W18" s="400" t="n">
        <v>11</v>
      </c>
      <c r="X18" s="408" t="n">
        <f aca="false">X$7+(X$27-X$7)*$W18/20</f>
        <v>25057277.85</v>
      </c>
      <c r="Y18" s="402" t="n">
        <f aca="false">J18</f>
        <v>0.5445</v>
      </c>
      <c r="Z18" s="408" t="n">
        <f aca="false">'Input-Detail'!E25/AA18</f>
        <v>10804.9962718576</v>
      </c>
      <c r="AA18" s="434" t="n">
        <f aca="false">AA17</f>
        <v>2319.04548780488</v>
      </c>
      <c r="AB18" s="434" t="n">
        <f aca="false">AB17</f>
        <v>2</v>
      </c>
      <c r="AC18" s="435" t="n">
        <f aca="false">AC17</f>
        <v>0.7</v>
      </c>
      <c r="AD18" s="411" t="n">
        <f aca="false">Z18*AC18</f>
        <v>7563.49739030035</v>
      </c>
      <c r="AE18" s="412" t="n">
        <f aca="false">Peak_Time_Eve*$BI18*(3600/K51+BL18)/3600</f>
        <v>30.1649422656178</v>
      </c>
      <c r="AF18" s="413" t="n">
        <f aca="false">IF(AF$6&lt;Total_Lanes,($BJ18*($CI18+BN18)+$CN18*CP18)*Peak_Time_Eve/3600,"-")</f>
        <v>14400.8623962239</v>
      </c>
      <c r="AG18" s="413" t="n">
        <f aca="false">IF(AG$6&lt;Total_Lanes,($BJ18*($CI18+BO18)+$CN18*CQ18)*Peak_Time_Eve/3600,"-")</f>
        <v>3095.95909675652</v>
      </c>
      <c r="AH18" s="413" t="n">
        <f aca="false">IF(AH$6&lt;Total_Lanes,($BJ18*($CI18+BP18)+$CN18*CR18)*Peak_Time_Eve/3600,"-")</f>
        <v>36.0434867264534</v>
      </c>
      <c r="AI18" s="413" t="n">
        <f aca="false">IF(AI$6&lt;Total_Lanes,($BJ18*($CI18+BQ18)+$CN18*CS18)*Peak_Time_Eve/3600,"-")</f>
        <v>23.1454313697977</v>
      </c>
      <c r="AJ18" s="413" t="n">
        <f aca="false">IF(AJ$6&lt;Total_Lanes,($BJ18*($CI18+BR18)+$CN18*CT18)*Peak_Time_Eve/3600,"-")</f>
        <v>38.2329487742415</v>
      </c>
      <c r="AK18" s="413" t="n">
        <f aca="false">IF(AK$6&lt;Total_Lanes,($BJ18*($CI18+BS18)+$CN18*CU18)*Peak_Time_Eve/3600,"-")</f>
        <v>632.551668452935</v>
      </c>
      <c r="AL18" s="413" t="n">
        <f aca="false">IF(AL$6&lt;Total_Lanes,($BJ18*($CI18+BT18)+$CN18*CV18)*Peak_Time_Eve/3600,"-")</f>
        <v>2113.72814941615</v>
      </c>
      <c r="AM18" s="413" t="n">
        <f aca="false">IF(AM$6&lt;Total_Lanes,($BJ18*($CI18+BU18)+$CN18*CW18)*Peak_Time_Eve/3600,"-")</f>
        <v>4355.70654547482</v>
      </c>
      <c r="AN18" s="413" t="n">
        <f aca="false">IF(AN$6&lt;Total_Lanes,($BJ18*($CI18+BV18)+$CN18*CX18)*Peak_Time_Eve/3600,"-")</f>
        <v>8096.65046724843</v>
      </c>
      <c r="AO18" s="413" t="n">
        <f aca="false">IF(AO$6&lt;Total_Lanes,($BJ18*($CI18+BW18)+$CN18*CY18)*Peak_Time_Eve/3600,"-")</f>
        <v>15580.7712381659</v>
      </c>
      <c r="AP18" s="413" t="n">
        <f aca="false">IF(AP$6&lt;Total_Lanes,($BJ18*($CI18+BX18)+$CN18*CZ18)*Peak_Time_Eve/3600,"-")</f>
        <v>38035.203360333</v>
      </c>
      <c r="AQ18" s="413" t="str">
        <f aca="false">IF(AQ$6&lt;Total_Lanes,($BJ18*($CI18+BY18)+$CN18*DA18)*Peak_Time_Eve/3600,"-")</f>
        <v>-</v>
      </c>
      <c r="AR18" s="413" t="str">
        <f aca="false">IF(AR$6&lt;Total_Lanes,($BJ18*($CI18+BZ18)+$CN18*DB18)*Peak_Time_Eve/3600,"-")</f>
        <v>-</v>
      </c>
      <c r="AS18" s="413" t="str">
        <f aca="false">IF(AS$6&lt;Total_Lanes,($BJ18*($CI18+CA18)+$CN18*DC18)*Peak_Time_Eve/3600,"-")</f>
        <v>-</v>
      </c>
      <c r="AT18" s="413" t="str">
        <f aca="false">IF(AT$6&lt;Total_Lanes,($BJ18*($CI18+CB18)+$CN18*DD18)*Peak_Time_Eve/3600,"-")</f>
        <v>-</v>
      </c>
      <c r="AU18" s="413" t="str">
        <f aca="false">IF(AU$6&lt;Total_Lanes,($BJ18*($CI18+CC18)+$CN18*DE18)*Peak_Time_Eve/3600,"-")</f>
        <v>-</v>
      </c>
      <c r="AV18" s="413" t="str">
        <f aca="false">IF(AV$6&lt;Total_Lanes,($BJ18*($CI18+CD18)+$CN18*DF18)*Peak_Time_Eve/3600,"-")</f>
        <v>-</v>
      </c>
      <c r="AW18" s="413" t="str">
        <f aca="false">IF(AW$6&lt;Total_Lanes,($BJ18*($CI18+CE18)+$CN18*DG18)*Peak_Time_Eve/3600,"-")</f>
        <v>-</v>
      </c>
      <c r="AX18" s="413" t="str">
        <f aca="false">IF(AX$6&lt;Total_Lanes,($BJ18*($CI18+CF18)+$CN18*DH18)*Peak_Time_Eve/3600,"-")</f>
        <v>-</v>
      </c>
      <c r="AY18" s="413" t="str">
        <f aca="false">IF(AY$6&lt;Total_Lanes,($BJ18*($CI18+CG18)+$CN18*DI18)*Peak_Time_Eve/3600,"-")</f>
        <v>-</v>
      </c>
      <c r="AZ18" s="414" t="str">
        <f aca="false">IF(AZ$6&lt;Total_Lanes,($BJ18*($CI18+CH18)+$CN18*DJ18)*Peak_Time_Eve/3600,"-")</f>
        <v>-</v>
      </c>
      <c r="BA18" s="436" t="n">
        <f aca="false">SUMIF(AF18:AZ18,BB18,$AF$6:$AZ$6)</f>
        <v>4</v>
      </c>
      <c r="BB18" s="437" t="n">
        <f aca="false">MIN(AF18:AZ18)</f>
        <v>23.1454313697977</v>
      </c>
      <c r="BC18" s="436" t="n">
        <f aca="false">IF((SUMIF($BN16:$CH16,$BA18,$BN18:$CH18)+$CI18)&lt;(SUMIF($CP16:$DJ16,$BA18,$CP18:$DJ18)+$DK18),BA18+1,BA18)</f>
        <v>4</v>
      </c>
      <c r="BD18" s="437" t="n">
        <f aca="false">SUMIF($AF$6:$AZ$6,$BC18,$AF18:$AZ18)</f>
        <v>23.1454313697977</v>
      </c>
      <c r="BG18" s="400" t="n">
        <v>11</v>
      </c>
      <c r="BH18" s="402" t="n">
        <f aca="false">$Y18</f>
        <v>0.5445</v>
      </c>
      <c r="BI18" s="418" t="n">
        <f aca="false">$AD18</f>
        <v>7563.49739030035</v>
      </c>
      <c r="BJ18" s="438" t="n">
        <f aca="false">BI18*(1-BH18)</f>
        <v>3445.17306128181</v>
      </c>
      <c r="BK18" s="420" t="n">
        <f aca="false">Peak_Arrival_Manual/K51</f>
        <v>6.29222579942442</v>
      </c>
      <c r="BL18" s="421" t="n">
        <f aca="false">900*Peak_Time_Eve*(BK18/Total_Lanes-1+SQRT((BK18/Total_Lanes-1)^2+8*(BK18/Total_Lanes)/(Peak_Time_Eve*$K51*Total_Lanes)))</f>
        <v>0.60380806672109</v>
      </c>
      <c r="BM18" s="422" t="n">
        <f aca="false">Peak_Arrival_Manual/N51</f>
        <v>6.51592280027848</v>
      </c>
      <c r="BN18" s="423" t="n">
        <f aca="false">IF(BN$6&lt;Total_Lanes,900*Peak_Time_Eve*(($BM18/(Total_Lanes-BN$6))-1+SQRT((($BM18/(Total_Lanes-BN$6))-1)^2+8*($BM18/(Total_Lanes-BN$6))/(Peak_Time_Eve*$N51*(Total_Lanes-BN$6)))),"-")</f>
        <v>0.898900484610066</v>
      </c>
      <c r="BO18" s="423" t="n">
        <f aca="false">IF(BO$6&lt;Total_Lanes,900*Peak_Time_Eve*(($BM18/(Total_Lanes-BO$6))-1+SQRT((($BM18/(Total_Lanes-BO$6))-1)^2+8*($BM18/(Total_Lanes-BO$6))/(Peak_Time_Eve*$N51*(Total_Lanes-BO$6)))),"-")</f>
        <v>1.27208259143303</v>
      </c>
      <c r="BP18" s="423" t="n">
        <f aca="false">IF(BP$6&lt;Total_Lanes,900*Peak_Time_Eve*(($BM18/(Total_Lanes-BP$6))-1+SQRT((($BM18/(Total_Lanes-BP$6))-1)^2+8*($BM18/(Total_Lanes-BP$6))/(Peak_Time_Eve*$N51*(Total_Lanes-BP$6)))),"-")</f>
        <v>1.98048225791169</v>
      </c>
      <c r="BQ18" s="423" t="n">
        <f aca="false">IF(BQ$6&lt;Total_Lanes,900*Peak_Time_Eve*(($BM18/(Total_Lanes-BQ$6))-1+SQRT((($BM18/(Total_Lanes-BQ$6))-1)^2+8*($BM18/(Total_Lanes-BQ$6))/(Peak_Time_Eve*$N51*(Total_Lanes-BQ$6)))),"-")</f>
        <v>3.71609622490246</v>
      </c>
      <c r="BR18" s="423" t="n">
        <f aca="false">IF(BR$6&lt;Total_Lanes,900*Peak_Time_Eve*(($BM18/(Total_Lanes-BR$6))-1+SQRT((($BM18/(Total_Lanes-BR$6))-1)^2+8*($BM18/(Total_Lanes-BR$6))/(Peak_Time_Eve*$N51*(Total_Lanes-BR$6)))),"-")</f>
        <v>12.4682968181367</v>
      </c>
      <c r="BS18" s="423" t="n">
        <f aca="false">IF(BS$6&lt;Total_Lanes,900*Peak_Time_Eve*(($BM18/(Total_Lanes-BS$6))-1+SQRT((($BM18/(Total_Lanes-BS$6))-1)^2+8*($BM18/(Total_Lanes-BS$6))/(Peak_Time_Eve*$N51*(Total_Lanes-BS$6)))),"-")</f>
        <v>323.277282702803</v>
      </c>
      <c r="BT18" s="423" t="n">
        <f aca="false">IF(BT$6&lt;Total_Lanes,900*Peak_Time_Eve*(($BM18/(Total_Lanes-BT$6))-1+SQRT((($BM18/(Total_Lanes-BT$6))-1)^2+8*($BM18/(Total_Lanes-BT$6))/(Peak_Time_Eve*$N51*(Total_Lanes-BT$6)))),"-")</f>
        <v>1097.2865976456</v>
      </c>
      <c r="BU18" s="423" t="n">
        <f aca="false">IF(BU$6&lt;Total_Lanes,900*Peak_Time_Eve*(($BM18/(Total_Lanes-BU$6))-1+SQRT((($BM18/(Total_Lanes-BU$6))-1)^2+8*($BM18/(Total_Lanes-BU$6))/(Peak_Time_Eve*$N51*(Total_Lanes-BU$6)))),"-")</f>
        <v>2268.73042162819</v>
      </c>
      <c r="BV18" s="423" t="n">
        <f aca="false">IF(BV$6&lt;Total_Lanes,900*Peak_Time_Eve*(($BM18/(Total_Lanes-BV$6))-1+SQRT((($BM18/(Total_Lanes-BV$6))-1)^2+8*($BM18/(Total_Lanes-BV$6))/(Peak_Time_Eve*$N51*(Total_Lanes-BV$6)))),"-")</f>
        <v>4223.30930588475</v>
      </c>
      <c r="BW18" s="423" t="n">
        <f aca="false">IF(BW$6&lt;Total_Lanes,900*Peak_Time_Eve*(($BM18/(Total_Lanes-BW$6))-1+SQRT((($BM18/(Total_Lanes-BW$6))-1)^2+8*($BM18/(Total_Lanes-BW$6))/(Peak_Time_Eve*$N51*(Total_Lanes-BW$6)))),"-")</f>
        <v>8133.57017137349</v>
      </c>
      <c r="BX18" s="423" t="n">
        <f aca="false">IF(BX$6&lt;Total_Lanes,900*Peak_Time_Eve*(($BM18/(Total_Lanes-BX$6))-1+SQRT((($BM18/(Total_Lanes-BX$6))-1)^2+8*($BM18/(Total_Lanes-BX$6))/(Peak_Time_Eve*$N51*(Total_Lanes-BX$6)))),"-")</f>
        <v>19865.3619567454</v>
      </c>
      <c r="BY18" s="413" t="str">
        <f aca="false">IF(BY$6&lt;Total_Lanes,900*Peak_Time_Eve*(($BM18/(Total_Lanes-BY$6))-1+SQRT((($BM18/(Total_Lanes-BY$6))-1)^2+8*($BM18/(Total_Lanes-BY$6))/(Peak_Time_Eve*$N51*(Total_Lanes-BY$6)))),"-")</f>
        <v>-</v>
      </c>
      <c r="BZ18" s="413" t="str">
        <f aca="false">IF(BZ$6&lt;Total_Lanes,900*Peak_Time_Eve*(($BM18/(Total_Lanes-BZ$6))-1+SQRT((($BM18/(Total_Lanes-BZ$6))-1)^2+8*($BM18/(Total_Lanes-BZ$6))/(Peak_Time_Eve*$N51*(Total_Lanes-BZ$6)))),"-")</f>
        <v>-</v>
      </c>
      <c r="CA18" s="413" t="str">
        <f aca="false">IF(CA$6&lt;Total_Lanes,900*Peak_Time_Eve*(($BM18/(Total_Lanes-CA$6))-1+SQRT((($BM18/(Total_Lanes-CA$6))-1)^2+8*($BM18/(Total_Lanes-CA$6))/(Peak_Time_Eve*$N51*(Total_Lanes-CA$6)))),"-")</f>
        <v>-</v>
      </c>
      <c r="CB18" s="413" t="str">
        <f aca="false">IF(CB$6&lt;Total_Lanes,900*Peak_Time_Eve*(($BM18/(Total_Lanes-CB$6))-1+SQRT((($BM18/(Total_Lanes-CB$6))-1)^2+8*($BM18/(Total_Lanes-CB$6))/(Peak_Time_Eve*$N51*(Total_Lanes-CB$6)))),"-")</f>
        <v>-</v>
      </c>
      <c r="CC18" s="413" t="str">
        <f aca="false">IF(CC$6&lt;Total_Lanes,900*Peak_Time_Eve*(($BM18/(Total_Lanes-CC$6))-1+SQRT((($BM18/(Total_Lanes-CC$6))-1)^2+8*($BM18/(Total_Lanes-CC$6))/(Peak_Time_Eve*$N51*(Total_Lanes-CC$6)))),"-")</f>
        <v>-</v>
      </c>
      <c r="CD18" s="413" t="str">
        <f aca="false">IF(CD$6&lt;Total_Lanes,900*Peak_Time_Eve*(($BM18/(Total_Lanes-CD$6))-1+SQRT((($BM18/(Total_Lanes-CD$6))-1)^2+8*($BM18/(Total_Lanes-CD$6))/(Peak_Time_Eve*$N51*(Total_Lanes-CD$6)))),"-")</f>
        <v>-</v>
      </c>
      <c r="CE18" s="413" t="str">
        <f aca="false">IF(CE$6&lt;Total_Lanes,900*Peak_Time_Eve*(($BM18/(Total_Lanes-CE$6))-1+SQRT((($BM18/(Total_Lanes-CE$6))-1)^2+8*($BM18/(Total_Lanes-CE$6))/(Peak_Time_Eve*$N51*(Total_Lanes-CE$6)))),"-")</f>
        <v>-</v>
      </c>
      <c r="CF18" s="413" t="str">
        <f aca="false">IF(CF$6&lt;Total_Lanes,900*Peak_Time_Eve*(($BM18/(Total_Lanes-CF$6))-1+SQRT((($BM18/(Total_Lanes-CF$6))-1)^2+8*($BM18/(Total_Lanes-CF$6))/(Peak_Time_Eve*$N51*(Total_Lanes-CF$6)))),"-")</f>
        <v>-</v>
      </c>
      <c r="CG18" s="413" t="str">
        <f aca="false">IF(CG$6&lt;Total_Lanes,900*Peak_Time_Eve*(($BM18/(Total_Lanes-CG$6))-1+SQRT((($BM18/(Total_Lanes-CG$6))-1)^2+8*($BM18/(Total_Lanes-CG$6))/(Peak_Time_Eve*$N51*(Total_Lanes-CG$6)))),"-")</f>
        <v>-</v>
      </c>
      <c r="CH18" s="424" t="str">
        <f aca="false">IF(CH$6&lt;Total_Lanes,900*Peak_Time_Eve*(($BM18/(Total_Lanes-CH$6))-1+SQRT((($BM18/(Total_Lanes-CH$6))-1)^2+8*($BM18/(Total_Lanes-CH$6))/(Peak_Time_Eve*$N51*(Total_Lanes-CH$6)))),"-")</f>
        <v>-</v>
      </c>
      <c r="CI18" s="439" t="n">
        <f aca="false">3600/N51</f>
        <v>6.80875</v>
      </c>
      <c r="CK18" s="400" t="n">
        <v>11</v>
      </c>
      <c r="CL18" s="402" t="n">
        <f aca="false">$Y18</f>
        <v>0.5445</v>
      </c>
      <c r="CM18" s="411" t="n">
        <f aca="false">$AD18</f>
        <v>7563.49739030035</v>
      </c>
      <c r="CN18" s="412" t="n">
        <f aca="false">CM18*CL18</f>
        <v>4118.32432901854</v>
      </c>
      <c r="CO18" s="440" t="n">
        <f aca="false">CN18/O50</f>
        <v>2.74554955267903</v>
      </c>
      <c r="CP18" s="444" t="n">
        <f aca="false">IF(CP$6&lt;Total_Lanes,900*Peak_Time_Eve*(($CO18/CP$6-1)+SQRT(($CO18/CP$6-1)^2+8*($CO18/CP$6)/(Peak_Time_Eve*$O51*CP$6))),"-")</f>
        <v>6287.7510498448</v>
      </c>
      <c r="CQ18" s="444" t="n">
        <f aca="false">IF(CQ$6&lt;Total_Lanes,900*Peak_Time_Eve*(($CO18/CQ$6-1)+SQRT(($CO18/CQ$6-1)^2+8*($CO18/CQ$6)/(Peak_Time_Eve*$O51*CQ$6))),"-")</f>
        <v>1346.39383992529</v>
      </c>
      <c r="CR18" s="444" t="n">
        <f aca="false">IF(CR$6&lt;Total_Lanes,900*Peak_Time_Eve*(($CO18/CR$6-1)+SQRT(($CO18/CR$6-1)^2+8*($CO18/CR$6)/(Peak_Time_Eve*$O51*CR$6))),"-")</f>
        <v>8.40095318853987</v>
      </c>
      <c r="CS18" s="444" t="n">
        <f aca="false">IF(CS$6&lt;Total_Lanes,900*Peak_Time_Eve*(($CO18/CS$6-1)+SQRT(($CO18/CS$6-1)^2+8*($CO18/CS$6)/(Peak_Time_Eve*$O51*CS$6))),"-")</f>
        <v>1.31166448922094</v>
      </c>
      <c r="CT18" s="444" t="n">
        <f aca="false">IF(CT$6&lt;Total_Lanes,900*Peak_Time_Eve*(($CO18/CT$6-1)+SQRT(($CO18/CT$6-1)^2+8*($CO18/CT$6)/(Peak_Time_Eve*$O51*CT$6))),"-")</f>
        <v>0.584350624783236</v>
      </c>
      <c r="CU18" s="444" t="n">
        <f aca="false">IF(CU$6&lt;Total_Lanes,900*Peak_Time_Eve*(($CO18/CU$6-1)+SQRT(($CO18/CU$6-1)^2+8*($CO18/CU$6)/(Peak_Time_Eve*$O51*CU$6))),"-")</f>
        <v>0.337393398671448</v>
      </c>
      <c r="CV18" s="444" t="n">
        <f aca="false">IF(CV$6&lt;Total_Lanes,900*Peak_Time_Eve*(($CO18/CV$6-1)+SQRT(($CO18/CV$6-1)^2+8*($CO18/CV$6)/(Peak_Time_Eve*$O51*CV$6))),"-")</f>
        <v>0.221235648555118</v>
      </c>
      <c r="CW18" s="444" t="n">
        <f aca="false">IF(CW$6&lt;Total_Lanes,900*Peak_Time_Eve*(($CO18/CW$6-1)+SQRT(($CO18/CW$6-1)^2+8*($CO18/CW$6)/(Peak_Time_Eve*$O51*CW$6))),"-")</f>
        <v>0.156745272622638</v>
      </c>
      <c r="CX18" s="444" t="n">
        <f aca="false">IF(CX$6&lt;Total_Lanes,900*Peak_Time_Eve*(($CO18/CX$6-1)+SQRT(($CO18/CX$6-1)^2+8*($CO18/CX$6)/(Peak_Time_Eve*$O51*CX$6))),"-")</f>
        <v>0.117054615603607</v>
      </c>
      <c r="CY18" s="444" t="n">
        <f aca="false">IF(CY$6&lt;Total_Lanes,900*Peak_Time_Eve*(($CO18/CY$6-1)+SQRT(($CO18/CY$6-1)^2+8*($CO18/CY$6)/(Peak_Time_Eve*$O51*CY$6))),"-")</f>
        <v>0.090828241422436</v>
      </c>
      <c r="CZ18" s="444" t="n">
        <f aca="false">IF(CZ$6&lt;Total_Lanes,900*Peak_Time_Eve*(($CO18/CZ$6-1)+SQRT(($CO18/CZ$6-1)^2+8*($CO18/CZ$6)/(Peak_Time_Eve*$O51*CZ$6))),"-")</f>
        <v>0.0725684775766844</v>
      </c>
      <c r="DA18" s="445" t="str">
        <f aca="false">IF(DA$6&lt;Total_Lanes,900*Peak_Time_Eve*(($CO18/DA$6-1)+SQRT(($CO18/DA$6-1)^2+8*($CO18/DA$6)/(Peak_Time_Eve*$O51*DA$6))),"-")</f>
        <v>-</v>
      </c>
      <c r="DB18" s="445" t="str">
        <f aca="false">IF(DB$6&lt;Total_Lanes,900*Peak_Time_Eve*(($CO18/DB$6-1)+SQRT(($CO18/DB$6-1)^2+8*($CO18/DB$6)/(Peak_Time_Eve*$O51*DB$6))),"-")</f>
        <v>-</v>
      </c>
      <c r="DC18" s="445" t="str">
        <f aca="false">IF(DC$6&lt;Total_Lanes,900*Peak_Time_Eve*(($CO18/DC$6-1)+SQRT(($CO18/DC$6-1)^2+8*($CO18/DC$6)/(Peak_Time_Eve*$O51*DC$6))),"-")</f>
        <v>-</v>
      </c>
      <c r="DD18" s="445" t="str">
        <f aca="false">IF(DD$6&lt;Total_Lanes,900*Peak_Time_Eve*(($CO18/DD$6-1)+SQRT(($CO18/DD$6-1)^2+8*($CO18/DD$6)/(Peak_Time_Eve*$O51*DD$6))),"-")</f>
        <v>-</v>
      </c>
      <c r="DE18" s="445" t="str">
        <f aca="false">IF(DE$6&lt;Total_Lanes,900*Peak_Time_Eve*(($CO18/DE$6-1)+SQRT(($CO18/DE$6-1)^2+8*($CO18/DE$6)/(Peak_Time_Eve*$O51*DE$6))),"-")</f>
        <v>-</v>
      </c>
      <c r="DF18" s="445" t="str">
        <f aca="false">IF(DF$6&lt;Total_Lanes,900*Peak_Time_Eve*(($CO18/DF$6-1)+SQRT(($CO18/DF$6-1)^2+8*($CO18/DF$6)/(Peak_Time_Eve*$O51*DF$6))),"-")</f>
        <v>-</v>
      </c>
      <c r="DG18" s="445" t="str">
        <f aca="false">IF(DG$6&lt;Total_Lanes,900*Peak_Time_Eve*(($CO18/DG$6-1)+SQRT(($CO18/DG$6-1)^2+8*($CO18/DG$6)/(Peak_Time_Eve*$O51*DG$6))),"-")</f>
        <v>-</v>
      </c>
      <c r="DH18" s="445" t="str">
        <f aca="false">IF(DH$6&lt;Total_Lanes,900*Peak_Time_Eve*(($CO18/DH$6-1)+SQRT(($CO18/DH$6-1)^2+8*($CO18/DH$6)/(Peak_Time_Eve*$O51*DH$6))),"-")</f>
        <v>-</v>
      </c>
      <c r="DI18" s="445" t="str">
        <f aca="false">IF(DI$6&lt;Total_Lanes,900*Peak_Time_Eve*(($CO18/DI$6-1)+SQRT(($CO18/DI$6-1)^2+8*($CO18/DI$6)/(Peak_Time_Eve*$O51*DI$6))),"-")</f>
        <v>-</v>
      </c>
      <c r="DJ18" s="446" t="str">
        <f aca="false">IF(DJ$6&lt;Total_Lanes,900*Peak_Time_Eve*(($CO18/DJ$6-1)+SQRT(($CO18/DJ$6-1)^2+8*($CO18/DJ$6)/(Peak_Time_Eve*$O51*DJ$6))),"-")</f>
        <v>-</v>
      </c>
      <c r="DK18" s="447" t="n">
        <f aca="false">3600/O51</f>
        <v>2.4</v>
      </c>
    </row>
    <row r="19" customFormat="false" ht="12" hidden="false" customHeight="false" outlineLevel="0" collapsed="false">
      <c r="H19" s="400" t="n">
        <v>12</v>
      </c>
      <c r="I19" s="401" t="n">
        <f aca="false">'Input-Detail'!E26</f>
        <v>25606469.2</v>
      </c>
      <c r="J19" s="402" t="n">
        <f aca="false">'Input-Detail'!F26</f>
        <v>0.594</v>
      </c>
      <c r="K19" s="403" t="n">
        <f aca="false">AD19</f>
        <v>7729.26988032766</v>
      </c>
      <c r="L19" s="443" t="n">
        <f aca="false">IF(AD19&gt;AD67,BC19,BC67)</f>
        <v>4</v>
      </c>
      <c r="M19" s="412" t="n">
        <f aca="false">AE67</f>
        <v>12.8287704612848</v>
      </c>
      <c r="N19" s="427" t="n">
        <f aca="false">AE19</f>
        <v>30.3838542201136</v>
      </c>
      <c r="O19" s="427" t="n">
        <f aca="false">SUM(M19:N19)</f>
        <v>43.2126246813984</v>
      </c>
      <c r="P19" s="432" t="n">
        <f aca="false">$S$34*O19</f>
        <v>11235.2824171636</v>
      </c>
      <c r="Q19" s="412" t="n">
        <f aca="false">SUMIF($AF$54:$AZ$54,L19,$AF67:$AZ67)</f>
        <v>5.72181415338877</v>
      </c>
      <c r="R19" s="427" t="n">
        <f aca="false">SUMIF($AF$6:$AZ$6,$L19,$AF19:$AZ19)</f>
        <v>21.2019491404438</v>
      </c>
      <c r="S19" s="427" t="n">
        <f aca="false">SUM(Q19:R19)</f>
        <v>26.9237632938326</v>
      </c>
      <c r="T19" s="433" t="n">
        <f aca="false">$S$34*S19</f>
        <v>7000.17845639647</v>
      </c>
      <c r="U19" s="372"/>
      <c r="V19" s="372"/>
      <c r="W19" s="400" t="n">
        <v>12</v>
      </c>
      <c r="X19" s="408" t="n">
        <f aca="false">X$7+(X$27-X$7)*$W19/20</f>
        <v>25606469.2</v>
      </c>
      <c r="Y19" s="402" t="n">
        <f aca="false">J19</f>
        <v>0.594</v>
      </c>
      <c r="Z19" s="408" t="n">
        <f aca="false">'Input-Detail'!E26/AA19</f>
        <v>11041.8141147538</v>
      </c>
      <c r="AA19" s="434" t="n">
        <f aca="false">AA18</f>
        <v>2319.04548780488</v>
      </c>
      <c r="AB19" s="434" t="n">
        <f aca="false">AB18</f>
        <v>2</v>
      </c>
      <c r="AC19" s="435" t="n">
        <f aca="false">AC18</f>
        <v>0.7</v>
      </c>
      <c r="AD19" s="411" t="n">
        <f aca="false">Z19*AC19</f>
        <v>7729.26988032766</v>
      </c>
      <c r="AE19" s="412" t="n">
        <f aca="false">Peak_Time_Eve*$BI19*(3600/K52+BL19)/3600</f>
        <v>30.3838542201136</v>
      </c>
      <c r="AF19" s="413" t="n">
        <f aca="false">IF(AF$6&lt;Total_Lanes,($BJ19*($CI19+BN19)+$CN19*CP19)*Peak_Time_Eve/3600,"-")</f>
        <v>18945.2212153942</v>
      </c>
      <c r="AG19" s="413" t="n">
        <f aca="false">IF(AG$6&lt;Total_Lanes,($BJ19*($CI19+BO19)+$CN19*CQ19)*Peak_Time_Eve/3600,"-")</f>
        <v>4892.7622010437</v>
      </c>
      <c r="AH19" s="413" t="n">
        <f aca="false">IF(AH$6&lt;Total_Lanes,($BJ19*($CI19+BP19)+$CN19*CR19)*Peak_Time_Eve/3600,"-")</f>
        <v>274.172906631071</v>
      </c>
      <c r="AI19" s="413" t="n">
        <f aca="false">IF(AI$6&lt;Total_Lanes,($BJ19*($CI19+BQ19)+$CN19*CS19)*Peak_Time_Eve/3600,"-")</f>
        <v>21.2019491404438</v>
      </c>
      <c r="AJ19" s="413" t="n">
        <f aca="false">IF(AJ$6&lt;Total_Lanes,($BJ19*($CI19+BR19)+$CN19*CT19)*Peak_Time_Eve/3600,"-")</f>
        <v>23.4195178650731</v>
      </c>
      <c r="AK19" s="413" t="n">
        <f aca="false">IF(AK$6&lt;Total_Lanes,($BJ19*($CI19+BS19)+$CN19*CU19)*Peak_Time_Eve/3600,"-")</f>
        <v>102.508365527448</v>
      </c>
      <c r="AL19" s="413" t="n">
        <f aca="false">IF(AL$6&lt;Total_Lanes,($BJ19*($CI19+BT19)+$CN19*CV19)*Peak_Time_Eve/3600,"-")</f>
        <v>1224.31723468555</v>
      </c>
      <c r="AM19" s="413" t="n">
        <f aca="false">IF(AM$6&lt;Total_Lanes,($BJ19*($CI19+BU19)+$CN19*CW19)*Peak_Time_Eve/3600,"-")</f>
        <v>3086.77223385069</v>
      </c>
      <c r="AN19" s="413" t="n">
        <f aca="false">IF(AN$6&lt;Total_Lanes,($BJ19*($CI19+BV19)+$CN19*CX19)*Peak_Time_Eve/3600,"-")</f>
        <v>6199.43133485214</v>
      </c>
      <c r="AO19" s="413" t="n">
        <f aca="false">IF(AO$6&lt;Total_Lanes,($BJ19*($CI19+BW19)+$CN19*CY19)*Peak_Time_Eve/3600,"-")</f>
        <v>12427.9948375956</v>
      </c>
      <c r="AP19" s="413" t="n">
        <f aca="false">IF(AP$6&lt;Total_Lanes,($BJ19*($CI19+BX19)+$CN19*CZ19)*Peak_Time_Eve/3600,"-")</f>
        <v>31116.3107196603</v>
      </c>
      <c r="AQ19" s="413" t="str">
        <f aca="false">IF(AQ$6&lt;Total_Lanes,($BJ19*($CI19+BY19)+$CN19*DA19)*Peak_Time_Eve/3600,"-")</f>
        <v>-</v>
      </c>
      <c r="AR19" s="413" t="str">
        <f aca="false">IF(AR$6&lt;Total_Lanes,($BJ19*($CI19+BZ19)+$CN19*DB19)*Peak_Time_Eve/3600,"-")</f>
        <v>-</v>
      </c>
      <c r="AS19" s="413" t="str">
        <f aca="false">IF(AS$6&lt;Total_Lanes,($BJ19*($CI19+CA19)+$CN19*DC19)*Peak_Time_Eve/3600,"-")</f>
        <v>-</v>
      </c>
      <c r="AT19" s="413" t="str">
        <f aca="false">IF(AT$6&lt;Total_Lanes,($BJ19*($CI19+CB19)+$CN19*DD19)*Peak_Time_Eve/3600,"-")</f>
        <v>-</v>
      </c>
      <c r="AU19" s="413" t="str">
        <f aca="false">IF(AU$6&lt;Total_Lanes,($BJ19*($CI19+CC19)+$CN19*DE19)*Peak_Time_Eve/3600,"-")</f>
        <v>-</v>
      </c>
      <c r="AV19" s="413" t="str">
        <f aca="false">IF(AV$6&lt;Total_Lanes,($BJ19*($CI19+CD19)+$CN19*DF19)*Peak_Time_Eve/3600,"-")</f>
        <v>-</v>
      </c>
      <c r="AW19" s="413" t="str">
        <f aca="false">IF(AW$6&lt;Total_Lanes,($BJ19*($CI19+CE19)+$CN19*DG19)*Peak_Time_Eve/3600,"-")</f>
        <v>-</v>
      </c>
      <c r="AX19" s="413" t="str">
        <f aca="false">IF(AX$6&lt;Total_Lanes,($BJ19*($CI19+CF19)+$CN19*DH19)*Peak_Time_Eve/3600,"-")</f>
        <v>-</v>
      </c>
      <c r="AY19" s="413" t="str">
        <f aca="false">IF(AY$6&lt;Total_Lanes,($BJ19*($CI19+CG19)+$CN19*DI19)*Peak_Time_Eve/3600,"-")</f>
        <v>-</v>
      </c>
      <c r="AZ19" s="414" t="str">
        <f aca="false">IF(AZ$6&lt;Total_Lanes,($BJ19*($CI19+CH19)+$CN19*DJ19)*Peak_Time_Eve/3600,"-")</f>
        <v>-</v>
      </c>
      <c r="BA19" s="436" t="n">
        <f aca="false">SUMIF(AF19:AZ19,BB19,$AF$6:$AZ$6)</f>
        <v>4</v>
      </c>
      <c r="BB19" s="437" t="n">
        <f aca="false">MIN(AF19:AZ19)</f>
        <v>21.2019491404438</v>
      </c>
      <c r="BC19" s="436" t="n">
        <f aca="false">IF((SUMIF($BN17:$CH17,$BA19,$BN19:$CH19)+$CI19)&lt;(SUMIF($CP17:$DJ17,$BA19,$CP19:$DJ19)+$DK19),BA19+1,BA19)</f>
        <v>4</v>
      </c>
      <c r="BD19" s="437" t="n">
        <f aca="false">SUMIF($AF$6:$AZ$6,$BC19,$AF19:$AZ19)</f>
        <v>21.2019491404438</v>
      </c>
      <c r="BG19" s="400" t="n">
        <v>12</v>
      </c>
      <c r="BH19" s="402" t="n">
        <f aca="false">$Y19</f>
        <v>0.594</v>
      </c>
      <c r="BI19" s="418" t="n">
        <f aca="false">$AD19</f>
        <v>7729.26988032766</v>
      </c>
      <c r="BJ19" s="438" t="n">
        <f aca="false">BI19*(1-BH19)</f>
        <v>3138.08357141303</v>
      </c>
      <c r="BK19" s="420" t="n">
        <f aca="false">Peak_Arrival_Manual/K52</f>
        <v>5.73136096723352</v>
      </c>
      <c r="BL19" s="421" t="n">
        <f aca="false">900*Peak_Time_Eve*(BK19/Total_Lanes-1+SQRT((BK19/Total_Lanes-1)^2+8*(BK19/Total_Lanes)/(Peak_Time_Eve*$K52*Total_Lanes)))</f>
        <v>0.500821965461773</v>
      </c>
      <c r="BM19" s="422" t="n">
        <f aca="false">Peak_Arrival_Manual/N52</f>
        <v>5.95364188687527</v>
      </c>
      <c r="BN19" s="423" t="n">
        <f aca="false">IF(BN$6&lt;Total_Lanes,900*Peak_Time_Eve*(($BM19/(Total_Lanes-BN$6))-1+SQRT((($BM19/(Total_Lanes-BN$6))-1)^2+8*($BM19/(Total_Lanes-BN$6))/(Peak_Time_Eve*$N52*(Total_Lanes-BN$6)))),"-")</f>
        <v>0.732217586478134</v>
      </c>
      <c r="BO19" s="423" t="n">
        <f aca="false">IF(BO$6&lt;Total_Lanes,900*Peak_Time_Eve*(($BM19/(Total_Lanes-BO$6))-1+SQRT((($BM19/(Total_Lanes-BO$6))-1)^2+8*($BM19/(Total_Lanes-BO$6))/(Peak_Time_Eve*$N52*(Total_Lanes-BO$6)))),"-")</f>
        <v>1.00424527005705</v>
      </c>
      <c r="BP19" s="423" t="n">
        <f aca="false">IF(BP$6&lt;Total_Lanes,900*Peak_Time_Eve*(($BM19/(Total_Lanes-BP$6))-1+SQRT((($BM19/(Total_Lanes-BP$6))-1)^2+8*($BM19/(Total_Lanes-BP$6))/(Peak_Time_Eve*$N52*(Total_Lanes-BP$6)))),"-")</f>
        <v>1.48133169175957</v>
      </c>
      <c r="BQ19" s="423" t="n">
        <f aca="false">IF(BQ$6&lt;Total_Lanes,900*Peak_Time_Eve*(($BM19/(Total_Lanes-BQ$6))-1+SQRT((($BM19/(Total_Lanes-BQ$6))-1)^2+8*($BM19/(Total_Lanes-BQ$6))/(Peak_Time_Eve*$N52*(Total_Lanes-BQ$6)))),"-")</f>
        <v>2.47722271462039</v>
      </c>
      <c r="BR19" s="423" t="n">
        <f aca="false">IF(BR$6&lt;Total_Lanes,900*Peak_Time_Eve*(($BM19/(Total_Lanes-BR$6))-1+SQRT((($BM19/(Total_Lanes-BR$6))-1)^2+8*($BM19/(Total_Lanes-BR$6))/(Peak_Time_Eve*$N52*(Total_Lanes-BR$6)))),"-")</f>
        <v>5.49556480718805</v>
      </c>
      <c r="BS19" s="423" t="n">
        <f aca="false">IF(BS$6&lt;Total_Lanes,900*Peak_Time_Eve*(($BM19/(Total_Lanes-BS$6))-1+SQRT((($BM19/(Total_Lanes-BS$6))-1)^2+8*($BM19/(Total_Lanes-BS$6))/(Peak_Time_Eve*$N52*(Total_Lanes-BS$6)))),"-")</f>
        <v>51.3593579820522</v>
      </c>
      <c r="BT19" s="423" t="n">
        <f aca="false">IF(BT$6&lt;Total_Lanes,900*Peak_Time_Eve*(($BM19/(Total_Lanes-BT$6))-1+SQRT((($BM19/(Total_Lanes-BT$6))-1)^2+8*($BM19/(Total_Lanes-BT$6))/(Peak_Time_Eve*$N52*(Total_Lanes-BT$6)))),"-")</f>
        <v>695.046808227407</v>
      </c>
      <c r="BU19" s="423" t="n">
        <f aca="false">IF(BU$6&lt;Total_Lanes,900*Peak_Time_Eve*(($BM19/(Total_Lanes-BU$6))-1+SQRT((($BM19/(Total_Lanes-BU$6))-1)^2+8*($BM19/(Total_Lanes-BU$6))/(Peak_Time_Eve*$N52*(Total_Lanes-BU$6)))),"-")</f>
        <v>1763.4659238551</v>
      </c>
      <c r="BV19" s="423" t="n">
        <f aca="false">IF(BV$6&lt;Total_Lanes,900*Peak_Time_Eve*(($BM19/(Total_Lanes-BV$6))-1+SQRT((($BM19/(Total_Lanes-BV$6))-1)^2+8*($BM19/(Total_Lanes-BV$6))/(Peak_Time_Eve*$N52*(Total_Lanes-BV$6)))),"-")</f>
        <v>3548.95340406172</v>
      </c>
      <c r="BW19" s="423" t="n">
        <f aca="false">IF(BW$6&lt;Total_Lanes,900*Peak_Time_Eve*(($BM19/(Total_Lanes-BW$6))-1+SQRT((($BM19/(Total_Lanes-BW$6))-1)^2+8*($BM19/(Total_Lanes-BW$6))/(Peak_Time_Eve*$N52*(Total_Lanes-BW$6)))),"-")</f>
        <v>7121.69420683487</v>
      </c>
      <c r="BX19" s="423" t="n">
        <f aca="false">IF(BX$6&lt;Total_Lanes,900*Peak_Time_Eve*(($BM19/(Total_Lanes-BX$6))-1+SQRT((($BM19/(Total_Lanes-BX$6))-1)^2+8*($BM19/(Total_Lanes-BX$6))/(Peak_Time_Eve*$N52*(Total_Lanes-BX$6)))),"-")</f>
        <v>17841.3158011901</v>
      </c>
      <c r="BY19" s="413" t="str">
        <f aca="false">IF(BY$6&lt;Total_Lanes,900*Peak_Time_Eve*(($BM19/(Total_Lanes-BY$6))-1+SQRT((($BM19/(Total_Lanes-BY$6))-1)^2+8*($BM19/(Total_Lanes-BY$6))/(Peak_Time_Eve*$N52*(Total_Lanes-BY$6)))),"-")</f>
        <v>-</v>
      </c>
      <c r="BZ19" s="413" t="str">
        <f aca="false">IF(BZ$6&lt;Total_Lanes,900*Peak_Time_Eve*(($BM19/(Total_Lanes-BZ$6))-1+SQRT((($BM19/(Total_Lanes-BZ$6))-1)^2+8*($BM19/(Total_Lanes-BZ$6))/(Peak_Time_Eve*$N52*(Total_Lanes-BZ$6)))),"-")</f>
        <v>-</v>
      </c>
      <c r="CA19" s="413" t="str">
        <f aca="false">IF(CA$6&lt;Total_Lanes,900*Peak_Time_Eve*(($BM19/(Total_Lanes-CA$6))-1+SQRT((($BM19/(Total_Lanes-CA$6))-1)^2+8*($BM19/(Total_Lanes-CA$6))/(Peak_Time_Eve*$N52*(Total_Lanes-CA$6)))),"-")</f>
        <v>-</v>
      </c>
      <c r="CB19" s="413" t="str">
        <f aca="false">IF(CB$6&lt;Total_Lanes,900*Peak_Time_Eve*(($BM19/(Total_Lanes-CB$6))-1+SQRT((($BM19/(Total_Lanes-CB$6))-1)^2+8*($BM19/(Total_Lanes-CB$6))/(Peak_Time_Eve*$N52*(Total_Lanes-CB$6)))),"-")</f>
        <v>-</v>
      </c>
      <c r="CC19" s="413" t="str">
        <f aca="false">IF(CC$6&lt;Total_Lanes,900*Peak_Time_Eve*(($BM19/(Total_Lanes-CC$6))-1+SQRT((($BM19/(Total_Lanes-CC$6))-1)^2+8*($BM19/(Total_Lanes-CC$6))/(Peak_Time_Eve*$N52*(Total_Lanes-CC$6)))),"-")</f>
        <v>-</v>
      </c>
      <c r="CD19" s="413" t="str">
        <f aca="false">IF(CD$6&lt;Total_Lanes,900*Peak_Time_Eve*(($BM19/(Total_Lanes-CD$6))-1+SQRT((($BM19/(Total_Lanes-CD$6))-1)^2+8*($BM19/(Total_Lanes-CD$6))/(Peak_Time_Eve*$N52*(Total_Lanes-CD$6)))),"-")</f>
        <v>-</v>
      </c>
      <c r="CE19" s="413" t="str">
        <f aca="false">IF(CE$6&lt;Total_Lanes,900*Peak_Time_Eve*(($BM19/(Total_Lanes-CE$6))-1+SQRT((($BM19/(Total_Lanes-CE$6))-1)^2+8*($BM19/(Total_Lanes-CE$6))/(Peak_Time_Eve*$N52*(Total_Lanes-CE$6)))),"-")</f>
        <v>-</v>
      </c>
      <c r="CF19" s="413" t="str">
        <f aca="false">IF(CF$6&lt;Total_Lanes,900*Peak_Time_Eve*(($BM19/(Total_Lanes-CF$6))-1+SQRT((($BM19/(Total_Lanes-CF$6))-1)^2+8*($BM19/(Total_Lanes-CF$6))/(Peak_Time_Eve*$N52*(Total_Lanes-CF$6)))),"-")</f>
        <v>-</v>
      </c>
      <c r="CG19" s="413" t="str">
        <f aca="false">IF(CG$6&lt;Total_Lanes,900*Peak_Time_Eve*(($BM19/(Total_Lanes-CG$6))-1+SQRT((($BM19/(Total_Lanes-CG$6))-1)^2+8*($BM19/(Total_Lanes-CG$6))/(Peak_Time_Eve*$N52*(Total_Lanes-CG$6)))),"-")</f>
        <v>-</v>
      </c>
      <c r="CH19" s="424" t="str">
        <f aca="false">IF(CH$6&lt;Total_Lanes,900*Peak_Time_Eve*(($BM19/(Total_Lanes-CH$6))-1+SQRT((($BM19/(Total_Lanes-CH$6))-1)^2+8*($BM19/(Total_Lanes-CH$6))/(Peak_Time_Eve*$N52*(Total_Lanes-CH$6)))),"-")</f>
        <v>-</v>
      </c>
      <c r="CI19" s="439" t="n">
        <f aca="false">3600/N52</f>
        <v>6.83</v>
      </c>
      <c r="CK19" s="400" t="n">
        <v>12</v>
      </c>
      <c r="CL19" s="402" t="n">
        <f aca="false">$Y19</f>
        <v>0.594</v>
      </c>
      <c r="CM19" s="411" t="n">
        <f aca="false">$AD19</f>
        <v>7729.26988032766</v>
      </c>
      <c r="CN19" s="412" t="n">
        <f aca="false">CM19*CL19</f>
        <v>4591.18630891463</v>
      </c>
      <c r="CO19" s="440" t="n">
        <f aca="false">CN19/O51</f>
        <v>3.06079087260975</v>
      </c>
      <c r="CP19" s="444" t="n">
        <f aca="false">IF(CP$6&lt;Total_Lanes,900*Peak_Time_Eve*(($CO19/CP$6-1)+SQRT(($CO19/CP$6-1)^2+8*($CO19/CP$6)/(Peak_Time_Eve*$O52*CP$6))),"-")</f>
        <v>7422.41003175366</v>
      </c>
      <c r="CQ19" s="444" t="n">
        <f aca="false">IF(CQ$6&lt;Total_Lanes,900*Peak_Time_Eve*(($CO19/CQ$6-1)+SQRT(($CO19/CQ$6-1)^2+8*($CO19/CQ$6)/(Peak_Time_Eve*$O52*CQ$6))),"-")</f>
        <v>1912.87977759684</v>
      </c>
      <c r="CR19" s="444" t="n">
        <f aca="false">IF(CR$6&lt;Total_Lanes,900*Peak_Time_Eve*(($CO19/CR$6-1)+SQRT(($CO19/CR$6-1)^2+8*($CO19/CR$6)/(Peak_Time_Eve*$O52*CR$6))),"-")</f>
        <v>101.810196112027</v>
      </c>
      <c r="CS19" s="444" t="n">
        <f aca="false">IF(CS$6&lt;Total_Lanes,900*Peak_Time_Eve*(($CO19/CS$6-1)+SQRT(($CO19/CS$6-1)^2+8*($CO19/CS$6)/(Peak_Time_Eve*$O52*CS$6))),"-")</f>
        <v>1.9508390977677</v>
      </c>
      <c r="CT19" s="444" t="n">
        <f aca="false">IF(CT$6&lt;Total_Lanes,900*Peak_Time_Eve*(($CO19/CT$6-1)+SQRT(($CO19/CT$6-1)^2+8*($CO19/CT$6)/(Peak_Time_Eve*$O52*CT$6))),"-")</f>
        <v>0.757207286613038</v>
      </c>
      <c r="CU19" s="444" t="n">
        <f aca="false">IF(CU$6&lt;Total_Lanes,900*Peak_Time_Eve*(($CO19/CU$6-1)+SQRT(($CO19/CU$6-1)^2+8*($CO19/CU$6)/(Peak_Time_Eve*$O52*CU$6))),"-")</f>
        <v>0.416447842934165</v>
      </c>
      <c r="CV19" s="444" t="n">
        <f aca="false">IF(CV$6&lt;Total_Lanes,900*Peak_Time_Eve*(($CO19/CV$6-1)+SQRT(($CO19/CV$6-1)^2+8*($CO19/CV$6)/(Peak_Time_Eve*$O52*CV$6))),"-")</f>
        <v>0.266367186490157</v>
      </c>
      <c r="CW19" s="444" t="n">
        <f aca="false">IF(CW$6&lt;Total_Lanes,900*Peak_Time_Eve*(($CO19/CW$6-1)+SQRT(($CO19/CW$6-1)^2+8*($CO19/CW$6)/(Peak_Time_Eve*$O52*CW$6))),"-")</f>
        <v>0.185892204032667</v>
      </c>
      <c r="CX19" s="444" t="n">
        <f aca="false">IF(CX$6&lt;Total_Lanes,900*Peak_Time_Eve*(($CO19/CX$6-1)+SQRT(($CO19/CX$6-1)^2+8*($CO19/CX$6)/(Peak_Time_Eve*$O52*CX$6))),"-")</f>
        <v>0.137419590975263</v>
      </c>
      <c r="CY19" s="444" t="n">
        <f aca="false">IF(CY$6&lt;Total_Lanes,900*Peak_Time_Eve*(($CO19/CY$6-1)+SQRT(($CO19/CY$6-1)^2+8*($CO19/CY$6)/(Peak_Time_Eve*$O52*CY$6))),"-")</f>
        <v>0.105856253850112</v>
      </c>
      <c r="CZ19" s="444" t="n">
        <f aca="false">IF(CZ$6&lt;Total_Lanes,900*Peak_Time_Eve*(($CO19/CZ$6-1)+SQRT(($CO19/CZ$6-1)^2+8*($CO19/CZ$6)/(Peak_Time_Eve*$O52*CZ$6))),"-")</f>
        <v>0.0841125720610236</v>
      </c>
      <c r="DA19" s="445" t="str">
        <f aca="false">IF(DA$6&lt;Total_Lanes,900*Peak_Time_Eve*(($CO19/DA$6-1)+SQRT(($CO19/DA$6-1)^2+8*($CO19/DA$6)/(Peak_Time_Eve*$O52*DA$6))),"-")</f>
        <v>-</v>
      </c>
      <c r="DB19" s="445" t="str">
        <f aca="false">IF(DB$6&lt;Total_Lanes,900*Peak_Time_Eve*(($CO19/DB$6-1)+SQRT(($CO19/DB$6-1)^2+8*($CO19/DB$6)/(Peak_Time_Eve*$O52*DB$6))),"-")</f>
        <v>-</v>
      </c>
      <c r="DC19" s="445" t="str">
        <f aca="false">IF(DC$6&lt;Total_Lanes,900*Peak_Time_Eve*(($CO19/DC$6-1)+SQRT(($CO19/DC$6-1)^2+8*($CO19/DC$6)/(Peak_Time_Eve*$O52*DC$6))),"-")</f>
        <v>-</v>
      </c>
      <c r="DD19" s="445" t="str">
        <f aca="false">IF(DD$6&lt;Total_Lanes,900*Peak_Time_Eve*(($CO19/DD$6-1)+SQRT(($CO19/DD$6-1)^2+8*($CO19/DD$6)/(Peak_Time_Eve*$O52*DD$6))),"-")</f>
        <v>-</v>
      </c>
      <c r="DE19" s="445" t="str">
        <f aca="false">IF(DE$6&lt;Total_Lanes,900*Peak_Time_Eve*(($CO19/DE$6-1)+SQRT(($CO19/DE$6-1)^2+8*($CO19/DE$6)/(Peak_Time_Eve*$O52*DE$6))),"-")</f>
        <v>-</v>
      </c>
      <c r="DF19" s="445" t="str">
        <f aca="false">IF(DF$6&lt;Total_Lanes,900*Peak_Time_Eve*(($CO19/DF$6-1)+SQRT(($CO19/DF$6-1)^2+8*($CO19/DF$6)/(Peak_Time_Eve*$O52*DF$6))),"-")</f>
        <v>-</v>
      </c>
      <c r="DG19" s="445" t="str">
        <f aca="false">IF(DG$6&lt;Total_Lanes,900*Peak_Time_Eve*(($CO19/DG$6-1)+SQRT(($CO19/DG$6-1)^2+8*($CO19/DG$6)/(Peak_Time_Eve*$O52*DG$6))),"-")</f>
        <v>-</v>
      </c>
      <c r="DH19" s="445" t="str">
        <f aca="false">IF(DH$6&lt;Total_Lanes,900*Peak_Time_Eve*(($CO19/DH$6-1)+SQRT(($CO19/DH$6-1)^2+8*($CO19/DH$6)/(Peak_Time_Eve*$O52*DH$6))),"-")</f>
        <v>-</v>
      </c>
      <c r="DI19" s="445" t="str">
        <f aca="false">IF(DI$6&lt;Total_Lanes,900*Peak_Time_Eve*(($CO19/DI$6-1)+SQRT(($CO19/DI$6-1)^2+8*($CO19/DI$6)/(Peak_Time_Eve*$O52*DI$6))),"-")</f>
        <v>-</v>
      </c>
      <c r="DJ19" s="446" t="str">
        <f aca="false">IF(DJ$6&lt;Total_Lanes,900*Peak_Time_Eve*(($CO19/DJ$6-1)+SQRT(($CO19/DJ$6-1)^2+8*($CO19/DJ$6)/(Peak_Time_Eve*$O52*DJ$6))),"-")</f>
        <v>-</v>
      </c>
      <c r="DK19" s="447" t="n">
        <f aca="false">3600/O52</f>
        <v>2.4</v>
      </c>
    </row>
    <row r="20" customFormat="false" ht="12" hidden="false" customHeight="false" outlineLevel="0" collapsed="false">
      <c r="H20" s="400" t="n">
        <v>13</v>
      </c>
      <c r="I20" s="401" t="n">
        <f aca="false">'Input-Detail'!E27</f>
        <v>26155660.55</v>
      </c>
      <c r="J20" s="402" t="n">
        <f aca="false">'Input-Detail'!F27</f>
        <v>0.6435</v>
      </c>
      <c r="K20" s="403" t="n">
        <f aca="false">AD20</f>
        <v>7895.04237035496</v>
      </c>
      <c r="L20" s="443" t="n">
        <f aca="false">IF(AD20&gt;AD68,BC20,BC68)</f>
        <v>5</v>
      </c>
      <c r="M20" s="412" t="n">
        <f aca="false">AE68</f>
        <v>13.1103899355019</v>
      </c>
      <c r="N20" s="427" t="n">
        <f aca="false">AE20</f>
        <v>30.6394718421016</v>
      </c>
      <c r="O20" s="427" t="n">
        <f aca="false">SUM(M20:N20)</f>
        <v>43.7498617776035</v>
      </c>
      <c r="P20" s="432" t="n">
        <f aca="false">$S$34*O20</f>
        <v>11374.9640621769</v>
      </c>
      <c r="Q20" s="412" t="n">
        <f aca="false">SUMIF($AF$54:$AZ$54,L20,$AF68:$AZ68)</f>
        <v>5.14878918600007</v>
      </c>
      <c r="R20" s="427" t="n">
        <f aca="false">SUMIF($AF$6:$AZ$6,$L20,$AF20:$AZ20)</f>
        <v>18.5245815437506</v>
      </c>
      <c r="S20" s="427" t="n">
        <f aca="false">SUM(Q20:R20)</f>
        <v>23.6733707297507</v>
      </c>
      <c r="T20" s="433" t="n">
        <f aca="false">$S$34*S20</f>
        <v>6155.07638973517</v>
      </c>
      <c r="U20" s="372"/>
      <c r="V20" s="372"/>
      <c r="W20" s="400" t="n">
        <v>13</v>
      </c>
      <c r="X20" s="408" t="n">
        <f aca="false">X$7+(X$27-X$7)*$W20/20</f>
        <v>26155660.55</v>
      </c>
      <c r="Y20" s="402" t="n">
        <f aca="false">J20</f>
        <v>0.6435</v>
      </c>
      <c r="Z20" s="408" t="n">
        <f aca="false">'Input-Detail'!E27/AA20</f>
        <v>11278.6319576499</v>
      </c>
      <c r="AA20" s="434" t="n">
        <f aca="false">AA19</f>
        <v>2319.04548780488</v>
      </c>
      <c r="AB20" s="434" t="n">
        <f aca="false">AB19</f>
        <v>2</v>
      </c>
      <c r="AC20" s="435" t="n">
        <f aca="false">AC19</f>
        <v>0.7</v>
      </c>
      <c r="AD20" s="411" t="n">
        <f aca="false">Z20*AC20</f>
        <v>7895.04237035496</v>
      </c>
      <c r="AE20" s="412" t="n">
        <f aca="false">Peak_Time_Eve*$BI20*(3600/K53+BL20)/3600</f>
        <v>30.6394718421016</v>
      </c>
      <c r="AF20" s="413" t="n">
        <f aca="false">IF(AF$6&lt;Total_Lanes,($BJ20*($CI20+BN20)+$CN20*CP20)*Peak_Time_Eve/3600,"-")</f>
        <v>24275.0874851429</v>
      </c>
      <c r="AG20" s="413" t="n">
        <f aca="false">IF(AG$6&lt;Total_Lanes,($BJ20*($CI20+BO20)+$CN20*CQ20)*Peak_Time_Eve/3600,"-")</f>
        <v>7066.67090542338</v>
      </c>
      <c r="AH20" s="413" t="n">
        <f aca="false">IF(AH$6&lt;Total_Lanes,($BJ20*($CI20+BP20)+$CN20*CR20)*Peak_Time_Eve/3600,"-")</f>
        <v>1342.60300624181</v>
      </c>
      <c r="AI20" s="413" t="n">
        <f aca="false">IF(AI$6&lt;Total_Lanes,($BJ20*($CI20+BQ20)+$CN20*CS20)*Peak_Time_Eve/3600,"-")</f>
        <v>22.7234810420064</v>
      </c>
      <c r="AJ20" s="413" t="n">
        <f aca="false">IF(AJ$6&lt;Total_Lanes,($BJ20*($CI20+BR20)+$CN20*CT20)*Peak_Time_Eve/3600,"-")</f>
        <v>18.5245815437506</v>
      </c>
      <c r="AK20" s="413" t="n">
        <f aca="false">IF(AK$6&lt;Total_Lanes,($BJ20*($CI20+BS20)+$CN20*CU20)*Peak_Time_Eve/3600,"-")</f>
        <v>26.6895849345631</v>
      </c>
      <c r="AL20" s="413" t="n">
        <f aca="false">IF(AL$6&lt;Total_Lanes,($BJ20*($CI20+BT20)+$CN20*CV20)*Peak_Time_Eve/3600,"-")</f>
        <v>442.93928587986</v>
      </c>
      <c r="AM20" s="413" t="n">
        <f aca="false">IF(AM$6&lt;Total_Lanes,($BJ20*($CI20+BU20)+$CN20*CW20)*Peak_Time_Eve/3600,"-")</f>
        <v>1930.84665442135</v>
      </c>
      <c r="AN20" s="413" t="n">
        <f aca="false">IF(AN$6&lt;Total_Lanes,($BJ20*($CI20+BV20)+$CN20*CX20)*Peak_Time_Eve/3600,"-")</f>
        <v>4440.9834404432</v>
      </c>
      <c r="AO20" s="413" t="n">
        <f aca="false">IF(AO$6&lt;Total_Lanes,($BJ20*($CI20+BW20)+$CN20*CY20)*Peak_Time_Eve/3600,"-")</f>
        <v>9466.75403164554</v>
      </c>
      <c r="AP20" s="413" t="n">
        <f aca="false">IF(AP$6&lt;Total_Lanes,($BJ20*($CI20+BX20)+$CN20*CZ20)*Peak_Time_Eve/3600,"-")</f>
        <v>24547.6244103981</v>
      </c>
      <c r="AQ20" s="413" t="str">
        <f aca="false">IF(AQ$6&lt;Total_Lanes,($BJ20*($CI20+BY20)+$CN20*DA20)*Peak_Time_Eve/3600,"-")</f>
        <v>-</v>
      </c>
      <c r="AR20" s="413" t="str">
        <f aca="false">IF(AR$6&lt;Total_Lanes,($BJ20*($CI20+BZ20)+$CN20*DB20)*Peak_Time_Eve/3600,"-")</f>
        <v>-</v>
      </c>
      <c r="AS20" s="413" t="str">
        <f aca="false">IF(AS$6&lt;Total_Lanes,($BJ20*($CI20+CA20)+$CN20*DC20)*Peak_Time_Eve/3600,"-")</f>
        <v>-</v>
      </c>
      <c r="AT20" s="413" t="str">
        <f aca="false">IF(AT$6&lt;Total_Lanes,($BJ20*($CI20+CB20)+$CN20*DD20)*Peak_Time_Eve/3600,"-")</f>
        <v>-</v>
      </c>
      <c r="AU20" s="413" t="str">
        <f aca="false">IF(AU$6&lt;Total_Lanes,($BJ20*($CI20+CC20)+$CN20*DE20)*Peak_Time_Eve/3600,"-")</f>
        <v>-</v>
      </c>
      <c r="AV20" s="413" t="str">
        <f aca="false">IF(AV$6&lt;Total_Lanes,($BJ20*($CI20+CD20)+$CN20*DF20)*Peak_Time_Eve/3600,"-")</f>
        <v>-</v>
      </c>
      <c r="AW20" s="413" t="str">
        <f aca="false">IF(AW$6&lt;Total_Lanes,($BJ20*($CI20+CE20)+$CN20*DG20)*Peak_Time_Eve/3600,"-")</f>
        <v>-</v>
      </c>
      <c r="AX20" s="413" t="str">
        <f aca="false">IF(AX$6&lt;Total_Lanes,($BJ20*($CI20+CF20)+$CN20*DH20)*Peak_Time_Eve/3600,"-")</f>
        <v>-</v>
      </c>
      <c r="AY20" s="413" t="str">
        <f aca="false">IF(AY$6&lt;Total_Lanes,($BJ20*($CI20+CG20)+$CN20*DI20)*Peak_Time_Eve/3600,"-")</f>
        <v>-</v>
      </c>
      <c r="AZ20" s="414" t="str">
        <f aca="false">IF(AZ$6&lt;Total_Lanes,($BJ20*($CI20+CH20)+$CN20*DJ20)*Peak_Time_Eve/3600,"-")</f>
        <v>-</v>
      </c>
      <c r="BA20" s="436" t="n">
        <f aca="false">SUMIF(AF20:AZ20,BB20,$AF$6:$AZ$6)</f>
        <v>5</v>
      </c>
      <c r="BB20" s="437" t="n">
        <f aca="false">MIN(AF20:AZ20)</f>
        <v>18.5245815437506</v>
      </c>
      <c r="BC20" s="436" t="n">
        <f aca="false">IF((SUMIF($BN18:$CH18,$BA20,$BN20:$CH20)+$CI20)&lt;(SUMIF($CP18:$DJ18,$BA20,$CP20:$DJ20)+$DK20),BA20+1,BA20)</f>
        <v>5</v>
      </c>
      <c r="BD20" s="437" t="n">
        <f aca="false">SUMIF($AF$6:$AZ$6,$BC20,$AF20:$AZ20)</f>
        <v>18.5245815437506</v>
      </c>
      <c r="BG20" s="400" t="n">
        <v>13</v>
      </c>
      <c r="BH20" s="402" t="n">
        <f aca="false">$Y20</f>
        <v>0.6435</v>
      </c>
      <c r="BI20" s="418" t="n">
        <f aca="false">$AD20</f>
        <v>7895.04237035496</v>
      </c>
      <c r="BJ20" s="438" t="n">
        <f aca="false">BI20*(1-BH20)</f>
        <v>2814.58260503154</v>
      </c>
      <c r="BK20" s="420" t="n">
        <f aca="false">Peak_Arrival_Manual/K53</f>
        <v>5.14052239668956</v>
      </c>
      <c r="BL20" s="421" t="n">
        <f aca="false">900*Peak_Time_Eve*(BK20/Total_Lanes-1+SQRT((BK20/Total_Lanes-1)^2+8*(BK20/Total_Lanes)/(Peak_Time_Eve*$K53*Total_Lanes)))</f>
        <v>0.410529238306467</v>
      </c>
      <c r="BM20" s="422" t="n">
        <f aca="false">Peak_Arrival_Manual/N53</f>
        <v>5.35650252020066</v>
      </c>
      <c r="BN20" s="423" t="n">
        <f aca="false">IF(BN$6&lt;Total_Lanes,900*Peak_Time_Eve*(($BM20/(Total_Lanes-BN$6))-1+SQRT((($BM20/(Total_Lanes-BN$6))-1)^2+8*($BM20/(Total_Lanes-BN$6))/(Peak_Time_Eve*$N53*(Total_Lanes-BN$6)))),"-")</f>
        <v>0.590977801237846</v>
      </c>
      <c r="BO20" s="423" t="n">
        <f aca="false">IF(BO$6&lt;Total_Lanes,900*Peak_Time_Eve*(($BM20/(Total_Lanes-BO$6))-1+SQRT((($BM20/(Total_Lanes-BO$6))-1)^2+8*($BM20/(Total_Lanes-BO$6))/(Peak_Time_Eve*$N53*(Total_Lanes-BO$6)))),"-")</f>
        <v>0.789952057561461</v>
      </c>
      <c r="BP20" s="423" t="n">
        <f aca="false">IF(BP$6&lt;Total_Lanes,900*Peak_Time_Eve*(($BM20/(Total_Lanes-BP$6))-1+SQRT((($BM20/(Total_Lanes-BP$6))-1)^2+8*($BM20/(Total_Lanes-BP$6))/(Peak_Time_Eve*$N53*(Total_Lanes-BP$6)))),"-")</f>
        <v>1.11829666344614</v>
      </c>
      <c r="BQ20" s="423" t="n">
        <f aca="false">IF(BQ$6&lt;Total_Lanes,900*Peak_Time_Eve*(($BM20/(Total_Lanes-BQ$6))-1+SQRT((($BM20/(Total_Lanes-BQ$6))-1)^2+8*($BM20/(Total_Lanes-BQ$6))/(Peak_Time_Eve*$N53*(Total_Lanes-BQ$6)))),"-")</f>
        <v>1.73280655109077</v>
      </c>
      <c r="BR20" s="423" t="n">
        <f aca="false">IF(BR$6&lt;Total_Lanes,900*Peak_Time_Eve*(($BM20/(Total_Lanes-BR$6))-1+SQRT((($BM20/(Total_Lanes-BR$6))-1)^2+8*($BM20/(Total_Lanes-BR$6))/(Peak_Time_Eve*$N53*(Total_Lanes-BR$6)))),"-")</f>
        <v>3.17800215984894</v>
      </c>
      <c r="BS20" s="423" t="n">
        <f aca="false">IF(BS$6&lt;Total_Lanes,900*Peak_Time_Eve*(($BM20/(Total_Lanes-BS$6))-1+SQRT((($BM20/(Total_Lanes-BS$6))-1)^2+8*($BM20/(Total_Lanes-BS$6))/(Peak_Time_Eve*$N53*(Total_Lanes-BS$6)))),"-")</f>
        <v>9.28188163133112</v>
      </c>
      <c r="BT20" s="423" t="n">
        <f aca="false">IF(BT$6&lt;Total_Lanes,900*Peak_Time_Eve*(($BM20/(Total_Lanes-BT$6))-1+SQRT((($BM20/(Total_Lanes-BT$6))-1)^2+8*($BM20/(Total_Lanes-BT$6))/(Peak_Time_Eve*$N53*(Total_Lanes-BT$6)))),"-")</f>
        <v>275.840082645661</v>
      </c>
      <c r="BU20" s="423" t="n">
        <f aca="false">IF(BU$6&lt;Total_Lanes,900*Peak_Time_Eve*(($BM20/(Total_Lanes-BU$6))-1+SQRT((($BM20/(Total_Lanes-BU$6))-1)^2+8*($BM20/(Total_Lanes-BU$6))/(Peak_Time_Eve*$N53*(Total_Lanes-BU$6)))),"-")</f>
        <v>1227.57869319219</v>
      </c>
      <c r="BV20" s="423" t="n">
        <f aca="false">IF(BV$6&lt;Total_Lanes,900*Peak_Time_Eve*(($BM20/(Total_Lanes-BV$6))-1+SQRT((($BM20/(Total_Lanes-BV$6))-1)^2+8*($BM20/(Total_Lanes-BV$6))/(Peak_Time_Eve*$N53*(Total_Lanes-BV$6)))),"-")</f>
        <v>2832.98466018923</v>
      </c>
      <c r="BW20" s="423" t="n">
        <f aca="false">IF(BW$6&lt;Total_Lanes,900*Peak_Time_Eve*(($BM20/(Total_Lanes-BW$6))-1+SQRT((($BM20/(Total_Lanes-BW$6))-1)^2+8*($BM20/(Total_Lanes-BW$6))/(Peak_Time_Eve*$N53*(Total_Lanes-BW$6)))),"-")</f>
        <v>6047.16641087533</v>
      </c>
      <c r="BX20" s="423" t="n">
        <f aca="false">IF(BX$6&lt;Total_Lanes,900*Peak_Time_Eve*(($BM20/(Total_Lanes-BX$6))-1+SQRT((($BM20/(Total_Lanes-BX$6))-1)^2+8*($BM20/(Total_Lanes-BX$6))/(Peak_Time_Eve*$N53*(Total_Lanes-BX$6)))),"-")</f>
        <v>15691.8284520709</v>
      </c>
      <c r="BY20" s="413" t="str">
        <f aca="false">IF(BY$6&lt;Total_Lanes,900*Peak_Time_Eve*(($BM20/(Total_Lanes-BY$6))-1+SQRT((($BM20/(Total_Lanes-BY$6))-1)^2+8*($BM20/(Total_Lanes-BY$6))/(Peak_Time_Eve*$N53*(Total_Lanes-BY$6)))),"-")</f>
        <v>-</v>
      </c>
      <c r="BZ20" s="413" t="str">
        <f aca="false">IF(BZ$6&lt;Total_Lanes,900*Peak_Time_Eve*(($BM20/(Total_Lanes-BZ$6))-1+SQRT((($BM20/(Total_Lanes-BZ$6))-1)^2+8*($BM20/(Total_Lanes-BZ$6))/(Peak_Time_Eve*$N53*(Total_Lanes-BZ$6)))),"-")</f>
        <v>-</v>
      </c>
      <c r="CA20" s="413" t="str">
        <f aca="false">IF(CA$6&lt;Total_Lanes,900*Peak_Time_Eve*(($BM20/(Total_Lanes-CA$6))-1+SQRT((($BM20/(Total_Lanes-CA$6))-1)^2+8*($BM20/(Total_Lanes-CA$6))/(Peak_Time_Eve*$N53*(Total_Lanes-CA$6)))),"-")</f>
        <v>-</v>
      </c>
      <c r="CB20" s="413" t="str">
        <f aca="false">IF(CB$6&lt;Total_Lanes,900*Peak_Time_Eve*(($BM20/(Total_Lanes-CB$6))-1+SQRT((($BM20/(Total_Lanes-CB$6))-1)^2+8*($BM20/(Total_Lanes-CB$6))/(Peak_Time_Eve*$N53*(Total_Lanes-CB$6)))),"-")</f>
        <v>-</v>
      </c>
      <c r="CC20" s="413" t="str">
        <f aca="false">IF(CC$6&lt;Total_Lanes,900*Peak_Time_Eve*(($BM20/(Total_Lanes-CC$6))-1+SQRT((($BM20/(Total_Lanes-CC$6))-1)^2+8*($BM20/(Total_Lanes-CC$6))/(Peak_Time_Eve*$N53*(Total_Lanes-CC$6)))),"-")</f>
        <v>-</v>
      </c>
      <c r="CD20" s="413" t="str">
        <f aca="false">IF(CD$6&lt;Total_Lanes,900*Peak_Time_Eve*(($BM20/(Total_Lanes-CD$6))-1+SQRT((($BM20/(Total_Lanes-CD$6))-1)^2+8*($BM20/(Total_Lanes-CD$6))/(Peak_Time_Eve*$N53*(Total_Lanes-CD$6)))),"-")</f>
        <v>-</v>
      </c>
      <c r="CE20" s="413" t="str">
        <f aca="false">IF(CE$6&lt;Total_Lanes,900*Peak_Time_Eve*(($BM20/(Total_Lanes-CE$6))-1+SQRT((($BM20/(Total_Lanes-CE$6))-1)^2+8*($BM20/(Total_Lanes-CE$6))/(Peak_Time_Eve*$N53*(Total_Lanes-CE$6)))),"-")</f>
        <v>-</v>
      </c>
      <c r="CF20" s="413" t="str">
        <f aca="false">IF(CF$6&lt;Total_Lanes,900*Peak_Time_Eve*(($BM20/(Total_Lanes-CF$6))-1+SQRT((($BM20/(Total_Lanes-CF$6))-1)^2+8*($BM20/(Total_Lanes-CF$6))/(Peak_Time_Eve*$N53*(Total_Lanes-CF$6)))),"-")</f>
        <v>-</v>
      </c>
      <c r="CG20" s="413" t="str">
        <f aca="false">IF(CG$6&lt;Total_Lanes,900*Peak_Time_Eve*(($BM20/(Total_Lanes-CG$6))-1+SQRT((($BM20/(Total_Lanes-CG$6))-1)^2+8*($BM20/(Total_Lanes-CG$6))/(Peak_Time_Eve*$N53*(Total_Lanes-CG$6)))),"-")</f>
        <v>-</v>
      </c>
      <c r="CH20" s="424" t="str">
        <f aca="false">IF(CH$6&lt;Total_Lanes,900*Peak_Time_Eve*(($BM20/(Total_Lanes-CH$6))-1+SQRT((($BM20/(Total_Lanes-CH$6))-1)^2+8*($BM20/(Total_Lanes-CH$6))/(Peak_Time_Eve*$N53*(Total_Lanes-CH$6)))),"-")</f>
        <v>-</v>
      </c>
      <c r="CI20" s="439" t="n">
        <f aca="false">3600/N53</f>
        <v>6.85125</v>
      </c>
      <c r="CK20" s="400" t="n">
        <v>13</v>
      </c>
      <c r="CL20" s="402" t="n">
        <f aca="false">$Y20</f>
        <v>0.6435</v>
      </c>
      <c r="CM20" s="411" t="n">
        <f aca="false">$AD20</f>
        <v>7895.04237035496</v>
      </c>
      <c r="CN20" s="412" t="n">
        <f aca="false">CM20*CL20</f>
        <v>5080.45976532342</v>
      </c>
      <c r="CO20" s="440" t="n">
        <f aca="false">CN20/O52</f>
        <v>3.38697317688228</v>
      </c>
      <c r="CP20" s="444" t="n">
        <f aca="false">IF(CP$6&lt;Total_Lanes,900*Peak_Time_Eve*(($CO20/CP$6-1)+SQRT(($CO20/CP$6-1)^2+8*($CO20/CP$6)/(Peak_Time_Eve*$O53*CP$6))),"-")</f>
        <v>8596.50754572307</v>
      </c>
      <c r="CQ20" s="444" t="n">
        <f aca="false">IF(CQ$6&lt;Total_Lanes,900*Peak_Time_Eve*(($CO20/CQ$6-1)+SQRT(($CO20/CQ$6-1)^2+8*($CO20/CQ$6)/(Peak_Time_Eve*$O53*CQ$6))),"-")</f>
        <v>2499.47867357256</v>
      </c>
      <c r="CR20" s="444" t="n">
        <f aca="false">IF(CR$6&lt;Total_Lanes,900*Peak_Time_Eve*(($CO20/CR$6-1)+SQRT(($CO20/CR$6-1)^2+8*($CO20/CR$6)/(Peak_Time_Eve*$O53*CR$6))),"-")</f>
        <v>471.267281785847</v>
      </c>
      <c r="CS20" s="444" t="n">
        <f aca="false">IF(CS$6&lt;Total_Lanes,900*Peak_Time_Eve*(($CO20/CS$6-1)+SQRT(($CO20/CS$6-1)^2+8*($CO20/CS$6)/(Peak_Time_Eve*$O53*CS$6))),"-")</f>
        <v>3.29531782548004</v>
      </c>
      <c r="CT20" s="444" t="n">
        <f aca="false">IF(CT$6&lt;Total_Lanes,900*Peak_Time_Eve*(($CO20/CT$6-1)+SQRT(($CO20/CT$6-1)^2+8*($CO20/CT$6)/(Peak_Time_Eve*$O53*CT$6))),"-")</f>
        <v>1.00701281862027</v>
      </c>
      <c r="CU20" s="444" t="n">
        <f aca="false">IF(CU$6&lt;Total_Lanes,900*Peak_Time_Eve*(($CO20/CU$6-1)+SQRT(($CO20/CU$6-1)^2+8*($CO20/CU$6)/(Peak_Time_Eve*$O53*CU$6))),"-")</f>
        <v>0.518303726359159</v>
      </c>
      <c r="CV20" s="444" t="n">
        <f aca="false">IF(CV$6&lt;Total_Lanes,900*Peak_Time_Eve*(($CO20/CV$6-1)+SQRT(($CO20/CV$6-1)^2+8*($CO20/CV$6)/(Peak_Time_Eve*$O53*CV$6))),"-")</f>
        <v>0.321350271726928</v>
      </c>
      <c r="CW20" s="444" t="n">
        <f aca="false">IF(CW$6&lt;Total_Lanes,900*Peak_Time_Eve*(($CO20/CW$6-1)+SQRT(($CO20/CW$6-1)^2+8*($CO20/CW$6)/(Peak_Time_Eve*$O53*CW$6))),"-")</f>
        <v>0.220242413345839</v>
      </c>
      <c r="CX20" s="444" t="n">
        <f aca="false">IF(CX$6&lt;Total_Lanes,900*Peak_Time_Eve*(($CO20/CX$6-1)+SQRT(($CO20/CX$6-1)^2+8*($CO20/CX$6)/(Peak_Time_Eve*$O53*CX$6))),"-")</f>
        <v>0.160898594418724</v>
      </c>
      <c r="CY20" s="444" t="n">
        <f aca="false">IF(CY$6&lt;Total_Lanes,900*Peak_Time_Eve*(($CO20/CY$6-1)+SQRT(($CO20/CY$6-1)^2+8*($CO20/CY$6)/(Peak_Time_Eve*$O53*CY$6))),"-")</f>
        <v>0.122913700207694</v>
      </c>
      <c r="CZ20" s="444" t="n">
        <f aca="false">IF(CZ$6&lt;Total_Lanes,900*Peak_Time_Eve*(($CO20/CZ$6-1)+SQRT(($CO20/CZ$6-1)^2+8*($CO20/CZ$6)/(Peak_Time_Eve*$O53*CZ$6))),"-")</f>
        <v>0.0970635196283931</v>
      </c>
      <c r="DA20" s="445" t="str">
        <f aca="false">IF(DA$6&lt;Total_Lanes,900*Peak_Time_Eve*(($CO20/DA$6-1)+SQRT(($CO20/DA$6-1)^2+8*($CO20/DA$6)/(Peak_Time_Eve*$O53*DA$6))),"-")</f>
        <v>-</v>
      </c>
      <c r="DB20" s="445" t="str">
        <f aca="false">IF(DB$6&lt;Total_Lanes,900*Peak_Time_Eve*(($CO20/DB$6-1)+SQRT(($CO20/DB$6-1)^2+8*($CO20/DB$6)/(Peak_Time_Eve*$O53*DB$6))),"-")</f>
        <v>-</v>
      </c>
      <c r="DC20" s="445" t="str">
        <f aca="false">IF(DC$6&lt;Total_Lanes,900*Peak_Time_Eve*(($CO20/DC$6-1)+SQRT(($CO20/DC$6-1)^2+8*($CO20/DC$6)/(Peak_Time_Eve*$O53*DC$6))),"-")</f>
        <v>-</v>
      </c>
      <c r="DD20" s="445" t="str">
        <f aca="false">IF(DD$6&lt;Total_Lanes,900*Peak_Time_Eve*(($CO20/DD$6-1)+SQRT(($CO20/DD$6-1)^2+8*($CO20/DD$6)/(Peak_Time_Eve*$O53*DD$6))),"-")</f>
        <v>-</v>
      </c>
      <c r="DE20" s="445" t="str">
        <f aca="false">IF(DE$6&lt;Total_Lanes,900*Peak_Time_Eve*(($CO20/DE$6-1)+SQRT(($CO20/DE$6-1)^2+8*($CO20/DE$6)/(Peak_Time_Eve*$O53*DE$6))),"-")</f>
        <v>-</v>
      </c>
      <c r="DF20" s="445" t="str">
        <f aca="false">IF(DF$6&lt;Total_Lanes,900*Peak_Time_Eve*(($CO20/DF$6-1)+SQRT(($CO20/DF$6-1)^2+8*($CO20/DF$6)/(Peak_Time_Eve*$O53*DF$6))),"-")</f>
        <v>-</v>
      </c>
      <c r="DG20" s="445" t="str">
        <f aca="false">IF(DG$6&lt;Total_Lanes,900*Peak_Time_Eve*(($CO20/DG$6-1)+SQRT(($CO20/DG$6-1)^2+8*($CO20/DG$6)/(Peak_Time_Eve*$O53*DG$6))),"-")</f>
        <v>-</v>
      </c>
      <c r="DH20" s="445" t="str">
        <f aca="false">IF(DH$6&lt;Total_Lanes,900*Peak_Time_Eve*(($CO20/DH$6-1)+SQRT(($CO20/DH$6-1)^2+8*($CO20/DH$6)/(Peak_Time_Eve*$O53*DH$6))),"-")</f>
        <v>-</v>
      </c>
      <c r="DI20" s="445" t="str">
        <f aca="false">IF(DI$6&lt;Total_Lanes,900*Peak_Time_Eve*(($CO20/DI$6-1)+SQRT(($CO20/DI$6-1)^2+8*($CO20/DI$6)/(Peak_Time_Eve*$O53*DI$6))),"-")</f>
        <v>-</v>
      </c>
      <c r="DJ20" s="446" t="str">
        <f aca="false">IF(DJ$6&lt;Total_Lanes,900*Peak_Time_Eve*(($CO20/DJ$6-1)+SQRT(($CO20/DJ$6-1)^2+8*($CO20/DJ$6)/(Peak_Time_Eve*$O53*DJ$6))),"-")</f>
        <v>-</v>
      </c>
      <c r="DK20" s="447" t="n">
        <f aca="false">3600/O53</f>
        <v>2.4</v>
      </c>
    </row>
    <row r="21" customFormat="false" ht="12" hidden="false" customHeight="false" outlineLevel="0" collapsed="false">
      <c r="H21" s="400" t="n">
        <v>14</v>
      </c>
      <c r="I21" s="401" t="n">
        <f aca="false">'Input-Detail'!E28</f>
        <v>26704851.9</v>
      </c>
      <c r="J21" s="402" t="n">
        <f aca="false">'Input-Detail'!F28</f>
        <v>0.693</v>
      </c>
      <c r="K21" s="403" t="n">
        <f aca="false">AD21</f>
        <v>8060.81486038226</v>
      </c>
      <c r="L21" s="443" t="n">
        <f aca="false">IF(AD21&gt;AD69,BC21,BC69)</f>
        <v>5</v>
      </c>
      <c r="M21" s="412" t="n">
        <f aca="false">AE69</f>
        <v>13.3924000617693</v>
      </c>
      <c r="N21" s="427" t="n">
        <f aca="false">AE21</f>
        <v>30.9267095483287</v>
      </c>
      <c r="O21" s="427" t="n">
        <f aca="false">SUM(M21:N21)</f>
        <v>44.319109610098</v>
      </c>
      <c r="P21" s="432" t="n">
        <f aca="false">$S$34*O21</f>
        <v>11522.9684986255</v>
      </c>
      <c r="Q21" s="412" t="n">
        <f aca="false">SUMIF($AF$54:$AZ$54,L21,$AF69:$AZ69)</f>
        <v>4.58400624798637</v>
      </c>
      <c r="R21" s="427" t="n">
        <f aca="false">SUMIF($AF$6:$AZ$6,$L21,$AF21:$AZ21)</f>
        <v>16.5868452195025</v>
      </c>
      <c r="S21" s="427" t="n">
        <f aca="false">SUM(Q21:R21)</f>
        <v>21.1708514674889</v>
      </c>
      <c r="T21" s="433" t="n">
        <f aca="false">$S$34*S21</f>
        <v>5504.42138154712</v>
      </c>
      <c r="U21" s="372"/>
      <c r="V21" s="372"/>
      <c r="W21" s="400" t="n">
        <v>14</v>
      </c>
      <c r="X21" s="408" t="n">
        <f aca="false">X$7+(X$27-X$7)*$W21/20</f>
        <v>26704851.9</v>
      </c>
      <c r="Y21" s="402" t="n">
        <f aca="false">J21</f>
        <v>0.693</v>
      </c>
      <c r="Z21" s="408" t="n">
        <f aca="false">'Input-Detail'!E28/AA21</f>
        <v>11515.4498005461</v>
      </c>
      <c r="AA21" s="434" t="n">
        <f aca="false">AA20</f>
        <v>2319.04548780488</v>
      </c>
      <c r="AB21" s="434" t="n">
        <f aca="false">AB20</f>
        <v>2</v>
      </c>
      <c r="AC21" s="435" t="n">
        <f aca="false">AC20</f>
        <v>0.7</v>
      </c>
      <c r="AD21" s="411" t="n">
        <f aca="false">Z21*AC21</f>
        <v>8060.81486038226</v>
      </c>
      <c r="AE21" s="412" t="n">
        <f aca="false">Peak_Time_Eve*$BI21*(3600/K54+BL21)/3600</f>
        <v>30.9267095483287</v>
      </c>
      <c r="AF21" s="413" t="n">
        <f aca="false">IF(AF$6&lt;Total_Lanes,($BJ21*($CI21+BN21)+$CN21*CP21)*Peak_Time_Eve/3600,"-")</f>
        <v>30454.6679025769</v>
      </c>
      <c r="AG21" s="413" t="n">
        <f aca="false">IF(AG$6&lt;Total_Lanes,($BJ21*($CI21+BO21)+$CN21*CQ21)*Peak_Time_Eve/3600,"-")</f>
        <v>9649.38399050853</v>
      </c>
      <c r="AH21" s="413" t="n">
        <f aca="false">IF(AH$6&lt;Total_Lanes,($BJ21*($CI21+BP21)+$CN21*CR21)*Peak_Time_Eve/3600,"-")</f>
        <v>2719.92189389594</v>
      </c>
      <c r="AI21" s="413" t="n">
        <f aca="false">IF(AI$6&lt;Total_Lanes,($BJ21*($CI21+BQ21)+$CN21*CS21)*Peak_Time_Eve/3600,"-")</f>
        <v>35.513608592215</v>
      </c>
      <c r="AJ21" s="413" t="n">
        <f aca="false">IF(AJ$6&lt;Total_Lanes,($BJ21*($CI21+BR21)+$CN21*CT21)*Peak_Time_Eve/3600,"-")</f>
        <v>16.5868452195025</v>
      </c>
      <c r="AK21" s="413" t="n">
        <f aca="false">IF(AK$6&lt;Total_Lanes,($BJ21*($CI21+BS21)+$CN21*CU21)*Peak_Time_Eve/3600,"-")</f>
        <v>17.277992450175</v>
      </c>
      <c r="AL21" s="413" t="n">
        <f aca="false">IF(AL$6&lt;Total_Lanes,($BJ21*($CI21+BT21)+$CN21*CV21)*Peak_Time_Eve/3600,"-")</f>
        <v>39.8964679001696</v>
      </c>
      <c r="AM21" s="413" t="n">
        <f aca="false">IF(AM$6&lt;Total_Lanes,($BJ21*($CI21+BU21)+$CN21*CW21)*Peak_Time_Eve/3600,"-")</f>
        <v>921.507029813821</v>
      </c>
      <c r="AN21" s="413" t="n">
        <f aca="false">IF(AN$6&lt;Total_Lanes,($BJ21*($CI21+BV21)+$CN21*CX21)*Peak_Time_Eve/3600,"-")</f>
        <v>2863.20993084485</v>
      </c>
      <c r="AO21" s="413" t="n">
        <f aca="false">IF(AO$6&lt;Total_Lanes,($BJ21*($CI21+BW21)+$CN21*CY21)*Peak_Time_Eve/3600,"-")</f>
        <v>6759.60426884452</v>
      </c>
      <c r="AP21" s="413" t="n">
        <f aca="false">IF(AP$6&lt;Total_Lanes,($BJ21*($CI21+BX21)+$CN21*CZ21)*Peak_Time_Eve/3600,"-")</f>
        <v>18454.1755779928</v>
      </c>
      <c r="AQ21" s="413" t="str">
        <f aca="false">IF(AQ$6&lt;Total_Lanes,($BJ21*($CI21+BY21)+$CN21*DA21)*Peak_Time_Eve/3600,"-")</f>
        <v>-</v>
      </c>
      <c r="AR21" s="413" t="str">
        <f aca="false">IF(AR$6&lt;Total_Lanes,($BJ21*($CI21+BZ21)+$CN21*DB21)*Peak_Time_Eve/3600,"-")</f>
        <v>-</v>
      </c>
      <c r="AS21" s="413" t="str">
        <f aca="false">IF(AS$6&lt;Total_Lanes,($BJ21*($CI21+CA21)+$CN21*DC21)*Peak_Time_Eve/3600,"-")</f>
        <v>-</v>
      </c>
      <c r="AT21" s="413" t="str">
        <f aca="false">IF(AT$6&lt;Total_Lanes,($BJ21*($CI21+CB21)+$CN21*DD21)*Peak_Time_Eve/3600,"-")</f>
        <v>-</v>
      </c>
      <c r="AU21" s="413" t="str">
        <f aca="false">IF(AU$6&lt;Total_Lanes,($BJ21*($CI21+CC21)+$CN21*DE21)*Peak_Time_Eve/3600,"-")</f>
        <v>-</v>
      </c>
      <c r="AV21" s="413" t="str">
        <f aca="false">IF(AV$6&lt;Total_Lanes,($BJ21*($CI21+CD21)+$CN21*DF21)*Peak_Time_Eve/3600,"-")</f>
        <v>-</v>
      </c>
      <c r="AW21" s="413" t="str">
        <f aca="false">IF(AW$6&lt;Total_Lanes,($BJ21*($CI21+CE21)+$CN21*DG21)*Peak_Time_Eve/3600,"-")</f>
        <v>-</v>
      </c>
      <c r="AX21" s="413" t="str">
        <f aca="false">IF(AX$6&lt;Total_Lanes,($BJ21*($CI21+CF21)+$CN21*DH21)*Peak_Time_Eve/3600,"-")</f>
        <v>-</v>
      </c>
      <c r="AY21" s="413" t="str">
        <f aca="false">IF(AY$6&lt;Total_Lanes,($BJ21*($CI21+CG21)+$CN21*DI21)*Peak_Time_Eve/3600,"-")</f>
        <v>-</v>
      </c>
      <c r="AZ21" s="414" t="str">
        <f aca="false">IF(AZ$6&lt;Total_Lanes,($BJ21*($CI21+CH21)+$CN21*DJ21)*Peak_Time_Eve/3600,"-")</f>
        <v>-</v>
      </c>
      <c r="BA21" s="436" t="n">
        <f aca="false">SUMIF(AF21:AZ21,BB21,$AF$6:$AZ$6)</f>
        <v>5</v>
      </c>
      <c r="BB21" s="437" t="n">
        <f aca="false">MIN(AF21:AZ21)</f>
        <v>16.5868452195025</v>
      </c>
      <c r="BC21" s="436" t="n">
        <f aca="false">IF((SUMIF($BN19:$CH19,$BA21,$BN21:$CH21)+$CI21)&lt;(SUMIF($CP19:$DJ19,$BA21,$CP21:$DJ21)+$DK21),BA21+1,BA21)</f>
        <v>5</v>
      </c>
      <c r="BD21" s="437" t="n">
        <f aca="false">SUMIF($AF$6:$AZ$6,$BC21,$AF21:$AZ21)</f>
        <v>16.5868452195025</v>
      </c>
      <c r="BG21" s="400" t="n">
        <v>14</v>
      </c>
      <c r="BH21" s="402" t="n">
        <f aca="false">$Y21</f>
        <v>0.693</v>
      </c>
      <c r="BI21" s="418" t="n">
        <f aca="false">$AD21</f>
        <v>8060.81486038226</v>
      </c>
      <c r="BJ21" s="438" t="n">
        <f aca="false">BI21*(1-BH21)</f>
        <v>2474.67016213736</v>
      </c>
      <c r="BK21" s="420" t="n">
        <f aca="false">Peak_Arrival_Manual/K54</f>
        <v>4.51971008779253</v>
      </c>
      <c r="BL21" s="421" t="n">
        <f aca="false">900*Peak_Time_Eve*(BK21/Total_Lanes-1+SQRT((BK21/Total_Lanes-1)^2+8*(BK21/Total_Lanes)/(Peak_Time_Eve*$K54*Total_Lanes)))</f>
        <v>0.331011135498494</v>
      </c>
      <c r="BM21" s="422" t="n">
        <f aca="false">Peak_Arrival_Manual/N54</f>
        <v>4.72421408035805</v>
      </c>
      <c r="BN21" s="423" t="n">
        <f aca="false">IF(BN$6&lt;Total_Lanes,900*Peak_Time_Eve*(($BM21/(Total_Lanes-BN$6))-1+SQRT((($BM21/(Total_Lanes-BN$6))-1)^2+8*($BM21/(Total_Lanes-BN$6))/(Peak_Time_Eve*$N54*(Total_Lanes-BN$6)))),"-")</f>
        <v>0.470201597315723</v>
      </c>
      <c r="BO21" s="423" t="n">
        <f aca="false">IF(BO$6&lt;Total_Lanes,900*Peak_Time_Eve*(($BM21/(Total_Lanes-BO$6))-1+SQRT((($BM21/(Total_Lanes-BO$6))-1)^2+8*($BM21/(Total_Lanes-BO$6))/(Peak_Time_Eve*$N54*(Total_Lanes-BO$6)))),"-")</f>
        <v>0.615200250135706</v>
      </c>
      <c r="BP21" s="423" t="n">
        <f aca="false">IF(BP$6&lt;Total_Lanes,900*Peak_Time_Eve*(($BM21/(Total_Lanes-BP$6))-1+SQRT((($BM21/(Total_Lanes-BP$6))-1)^2+8*($BM21/(Total_Lanes-BP$6))/(Peak_Time_Eve*$N54*(Total_Lanes-BP$6)))),"-")</f>
        <v>0.843279955564857</v>
      </c>
      <c r="BQ21" s="423" t="n">
        <f aca="false">IF(BQ$6&lt;Total_Lanes,900*Peak_Time_Eve*(($BM21/(Total_Lanes-BQ$6))-1+SQRT((($BM21/(Total_Lanes-BQ$6))-1)^2+8*($BM21/(Total_Lanes-BQ$6))/(Peak_Time_Eve*$N54*(Total_Lanes-BQ$6)))),"-")</f>
        <v>1.23786783065535</v>
      </c>
      <c r="BR21" s="423" t="n">
        <f aca="false">IF(BR$6&lt;Total_Lanes,900*Peak_Time_Eve*(($BM21/(Total_Lanes-BR$6))-1+SQRT((($BM21/(Total_Lanes-BR$6))-1)^2+8*($BM21/(Total_Lanes-BR$6))/(Peak_Time_Eve*$N54*(Total_Lanes-BR$6)))),"-")</f>
        <v>2.03451358162367</v>
      </c>
      <c r="BS21" s="423" t="n">
        <f aca="false">IF(BS$6&lt;Total_Lanes,900*Peak_Time_Eve*(($BM21/(Total_Lanes-BS$6))-1+SQRT((($BM21/(Total_Lanes-BS$6))-1)^2+8*($BM21/(Total_Lanes-BS$6))/(Peak_Time_Eve*$N54*(Total_Lanes-BS$6)))),"-")</f>
        <v>4.21821397549363</v>
      </c>
      <c r="BT21" s="423" t="n">
        <f aca="false">IF(BT$6&lt;Total_Lanes,900*Peak_Time_Eve*(($BM21/(Total_Lanes-BT$6))-1+SQRT((($BM21/(Total_Lanes-BT$6))-1)^2+8*($BM21/(Total_Lanes-BT$6))/(Peak_Time_Eve*$N54*(Total_Lanes-BT$6)))),"-")</f>
        <v>21.2673556334708</v>
      </c>
      <c r="BU21" s="423" t="n">
        <f aca="false">IF(BU$6&lt;Total_Lanes,900*Peak_Time_Eve*(($BM21/(Total_Lanes-BU$6))-1+SQRT((($BM21/(Total_Lanes-BU$6))-1)^2+8*($BM21/(Total_Lanes-BU$6))/(Peak_Time_Eve*$N54*(Total_Lanes-BU$6)))),"-")</f>
        <v>662.814031167449</v>
      </c>
      <c r="BV21" s="423" t="n">
        <f aca="false">IF(BV$6&lt;Total_Lanes,900*Peak_Time_Eve*(($BM21/(Total_Lanes-BV$6))-1+SQRT((($BM21/(Total_Lanes-BV$6))-1)^2+8*($BM21/(Total_Lanes-BV$6))/(Peak_Time_Eve*$N54*(Total_Lanes-BV$6)))),"-")</f>
        <v>2075.3146773093</v>
      </c>
      <c r="BW21" s="423" t="n">
        <f aca="false">IF(BW$6&lt;Total_Lanes,900*Peak_Time_Eve*(($BM21/(Total_Lanes-BW$6))-1+SQRT((($BM21/(Total_Lanes-BW$6))-1)^2+8*($BM21/(Total_Lanes-BW$6))/(Peak_Time_Eve*$N54*(Total_Lanes-BW$6)))),"-")</f>
        <v>4909.53711656245</v>
      </c>
      <c r="BX21" s="423" t="n">
        <f aca="false">IF(BX$6&lt;Total_Lanes,900*Peak_Time_Eve*(($BM21/(Total_Lanes-BX$6))-1+SQRT((($BM21/(Total_Lanes-BX$6))-1)^2+8*($BM21/(Total_Lanes-BX$6))/(Peak_Time_Eve*$N54*(Total_Lanes-BX$6)))),"-")</f>
        <v>13415.8828837509</v>
      </c>
      <c r="BY21" s="413" t="str">
        <f aca="false">IF(BY$6&lt;Total_Lanes,900*Peak_Time_Eve*(($BM21/(Total_Lanes-BY$6))-1+SQRT((($BM21/(Total_Lanes-BY$6))-1)^2+8*($BM21/(Total_Lanes-BY$6))/(Peak_Time_Eve*$N54*(Total_Lanes-BY$6)))),"-")</f>
        <v>-</v>
      </c>
      <c r="BZ21" s="413" t="str">
        <f aca="false">IF(BZ$6&lt;Total_Lanes,900*Peak_Time_Eve*(($BM21/(Total_Lanes-BZ$6))-1+SQRT((($BM21/(Total_Lanes-BZ$6))-1)^2+8*($BM21/(Total_Lanes-BZ$6))/(Peak_Time_Eve*$N54*(Total_Lanes-BZ$6)))),"-")</f>
        <v>-</v>
      </c>
      <c r="CA21" s="413" t="str">
        <f aca="false">IF(CA$6&lt;Total_Lanes,900*Peak_Time_Eve*(($BM21/(Total_Lanes-CA$6))-1+SQRT((($BM21/(Total_Lanes-CA$6))-1)^2+8*($BM21/(Total_Lanes-CA$6))/(Peak_Time_Eve*$N54*(Total_Lanes-CA$6)))),"-")</f>
        <v>-</v>
      </c>
      <c r="CB21" s="413" t="str">
        <f aca="false">IF(CB$6&lt;Total_Lanes,900*Peak_Time_Eve*(($BM21/(Total_Lanes-CB$6))-1+SQRT((($BM21/(Total_Lanes-CB$6))-1)^2+8*($BM21/(Total_Lanes-CB$6))/(Peak_Time_Eve*$N54*(Total_Lanes-CB$6)))),"-")</f>
        <v>-</v>
      </c>
      <c r="CC21" s="413" t="str">
        <f aca="false">IF(CC$6&lt;Total_Lanes,900*Peak_Time_Eve*(($BM21/(Total_Lanes-CC$6))-1+SQRT((($BM21/(Total_Lanes-CC$6))-1)^2+8*($BM21/(Total_Lanes-CC$6))/(Peak_Time_Eve*$N54*(Total_Lanes-CC$6)))),"-")</f>
        <v>-</v>
      </c>
      <c r="CD21" s="413" t="str">
        <f aca="false">IF(CD$6&lt;Total_Lanes,900*Peak_Time_Eve*(($BM21/(Total_Lanes-CD$6))-1+SQRT((($BM21/(Total_Lanes-CD$6))-1)^2+8*($BM21/(Total_Lanes-CD$6))/(Peak_Time_Eve*$N54*(Total_Lanes-CD$6)))),"-")</f>
        <v>-</v>
      </c>
      <c r="CE21" s="413" t="str">
        <f aca="false">IF(CE$6&lt;Total_Lanes,900*Peak_Time_Eve*(($BM21/(Total_Lanes-CE$6))-1+SQRT((($BM21/(Total_Lanes-CE$6))-1)^2+8*($BM21/(Total_Lanes-CE$6))/(Peak_Time_Eve*$N54*(Total_Lanes-CE$6)))),"-")</f>
        <v>-</v>
      </c>
      <c r="CF21" s="413" t="str">
        <f aca="false">IF(CF$6&lt;Total_Lanes,900*Peak_Time_Eve*(($BM21/(Total_Lanes-CF$6))-1+SQRT((($BM21/(Total_Lanes-CF$6))-1)^2+8*($BM21/(Total_Lanes-CF$6))/(Peak_Time_Eve*$N54*(Total_Lanes-CF$6)))),"-")</f>
        <v>-</v>
      </c>
      <c r="CG21" s="413" t="str">
        <f aca="false">IF(CG$6&lt;Total_Lanes,900*Peak_Time_Eve*(($BM21/(Total_Lanes-CG$6))-1+SQRT((($BM21/(Total_Lanes-CG$6))-1)^2+8*($BM21/(Total_Lanes-CG$6))/(Peak_Time_Eve*$N54*(Total_Lanes-CG$6)))),"-")</f>
        <v>-</v>
      </c>
      <c r="CH21" s="424" t="str">
        <f aca="false">IF(CH$6&lt;Total_Lanes,900*Peak_Time_Eve*(($BM21/(Total_Lanes-CH$6))-1+SQRT((($BM21/(Total_Lanes-CH$6))-1)^2+8*($BM21/(Total_Lanes-CH$6))/(Peak_Time_Eve*$N54*(Total_Lanes-CH$6)))),"-")</f>
        <v>-</v>
      </c>
      <c r="CI21" s="439" t="n">
        <f aca="false">3600/N54</f>
        <v>6.8725</v>
      </c>
      <c r="CK21" s="400" t="n">
        <v>14</v>
      </c>
      <c r="CL21" s="402" t="n">
        <f aca="false">$Y21</f>
        <v>0.693</v>
      </c>
      <c r="CM21" s="411" t="n">
        <f aca="false">$AD21</f>
        <v>8060.81486038226</v>
      </c>
      <c r="CN21" s="412" t="n">
        <f aca="false">CM21*CL21</f>
        <v>5586.14469824491</v>
      </c>
      <c r="CO21" s="440" t="n">
        <f aca="false">CN21/O53</f>
        <v>3.72409646549661</v>
      </c>
      <c r="CP21" s="444" t="n">
        <f aca="false">IF(CP$6&lt;Total_Lanes,900*Peak_Time_Eve*(($CO21/CP$6-1)+SQRT(($CO21/CP$6-1)^2+8*($CO21/CP$6)/(Peak_Time_Eve*$O54*CP$6))),"-")</f>
        <v>9810.0272048634</v>
      </c>
      <c r="CQ21" s="444" t="n">
        <f aca="false">IF(CQ$6&lt;Total_Lanes,900*Peak_Time_Eve*(($CO21/CQ$6-1)+SQRT(($CO21/CQ$6-1)^2+8*($CO21/CQ$6)/(Peak_Time_Eve*$O54*CQ$6))),"-")</f>
        <v>3105.96351003485</v>
      </c>
      <c r="CR21" s="444" t="n">
        <f aca="false">IF(CR$6&lt;Total_Lanes,900*Peak_Time_Eve*(($CO21/CR$6-1)+SQRT(($CO21/CR$6-1)^2+8*($CO21/CR$6)/(Peak_Time_Eve*$O54*CR$6))),"-")</f>
        <v>873.010933660786</v>
      </c>
      <c r="CS21" s="444" t="n">
        <f aca="false">IF(CS$6&lt;Total_Lanes,900*Peak_Time_Eve*(($CO21/CS$6-1)+SQRT(($CO21/CS$6-1)^2+8*($CO21/CS$6)/(Peak_Time_Eve*$O54*CS$6))),"-")</f>
        <v>7.85049664132114</v>
      </c>
      <c r="CT21" s="444" t="n">
        <f aca="false">IF(CT$6&lt;Total_Lanes,900*Peak_Time_Eve*(($CO21/CT$6-1)+SQRT(($CO21/CT$6-1)^2+8*($CO21/CT$6)/(Peak_Time_Eve*$O54*CT$6))),"-")</f>
        <v>1.39888976620378</v>
      </c>
      <c r="CU21" s="444" t="n">
        <f aca="false">IF(CU$6&lt;Total_Lanes,900*Peak_Time_Eve*(($CO21/CU$6-1)+SQRT(($CO21/CU$6-1)^2+8*($CO21/CU$6)/(Peak_Time_Eve*$O54*CU$6))),"-")</f>
        <v>0.654212816848332</v>
      </c>
      <c r="CV21" s="444" t="n">
        <f aca="false">IF(CV$6&lt;Total_Lanes,900*Peak_Time_Eve*(($CO21/CV$6-1)+SQRT(($CO21/CV$6-1)^2+8*($CO21/CV$6)/(Peak_Time_Eve*$O54*CV$6))),"-")</f>
        <v>0.389675032583081</v>
      </c>
      <c r="CW21" s="444" t="n">
        <f aca="false">IF(CW$6&lt;Total_Lanes,900*Peak_Time_Eve*(($CO21/CW$6-1)+SQRT(($CO21/CW$6-1)^2+8*($CO21/CW$6)/(Peak_Time_Eve*$O54*CW$6))),"-")</f>
        <v>0.261249408734976</v>
      </c>
      <c r="CX21" s="444" t="n">
        <f aca="false">IF(CX$6&lt;Total_Lanes,900*Peak_Time_Eve*(($CO21/CX$6-1)+SQRT(($CO21/CX$6-1)^2+8*($CO21/CX$6)/(Peak_Time_Eve*$O54*CX$6))),"-")</f>
        <v>0.188214932694075</v>
      </c>
      <c r="CY21" s="444" t="n">
        <f aca="false">IF(CY$6&lt;Total_Lanes,900*Peak_Time_Eve*(($CO21/CY$6-1)+SQRT(($CO21/CY$6-1)^2+8*($CO21/CY$6)/(Peak_Time_Eve*$O54*CY$6))),"-")</f>
        <v>0.142406079839286</v>
      </c>
      <c r="CZ21" s="444" t="n">
        <f aca="false">IF(CZ$6&lt;Total_Lanes,900*Peak_Time_Eve*(($CO21/CZ$6-1)+SQRT(($CO21/CZ$6-1)^2+8*($CO21/CZ$6)/(Peak_Time_Eve*$O54*CZ$6))),"-")</f>
        <v>0.111668885036686</v>
      </c>
      <c r="DA21" s="445" t="str">
        <f aca="false">IF(DA$6&lt;Total_Lanes,900*Peak_Time_Eve*(($CO21/DA$6-1)+SQRT(($CO21/DA$6-1)^2+8*($CO21/DA$6)/(Peak_Time_Eve*$O54*DA$6))),"-")</f>
        <v>-</v>
      </c>
      <c r="DB21" s="445" t="str">
        <f aca="false">IF(DB$6&lt;Total_Lanes,900*Peak_Time_Eve*(($CO21/DB$6-1)+SQRT(($CO21/DB$6-1)^2+8*($CO21/DB$6)/(Peak_Time_Eve*$O54*DB$6))),"-")</f>
        <v>-</v>
      </c>
      <c r="DC21" s="445" t="str">
        <f aca="false">IF(DC$6&lt;Total_Lanes,900*Peak_Time_Eve*(($CO21/DC$6-1)+SQRT(($CO21/DC$6-1)^2+8*($CO21/DC$6)/(Peak_Time_Eve*$O54*DC$6))),"-")</f>
        <v>-</v>
      </c>
      <c r="DD21" s="445" t="str">
        <f aca="false">IF(DD$6&lt;Total_Lanes,900*Peak_Time_Eve*(($CO21/DD$6-1)+SQRT(($CO21/DD$6-1)^2+8*($CO21/DD$6)/(Peak_Time_Eve*$O54*DD$6))),"-")</f>
        <v>-</v>
      </c>
      <c r="DE21" s="445" t="str">
        <f aca="false">IF(DE$6&lt;Total_Lanes,900*Peak_Time_Eve*(($CO21/DE$6-1)+SQRT(($CO21/DE$6-1)^2+8*($CO21/DE$6)/(Peak_Time_Eve*$O54*DE$6))),"-")</f>
        <v>-</v>
      </c>
      <c r="DF21" s="445" t="str">
        <f aca="false">IF(DF$6&lt;Total_Lanes,900*Peak_Time_Eve*(($CO21/DF$6-1)+SQRT(($CO21/DF$6-1)^2+8*($CO21/DF$6)/(Peak_Time_Eve*$O54*DF$6))),"-")</f>
        <v>-</v>
      </c>
      <c r="DG21" s="445" t="str">
        <f aca="false">IF(DG$6&lt;Total_Lanes,900*Peak_Time_Eve*(($CO21/DG$6-1)+SQRT(($CO21/DG$6-1)^2+8*($CO21/DG$6)/(Peak_Time_Eve*$O54*DG$6))),"-")</f>
        <v>-</v>
      </c>
      <c r="DH21" s="445" t="str">
        <f aca="false">IF(DH$6&lt;Total_Lanes,900*Peak_Time_Eve*(($CO21/DH$6-1)+SQRT(($CO21/DH$6-1)^2+8*($CO21/DH$6)/(Peak_Time_Eve*$O54*DH$6))),"-")</f>
        <v>-</v>
      </c>
      <c r="DI21" s="445" t="str">
        <f aca="false">IF(DI$6&lt;Total_Lanes,900*Peak_Time_Eve*(($CO21/DI$6-1)+SQRT(($CO21/DI$6-1)^2+8*($CO21/DI$6)/(Peak_Time_Eve*$O54*DI$6))),"-")</f>
        <v>-</v>
      </c>
      <c r="DJ21" s="446" t="str">
        <f aca="false">IF(DJ$6&lt;Total_Lanes,900*Peak_Time_Eve*(($CO21/DJ$6-1)+SQRT(($CO21/DJ$6-1)^2+8*($CO21/DJ$6)/(Peak_Time_Eve*$O54*DJ$6))),"-")</f>
        <v>-</v>
      </c>
      <c r="DK21" s="447" t="n">
        <f aca="false">3600/O54</f>
        <v>2.4</v>
      </c>
    </row>
    <row r="22" customFormat="false" ht="12" hidden="false" customHeight="false" outlineLevel="0" collapsed="false">
      <c r="H22" s="400" t="n">
        <v>15</v>
      </c>
      <c r="I22" s="401" t="n">
        <f aca="false">'Input-Detail'!E29</f>
        <v>27254043.25</v>
      </c>
      <c r="J22" s="402" t="n">
        <f aca="false">'Input-Detail'!F29</f>
        <v>0.7425</v>
      </c>
      <c r="K22" s="403" t="n">
        <f aca="false">AD22</f>
        <v>8226.58735040957</v>
      </c>
      <c r="L22" s="443" t="n">
        <f aca="false">IF(AD22&gt;AD70,BC22,BC70)</f>
        <v>6</v>
      </c>
      <c r="M22" s="412" t="n">
        <f aca="false">AE70</f>
        <v>13.6749283150382</v>
      </c>
      <c r="N22" s="427" t="n">
        <f aca="false">AE22</f>
        <v>31.2412951853343</v>
      </c>
      <c r="O22" s="427" t="n">
        <f aca="false">SUM(M22:N22)</f>
        <v>44.9162235003725</v>
      </c>
      <c r="P22" s="432" t="n">
        <f aca="false">$S$34*O22</f>
        <v>11678.2181100969</v>
      </c>
      <c r="Q22" s="412" t="n">
        <f aca="false">SUMIF($AF$54:$AZ$54,L22,$AF70:$AZ70)</f>
        <v>3.95195183782468</v>
      </c>
      <c r="R22" s="427" t="n">
        <f aca="false">SUMIF($AF$6:$AZ$6,$L22,$AF22:$AZ22)</f>
        <v>13.794519839836</v>
      </c>
      <c r="S22" s="427" t="n">
        <f aca="false">SUM(Q22:R22)</f>
        <v>17.7464716776606</v>
      </c>
      <c r="T22" s="433" t="n">
        <f aca="false">$S$34*S22</f>
        <v>4614.08263619177</v>
      </c>
      <c r="U22" s="372"/>
      <c r="V22" s="372"/>
      <c r="W22" s="400" t="n">
        <v>15</v>
      </c>
      <c r="X22" s="408" t="n">
        <f aca="false">X$7+(X$27-X$7)*$W22/20</f>
        <v>27254043.25</v>
      </c>
      <c r="Y22" s="402" t="n">
        <f aca="false">J22</f>
        <v>0.7425</v>
      </c>
      <c r="Z22" s="408" t="n">
        <f aca="false">'Input-Detail'!E29/AA22</f>
        <v>11752.2676434422</v>
      </c>
      <c r="AA22" s="434" t="n">
        <f aca="false">AA21</f>
        <v>2319.04548780488</v>
      </c>
      <c r="AB22" s="434" t="n">
        <f aca="false">AB21</f>
        <v>2</v>
      </c>
      <c r="AC22" s="435" t="n">
        <f aca="false">AC21</f>
        <v>0.7</v>
      </c>
      <c r="AD22" s="411" t="n">
        <f aca="false">Z22*AC22</f>
        <v>8226.58735040957</v>
      </c>
      <c r="AE22" s="412" t="n">
        <f aca="false">Peak_Time_Eve*$BI22*(3600/K55+BL22)/3600</f>
        <v>31.2412951853343</v>
      </c>
      <c r="AF22" s="413" t="n">
        <f aca="false">IF(AF$6&lt;Total_Lanes,($BJ22*($CI22+BN22)+$CN22*CP22)*Peak_Time_Eve/3600,"-")</f>
        <v>37550.3330338407</v>
      </c>
      <c r="AG22" s="413" t="n">
        <f aca="false">IF(AG$6&lt;Total_Lanes,($BJ22*($CI22+BO22)+$CN22*CQ22)*Peak_Time_Eve/3600,"-")</f>
        <v>12673.9214297317</v>
      </c>
      <c r="AH22" s="413" t="n">
        <f aca="false">IF(AH$6&lt;Total_Lanes,($BJ22*($CI22+BP22)+$CN22*CR22)*Peak_Time_Eve/3600,"-")</f>
        <v>4385.15000785806</v>
      </c>
      <c r="AI22" s="413" t="n">
        <f aca="false">IF(AI$6&lt;Total_Lanes,($BJ22*($CI22+BQ22)+$CN22*CS22)*Peak_Time_Eve/3600,"-")</f>
        <v>312.908558910798</v>
      </c>
      <c r="AJ22" s="413" t="n">
        <f aca="false">IF(AJ$6&lt;Total_Lanes,($BJ22*($CI22+BR22)+$CN22*CT22)*Peak_Time_Eve/3600,"-")</f>
        <v>16.8352283024935</v>
      </c>
      <c r="AK22" s="413" t="n">
        <f aca="false">IF(AK$6&lt;Total_Lanes,($BJ22*($CI22+BS22)+$CN22*CU22)*Peak_Time_Eve/3600,"-")</f>
        <v>13.794519839836</v>
      </c>
      <c r="AL22" s="413" t="n">
        <f aca="false">IF(AL$6&lt;Total_Lanes,($BJ22*($CI22+BT22)+$CN22*CV22)*Peak_Time_Eve/3600,"-")</f>
        <v>16.6469180618533</v>
      </c>
      <c r="AM22" s="413" t="n">
        <f aca="false">IF(AM$6&lt;Total_Lanes,($BJ22*($CI22+BU22)+$CN22*CW22)*Peak_Time_Eve/3600,"-")</f>
        <v>137.109200809269</v>
      </c>
      <c r="AN22" s="413" t="n">
        <f aca="false">IF(AN$6&lt;Total_Lanes,($BJ22*($CI22+BV22)+$CN22*CX22)*Peak_Time_Eve/3600,"-")</f>
        <v>1511.17495872115</v>
      </c>
      <c r="AO22" s="413" t="n">
        <f aca="false">IF(AO$6&lt;Total_Lanes,($BJ22*($CI22+BW22)+$CN22*CY22)*Peak_Time_Eve/3600,"-")</f>
        <v>4373.00859554295</v>
      </c>
      <c r="AP22" s="413" t="n">
        <f aca="false">IF(AP$6&lt;Total_Lanes,($BJ22*($CI22+BX22)+$CN22*CZ22)*Peak_Time_Eve/3600,"-")</f>
        <v>12968.6975732326</v>
      </c>
      <c r="AQ22" s="413" t="str">
        <f aca="false">IF(AQ$6&lt;Total_Lanes,($BJ22*($CI22+BY22)+$CN22*DA22)*Peak_Time_Eve/3600,"-")</f>
        <v>-</v>
      </c>
      <c r="AR22" s="413" t="str">
        <f aca="false">IF(AR$6&lt;Total_Lanes,($BJ22*($CI22+BZ22)+$CN22*DB22)*Peak_Time_Eve/3600,"-")</f>
        <v>-</v>
      </c>
      <c r="AS22" s="413" t="str">
        <f aca="false">IF(AS$6&lt;Total_Lanes,($BJ22*($CI22+CA22)+$CN22*DC22)*Peak_Time_Eve/3600,"-")</f>
        <v>-</v>
      </c>
      <c r="AT22" s="413" t="str">
        <f aca="false">IF(AT$6&lt;Total_Lanes,($BJ22*($CI22+CB22)+$CN22*DD22)*Peak_Time_Eve/3600,"-")</f>
        <v>-</v>
      </c>
      <c r="AU22" s="413" t="str">
        <f aca="false">IF(AU$6&lt;Total_Lanes,($BJ22*($CI22+CC22)+$CN22*DE22)*Peak_Time_Eve/3600,"-")</f>
        <v>-</v>
      </c>
      <c r="AV22" s="413" t="str">
        <f aca="false">IF(AV$6&lt;Total_Lanes,($BJ22*($CI22+CD22)+$CN22*DF22)*Peak_Time_Eve/3600,"-")</f>
        <v>-</v>
      </c>
      <c r="AW22" s="413" t="str">
        <f aca="false">IF(AW$6&lt;Total_Lanes,($BJ22*($CI22+CE22)+$CN22*DG22)*Peak_Time_Eve/3600,"-")</f>
        <v>-</v>
      </c>
      <c r="AX22" s="413" t="str">
        <f aca="false">IF(AX$6&lt;Total_Lanes,($BJ22*($CI22+CF22)+$CN22*DH22)*Peak_Time_Eve/3600,"-")</f>
        <v>-</v>
      </c>
      <c r="AY22" s="413" t="str">
        <f aca="false">IF(AY$6&lt;Total_Lanes,($BJ22*($CI22+CG22)+$CN22*DI22)*Peak_Time_Eve/3600,"-")</f>
        <v>-</v>
      </c>
      <c r="AZ22" s="414" t="str">
        <f aca="false">IF(AZ$6&lt;Total_Lanes,($BJ22*($CI22+CH22)+$CN22*DJ22)*Peak_Time_Eve/3600,"-")</f>
        <v>-</v>
      </c>
      <c r="BA22" s="436" t="n">
        <f aca="false">SUMIF(AF22:AZ22,BB22,$AF$6:$AZ$6)</f>
        <v>6</v>
      </c>
      <c r="BB22" s="437" t="n">
        <f aca="false">MIN(AF22:AZ22)</f>
        <v>13.794519839836</v>
      </c>
      <c r="BC22" s="436" t="n">
        <f aca="false">IF((SUMIF($BN20:$CH20,$BA22,$BN22:$CH22)+$CI22)&lt;(SUMIF($CP20:$DJ20,$BA22,$CP22:$DJ22)+$DK22),BA22+1,BA22)</f>
        <v>6</v>
      </c>
      <c r="BD22" s="437" t="n">
        <f aca="false">SUMIF($AF$6:$AZ$6,$BC22,$AF22:$AZ22)</f>
        <v>13.794519839836</v>
      </c>
      <c r="BG22" s="400" t="n">
        <v>15</v>
      </c>
      <c r="BH22" s="402" t="n">
        <f aca="false">$Y22</f>
        <v>0.7425</v>
      </c>
      <c r="BI22" s="418" t="n">
        <f aca="false">$AD22</f>
        <v>8226.58735040957</v>
      </c>
      <c r="BJ22" s="438" t="n">
        <f aca="false">BI22*(1-BH22)</f>
        <v>2118.34624273046</v>
      </c>
      <c r="BK22" s="420" t="n">
        <f aca="false">Peak_Arrival_Manual/K55</f>
        <v>3.86892404054245</v>
      </c>
      <c r="BL22" s="421" t="n">
        <f aca="false">900*Peak_Time_Eve*(BK22/Total_Lanes-1+SQRT((BK22/Total_Lanes-1)^2+8*(BK22/Total_Lanes)/(Peak_Time_Eve*$K55*Total_Lanes)))</f>
        <v>0.260681545495545</v>
      </c>
      <c r="BM22" s="422" t="n">
        <f aca="false">Peak_Arrival_Manual/N55</f>
        <v>4.05648594745087</v>
      </c>
      <c r="BN22" s="423" t="n">
        <f aca="false">IF(BN$6&lt;Total_Lanes,900*Peak_Time_Eve*(($BM22/(Total_Lanes-BN$6))-1+SQRT((($BM22/(Total_Lanes-BN$6))-1)^2+8*($BM22/(Total_Lanes-BN$6))/(Peak_Time_Eve*$N55*(Total_Lanes-BN$6)))),"-")</f>
        <v>0.366069499844079</v>
      </c>
      <c r="BO22" s="423" t="n">
        <f aca="false">IF(BO$6&lt;Total_Lanes,900*Peak_Time_Eve*(($BM22/(Total_Lanes-BO$6))-1+SQRT((($BM22/(Total_Lanes-BO$6))-1)^2+8*($BM22/(Total_Lanes-BO$6))/(Peak_Time_Eve*$N55*(Total_Lanes-BO$6)))),"-")</f>
        <v>0.470399383414621</v>
      </c>
      <c r="BP22" s="423" t="n">
        <f aca="false">IF(BP$6&lt;Total_Lanes,900*Peak_Time_Eve*(($BM22/(Total_Lanes-BP$6))-1+SQRT((($BM22/(Total_Lanes-BP$6))-1)^2+8*($BM22/(Total_Lanes-BP$6))/(Peak_Time_Eve*$N55*(Total_Lanes-BP$6)))),"-")</f>
        <v>0.628332097269801</v>
      </c>
      <c r="BQ22" s="423" t="n">
        <f aca="false">IF(BQ$6&lt;Total_Lanes,900*Peak_Time_Eve*(($BM22/(Total_Lanes-BQ$6))-1+SQRT((($BM22/(Total_Lanes-BQ$6))-1)^2+8*($BM22/(Total_Lanes-BQ$6))/(Peak_Time_Eve*$N55*(Total_Lanes-BQ$6)))),"-")</f>
        <v>0.885962536316154</v>
      </c>
      <c r="BR22" s="423" t="n">
        <f aca="false">IF(BR$6&lt;Total_Lanes,900*Peak_Time_Eve*(($BM22/(Total_Lanes-BR$6))-1+SQRT((($BM22/(Total_Lanes-BR$6))-1)^2+8*($BM22/(Total_Lanes-BR$6))/(Peak_Time_Eve*$N55*(Total_Lanes-BR$6)))),"-")</f>
        <v>1.35597758756388</v>
      </c>
      <c r="BS22" s="423" t="n">
        <f aca="false">IF(BS$6&lt;Total_Lanes,900*Peak_Time_Eve*(($BM22/(Total_Lanes-BS$6))-1+SQRT((($BM22/(Total_Lanes-BS$6))-1)^2+8*($BM22/(Total_Lanes-BS$6))/(Peak_Time_Eve*$N55*(Total_Lanes-BS$6)))),"-")</f>
        <v>2.39318453784909</v>
      </c>
      <c r="BT22" s="423" t="n">
        <f aca="false">IF(BT$6&lt;Total_Lanes,900*Peak_Time_Eve*(($BM22/(Total_Lanes-BT$6))-1+SQRT((($BM22/(Total_Lanes-BT$6))-1)^2+8*($BM22/(Total_Lanes-BT$6))/(Peak_Time_Eve*$N55*(Total_Lanes-BT$6)))),"-")</f>
        <v>5.87687175005447</v>
      </c>
      <c r="BU22" s="423" t="n">
        <f aca="false">IF(BU$6&lt;Total_Lanes,900*Peak_Time_Eve*(($BM22/(Total_Lanes-BU$6))-1+SQRT((($BM22/(Total_Lanes-BU$6))-1)^2+8*($BM22/(Total_Lanes-BU$6))/(Peak_Time_Eve*$N55*(Total_Lanes-BU$6)))),"-")</f>
        <v>108.713928964233</v>
      </c>
      <c r="BV22" s="423" t="n">
        <f aca="false">IF(BV$6&lt;Total_Lanes,900*Peak_Time_Eve*(($BM22/(Total_Lanes-BV$6))-1+SQRT((($BM22/(Total_Lanes-BV$6))-1)^2+8*($BM22/(Total_Lanes-BV$6))/(Peak_Time_Eve*$N55*(Total_Lanes-BV$6)))),"-")</f>
        <v>1276.54565939201</v>
      </c>
      <c r="BW22" s="423" t="n">
        <f aca="false">IF(BW$6&lt;Total_Lanes,900*Peak_Time_Eve*(($BM22/(Total_Lanes-BW$6))-1+SQRT((($BM22/(Total_Lanes-BW$6))-1)^2+8*($BM22/(Total_Lanes-BW$6))/(Peak_Time_Eve*$N55*(Total_Lanes-BW$6)))),"-")</f>
        <v>3708.46133677015</v>
      </c>
      <c r="BX22" s="423" t="n">
        <f aca="false">IF(BX$6&lt;Total_Lanes,900*Peak_Time_Eve*(($BM22/(Total_Lanes-BX$6))-1+SQRT((($BM22/(Total_Lanes-BX$6))-1)^2+8*($BM22/(Total_Lanes-BX$6))/(Peak_Time_Eve*$N55*(Total_Lanes-BX$6)))),"-")</f>
        <v>11012.4910155571</v>
      </c>
      <c r="BY22" s="413" t="str">
        <f aca="false">IF(BY$6&lt;Total_Lanes,900*Peak_Time_Eve*(($BM22/(Total_Lanes-BY$6))-1+SQRT((($BM22/(Total_Lanes-BY$6))-1)^2+8*($BM22/(Total_Lanes-BY$6))/(Peak_Time_Eve*$N55*(Total_Lanes-BY$6)))),"-")</f>
        <v>-</v>
      </c>
      <c r="BZ22" s="413" t="str">
        <f aca="false">IF(BZ$6&lt;Total_Lanes,900*Peak_Time_Eve*(($BM22/(Total_Lanes-BZ$6))-1+SQRT((($BM22/(Total_Lanes-BZ$6))-1)^2+8*($BM22/(Total_Lanes-BZ$6))/(Peak_Time_Eve*$N55*(Total_Lanes-BZ$6)))),"-")</f>
        <v>-</v>
      </c>
      <c r="CA22" s="413" t="str">
        <f aca="false">IF(CA$6&lt;Total_Lanes,900*Peak_Time_Eve*(($BM22/(Total_Lanes-CA$6))-1+SQRT((($BM22/(Total_Lanes-CA$6))-1)^2+8*($BM22/(Total_Lanes-CA$6))/(Peak_Time_Eve*$N55*(Total_Lanes-CA$6)))),"-")</f>
        <v>-</v>
      </c>
      <c r="CB22" s="413" t="str">
        <f aca="false">IF(CB$6&lt;Total_Lanes,900*Peak_Time_Eve*(($BM22/(Total_Lanes-CB$6))-1+SQRT((($BM22/(Total_Lanes-CB$6))-1)^2+8*($BM22/(Total_Lanes-CB$6))/(Peak_Time_Eve*$N55*(Total_Lanes-CB$6)))),"-")</f>
        <v>-</v>
      </c>
      <c r="CC22" s="413" t="str">
        <f aca="false">IF(CC$6&lt;Total_Lanes,900*Peak_Time_Eve*(($BM22/(Total_Lanes-CC$6))-1+SQRT((($BM22/(Total_Lanes-CC$6))-1)^2+8*($BM22/(Total_Lanes-CC$6))/(Peak_Time_Eve*$N55*(Total_Lanes-CC$6)))),"-")</f>
        <v>-</v>
      </c>
      <c r="CD22" s="413" t="str">
        <f aca="false">IF(CD$6&lt;Total_Lanes,900*Peak_Time_Eve*(($BM22/(Total_Lanes-CD$6))-1+SQRT((($BM22/(Total_Lanes-CD$6))-1)^2+8*($BM22/(Total_Lanes-CD$6))/(Peak_Time_Eve*$N55*(Total_Lanes-CD$6)))),"-")</f>
        <v>-</v>
      </c>
      <c r="CE22" s="413" t="str">
        <f aca="false">IF(CE$6&lt;Total_Lanes,900*Peak_Time_Eve*(($BM22/(Total_Lanes-CE$6))-1+SQRT((($BM22/(Total_Lanes-CE$6))-1)^2+8*($BM22/(Total_Lanes-CE$6))/(Peak_Time_Eve*$N55*(Total_Lanes-CE$6)))),"-")</f>
        <v>-</v>
      </c>
      <c r="CF22" s="413" t="str">
        <f aca="false">IF(CF$6&lt;Total_Lanes,900*Peak_Time_Eve*(($BM22/(Total_Lanes-CF$6))-1+SQRT((($BM22/(Total_Lanes-CF$6))-1)^2+8*($BM22/(Total_Lanes-CF$6))/(Peak_Time_Eve*$N55*(Total_Lanes-CF$6)))),"-")</f>
        <v>-</v>
      </c>
      <c r="CG22" s="413" t="str">
        <f aca="false">IF(CG$6&lt;Total_Lanes,900*Peak_Time_Eve*(($BM22/(Total_Lanes-CG$6))-1+SQRT((($BM22/(Total_Lanes-CG$6))-1)^2+8*($BM22/(Total_Lanes-CG$6))/(Peak_Time_Eve*$N55*(Total_Lanes-CG$6)))),"-")</f>
        <v>-</v>
      </c>
      <c r="CH22" s="424" t="str">
        <f aca="false">IF(CH$6&lt;Total_Lanes,900*Peak_Time_Eve*(($BM22/(Total_Lanes-CH$6))-1+SQRT((($BM22/(Total_Lanes-CH$6))-1)^2+8*($BM22/(Total_Lanes-CH$6))/(Peak_Time_Eve*$N55*(Total_Lanes-CH$6)))),"-")</f>
        <v>-</v>
      </c>
      <c r="CI22" s="439" t="n">
        <f aca="false">3600/N55</f>
        <v>6.89375</v>
      </c>
      <c r="CK22" s="400" t="n">
        <v>15</v>
      </c>
      <c r="CL22" s="402" t="n">
        <f aca="false">$Y22</f>
        <v>0.7425</v>
      </c>
      <c r="CM22" s="411" t="n">
        <f aca="false">$AD22</f>
        <v>8226.58735040957</v>
      </c>
      <c r="CN22" s="412" t="n">
        <f aca="false">CM22*CL22</f>
        <v>6108.2411076791</v>
      </c>
      <c r="CO22" s="440" t="n">
        <f aca="false">CN22/O54</f>
        <v>4.07216073845274</v>
      </c>
      <c r="CP22" s="444" t="n">
        <f aca="false">IF(CP$6&lt;Total_Lanes,900*Peak_Time_Eve*(($CO22/CP$6-1)+SQRT(($CO22/CP$6-1)^2+8*($CO22/CP$6)/(Peak_Time_Eve*$O55*CP$6))),"-")</f>
        <v>11062.9589530445</v>
      </c>
      <c r="CQ22" s="444" t="n">
        <f aca="false">IF(CQ$6&lt;Total_Lanes,900*Peak_Time_Eve*(($CO22/CQ$6-1)+SQRT(($CO22/CQ$6-1)^2+8*($CO22/CQ$6)/(Peak_Time_Eve*$O55*CQ$6))),"-")</f>
        <v>3732.24605143362</v>
      </c>
      <c r="CR22" s="444" t="n">
        <f aca="false">IF(CR$6&lt;Total_Lanes,900*Peak_Time_Eve*(($CO22/CR$6-1)+SQRT(($CO22/CR$6-1)^2+8*($CO22/CR$6)/(Peak_Time_Eve*$O55*CR$6))),"-")</f>
        <v>1289.62421439014</v>
      </c>
      <c r="CS22" s="444" t="n">
        <f aca="false">IF(CS$6&lt;Total_Lanes,900*Peak_Time_Eve*(($CO22/CS$6-1)+SQRT(($CO22/CS$6-1)^2+8*($CO22/CS$6)/(Peak_Time_Eve*$O55*CS$6))),"-")</f>
        <v>89.5110837277271</v>
      </c>
      <c r="CT22" s="444" t="n">
        <f aca="false">IF(CT$6&lt;Total_Lanes,900*Peak_Time_Eve*(($CO22/CT$6-1)+SQRT(($CO22/CT$6-1)^2+8*($CO22/CT$6)/(Peak_Time_Eve*$O55*CT$6))),"-")</f>
        <v>2.10005323622475</v>
      </c>
      <c r="CU22" s="444" t="n">
        <f aca="false">IF(CU$6&lt;Total_Lanes,900*Peak_Time_Eve*(($CO22/CU$6-1)+SQRT(($CO22/CU$6-1)^2+8*($CO22/CU$6)/(Peak_Time_Eve*$O55*CU$6))),"-")</f>
        <v>0.844300795606257</v>
      </c>
      <c r="CV22" s="444" t="n">
        <f aca="false">IF(CV$6&lt;Total_Lanes,900*Peak_Time_Eve*(($CO22/CV$6-1)+SQRT(($CO22/CV$6-1)^2+8*($CO22/CV$6)/(Peak_Time_Eve*$O55*CV$6))),"-")</f>
        <v>0.476709065415804</v>
      </c>
      <c r="CW22" s="444" t="n">
        <f aca="false">IF(CW$6&lt;Total_Lanes,900*Peak_Time_Eve*(($CO22/CW$6-1)+SQRT(($CO22/CW$6-1)^2+8*($CO22/CW$6)/(Peak_Time_Eve*$O55*CW$6))),"-")</f>
        <v>0.310968257232724</v>
      </c>
      <c r="CX22" s="444" t="n">
        <f aca="false">IF(CX$6&lt;Total_Lanes,900*Peak_Time_Eve*(($CO22/CX$6-1)+SQRT(($CO22/CX$6-1)^2+8*($CO22/CX$6)/(Peak_Time_Eve*$O55*CX$6))),"-")</f>
        <v>0.220337576168062</v>
      </c>
      <c r="CY22" s="444" t="n">
        <f aca="false">IF(CY$6&lt;Total_Lanes,900*Peak_Time_Eve*(($CO22/CY$6-1)+SQRT(($CO22/CY$6-1)^2+8*($CO22/CY$6)/(Peak_Time_Eve*$O55*CY$6))),"-")</f>
        <v>0.164856542250202</v>
      </c>
      <c r="CZ22" s="444" t="n">
        <f aca="false">IF(CZ$6&lt;Total_Lanes,900*Peak_Time_Eve*(($CO22/CZ$6-1)+SQRT(($CO22/CZ$6-1)^2+8*($CO22/CZ$6)/(Peak_Time_Eve*$O55*CZ$6))),"-")</f>
        <v>0.1282392894421</v>
      </c>
      <c r="DA22" s="445" t="str">
        <f aca="false">IF(DA$6&lt;Total_Lanes,900*Peak_Time_Eve*(($CO22/DA$6-1)+SQRT(($CO22/DA$6-1)^2+8*($CO22/DA$6)/(Peak_Time_Eve*$O55*DA$6))),"-")</f>
        <v>-</v>
      </c>
      <c r="DB22" s="445" t="str">
        <f aca="false">IF(DB$6&lt;Total_Lanes,900*Peak_Time_Eve*(($CO22/DB$6-1)+SQRT(($CO22/DB$6-1)^2+8*($CO22/DB$6)/(Peak_Time_Eve*$O55*DB$6))),"-")</f>
        <v>-</v>
      </c>
      <c r="DC22" s="445" t="str">
        <f aca="false">IF(DC$6&lt;Total_Lanes,900*Peak_Time_Eve*(($CO22/DC$6-1)+SQRT(($CO22/DC$6-1)^2+8*($CO22/DC$6)/(Peak_Time_Eve*$O55*DC$6))),"-")</f>
        <v>-</v>
      </c>
      <c r="DD22" s="445" t="str">
        <f aca="false">IF(DD$6&lt;Total_Lanes,900*Peak_Time_Eve*(($CO22/DD$6-1)+SQRT(($CO22/DD$6-1)^2+8*($CO22/DD$6)/(Peak_Time_Eve*$O55*DD$6))),"-")</f>
        <v>-</v>
      </c>
      <c r="DE22" s="445" t="str">
        <f aca="false">IF(DE$6&lt;Total_Lanes,900*Peak_Time_Eve*(($CO22/DE$6-1)+SQRT(($CO22/DE$6-1)^2+8*($CO22/DE$6)/(Peak_Time_Eve*$O55*DE$6))),"-")</f>
        <v>-</v>
      </c>
      <c r="DF22" s="445" t="str">
        <f aca="false">IF(DF$6&lt;Total_Lanes,900*Peak_Time_Eve*(($CO22/DF$6-1)+SQRT(($CO22/DF$6-1)^2+8*($CO22/DF$6)/(Peak_Time_Eve*$O55*DF$6))),"-")</f>
        <v>-</v>
      </c>
      <c r="DG22" s="445" t="str">
        <f aca="false">IF(DG$6&lt;Total_Lanes,900*Peak_Time_Eve*(($CO22/DG$6-1)+SQRT(($CO22/DG$6-1)^2+8*($CO22/DG$6)/(Peak_Time_Eve*$O55*DG$6))),"-")</f>
        <v>-</v>
      </c>
      <c r="DH22" s="445" t="str">
        <f aca="false">IF(DH$6&lt;Total_Lanes,900*Peak_Time_Eve*(($CO22/DH$6-1)+SQRT(($CO22/DH$6-1)^2+8*($CO22/DH$6)/(Peak_Time_Eve*$O55*DH$6))),"-")</f>
        <v>-</v>
      </c>
      <c r="DI22" s="445" t="str">
        <f aca="false">IF(DI$6&lt;Total_Lanes,900*Peak_Time_Eve*(($CO22/DI$6-1)+SQRT(($CO22/DI$6-1)^2+8*($CO22/DI$6)/(Peak_Time_Eve*$O55*DI$6))),"-")</f>
        <v>-</v>
      </c>
      <c r="DJ22" s="446" t="str">
        <f aca="false">IF(DJ$6&lt;Total_Lanes,900*Peak_Time_Eve*(($CO22/DJ$6-1)+SQRT(($CO22/DJ$6-1)^2+8*($CO22/DJ$6)/(Peak_Time_Eve*$O55*DJ$6))),"-")</f>
        <v>-</v>
      </c>
      <c r="DK22" s="447" t="n">
        <f aca="false">3600/O55</f>
        <v>2.4</v>
      </c>
    </row>
    <row r="23" customFormat="false" ht="12" hidden="false" customHeight="false" outlineLevel="0" collapsed="false">
      <c r="H23" s="400" t="n">
        <v>16</v>
      </c>
      <c r="I23" s="401" t="n">
        <f aca="false">'Input-Detail'!E30</f>
        <v>27803234.6</v>
      </c>
      <c r="J23" s="402" t="n">
        <f aca="false">'Input-Detail'!F30</f>
        <v>0.792</v>
      </c>
      <c r="K23" s="403" t="n">
        <f aca="false">AD23</f>
        <v>8392.35984043687</v>
      </c>
      <c r="L23" s="443" t="n">
        <f aca="false">IF(AD23&gt;AD71,BC23,BC71)</f>
        <v>7</v>
      </c>
      <c r="M23" s="412" t="n">
        <f aca="false">AE71</f>
        <v>13.9580975130969</v>
      </c>
      <c r="N23" s="427" t="n">
        <f aca="false">AE23</f>
        <v>31.5796295074339</v>
      </c>
      <c r="O23" s="427" t="n">
        <f aca="false">SUM(M23:N23)</f>
        <v>45.5377270205308</v>
      </c>
      <c r="P23" s="432" t="n">
        <f aca="false">$S$34*O23</f>
        <v>11839.809025338</v>
      </c>
      <c r="Q23" s="412" t="n">
        <f aca="false">SUMIF($AF$54:$AZ$54,L23,$AF71:$AZ71)</f>
        <v>3.30779797456131</v>
      </c>
      <c r="R23" s="427" t="n">
        <f aca="false">SUMIF($AF$6:$AZ$6,$L23,$AF23:$AZ23)</f>
        <v>11.6130572417369</v>
      </c>
      <c r="S23" s="427" t="n">
        <f aca="false">SUM(Q23:R23)</f>
        <v>14.9208552162982</v>
      </c>
      <c r="T23" s="433" t="n">
        <f aca="false">$S$34*S23</f>
        <v>3879.42235623752</v>
      </c>
      <c r="U23" s="372"/>
      <c r="V23" s="372"/>
      <c r="W23" s="400" t="n">
        <v>16</v>
      </c>
      <c r="X23" s="408" t="n">
        <f aca="false">X$7+(X$27-X$7)*$W23/20</f>
        <v>27803234.6</v>
      </c>
      <c r="Y23" s="402" t="n">
        <f aca="false">J23</f>
        <v>0.792</v>
      </c>
      <c r="Z23" s="408" t="n">
        <f aca="false">'Input-Detail'!E30/AA23</f>
        <v>11989.0854863384</v>
      </c>
      <c r="AA23" s="434" t="n">
        <f aca="false">AA22</f>
        <v>2319.04548780488</v>
      </c>
      <c r="AB23" s="434" t="n">
        <f aca="false">AB22</f>
        <v>2</v>
      </c>
      <c r="AC23" s="435" t="n">
        <f aca="false">AC22</f>
        <v>0.7</v>
      </c>
      <c r="AD23" s="411" t="n">
        <f aca="false">Z23*AC23</f>
        <v>8392.35984043687</v>
      </c>
      <c r="AE23" s="412" t="n">
        <f aca="false">Peak_Time_Eve*$BI23*(3600/K56+BL23)/3600</f>
        <v>31.5796295074339</v>
      </c>
      <c r="AF23" s="413" t="n">
        <f aca="false">IF(AF$6&lt;Total_Lanes,($BJ23*($CI23+BN23)+$CN23*CP23)*Peak_Time_Eve/3600,"-")</f>
        <v>45630.61395197</v>
      </c>
      <c r="AG23" s="413" t="n">
        <f aca="false">IF(AG$6&lt;Total_Lanes,($BJ23*($CI23+BO23)+$CN23*CQ23)*Peak_Time_Eve/3600,"-")</f>
        <v>16174.4668588916</v>
      </c>
      <c r="AH23" s="413" t="n">
        <f aca="false">IF(AH$6&lt;Total_Lanes,($BJ23*($CI23+BP23)+$CN23*CR23)*Peak_Time_Eve/3600,"-")</f>
        <v>6358.01583448718</v>
      </c>
      <c r="AI23" s="413" t="n">
        <f aca="false">IF(AI$6&lt;Total_Lanes,($BJ23*($CI23+BQ23)+$CN23*CS23)*Peak_Time_Eve/3600,"-")</f>
        <v>1462.65595198747</v>
      </c>
      <c r="AJ23" s="413" t="n">
        <f aca="false">IF(AJ$6&lt;Total_Lanes,($BJ23*($CI23+BR23)+$CN23*CT23)*Peak_Time_Eve/3600,"-")</f>
        <v>21.2699699601336</v>
      </c>
      <c r="AK23" s="413" t="n">
        <f aca="false">IF(AK$6&lt;Total_Lanes,($BJ23*($CI23+BS23)+$CN23*CU23)*Peak_Time_Eve/3600,"-")</f>
        <v>12.2875033428345</v>
      </c>
      <c r="AL23" s="413" t="n">
        <f aca="false">IF(AL$6&lt;Total_Lanes,($BJ23*($CI23+BT23)+$CN23*CV23)*Peak_Time_Eve/3600,"-")</f>
        <v>11.6130572417369</v>
      </c>
      <c r="AM23" s="413" t="n">
        <f aca="false">IF(AM$6&lt;Total_Lanes,($BJ23*($CI23+BU23)+$CN23*CW23)*Peak_Time_Eve/3600,"-")</f>
        <v>16.6402419699917</v>
      </c>
      <c r="AN23" s="413" t="n">
        <f aca="false">IF(AN$6&lt;Total_Lanes,($BJ23*($CI23+BV23)+$CN23*CX23)*Peak_Time_Eve/3600,"-")</f>
        <v>438.727963901596</v>
      </c>
      <c r="AO23" s="413" t="n">
        <f aca="false">IF(AO$6&lt;Total_Lanes,($BJ23*($CI23+BW23)+$CN23*CY23)*Peak_Time_Eve/3600,"-")</f>
        <v>2377.55098451193</v>
      </c>
      <c r="AP23" s="413" t="n">
        <f aca="false">IF(AP$6&lt;Total_Lanes,($BJ23*($CI23+BX23)+$CN23*CZ23)*Peak_Time_Eve/3600,"-")</f>
        <v>8231.73509245317</v>
      </c>
      <c r="AQ23" s="413" t="str">
        <f aca="false">IF(AQ$6&lt;Total_Lanes,($BJ23*($CI23+BY23)+$CN23*DA23)*Peak_Time_Eve/3600,"-")</f>
        <v>-</v>
      </c>
      <c r="AR23" s="413" t="str">
        <f aca="false">IF(AR$6&lt;Total_Lanes,($BJ23*($CI23+BZ23)+$CN23*DB23)*Peak_Time_Eve/3600,"-")</f>
        <v>-</v>
      </c>
      <c r="AS23" s="413" t="str">
        <f aca="false">IF(AS$6&lt;Total_Lanes,($BJ23*($CI23+CA23)+$CN23*DC23)*Peak_Time_Eve/3600,"-")</f>
        <v>-</v>
      </c>
      <c r="AT23" s="413" t="str">
        <f aca="false">IF(AT$6&lt;Total_Lanes,($BJ23*($CI23+CB23)+$CN23*DD23)*Peak_Time_Eve/3600,"-")</f>
        <v>-</v>
      </c>
      <c r="AU23" s="413" t="str">
        <f aca="false">IF(AU$6&lt;Total_Lanes,($BJ23*($CI23+CC23)+$CN23*DE23)*Peak_Time_Eve/3600,"-")</f>
        <v>-</v>
      </c>
      <c r="AV23" s="413" t="str">
        <f aca="false">IF(AV$6&lt;Total_Lanes,($BJ23*($CI23+CD23)+$CN23*DF23)*Peak_Time_Eve/3600,"-")</f>
        <v>-</v>
      </c>
      <c r="AW23" s="413" t="str">
        <f aca="false">IF(AW$6&lt;Total_Lanes,($BJ23*($CI23+CE23)+$CN23*DG23)*Peak_Time_Eve/3600,"-")</f>
        <v>-</v>
      </c>
      <c r="AX23" s="413" t="str">
        <f aca="false">IF(AX$6&lt;Total_Lanes,($BJ23*($CI23+CF23)+$CN23*DH23)*Peak_Time_Eve/3600,"-")</f>
        <v>-</v>
      </c>
      <c r="AY23" s="413" t="str">
        <f aca="false">IF(AY$6&lt;Total_Lanes,($BJ23*($CI23+CG23)+$CN23*DI23)*Peak_Time_Eve/3600,"-")</f>
        <v>-</v>
      </c>
      <c r="AZ23" s="414" t="str">
        <f aca="false">IF(AZ$6&lt;Total_Lanes,($BJ23*($CI23+CH23)+$CN23*DJ23)*Peak_Time_Eve/3600,"-")</f>
        <v>-</v>
      </c>
      <c r="BA23" s="436" t="n">
        <f aca="false">SUMIF(AF23:AZ23,BB23,$AF$6:$AZ$6)</f>
        <v>7</v>
      </c>
      <c r="BB23" s="437" t="n">
        <f aca="false">MIN(AF23:AZ23)</f>
        <v>11.6130572417369</v>
      </c>
      <c r="BC23" s="436" t="n">
        <f aca="false">IF((SUMIF($BN21:$CH21,$BA23,$BN23:$CH23)+$CI23)&lt;(SUMIF($CP21:$DJ21,$BA23,$CP23:$DJ23)+$DK23),BA23+1,BA23)</f>
        <v>7</v>
      </c>
      <c r="BD23" s="437" t="n">
        <f aca="false">SUMIF($AF$6:$AZ$6,$BC23,$AF23:$AZ23)</f>
        <v>11.6130572417369</v>
      </c>
      <c r="BG23" s="400" t="n">
        <v>16</v>
      </c>
      <c r="BH23" s="402" t="n">
        <f aca="false">$Y23</f>
        <v>0.792</v>
      </c>
      <c r="BI23" s="418" t="n">
        <f aca="false">$AD23</f>
        <v>8392.35984043687</v>
      </c>
      <c r="BJ23" s="438" t="n">
        <f aca="false">BI23*(1-BH23)</f>
        <v>1745.61084681087</v>
      </c>
      <c r="BK23" s="420" t="n">
        <f aca="false">Peak_Arrival_Manual/K56</f>
        <v>3.1881642549393</v>
      </c>
      <c r="BL23" s="421" t="n">
        <f aca="false">900*Peak_Time_Eve*(BK23/Total_Lanes-1+SQRT((BK23/Total_Lanes-1)^2+8*(BK23/Total_Lanes)/(Peak_Time_Eve*$K56*Total_Lanes)))</f>
        <v>0.198224003038217</v>
      </c>
      <c r="BM23" s="422" t="n">
        <f aca="false">Peak_Arrival_Manual/N56</f>
        <v>3.35302750158255</v>
      </c>
      <c r="BN23" s="423" t="n">
        <f aca="false">IF(BN$6&lt;Total_Lanes,900*Peak_Time_Eve*(($BM23/(Total_Lanes-BN$6))-1+SQRT((($BM23/(Total_Lanes-BN$6))-1)^2+8*($BM23/(Total_Lanes-BN$6))/(Peak_Time_Eve*$N56*(Total_Lanes-BN$6)))),"-")</f>
        <v>0.275612722414409</v>
      </c>
      <c r="BO23" s="423" t="n">
        <f aca="false">IF(BO$6&lt;Total_Lanes,900*Peak_Time_Eve*(($BM23/(Total_Lanes-BO$6))-1+SQRT((($BM23/(Total_Lanes-BO$6))-1)^2+8*($BM23/(Total_Lanes-BO$6))/(Peak_Time_Eve*$N56*(Total_Lanes-BO$6)))),"-")</f>
        <v>0.348772410734655</v>
      </c>
      <c r="BP23" s="423" t="n">
        <f aca="false">IF(BP$6&lt;Total_Lanes,900*Peak_Time_Eve*(($BM23/(Total_Lanes-BP$6))-1+SQRT((($BM23/(Total_Lanes-BP$6))-1)^2+8*($BM23/(Total_Lanes-BP$6))/(Peak_Time_Eve*$N56*(Total_Lanes-BP$6)))),"-")</f>
        <v>0.456124529348223</v>
      </c>
      <c r="BQ23" s="423" t="n">
        <f aca="false">IF(BQ$6&lt;Total_Lanes,900*Peak_Time_Eve*(($BM23/(Total_Lanes-BQ$6))-1+SQRT((($BM23/(Total_Lanes-BQ$6))-1)^2+8*($BM23/(Total_Lanes-BQ$6))/(Peak_Time_Eve*$N56*(Total_Lanes-BQ$6)))),"-")</f>
        <v>0.623504709943124</v>
      </c>
      <c r="BR23" s="423" t="n">
        <f aca="false">IF(BR$6&lt;Total_Lanes,900*Peak_Time_Eve*(($BM23/(Total_Lanes-BR$6))-1+SQRT((($BM23/(Total_Lanes-BR$6))-1)^2+8*($BM23/(Total_Lanes-BR$6))/(Peak_Time_Eve*$N56*(Total_Lanes-BR$6)))),"-")</f>
        <v>0.907796744358436</v>
      </c>
      <c r="BS23" s="423" t="n">
        <f aca="false">IF(BS$6&lt;Total_Lanes,900*Peak_Time_Eve*(($BM23/(Total_Lanes-BS$6))-1+SQRT((($BM23/(Total_Lanes-BS$6))-1)^2+8*($BM23/(Total_Lanes-BS$6))/(Peak_Time_Eve*$N56*(Total_Lanes-BS$6)))),"-")</f>
        <v>1.45857897786661</v>
      </c>
      <c r="BT23" s="423" t="n">
        <f aca="false">IF(BT$6&lt;Total_Lanes,900*Peak_Time_Eve*(($BM23/(Total_Lanes-BT$6))-1+SQRT((($BM23/(Total_Lanes-BT$6))-1)^2+8*($BM23/(Total_Lanes-BT$6))/(Peak_Time_Eve*$N56*(Total_Lanes-BT$6)))),"-")</f>
        <v>2.80895907918248</v>
      </c>
      <c r="BU23" s="423" t="n">
        <f aca="false">IF(BU$6&lt;Total_Lanes,900*Peak_Time_Eve*(($BM23/(Total_Lanes-BU$6))-1+SQRT((($BM23/(Total_Lanes-BU$6))-1)^2+8*($BM23/(Total_Lanes-BU$6))/(Peak_Time_Eve*$N56*(Total_Lanes-BU$6)))),"-")</f>
        <v>8.82572003941605</v>
      </c>
      <c r="BV23" s="423" t="n">
        <f aca="false">IF(BV$6&lt;Total_Lanes,900*Peak_Time_Eve*(($BM23/(Total_Lanes-BV$6))-1+SQRT((($BM23/(Total_Lanes-BV$6))-1)^2+8*($BM23/(Total_Lanes-BV$6))/(Peak_Time_Eve*$N56*(Total_Lanes-BV$6)))),"-")</f>
        <v>444.498051881006</v>
      </c>
      <c r="BW23" s="423" t="n">
        <f aca="false">IF(BW$6&lt;Total_Lanes,900*Peak_Time_Eve*(($BM23/(Total_Lanes-BW$6))-1+SQRT((($BM23/(Total_Lanes-BW$6))-1)^2+8*($BM23/(Total_Lanes-BW$6))/(Peak_Time_Eve*$N56*(Total_Lanes-BW$6)))),"-")</f>
        <v>2443.98782959612</v>
      </c>
      <c r="BX23" s="423" t="n">
        <f aca="false">IF(BX$6&lt;Total_Lanes,900*Peak_Time_Eve*(($BM23/(Total_Lanes-BX$6))-1+SQRT((($BM23/(Total_Lanes-BX$6))-1)^2+8*($BM23/(Total_Lanes-BX$6))/(Peak_Time_Eve*$N56*(Total_Lanes-BX$6)))),"-")</f>
        <v>8480.7413370815</v>
      </c>
      <c r="BY23" s="413" t="str">
        <f aca="false">IF(BY$6&lt;Total_Lanes,900*Peak_Time_Eve*(($BM23/(Total_Lanes-BY$6))-1+SQRT((($BM23/(Total_Lanes-BY$6))-1)^2+8*($BM23/(Total_Lanes-BY$6))/(Peak_Time_Eve*$N56*(Total_Lanes-BY$6)))),"-")</f>
        <v>-</v>
      </c>
      <c r="BZ23" s="413" t="str">
        <f aca="false">IF(BZ$6&lt;Total_Lanes,900*Peak_Time_Eve*(($BM23/(Total_Lanes-BZ$6))-1+SQRT((($BM23/(Total_Lanes-BZ$6))-1)^2+8*($BM23/(Total_Lanes-BZ$6))/(Peak_Time_Eve*$N56*(Total_Lanes-BZ$6)))),"-")</f>
        <v>-</v>
      </c>
      <c r="CA23" s="413" t="str">
        <f aca="false">IF(CA$6&lt;Total_Lanes,900*Peak_Time_Eve*(($BM23/(Total_Lanes-CA$6))-1+SQRT((($BM23/(Total_Lanes-CA$6))-1)^2+8*($BM23/(Total_Lanes-CA$6))/(Peak_Time_Eve*$N56*(Total_Lanes-CA$6)))),"-")</f>
        <v>-</v>
      </c>
      <c r="CB23" s="413" t="str">
        <f aca="false">IF(CB$6&lt;Total_Lanes,900*Peak_Time_Eve*(($BM23/(Total_Lanes-CB$6))-1+SQRT((($BM23/(Total_Lanes-CB$6))-1)^2+8*($BM23/(Total_Lanes-CB$6))/(Peak_Time_Eve*$N56*(Total_Lanes-CB$6)))),"-")</f>
        <v>-</v>
      </c>
      <c r="CC23" s="413" t="str">
        <f aca="false">IF(CC$6&lt;Total_Lanes,900*Peak_Time_Eve*(($BM23/(Total_Lanes-CC$6))-1+SQRT((($BM23/(Total_Lanes-CC$6))-1)^2+8*($BM23/(Total_Lanes-CC$6))/(Peak_Time_Eve*$N56*(Total_Lanes-CC$6)))),"-")</f>
        <v>-</v>
      </c>
      <c r="CD23" s="413" t="str">
        <f aca="false">IF(CD$6&lt;Total_Lanes,900*Peak_Time_Eve*(($BM23/(Total_Lanes-CD$6))-1+SQRT((($BM23/(Total_Lanes-CD$6))-1)^2+8*($BM23/(Total_Lanes-CD$6))/(Peak_Time_Eve*$N56*(Total_Lanes-CD$6)))),"-")</f>
        <v>-</v>
      </c>
      <c r="CE23" s="413" t="str">
        <f aca="false">IF(CE$6&lt;Total_Lanes,900*Peak_Time_Eve*(($BM23/(Total_Lanes-CE$6))-1+SQRT((($BM23/(Total_Lanes-CE$6))-1)^2+8*($BM23/(Total_Lanes-CE$6))/(Peak_Time_Eve*$N56*(Total_Lanes-CE$6)))),"-")</f>
        <v>-</v>
      </c>
      <c r="CF23" s="413" t="str">
        <f aca="false">IF(CF$6&lt;Total_Lanes,900*Peak_Time_Eve*(($BM23/(Total_Lanes-CF$6))-1+SQRT((($BM23/(Total_Lanes-CF$6))-1)^2+8*($BM23/(Total_Lanes-CF$6))/(Peak_Time_Eve*$N56*(Total_Lanes-CF$6)))),"-")</f>
        <v>-</v>
      </c>
      <c r="CG23" s="413" t="str">
        <f aca="false">IF(CG$6&lt;Total_Lanes,900*Peak_Time_Eve*(($BM23/(Total_Lanes-CG$6))-1+SQRT((($BM23/(Total_Lanes-CG$6))-1)^2+8*($BM23/(Total_Lanes-CG$6))/(Peak_Time_Eve*$N56*(Total_Lanes-CG$6)))),"-")</f>
        <v>-</v>
      </c>
      <c r="CH23" s="424" t="str">
        <f aca="false">IF(CH$6&lt;Total_Lanes,900*Peak_Time_Eve*(($BM23/(Total_Lanes-CH$6))-1+SQRT((($BM23/(Total_Lanes-CH$6))-1)^2+8*($BM23/(Total_Lanes-CH$6))/(Peak_Time_Eve*$N56*(Total_Lanes-CH$6)))),"-")</f>
        <v>-</v>
      </c>
      <c r="CI23" s="439" t="n">
        <f aca="false">3600/N56</f>
        <v>6.915</v>
      </c>
      <c r="CK23" s="400" t="n">
        <v>16</v>
      </c>
      <c r="CL23" s="402" t="n">
        <f aca="false">$Y23</f>
        <v>0.792</v>
      </c>
      <c r="CM23" s="411" t="n">
        <f aca="false">$AD23</f>
        <v>8392.35984043687</v>
      </c>
      <c r="CN23" s="412" t="n">
        <f aca="false">CM23*CL23</f>
        <v>6646.748993626</v>
      </c>
      <c r="CO23" s="440" t="n">
        <f aca="false">CN23/O55</f>
        <v>4.43116599575067</v>
      </c>
      <c r="CP23" s="444" t="n">
        <f aca="false">IF(CP$6&lt;Total_Lanes,900*Peak_Time_Eve*(($CO23/CP$6-1)+SQRT(($CO23/CP$6-1)^2+8*($CO23/CP$6)/(Peak_Time_Eve*$O56*CP$6))),"-")</f>
        <v>12355.2962780354</v>
      </c>
      <c r="CQ23" s="444" t="n">
        <f aca="false">IF(CQ$6&lt;Total_Lanes,900*Peak_Time_Eve*(($CO23/CQ$6-1)+SQRT(($CO23/CQ$6-1)^2+8*($CO23/CQ$6)/(Peak_Time_Eve*$O56*CQ$6))),"-")</f>
        <v>4378.28488092496</v>
      </c>
      <c r="CR23" s="444" t="n">
        <f aca="false">IF(CR$6&lt;Total_Lanes,900*Peak_Time_Eve*(($CO23/CR$6-1)+SQRT(($CO23/CR$6-1)^2+8*($CO23/CR$6)/(Peak_Time_Eve*$O56*CR$6))),"-")</f>
        <v>1719.87258705087</v>
      </c>
      <c r="CS23" s="444" t="n">
        <f aca="false">IF(CS$6&lt;Total_Lanes,900*Peak_Time_Eve*(($CO23/CS$6-1)+SQRT(($CO23/CS$6-1)^2+8*($CO23/CS$6)/(Peak_Time_Eve*$O56*CS$6))),"-")</f>
        <v>394.120707807554</v>
      </c>
      <c r="CT23" s="444" t="n">
        <f aca="false">IF(CT$6&lt;Total_Lanes,900*Peak_Time_Eve*(($CO23/CT$6-1)+SQRT(($CO23/CT$6-1)^2+8*($CO23/CT$6)/(Peak_Time_Eve*$O56*CT$6))),"-")</f>
        <v>3.70562918842148</v>
      </c>
      <c r="CU23" s="444" t="n">
        <f aca="false">IF(CU$6&lt;Total_Lanes,900*Peak_Time_Eve*(($CO23/CU$6-1)+SQRT(($CO23/CU$6-1)^2+8*($CO23/CU$6)/(Peak_Time_Eve*$O56*CU$6))),"-")</f>
        <v>1.12844576106356</v>
      </c>
      <c r="CV23" s="444" t="n">
        <f aca="false">IF(CV$6&lt;Total_Lanes,900*Peak_Time_Eve*(($CO23/CV$6-1)+SQRT(($CO23/CV$6-1)^2+8*($CO23/CV$6)/(Peak_Time_Eve*$O56*CV$6))),"-")</f>
        <v>0.591154351748258</v>
      </c>
      <c r="CW23" s="444" t="n">
        <f aca="false">IF(CW$6&lt;Total_Lanes,900*Peak_Time_Eve*(($CO23/CW$6-1)+SQRT(($CO23/CW$6-1)^2+8*($CO23/CW$6)/(Peak_Time_Eve*$O56*CW$6))),"-")</f>
        <v>0.372402194056198</v>
      </c>
      <c r="CX23" s="444" t="n">
        <f aca="false">IF(CX$6&lt;Total_Lanes,900*Peak_Time_Eve*(($CO23/CX$6-1)+SQRT(($CO23/CX$6-1)^2+8*($CO23/CX$6)/(Peak_Time_Eve*$O56*CX$6))),"-")</f>
        <v>0.258594881353269</v>
      </c>
      <c r="CY23" s="444" t="n">
        <f aca="false">IF(CY$6&lt;Total_Lanes,900*Peak_Time_Eve*(($CO23/CY$6-1)+SQRT(($CO23/CY$6-1)^2+8*($CO23/CY$6)/(Peak_Time_Eve*$O56*CY$6))),"-")</f>
        <v>0.190951742008849</v>
      </c>
      <c r="CZ23" s="444" t="n">
        <f aca="false">IF(CZ$6&lt;Total_Lanes,900*Peak_Time_Eve*(($CO23/CZ$6-1)+SQRT(($CO23/CZ$6-1)^2+8*($CO23/CZ$6)/(Peak_Time_Eve*$O56*CZ$6))),"-")</f>
        <v>0.147169752335152</v>
      </c>
      <c r="DA23" s="445" t="str">
        <f aca="false">IF(DA$6&lt;Total_Lanes,900*Peak_Time_Eve*(($CO23/DA$6-1)+SQRT(($CO23/DA$6-1)^2+8*($CO23/DA$6)/(Peak_Time_Eve*$O56*DA$6))),"-")</f>
        <v>-</v>
      </c>
      <c r="DB23" s="445" t="str">
        <f aca="false">IF(DB$6&lt;Total_Lanes,900*Peak_Time_Eve*(($CO23/DB$6-1)+SQRT(($CO23/DB$6-1)^2+8*($CO23/DB$6)/(Peak_Time_Eve*$O56*DB$6))),"-")</f>
        <v>-</v>
      </c>
      <c r="DC23" s="445" t="str">
        <f aca="false">IF(DC$6&lt;Total_Lanes,900*Peak_Time_Eve*(($CO23/DC$6-1)+SQRT(($CO23/DC$6-1)^2+8*($CO23/DC$6)/(Peak_Time_Eve*$O56*DC$6))),"-")</f>
        <v>-</v>
      </c>
      <c r="DD23" s="445" t="str">
        <f aca="false">IF(DD$6&lt;Total_Lanes,900*Peak_Time_Eve*(($CO23/DD$6-1)+SQRT(($CO23/DD$6-1)^2+8*($CO23/DD$6)/(Peak_Time_Eve*$O56*DD$6))),"-")</f>
        <v>-</v>
      </c>
      <c r="DE23" s="445" t="str">
        <f aca="false">IF(DE$6&lt;Total_Lanes,900*Peak_Time_Eve*(($CO23/DE$6-1)+SQRT(($CO23/DE$6-1)^2+8*($CO23/DE$6)/(Peak_Time_Eve*$O56*DE$6))),"-")</f>
        <v>-</v>
      </c>
      <c r="DF23" s="445" t="str">
        <f aca="false">IF(DF$6&lt;Total_Lanes,900*Peak_Time_Eve*(($CO23/DF$6-1)+SQRT(($CO23/DF$6-1)^2+8*($CO23/DF$6)/(Peak_Time_Eve*$O56*DF$6))),"-")</f>
        <v>-</v>
      </c>
      <c r="DG23" s="445" t="str">
        <f aca="false">IF(DG$6&lt;Total_Lanes,900*Peak_Time_Eve*(($CO23/DG$6-1)+SQRT(($CO23/DG$6-1)^2+8*($CO23/DG$6)/(Peak_Time_Eve*$O56*DG$6))),"-")</f>
        <v>-</v>
      </c>
      <c r="DH23" s="445" t="str">
        <f aca="false">IF(DH$6&lt;Total_Lanes,900*Peak_Time_Eve*(($CO23/DH$6-1)+SQRT(($CO23/DH$6-1)^2+8*($CO23/DH$6)/(Peak_Time_Eve*$O56*DH$6))),"-")</f>
        <v>-</v>
      </c>
      <c r="DI23" s="445" t="str">
        <f aca="false">IF(DI$6&lt;Total_Lanes,900*Peak_Time_Eve*(($CO23/DI$6-1)+SQRT(($CO23/DI$6-1)^2+8*($CO23/DI$6)/(Peak_Time_Eve*$O56*DI$6))),"-")</f>
        <v>-</v>
      </c>
      <c r="DJ23" s="446" t="str">
        <f aca="false">IF(DJ$6&lt;Total_Lanes,900*Peak_Time_Eve*(($CO23/DJ$6-1)+SQRT(($CO23/DJ$6-1)^2+8*($CO23/DJ$6)/(Peak_Time_Eve*$O56*DJ$6))),"-")</f>
        <v>-</v>
      </c>
      <c r="DK23" s="447" t="n">
        <f aca="false">3600/O56</f>
        <v>2.4</v>
      </c>
    </row>
    <row r="24" customFormat="false" ht="12" hidden="false" customHeight="false" outlineLevel="0" collapsed="false">
      <c r="H24" s="400" t="n">
        <v>17</v>
      </c>
      <c r="I24" s="401" t="n">
        <f aca="false">'Input-Detail'!E31</f>
        <v>28352425.95</v>
      </c>
      <c r="J24" s="402" t="n">
        <f aca="false">'Input-Detail'!F31</f>
        <v>0.8415</v>
      </c>
      <c r="K24" s="403" t="n">
        <f aca="false">AD24</f>
        <v>8558.13233046418</v>
      </c>
      <c r="L24" s="443" t="n">
        <f aca="false">IF(AD24&gt;AD72,BC24,BC72)</f>
        <v>7</v>
      </c>
      <c r="M24" s="412" t="n">
        <f aca="false">AE72</f>
        <v>14.2420249676237</v>
      </c>
      <c r="N24" s="427" t="n">
        <f aca="false">AE24</f>
        <v>31.9386699974259</v>
      </c>
      <c r="O24" s="427" t="n">
        <f aca="false">SUM(M24:N24)</f>
        <v>46.1806949650496</v>
      </c>
      <c r="P24" s="432" t="n">
        <f aca="false">$S$34*O24</f>
        <v>12006.9806909129</v>
      </c>
      <c r="Q24" s="412" t="n">
        <f aca="false">SUMIF($AF$54:$AZ$54,L24,$AF72:$AZ72)</f>
        <v>2.61424755821487</v>
      </c>
      <c r="R24" s="427" t="n">
        <f aca="false">SUMIF($AF$6:$AZ$6,$L24,$AF24:$AZ24)</f>
        <v>9.36411648567658</v>
      </c>
      <c r="S24" s="427" t="n">
        <f aca="false">SUM(Q24:R24)</f>
        <v>11.9783640438915</v>
      </c>
      <c r="T24" s="433" t="n">
        <f aca="false">$S$34*S24</f>
        <v>3114.37465141178</v>
      </c>
      <c r="U24" s="372"/>
      <c r="V24" s="372"/>
      <c r="W24" s="400" t="n">
        <v>17</v>
      </c>
      <c r="X24" s="408" t="n">
        <f aca="false">X$7+(X$27-X$7)*$W24/20</f>
        <v>28352425.95</v>
      </c>
      <c r="Y24" s="402" t="n">
        <f aca="false">J24</f>
        <v>0.8415</v>
      </c>
      <c r="Z24" s="408" t="n">
        <f aca="false">'Input-Detail'!E31/AA24</f>
        <v>12225.9033292345</v>
      </c>
      <c r="AA24" s="434" t="n">
        <f aca="false">AA23</f>
        <v>2319.04548780488</v>
      </c>
      <c r="AB24" s="434" t="n">
        <f aca="false">AB23</f>
        <v>2</v>
      </c>
      <c r="AC24" s="435" t="n">
        <f aca="false">AC23</f>
        <v>0.7</v>
      </c>
      <c r="AD24" s="411" t="n">
        <f aca="false">Z24*AC24</f>
        <v>8558.13233046418</v>
      </c>
      <c r="AE24" s="412" t="n">
        <f aca="false">Peak_Time_Eve*$BI24*(3600/K57+BL24)/3600</f>
        <v>31.9386699974259</v>
      </c>
      <c r="AF24" s="413" t="n">
        <f aca="false">IF(AF$6&lt;Total_Lanes,($BJ24*($CI24+BN24)+$CN24*CP24)*Peak_Time_Eve/3600,"-")</f>
        <v>54766.2003102651</v>
      </c>
      <c r="AG24" s="413" t="n">
        <f aca="false">IF(AG$6&lt;Total_Lanes,($BJ24*($CI24+BO24)+$CN24*CQ24)*Peak_Time_Eve/3600,"-")</f>
        <v>20186.319153599</v>
      </c>
      <c r="AH24" s="413" t="n">
        <f aca="false">IF(AH$6&lt;Total_Lanes,($BJ24*($CI24+BP24)+$CN24*CR24)*Peak_Time_Eve/3600,"-")</f>
        <v>8661.33036342104</v>
      </c>
      <c r="AI24" s="413" t="n">
        <f aca="false">IF(AI$6&lt;Total_Lanes,($BJ24*($CI24+BQ24)+$CN24*CS24)*Peak_Time_Eve/3600,"-")</f>
        <v>2904.53202347649</v>
      </c>
      <c r="AJ24" s="413" t="n">
        <f aca="false">IF(AJ$6&lt;Total_Lanes,($BJ24*($CI24+BR24)+$CN24*CT24)*Peak_Time_Eve/3600,"-")</f>
        <v>48.7865593010078</v>
      </c>
      <c r="AK24" s="413" t="n">
        <f aca="false">IF(AK$6&lt;Total_Lanes,($BJ24*($CI24+BS24)+$CN24*CU24)*Peak_Time_Eve/3600,"-")</f>
        <v>12.2938483442402</v>
      </c>
      <c r="AL24" s="413" t="n">
        <f aca="false">IF(AL$6&lt;Total_Lanes,($BJ24*($CI24+BT24)+$CN24*CV24)*Peak_Time_Eve/3600,"-")</f>
        <v>9.36411648567658</v>
      </c>
      <c r="AM24" s="413" t="n">
        <f aca="false">IF(AM$6&lt;Total_Lanes,($BJ24*($CI24+BU24)+$CN24*CW24)*Peak_Time_Eve/3600,"-")</f>
        <v>9.48492448986678</v>
      </c>
      <c r="AN24" s="413" t="n">
        <f aca="false">IF(AN$6&lt;Total_Lanes,($BJ24*($CI24+BV24)+$CN24*CX24)*Peak_Time_Eve/3600,"-")</f>
        <v>17.8577234140533</v>
      </c>
      <c r="AO24" s="413" t="n">
        <f aca="false">IF(AO$6&lt;Total_Lanes,($BJ24*($CI24+BW24)+$CN24*CY24)*Peak_Time_Eve/3600,"-")</f>
        <v>849.357605620549</v>
      </c>
      <c r="AP24" s="413" t="n">
        <f aca="false">IF(AP$6&lt;Total_Lanes,($BJ24*($CI24+BX24)+$CN24*CZ24)*Peak_Time_Eve/3600,"-")</f>
        <v>4391.79322143069</v>
      </c>
      <c r="AQ24" s="413" t="str">
        <f aca="false">IF(AQ$6&lt;Total_Lanes,($BJ24*($CI24+BY24)+$CN24*DA24)*Peak_Time_Eve/3600,"-")</f>
        <v>-</v>
      </c>
      <c r="AR24" s="413" t="str">
        <f aca="false">IF(AR$6&lt;Total_Lanes,($BJ24*($CI24+BZ24)+$CN24*DB24)*Peak_Time_Eve/3600,"-")</f>
        <v>-</v>
      </c>
      <c r="AS24" s="413" t="str">
        <f aca="false">IF(AS$6&lt;Total_Lanes,($BJ24*($CI24+CA24)+$CN24*DC24)*Peak_Time_Eve/3600,"-")</f>
        <v>-</v>
      </c>
      <c r="AT24" s="413" t="str">
        <f aca="false">IF(AT$6&lt;Total_Lanes,($BJ24*($CI24+CB24)+$CN24*DD24)*Peak_Time_Eve/3600,"-")</f>
        <v>-</v>
      </c>
      <c r="AU24" s="413" t="str">
        <f aca="false">IF(AU$6&lt;Total_Lanes,($BJ24*($CI24+CC24)+$CN24*DE24)*Peak_Time_Eve/3600,"-")</f>
        <v>-</v>
      </c>
      <c r="AV24" s="413" t="str">
        <f aca="false">IF(AV$6&lt;Total_Lanes,($BJ24*($CI24+CD24)+$CN24*DF24)*Peak_Time_Eve/3600,"-")</f>
        <v>-</v>
      </c>
      <c r="AW24" s="413" t="str">
        <f aca="false">IF(AW$6&lt;Total_Lanes,($BJ24*($CI24+CE24)+$CN24*DG24)*Peak_Time_Eve/3600,"-")</f>
        <v>-</v>
      </c>
      <c r="AX24" s="413" t="str">
        <f aca="false">IF(AX$6&lt;Total_Lanes,($BJ24*($CI24+CF24)+$CN24*DH24)*Peak_Time_Eve/3600,"-")</f>
        <v>-</v>
      </c>
      <c r="AY24" s="413" t="str">
        <f aca="false">IF(AY$6&lt;Total_Lanes,($BJ24*($CI24+CG24)+$CN24*DI24)*Peak_Time_Eve/3600,"-")</f>
        <v>-</v>
      </c>
      <c r="AZ24" s="414" t="str">
        <f aca="false">IF(AZ$6&lt;Total_Lanes,($BJ24*($CI24+CH24)+$CN24*DJ24)*Peak_Time_Eve/3600,"-")</f>
        <v>-</v>
      </c>
      <c r="BA24" s="436" t="n">
        <f aca="false">SUMIF(AF24:AZ24,BB24,$AF$6:$AZ$6)</f>
        <v>7</v>
      </c>
      <c r="BB24" s="437" t="n">
        <f aca="false">MIN(AF24:AZ24)</f>
        <v>9.36411648567658</v>
      </c>
      <c r="BC24" s="436" t="n">
        <f aca="false">IF((SUMIF($BN22:$CH22,$BA24,$BN24:$CH24)+$CI24)&lt;(SUMIF($CP22:$DJ22,$BA24,$CP24:$DJ24)+$DK24),BA24+1,BA24)</f>
        <v>7</v>
      </c>
      <c r="BD24" s="437" t="n">
        <f aca="false">SUMIF($AF$6:$AZ$6,$BC24,$AF24:$AZ24)</f>
        <v>9.36411648567658</v>
      </c>
      <c r="BG24" s="400" t="n">
        <v>17</v>
      </c>
      <c r="BH24" s="402" t="n">
        <f aca="false">$Y24</f>
        <v>0.8415</v>
      </c>
      <c r="BI24" s="418" t="n">
        <f aca="false">$AD24</f>
        <v>8558.13233046418</v>
      </c>
      <c r="BJ24" s="438" t="n">
        <f aca="false">BI24*(1-BH24)</f>
        <v>1356.46397437857</v>
      </c>
      <c r="BK24" s="420" t="n">
        <f aca="false">Peak_Arrival_Manual/K57</f>
        <v>2.47743073098309</v>
      </c>
      <c r="BL24" s="421" t="n">
        <f aca="false">900*Peak_Time_Eve*(BK24/Total_Lanes-1+SQRT((BK24/Total_Lanes-1)^2+8*(BK24/Total_Lanes)/(Peak_Time_Eve*$K57*Total_Lanes)))</f>
        <v>0.142541138119845</v>
      </c>
      <c r="BM24" s="422" t="n">
        <f aca="false">Peak_Arrival_Manual/N57</f>
        <v>2.61354812285649</v>
      </c>
      <c r="BN24" s="423" t="n">
        <f aca="false">IF(BN$6&lt;Total_Lanes,900*Peak_Time_Eve*(($BM24/(Total_Lanes-BN$6))-1+SQRT((($BM24/(Total_Lanes-BN$6))-1)^2+8*($BM24/(Total_Lanes-BN$6))/(Peak_Time_Eve*$N57*(Total_Lanes-BN$6)))),"-")</f>
        <v>0.196495769041705</v>
      </c>
      <c r="BO24" s="423" t="n">
        <f aca="false">IF(BO$6&lt;Total_Lanes,900*Peak_Time_Eve*(($BM24/(Total_Lanes-BO$6))-1+SQRT((($BM24/(Total_Lanes-BO$6))-1)^2+8*($BM24/(Total_Lanes-BO$6))/(Peak_Time_Eve*$N57*(Total_Lanes-BO$6)))),"-")</f>
        <v>0.245402672652828</v>
      </c>
      <c r="BP24" s="423" t="n">
        <f aca="false">IF(BP$6&lt;Total_Lanes,900*Peak_Time_Eve*(($BM24/(Total_Lanes-BP$6))-1+SQRT((($BM24/(Total_Lanes-BP$6))-1)^2+8*($BM24/(Total_Lanes-BP$6))/(Peak_Time_Eve*$N57*(Total_Lanes-BP$6)))),"-")</f>
        <v>0.315354822310998</v>
      </c>
      <c r="BQ24" s="423" t="n">
        <f aca="false">IF(BQ$6&lt;Total_Lanes,900*Peak_Time_Eve*(($BM24/(Total_Lanes-BQ$6))-1+SQRT((($BM24/(Total_Lanes-BQ$6))-1)^2+8*($BM24/(Total_Lanes-BQ$6))/(Peak_Time_Eve*$N57*(Total_Lanes-BQ$6)))),"-")</f>
        <v>0.42061728099807</v>
      </c>
      <c r="BR24" s="423" t="n">
        <f aca="false">IF(BR$6&lt;Total_Lanes,900*Peak_Time_Eve*(($BM24/(Total_Lanes-BR$6))-1+SQRT((($BM24/(Total_Lanes-BR$6))-1)^2+8*($BM24/(Total_Lanes-BR$6))/(Peak_Time_Eve*$N57*(Total_Lanes-BR$6)))),"-")</f>
        <v>0.59024214158665</v>
      </c>
      <c r="BS24" s="423" t="n">
        <f aca="false">IF(BS$6&lt;Total_Lanes,900*Peak_Time_Eve*(($BM24/(Total_Lanes-BS$6))-1+SQRT((($BM24/(Total_Lanes-BS$6))-1)^2+8*($BM24/(Total_Lanes-BS$6))/(Peak_Time_Eve*$N57*(Total_Lanes-BS$6)))),"-")</f>
        <v>0.891802133623965</v>
      </c>
      <c r="BT24" s="423" t="n">
        <f aca="false">IF(BT$6&lt;Total_Lanes,900*Peak_Time_Eve*(($BM24/(Total_Lanes-BT$6))-1+SQRT((($BM24/(Total_Lanes-BT$6))-1)^2+8*($BM24/(Total_Lanes-BT$6))/(Peak_Time_Eve*$N57*(Total_Lanes-BT$6)))),"-")</f>
        <v>1.51792062217054</v>
      </c>
      <c r="BU24" s="423" t="n">
        <f aca="false">IF(BU$6&lt;Total_Lanes,900*Peak_Time_Eve*(($BM24/(Total_Lanes-BU$6))-1+SQRT((($BM24/(Total_Lanes-BU$6))-1)^2+8*($BM24/(Total_Lanes-BU$6))/(Peak_Time_Eve*$N57*(Total_Lanes-BU$6)))),"-")</f>
        <v>3.26029721522111</v>
      </c>
      <c r="BV24" s="423" t="n">
        <f aca="false">IF(BV$6&lt;Total_Lanes,900*Peak_Time_Eve*(($BM24/(Total_Lanes-BV$6))-1+SQRT((($BM24/(Total_Lanes-BV$6))-1)^2+8*($BM24/(Total_Lanes-BV$6))/(Peak_Time_Eve*$N57*(Total_Lanes-BV$6)))),"-")</f>
        <v>15.1420484071737</v>
      </c>
      <c r="BW24" s="423" t="n">
        <f aca="false">IF(BW$6&lt;Total_Lanes,900*Peak_Time_Eve*(($BM24/(Total_Lanes-BW$6))-1+SQRT((($BM24/(Total_Lanes-BW$6))-1)^2+8*($BM24/(Total_Lanes-BW$6))/(Peak_Time_Eve*$N57*(Total_Lanes-BW$6)))),"-")</f>
        <v>1118.96738645085</v>
      </c>
      <c r="BX24" s="423" t="n">
        <f aca="false">IF(BX$6&lt;Total_Lanes,900*Peak_Time_Eve*(($BM24/(Total_Lanes-BX$6))-1+SQRT((($BM24/(Total_Lanes-BX$6))-1)^2+8*($BM24/(Total_Lanes-BX$6))/(Peak_Time_Eve*$N57*(Total_Lanes-BX$6)))),"-")</f>
        <v>5819.98660201503</v>
      </c>
      <c r="BY24" s="413" t="str">
        <f aca="false">IF(BY$6&lt;Total_Lanes,900*Peak_Time_Eve*(($BM24/(Total_Lanes-BY$6))-1+SQRT((($BM24/(Total_Lanes-BY$6))-1)^2+8*($BM24/(Total_Lanes-BY$6))/(Peak_Time_Eve*$N57*(Total_Lanes-BY$6)))),"-")</f>
        <v>-</v>
      </c>
      <c r="BZ24" s="413" t="str">
        <f aca="false">IF(BZ$6&lt;Total_Lanes,900*Peak_Time_Eve*(($BM24/(Total_Lanes-BZ$6))-1+SQRT((($BM24/(Total_Lanes-BZ$6))-1)^2+8*($BM24/(Total_Lanes-BZ$6))/(Peak_Time_Eve*$N57*(Total_Lanes-BZ$6)))),"-")</f>
        <v>-</v>
      </c>
      <c r="CA24" s="413" t="str">
        <f aca="false">IF(CA$6&lt;Total_Lanes,900*Peak_Time_Eve*(($BM24/(Total_Lanes-CA$6))-1+SQRT((($BM24/(Total_Lanes-CA$6))-1)^2+8*($BM24/(Total_Lanes-CA$6))/(Peak_Time_Eve*$N57*(Total_Lanes-CA$6)))),"-")</f>
        <v>-</v>
      </c>
      <c r="CB24" s="413" t="str">
        <f aca="false">IF(CB$6&lt;Total_Lanes,900*Peak_Time_Eve*(($BM24/(Total_Lanes-CB$6))-1+SQRT((($BM24/(Total_Lanes-CB$6))-1)^2+8*($BM24/(Total_Lanes-CB$6))/(Peak_Time_Eve*$N57*(Total_Lanes-CB$6)))),"-")</f>
        <v>-</v>
      </c>
      <c r="CC24" s="413" t="str">
        <f aca="false">IF(CC$6&lt;Total_Lanes,900*Peak_Time_Eve*(($BM24/(Total_Lanes-CC$6))-1+SQRT((($BM24/(Total_Lanes-CC$6))-1)^2+8*($BM24/(Total_Lanes-CC$6))/(Peak_Time_Eve*$N57*(Total_Lanes-CC$6)))),"-")</f>
        <v>-</v>
      </c>
      <c r="CD24" s="413" t="str">
        <f aca="false">IF(CD$6&lt;Total_Lanes,900*Peak_Time_Eve*(($BM24/(Total_Lanes-CD$6))-1+SQRT((($BM24/(Total_Lanes-CD$6))-1)^2+8*($BM24/(Total_Lanes-CD$6))/(Peak_Time_Eve*$N57*(Total_Lanes-CD$6)))),"-")</f>
        <v>-</v>
      </c>
      <c r="CE24" s="413" t="str">
        <f aca="false">IF(CE$6&lt;Total_Lanes,900*Peak_Time_Eve*(($BM24/(Total_Lanes-CE$6))-1+SQRT((($BM24/(Total_Lanes-CE$6))-1)^2+8*($BM24/(Total_Lanes-CE$6))/(Peak_Time_Eve*$N57*(Total_Lanes-CE$6)))),"-")</f>
        <v>-</v>
      </c>
      <c r="CF24" s="413" t="str">
        <f aca="false">IF(CF$6&lt;Total_Lanes,900*Peak_Time_Eve*(($BM24/(Total_Lanes-CF$6))-1+SQRT((($BM24/(Total_Lanes-CF$6))-1)^2+8*($BM24/(Total_Lanes-CF$6))/(Peak_Time_Eve*$N57*(Total_Lanes-CF$6)))),"-")</f>
        <v>-</v>
      </c>
      <c r="CG24" s="413" t="str">
        <f aca="false">IF(CG$6&lt;Total_Lanes,900*Peak_Time_Eve*(($BM24/(Total_Lanes-CG$6))-1+SQRT((($BM24/(Total_Lanes-CG$6))-1)^2+8*($BM24/(Total_Lanes-CG$6))/(Peak_Time_Eve*$N57*(Total_Lanes-CG$6)))),"-")</f>
        <v>-</v>
      </c>
      <c r="CH24" s="424" t="str">
        <f aca="false">IF(CH$6&lt;Total_Lanes,900*Peak_Time_Eve*(($BM24/(Total_Lanes-CH$6))-1+SQRT((($BM24/(Total_Lanes-CH$6))-1)^2+8*($BM24/(Total_Lanes-CH$6))/(Peak_Time_Eve*$N57*(Total_Lanes-CH$6)))),"-")</f>
        <v>-</v>
      </c>
      <c r="CI24" s="439" t="n">
        <f aca="false">3600/N57</f>
        <v>6.93625</v>
      </c>
      <c r="CK24" s="400" t="n">
        <v>17</v>
      </c>
      <c r="CL24" s="402" t="n">
        <f aca="false">$Y24</f>
        <v>0.8415</v>
      </c>
      <c r="CM24" s="411" t="n">
        <f aca="false">$AD24</f>
        <v>8558.13233046418</v>
      </c>
      <c r="CN24" s="412" t="n">
        <f aca="false">CM24*CL24</f>
        <v>7201.66835608561</v>
      </c>
      <c r="CO24" s="440" t="n">
        <f aca="false">CN24/O56</f>
        <v>4.8011122373904</v>
      </c>
      <c r="CP24" s="444" t="n">
        <f aca="false">IF(CP$6&lt;Total_Lanes,900*Peak_Time_Eve*(($CO24/CP$6-1)+SQRT(($CO24/CP$6-1)^2+8*($CO24/CP$6)/(Peak_Time_Eve*$O57*CP$6))),"-")</f>
        <v>13687.0347775053</v>
      </c>
      <c r="CQ24" s="444" t="n">
        <f aca="false">IF(CQ$6&lt;Total_Lanes,900*Peak_Time_Eve*(($CO24/CQ$6-1)+SQRT(($CO24/CQ$6-1)^2+8*($CO24/CQ$6)/(Peak_Time_Eve*$O57*CQ$6))),"-")</f>
        <v>5044.05799145903</v>
      </c>
      <c r="CR24" s="444" t="n">
        <f aca="false">IF(CR$6&lt;Total_Lanes,900*Peak_Time_Eve*(($CO24/CR$6-1)+SQRT(($CO24/CR$6-1)^2+8*($CO24/CR$6)/(Peak_Time_Eve*$O57*CR$6))),"-")</f>
        <v>2163.46509490318</v>
      </c>
      <c r="CS24" s="444" t="n">
        <f aca="false">IF(CS$6&lt;Total_Lanes,900*Peak_Time_Eve*(($CO24/CS$6-1)+SQRT(($CO24/CS$6-1)^2+8*($CO24/CS$6)/(Peak_Time_Eve*$O57*CS$6))),"-")</f>
        <v>724.579091790198</v>
      </c>
      <c r="CT24" s="444" t="n">
        <f aca="false">IF(CT$6&lt;Total_Lanes,900*Peak_Time_Eve*(($CO24/CT$6-1)+SQRT(($CO24/CT$6-1)^2+8*($CO24/CT$6)/(Peak_Time_Eve*$O57*CT$6))),"-")</f>
        <v>10.7761684461252</v>
      </c>
      <c r="CU24" s="444" t="n">
        <f aca="false">IF(CU$6&lt;Total_Lanes,900*Peak_Time_Eve*(($CO24/CU$6-1)+SQRT(($CO24/CU$6-1)^2+8*($CO24/CU$6)/(Peak_Time_Eve*$O57*CU$6))),"-")</f>
        <v>1.59830413477559</v>
      </c>
      <c r="CV24" s="444" t="n">
        <f aca="false">IF(CV$6&lt;Total_Lanes,900*Peak_Time_Eve*(($CO24/CV$6-1)+SQRT(($CO24/CV$6-1)^2+8*($CO24/CV$6)/(Peak_Time_Eve*$O57*CV$6))),"-")</f>
        <v>0.748108844451456</v>
      </c>
      <c r="CW24" s="444" t="n">
        <f aca="false">IF(CW$6&lt;Total_Lanes,900*Peak_Time_Eve*(($CO24/CW$6-1)+SQRT(($CO24/CW$6-1)^2+8*($CO24/CW$6)/(Peak_Time_Eve*$O57*CW$6))),"-")</f>
        <v>0.450120022331124</v>
      </c>
      <c r="CX24" s="444" t="n">
        <f aca="false">IF(CX$6&lt;Total_Lanes,900*Peak_Time_Eve*(($CO24/CX$6-1)+SQRT(($CO24/CX$6-1)^2+8*($CO24/CX$6)/(Peak_Time_Eve*$O57*CX$6))),"-")</f>
        <v>0.304857934554792</v>
      </c>
      <c r="CY24" s="444" t="n">
        <f aca="false">IF(CY$6&lt;Total_Lanes,900*Peak_Time_Eve*(($CO24/CY$6-1)+SQRT(($CO24/CY$6-1)^2+8*($CO24/CY$6)/(Peak_Time_Eve*$O57*CY$6))),"-")</f>
        <v>0.221610961608554</v>
      </c>
      <c r="CZ24" s="444" t="n">
        <f aca="false">IF(CZ$6&lt;Total_Lanes,900*Peak_Time_Eve*(($CO24/CZ$6-1)+SQRT(($CO24/CZ$6-1)^2+8*($CO24/CZ$6)/(Peak_Time_Eve*$O57*CZ$6))),"-")</f>
        <v>0.16897033762675</v>
      </c>
      <c r="DA24" s="445" t="str">
        <f aca="false">IF(DA$6&lt;Total_Lanes,900*Peak_Time_Eve*(($CO24/DA$6-1)+SQRT(($CO24/DA$6-1)^2+8*($CO24/DA$6)/(Peak_Time_Eve*$O57*DA$6))),"-")</f>
        <v>-</v>
      </c>
      <c r="DB24" s="445" t="str">
        <f aca="false">IF(DB$6&lt;Total_Lanes,900*Peak_Time_Eve*(($CO24/DB$6-1)+SQRT(($CO24/DB$6-1)^2+8*($CO24/DB$6)/(Peak_Time_Eve*$O57*DB$6))),"-")</f>
        <v>-</v>
      </c>
      <c r="DC24" s="445" t="str">
        <f aca="false">IF(DC$6&lt;Total_Lanes,900*Peak_Time_Eve*(($CO24/DC$6-1)+SQRT(($CO24/DC$6-1)^2+8*($CO24/DC$6)/(Peak_Time_Eve*$O57*DC$6))),"-")</f>
        <v>-</v>
      </c>
      <c r="DD24" s="445" t="str">
        <f aca="false">IF(DD$6&lt;Total_Lanes,900*Peak_Time_Eve*(($CO24/DD$6-1)+SQRT(($CO24/DD$6-1)^2+8*($CO24/DD$6)/(Peak_Time_Eve*$O57*DD$6))),"-")</f>
        <v>-</v>
      </c>
      <c r="DE24" s="445" t="str">
        <f aca="false">IF(DE$6&lt;Total_Lanes,900*Peak_Time_Eve*(($CO24/DE$6-1)+SQRT(($CO24/DE$6-1)^2+8*($CO24/DE$6)/(Peak_Time_Eve*$O57*DE$6))),"-")</f>
        <v>-</v>
      </c>
      <c r="DF24" s="445" t="str">
        <f aca="false">IF(DF$6&lt;Total_Lanes,900*Peak_Time_Eve*(($CO24/DF$6-1)+SQRT(($CO24/DF$6-1)^2+8*($CO24/DF$6)/(Peak_Time_Eve*$O57*DF$6))),"-")</f>
        <v>-</v>
      </c>
      <c r="DG24" s="445" t="str">
        <f aca="false">IF(DG$6&lt;Total_Lanes,900*Peak_Time_Eve*(($CO24/DG$6-1)+SQRT(($CO24/DG$6-1)^2+8*($CO24/DG$6)/(Peak_Time_Eve*$O57*DG$6))),"-")</f>
        <v>-</v>
      </c>
      <c r="DH24" s="445" t="str">
        <f aca="false">IF(DH$6&lt;Total_Lanes,900*Peak_Time_Eve*(($CO24/DH$6-1)+SQRT(($CO24/DH$6-1)^2+8*($CO24/DH$6)/(Peak_Time_Eve*$O57*DH$6))),"-")</f>
        <v>-</v>
      </c>
      <c r="DI24" s="445" t="str">
        <f aca="false">IF(DI$6&lt;Total_Lanes,900*Peak_Time_Eve*(($CO24/DI$6-1)+SQRT(($CO24/DI$6-1)^2+8*($CO24/DI$6)/(Peak_Time_Eve*$O57*DI$6))),"-")</f>
        <v>-</v>
      </c>
      <c r="DJ24" s="446" t="str">
        <f aca="false">IF(DJ$6&lt;Total_Lanes,900*Peak_Time_Eve*(($CO24/DJ$6-1)+SQRT(($CO24/DJ$6-1)^2+8*($CO24/DJ$6)/(Peak_Time_Eve*$O57*DJ$6))),"-")</f>
        <v>-</v>
      </c>
      <c r="DK24" s="447" t="n">
        <f aca="false">3600/O57</f>
        <v>2.4</v>
      </c>
    </row>
    <row r="25" customFormat="false" ht="12" hidden="false" customHeight="false" outlineLevel="0" collapsed="false">
      <c r="H25" s="400" t="n">
        <v>18</v>
      </c>
      <c r="I25" s="401" t="n">
        <f aca="false">'Input-Detail'!E32</f>
        <v>28901617.3</v>
      </c>
      <c r="J25" s="402" t="n">
        <f aca="false">'Input-Detail'!F32</f>
        <v>0.891</v>
      </c>
      <c r="K25" s="403" t="n">
        <f aca="false">AD25</f>
        <v>8723.90482049148</v>
      </c>
      <c r="L25" s="443" t="n">
        <f aca="false">IF(AD25&gt;AD73,BC25,BC73)</f>
        <v>8</v>
      </c>
      <c r="M25" s="412" t="n">
        <f aca="false">AE73</f>
        <v>14.5268218585425</v>
      </c>
      <c r="N25" s="427" t="n">
        <f aca="false">AE25</f>
        <v>32.3158353987242</v>
      </c>
      <c r="O25" s="427" t="n">
        <f aca="false">SUM(M25:N25)</f>
        <v>46.8426572572667</v>
      </c>
      <c r="P25" s="432" t="n">
        <f aca="false">$S$34*O25</f>
        <v>12179.0908868893</v>
      </c>
      <c r="Q25" s="412" t="n">
        <f aca="false">SUMIF($AF$54:$AZ$54,L25,$AF73:$AZ73)</f>
        <v>1.88511177931836</v>
      </c>
      <c r="R25" s="427" t="n">
        <f aca="false">SUMIF($AF$6:$AZ$6,$L25,$AF25:$AZ25)</f>
        <v>6.83715462986536</v>
      </c>
      <c r="S25" s="427" t="n">
        <f aca="false">SUM(Q25:R25)</f>
        <v>8.72226640918373</v>
      </c>
      <c r="T25" s="433" t="n">
        <f aca="false">$S$34*S25</f>
        <v>2267.78926638777</v>
      </c>
      <c r="U25" s="372"/>
      <c r="V25" s="372"/>
      <c r="W25" s="400" t="n">
        <v>18</v>
      </c>
      <c r="X25" s="408" t="n">
        <f aca="false">X$7+(X$27-X$7)*$W25/20</f>
        <v>28901617.3</v>
      </c>
      <c r="Y25" s="402" t="n">
        <f aca="false">J25</f>
        <v>0.891</v>
      </c>
      <c r="Z25" s="408" t="n">
        <f aca="false">'Input-Detail'!E32/AA25</f>
        <v>12462.7211721307</v>
      </c>
      <c r="AA25" s="434" t="n">
        <f aca="false">AA24</f>
        <v>2319.04548780488</v>
      </c>
      <c r="AB25" s="434" t="n">
        <f aca="false">AB24</f>
        <v>2</v>
      </c>
      <c r="AC25" s="435" t="n">
        <f aca="false">AC24</f>
        <v>0.7</v>
      </c>
      <c r="AD25" s="411" t="n">
        <f aca="false">Z25*AC25</f>
        <v>8723.90482049148</v>
      </c>
      <c r="AE25" s="412" t="n">
        <f aca="false">Peak_Time_Eve*$BI25*(3600/K58+BL25)/3600</f>
        <v>32.3158353987242</v>
      </c>
      <c r="AF25" s="413" t="n">
        <f aca="false">IF(AF$6&lt;Total_Lanes,($BJ25*($CI25+BN25)+$CN25*CP25)*Peak_Time_Eve/3600,"-")</f>
        <v>65029.9391610364</v>
      </c>
      <c r="AG25" s="413" t="n">
        <f aca="false">IF(AG$6&lt;Total_Lanes,($BJ25*($CI25+BO25)+$CN25*CQ25)*Peak_Time_Eve/3600,"-")</f>
        <v>24745.8737261863</v>
      </c>
      <c r="AH25" s="413" t="n">
        <f aca="false">IF(AH$6&lt;Total_Lanes,($BJ25*($CI25+BP25)+$CN25*CR25)*Peak_Time_Eve/3600,"-")</f>
        <v>11319.0988374885</v>
      </c>
      <c r="AI25" s="413" t="n">
        <f aca="false">IF(AI$6&lt;Total_Lanes,($BJ25*($CI25+BQ25)+$CN25*CS25)*Peak_Time_Eve/3600,"-")</f>
        <v>4608.98420067791</v>
      </c>
      <c r="AJ25" s="413" t="n">
        <f aca="false">IF(AJ$6&lt;Total_Lanes,($BJ25*($CI25+BR25)+$CN25*CT25)*Peak_Time_Eve/3600,"-")</f>
        <v>623.621633270563</v>
      </c>
      <c r="AK25" s="413" t="n">
        <f aca="false">IF(AK$6&lt;Total_Lanes,($BJ25*($CI25+BS25)+$CN25*CU25)*Peak_Time_Eve/3600,"-")</f>
        <v>14.8325979241286</v>
      </c>
      <c r="AL25" s="413" t="n">
        <f aca="false">IF(AL$6&lt;Total_Lanes,($BJ25*($CI25+BT25)+$CN25*CV25)*Peak_Time_Eve/3600,"-")</f>
        <v>8.31836697656612</v>
      </c>
      <c r="AM25" s="413" t="n">
        <f aca="false">IF(AM$6&lt;Total_Lanes,($BJ25*($CI25+BU25)+$CN25*CW25)*Peak_Time_Eve/3600,"-")</f>
        <v>6.83715462986536</v>
      </c>
      <c r="AN25" s="413" t="n">
        <f aca="false">IF(AN$6&lt;Total_Lanes,($BJ25*($CI25+BV25)+$CN25*CX25)*Peak_Time_Eve/3600,"-")</f>
        <v>7.17029217634452</v>
      </c>
      <c r="AO25" s="413" t="n">
        <f aca="false">IF(AO$6&lt;Total_Lanes,($BJ25*($CI25+BW25)+$CN25*CY25)*Peak_Time_Eve/3600,"-")</f>
        <v>23.3692559955349</v>
      </c>
      <c r="AP25" s="413" t="n">
        <f aca="false">IF(AP$6&lt;Total_Lanes,($BJ25*($CI25+BX25)+$CN25*CZ25)*Peak_Time_Eve/3600,"-")</f>
        <v>1605.79311281702</v>
      </c>
      <c r="AQ25" s="413" t="str">
        <f aca="false">IF(AQ$6&lt;Total_Lanes,($BJ25*($CI25+BY25)+$CN25*DA25)*Peak_Time_Eve/3600,"-")</f>
        <v>-</v>
      </c>
      <c r="AR25" s="413" t="str">
        <f aca="false">IF(AR$6&lt;Total_Lanes,($BJ25*($CI25+BZ25)+$CN25*DB25)*Peak_Time_Eve/3600,"-")</f>
        <v>-</v>
      </c>
      <c r="AS25" s="413" t="str">
        <f aca="false">IF(AS$6&lt;Total_Lanes,($BJ25*($CI25+CA25)+$CN25*DC25)*Peak_Time_Eve/3600,"-")</f>
        <v>-</v>
      </c>
      <c r="AT25" s="413" t="str">
        <f aca="false">IF(AT$6&lt;Total_Lanes,($BJ25*($CI25+CB25)+$CN25*DD25)*Peak_Time_Eve/3600,"-")</f>
        <v>-</v>
      </c>
      <c r="AU25" s="413" t="str">
        <f aca="false">IF(AU$6&lt;Total_Lanes,($BJ25*($CI25+CC25)+$CN25*DE25)*Peak_Time_Eve/3600,"-")</f>
        <v>-</v>
      </c>
      <c r="AV25" s="413" t="str">
        <f aca="false">IF(AV$6&lt;Total_Lanes,($BJ25*($CI25+CD25)+$CN25*DF25)*Peak_Time_Eve/3600,"-")</f>
        <v>-</v>
      </c>
      <c r="AW25" s="413" t="str">
        <f aca="false">IF(AW$6&lt;Total_Lanes,($BJ25*($CI25+CE25)+$CN25*DG25)*Peak_Time_Eve/3600,"-")</f>
        <v>-</v>
      </c>
      <c r="AX25" s="413" t="str">
        <f aca="false">IF(AX$6&lt;Total_Lanes,($BJ25*($CI25+CF25)+$CN25*DH25)*Peak_Time_Eve/3600,"-")</f>
        <v>-</v>
      </c>
      <c r="AY25" s="413" t="str">
        <f aca="false">IF(AY$6&lt;Total_Lanes,($BJ25*($CI25+CG25)+$CN25*DI25)*Peak_Time_Eve/3600,"-")</f>
        <v>-</v>
      </c>
      <c r="AZ25" s="414" t="str">
        <f aca="false">IF(AZ$6&lt;Total_Lanes,($BJ25*($CI25+CH25)+$CN25*DJ25)*Peak_Time_Eve/3600,"-")</f>
        <v>-</v>
      </c>
      <c r="BA25" s="436" t="n">
        <f aca="false">SUMIF(AF25:AZ25,BB25,$AF$6:$AZ$6)</f>
        <v>8</v>
      </c>
      <c r="BB25" s="437" t="n">
        <f aca="false">MIN(AF25:AZ25)</f>
        <v>6.83715462986536</v>
      </c>
      <c r="BC25" s="436" t="n">
        <f aca="false">IF((SUMIF($BN23:$CH23,$BA25,$BN25:$CH25)+$CI25)&lt;(SUMIF($CP23:$DJ23,$BA25,$CP25:$DJ25)+$DK25),BA25+1,BA25)</f>
        <v>8</v>
      </c>
      <c r="BD25" s="437" t="n">
        <f aca="false">SUMIF($AF$6:$AZ$6,$BC25,$AF25:$AZ25)</f>
        <v>6.83715462986536</v>
      </c>
      <c r="BG25" s="400" t="n">
        <v>18</v>
      </c>
      <c r="BH25" s="402" t="n">
        <f aca="false">$Y25</f>
        <v>0.891</v>
      </c>
      <c r="BI25" s="418" t="n">
        <f aca="false">$AD25</f>
        <v>8723.90482049148</v>
      </c>
      <c r="BJ25" s="438" t="n">
        <f aca="false">BI25*(1-BH25)</f>
        <v>950.905625433572</v>
      </c>
      <c r="BK25" s="420" t="n">
        <f aca="false">Peak_Arrival_Manual/K58</f>
        <v>1.73672346867381</v>
      </c>
      <c r="BL25" s="421" t="n">
        <f aca="false">900*Peak_Time_Eve*(BK25/Total_Lanes-1+SQRT((BK25/Total_Lanes-1)^2+8*(BK25/Total_Lanes)/(Peak_Time_Eve*$K58*Total_Lanes)))</f>
        <v>0.0927141617905081</v>
      </c>
      <c r="BM25" s="422" t="n">
        <f aca="false">Peak_Arrival_Manual/N58</f>
        <v>1.83775719137613</v>
      </c>
      <c r="BN25" s="423" t="n">
        <f aca="false">IF(BN$6&lt;Total_Lanes,900*Peak_Time_Eve*(($BM25/(Total_Lanes-BN$6))-1+SQRT((($BM25/(Total_Lanes-BN$6))-1)^2+8*($BM25/(Total_Lanes-BN$6))/(Peak_Time_Eve*$N58*(Total_Lanes-BN$6)))),"-")</f>
        <v>0.126861105136222</v>
      </c>
      <c r="BO25" s="423" t="n">
        <f aca="false">IF(BO$6&lt;Total_Lanes,900*Peak_Time_Eve*(($BM25/(Total_Lanes-BO$6))-1+SQRT((($BM25/(Total_Lanes-BO$6))-1)^2+8*($BM25/(Total_Lanes-BO$6))/(Peak_Time_Eve*$N58*(Total_Lanes-BO$6)))),"-")</f>
        <v>0.156642167868104</v>
      </c>
      <c r="BP25" s="423" t="n">
        <f aca="false">IF(BP$6&lt;Total_Lanes,900*Peak_Time_Eve*(($BM25/(Total_Lanes-BP$6))-1+SQRT((($BM25/(Total_Lanes-BP$6))-1)^2+8*($BM25/(Total_Lanes-BP$6))/(Peak_Time_Eve*$N58*(Total_Lanes-BP$6)))),"-")</f>
        <v>0.198344302665676</v>
      </c>
      <c r="BQ25" s="423" t="n">
        <f aca="false">IF(BQ$6&lt;Total_Lanes,900*Peak_Time_Eve*(($BM25/(Total_Lanes-BQ$6))-1+SQRT((($BM25/(Total_Lanes-BQ$6))-1)^2+8*($BM25/(Total_Lanes-BQ$6))/(Peak_Time_Eve*$N58*(Total_Lanes-BQ$6)))),"-")</f>
        <v>0.259341451612682</v>
      </c>
      <c r="BR25" s="423" t="n">
        <f aca="false">IF(BR$6&lt;Total_Lanes,900*Peak_Time_Eve*(($BM25/(Total_Lanes-BR$6))-1+SQRT((($BM25/(Total_Lanes-BR$6))-1)^2+8*($BM25/(Total_Lanes-BR$6))/(Peak_Time_Eve*$N58*(Total_Lanes-BR$6)))),"-")</f>
        <v>0.353791184364738</v>
      </c>
      <c r="BS25" s="423" t="n">
        <f aca="false">IF(BS$6&lt;Total_Lanes,900*Peak_Time_Eve*(($BM25/(Total_Lanes-BS$6))-1+SQRT((($BM25/(Total_Lanes-BS$6))-1)^2+8*($BM25/(Total_Lanes-BS$6))/(Peak_Time_Eve*$N58*(Total_Lanes-BS$6)))),"-")</f>
        <v>0.511886498413827</v>
      </c>
      <c r="BT25" s="423" t="n">
        <f aca="false">IF(BT$6&lt;Total_Lanes,900*Peak_Time_Eve*(($BM25/(Total_Lanes-BT$6))-1+SQRT((($BM25/(Total_Lanes-BT$6))-1)^2+8*($BM25/(Total_Lanes-BT$6))/(Peak_Time_Eve*$N58*(Total_Lanes-BT$6)))),"-")</f>
        <v>0.808391907618455</v>
      </c>
      <c r="BU25" s="423" t="n">
        <f aca="false">IF(BU$6&lt;Total_Lanes,900*Peak_Time_Eve*(($BM25/(Total_Lanes-BU$6))-1+SQRT((($BM25/(Total_Lanes-BU$6))-1)^2+8*($BM25/(Total_Lanes-BU$6))/(Peak_Time_Eve*$N58*(Total_Lanes-BU$6)))),"-")</f>
        <v>1.47722736529787</v>
      </c>
      <c r="BV25" s="423" t="n">
        <f aca="false">IF(BV$6&lt;Total_Lanes,900*Peak_Time_Eve*(($BM25/(Total_Lanes-BV$6))-1+SQRT((($BM25/(Total_Lanes-BV$6))-1)^2+8*($BM25/(Total_Lanes-BV$6))/(Peak_Time_Eve*$N58*(Total_Lanes-BV$6)))),"-")</f>
        <v>3.65751231827458</v>
      </c>
      <c r="BW25" s="423" t="n">
        <f aca="false">IF(BW$6&lt;Total_Lanes,900*Peak_Time_Eve*(($BM25/(Total_Lanes-BW$6))-1+SQRT((($BM25/(Total_Lanes-BW$6))-1)^2+8*($BM25/(Total_Lanes-BW$6))/(Peak_Time_Eve*$N58*(Total_Lanes-BW$6)))),"-")</f>
        <v>35.1691830324077</v>
      </c>
      <c r="BX25" s="423" t="n">
        <f aca="false">IF(BX$6&lt;Total_Lanes,900*Peak_Time_Eve*(($BM25/(Total_Lanes-BX$6))-1+SQRT((($BM25/(Total_Lanes-BX$6))-1)^2+8*($BM25/(Total_Lanes-BX$6))/(Peak_Time_Eve*$N58*(Total_Lanes-BX$6)))),"-")</f>
        <v>3031.11183617747</v>
      </c>
      <c r="BY25" s="413" t="str">
        <f aca="false">IF(BY$6&lt;Total_Lanes,900*Peak_Time_Eve*(($BM25/(Total_Lanes-BY$6))-1+SQRT((($BM25/(Total_Lanes-BY$6))-1)^2+8*($BM25/(Total_Lanes-BY$6))/(Peak_Time_Eve*$N58*(Total_Lanes-BY$6)))),"-")</f>
        <v>-</v>
      </c>
      <c r="BZ25" s="413" t="str">
        <f aca="false">IF(BZ$6&lt;Total_Lanes,900*Peak_Time_Eve*(($BM25/(Total_Lanes-BZ$6))-1+SQRT((($BM25/(Total_Lanes-BZ$6))-1)^2+8*($BM25/(Total_Lanes-BZ$6))/(Peak_Time_Eve*$N58*(Total_Lanes-BZ$6)))),"-")</f>
        <v>-</v>
      </c>
      <c r="CA25" s="413" t="str">
        <f aca="false">IF(CA$6&lt;Total_Lanes,900*Peak_Time_Eve*(($BM25/(Total_Lanes-CA$6))-1+SQRT((($BM25/(Total_Lanes-CA$6))-1)^2+8*($BM25/(Total_Lanes-CA$6))/(Peak_Time_Eve*$N58*(Total_Lanes-CA$6)))),"-")</f>
        <v>-</v>
      </c>
      <c r="CB25" s="413" t="str">
        <f aca="false">IF(CB$6&lt;Total_Lanes,900*Peak_Time_Eve*(($BM25/(Total_Lanes-CB$6))-1+SQRT((($BM25/(Total_Lanes-CB$6))-1)^2+8*($BM25/(Total_Lanes-CB$6))/(Peak_Time_Eve*$N58*(Total_Lanes-CB$6)))),"-")</f>
        <v>-</v>
      </c>
      <c r="CC25" s="413" t="str">
        <f aca="false">IF(CC$6&lt;Total_Lanes,900*Peak_Time_Eve*(($BM25/(Total_Lanes-CC$6))-1+SQRT((($BM25/(Total_Lanes-CC$6))-1)^2+8*($BM25/(Total_Lanes-CC$6))/(Peak_Time_Eve*$N58*(Total_Lanes-CC$6)))),"-")</f>
        <v>-</v>
      </c>
      <c r="CD25" s="413" t="str">
        <f aca="false">IF(CD$6&lt;Total_Lanes,900*Peak_Time_Eve*(($BM25/(Total_Lanes-CD$6))-1+SQRT((($BM25/(Total_Lanes-CD$6))-1)^2+8*($BM25/(Total_Lanes-CD$6))/(Peak_Time_Eve*$N58*(Total_Lanes-CD$6)))),"-")</f>
        <v>-</v>
      </c>
      <c r="CE25" s="413" t="str">
        <f aca="false">IF(CE$6&lt;Total_Lanes,900*Peak_Time_Eve*(($BM25/(Total_Lanes-CE$6))-1+SQRT((($BM25/(Total_Lanes-CE$6))-1)^2+8*($BM25/(Total_Lanes-CE$6))/(Peak_Time_Eve*$N58*(Total_Lanes-CE$6)))),"-")</f>
        <v>-</v>
      </c>
      <c r="CF25" s="413" t="str">
        <f aca="false">IF(CF$6&lt;Total_Lanes,900*Peak_Time_Eve*(($BM25/(Total_Lanes-CF$6))-1+SQRT((($BM25/(Total_Lanes-CF$6))-1)^2+8*($BM25/(Total_Lanes-CF$6))/(Peak_Time_Eve*$N58*(Total_Lanes-CF$6)))),"-")</f>
        <v>-</v>
      </c>
      <c r="CG25" s="413" t="str">
        <f aca="false">IF(CG$6&lt;Total_Lanes,900*Peak_Time_Eve*(($BM25/(Total_Lanes-CG$6))-1+SQRT((($BM25/(Total_Lanes-CG$6))-1)^2+8*($BM25/(Total_Lanes-CG$6))/(Peak_Time_Eve*$N58*(Total_Lanes-CG$6)))),"-")</f>
        <v>-</v>
      </c>
      <c r="CH25" s="424" t="str">
        <f aca="false">IF(CH$6&lt;Total_Lanes,900*Peak_Time_Eve*(($BM25/(Total_Lanes-CH$6))-1+SQRT((($BM25/(Total_Lanes-CH$6))-1)^2+8*($BM25/(Total_Lanes-CH$6))/(Peak_Time_Eve*$N58*(Total_Lanes-CH$6)))),"-")</f>
        <v>-</v>
      </c>
      <c r="CI25" s="439" t="n">
        <f aca="false">3600/N58</f>
        <v>6.9575</v>
      </c>
      <c r="CK25" s="400" t="n">
        <v>18</v>
      </c>
      <c r="CL25" s="402" t="n">
        <f aca="false">$Y25</f>
        <v>0.891</v>
      </c>
      <c r="CM25" s="411" t="n">
        <f aca="false">$AD25</f>
        <v>8723.90482049148</v>
      </c>
      <c r="CN25" s="412" t="n">
        <f aca="false">CM25*CL25</f>
        <v>7772.99919505791</v>
      </c>
      <c r="CO25" s="440" t="n">
        <f aca="false">CN25/O57</f>
        <v>5.18199946337194</v>
      </c>
      <c r="CP25" s="444" t="n">
        <f aca="false">IF(CP$6&lt;Total_Lanes,900*Peak_Time_Eve*(($CO25/CP$6-1)+SQRT(($CO25/CP$6-1)^2+8*($CO25/CP$6)/(Peak_Time_Eve*$O58*CP$6))),"-")</f>
        <v>15058.1713690974</v>
      </c>
      <c r="CQ25" s="444" t="n">
        <f aca="false">IF(CQ$6&lt;Total_Lanes,900*Peak_Time_Eve*(($CO25/CQ$6-1)+SQRT(($CO25/CQ$6-1)^2+8*($CO25/CQ$6)/(Peak_Time_Eve*$O58*CQ$6))),"-")</f>
        <v>5729.55261048319</v>
      </c>
      <c r="CR25" s="444" t="n">
        <f aca="false">IF(CR$6&lt;Total_Lanes,900*Peak_Time_Eve*(($CO25/CR$6-1)+SQRT(($CO25/CR$6-1)^2+8*($CO25/CR$6)/(Peak_Time_Eve*$O58*CR$6))),"-")</f>
        <v>2620.2978880825</v>
      </c>
      <c r="CS25" s="444" t="n">
        <f aca="false">IF(CS$6&lt;Total_Lanes,900*Peak_Time_Eve*(($CO25/CS$6-1)+SQRT(($CO25/CS$6-1)^2+8*($CO25/CS$6)/(Peak_Time_Eve*$O58*CS$6))),"-")</f>
        <v>1066.42350244374</v>
      </c>
      <c r="CT25" s="444" t="n">
        <f aca="false">IF(CT$6&lt;Total_Lanes,900*Peak_Time_Eve*(($CO25/CT$6-1)+SQRT(($CO25/CT$6-1)^2+8*($CO25/CT$6)/(Peak_Time_Eve*$O58*CT$6))),"-")</f>
        <v>143.518166408649</v>
      </c>
      <c r="CU25" s="444" t="n">
        <f aca="false">IF(CU$6&lt;Total_Lanes,900*Peak_Time_Eve*(($CO25/CU$6-1)+SQRT(($CO25/CU$6-1)^2+8*($CO25/CU$6)/(Peak_Time_Eve*$O58*CU$6))),"-")</f>
        <v>2.52103391905809</v>
      </c>
      <c r="CV25" s="444" t="n">
        <f aca="false">IF(CV$6&lt;Total_Lanes,900*Peak_Time_Eve*(($CO25/CV$6-1)+SQRT(($CO25/CV$6-1)^2+8*($CO25/CV$6)/(Peak_Time_Eve*$O58*CV$6))),"-")</f>
        <v>0.976255119282699</v>
      </c>
      <c r="CW25" s="444" t="n">
        <f aca="false">IF(CW$6&lt;Total_Lanes,900*Peak_Time_Eve*(($CO25/CW$6-1)+SQRT(($CO25/CW$6-1)^2+8*($CO25/CW$6)/(Peak_Time_Eve*$O58*CW$6))),"-")</f>
        <v>0.551427901320589</v>
      </c>
      <c r="CX25" s="444" t="n">
        <f aca="false">IF(CX$6&lt;Total_Lanes,900*Peak_Time_Eve*(($CO25/CX$6-1)+SQRT(($CO25/CX$6-1)^2+8*($CO25/CX$6)/(Peak_Time_Eve*$O58*CX$6))),"-")</f>
        <v>0.361848871889048</v>
      </c>
      <c r="CY25" s="444" t="n">
        <f aca="false">IF(CY$6&lt;Total_Lanes,900*Peak_Time_Eve*(($CO25/CY$6-1)+SQRT(($CO25/CY$6-1)^2+8*($CO25/CY$6)/(Peak_Time_Eve*$O58*CY$6))),"-")</f>
        <v>0.258093544749738</v>
      </c>
      <c r="CZ25" s="444" t="n">
        <f aca="false">IF(CZ$6&lt;Total_Lanes,900*Peak_Time_Eve*(($CO25/CZ$6-1)+SQRT(($CO25/CZ$6-1)^2+8*($CO25/CZ$6)/(Peak_Time_Eve*$O58*CZ$6))),"-")</f>
        <v>0.194311205281217</v>
      </c>
      <c r="DA25" s="445" t="str">
        <f aca="false">IF(DA$6&lt;Total_Lanes,900*Peak_Time_Eve*(($CO25/DA$6-1)+SQRT(($CO25/DA$6-1)^2+8*($CO25/DA$6)/(Peak_Time_Eve*$O58*DA$6))),"-")</f>
        <v>-</v>
      </c>
      <c r="DB25" s="445" t="str">
        <f aca="false">IF(DB$6&lt;Total_Lanes,900*Peak_Time_Eve*(($CO25/DB$6-1)+SQRT(($CO25/DB$6-1)^2+8*($CO25/DB$6)/(Peak_Time_Eve*$O58*DB$6))),"-")</f>
        <v>-</v>
      </c>
      <c r="DC25" s="445" t="str">
        <f aca="false">IF(DC$6&lt;Total_Lanes,900*Peak_Time_Eve*(($CO25/DC$6-1)+SQRT(($CO25/DC$6-1)^2+8*($CO25/DC$6)/(Peak_Time_Eve*$O58*DC$6))),"-")</f>
        <v>-</v>
      </c>
      <c r="DD25" s="445" t="str">
        <f aca="false">IF(DD$6&lt;Total_Lanes,900*Peak_Time_Eve*(($CO25/DD$6-1)+SQRT(($CO25/DD$6-1)^2+8*($CO25/DD$6)/(Peak_Time_Eve*$O58*DD$6))),"-")</f>
        <v>-</v>
      </c>
      <c r="DE25" s="445" t="str">
        <f aca="false">IF(DE$6&lt;Total_Lanes,900*Peak_Time_Eve*(($CO25/DE$6-1)+SQRT(($CO25/DE$6-1)^2+8*($CO25/DE$6)/(Peak_Time_Eve*$O58*DE$6))),"-")</f>
        <v>-</v>
      </c>
      <c r="DF25" s="445" t="str">
        <f aca="false">IF(DF$6&lt;Total_Lanes,900*Peak_Time_Eve*(($CO25/DF$6-1)+SQRT(($CO25/DF$6-1)^2+8*($CO25/DF$6)/(Peak_Time_Eve*$O58*DF$6))),"-")</f>
        <v>-</v>
      </c>
      <c r="DG25" s="445" t="str">
        <f aca="false">IF(DG$6&lt;Total_Lanes,900*Peak_Time_Eve*(($CO25/DG$6-1)+SQRT(($CO25/DG$6-1)^2+8*($CO25/DG$6)/(Peak_Time_Eve*$O58*DG$6))),"-")</f>
        <v>-</v>
      </c>
      <c r="DH25" s="445" t="str">
        <f aca="false">IF(DH$6&lt;Total_Lanes,900*Peak_Time_Eve*(($CO25/DH$6-1)+SQRT(($CO25/DH$6-1)^2+8*($CO25/DH$6)/(Peak_Time_Eve*$O58*DH$6))),"-")</f>
        <v>-</v>
      </c>
      <c r="DI25" s="445" t="str">
        <f aca="false">IF(DI$6&lt;Total_Lanes,900*Peak_Time_Eve*(($CO25/DI$6-1)+SQRT(($CO25/DI$6-1)^2+8*($CO25/DI$6)/(Peak_Time_Eve*$O58*DI$6))),"-")</f>
        <v>-</v>
      </c>
      <c r="DJ25" s="446" t="str">
        <f aca="false">IF(DJ$6&lt;Total_Lanes,900*Peak_Time_Eve*(($CO25/DJ$6-1)+SQRT(($CO25/DJ$6-1)^2+8*($CO25/DJ$6)/(Peak_Time_Eve*$O58*DJ$6))),"-")</f>
        <v>-</v>
      </c>
      <c r="DK25" s="447" t="n">
        <f aca="false">3600/O58</f>
        <v>2.4</v>
      </c>
    </row>
    <row r="26" customFormat="false" ht="12" hidden="false" customHeight="false" outlineLevel="0" collapsed="false">
      <c r="H26" s="400" t="n">
        <v>19</v>
      </c>
      <c r="I26" s="401" t="n">
        <f aca="false">'Input-Detail'!E33</f>
        <v>29450808.65</v>
      </c>
      <c r="J26" s="402" t="n">
        <f aca="false">'Input-Detail'!F33</f>
        <v>0.9405</v>
      </c>
      <c r="K26" s="403" t="n">
        <f aca="false">AD26</f>
        <v>8889.67731051879</v>
      </c>
      <c r="L26" s="443" t="n">
        <f aca="false">IF(AD26&gt;AD74,BC26,BC74)</f>
        <v>9</v>
      </c>
      <c r="M26" s="412" t="n">
        <f aca="false">AE74</f>
        <v>14.8125928069242</v>
      </c>
      <c r="N26" s="427" t="n">
        <f aca="false">AE26</f>
        <v>32.7089274918154</v>
      </c>
      <c r="O26" s="427" t="n">
        <f aca="false">SUM(M26:N26)</f>
        <v>47.5215202987396</v>
      </c>
      <c r="P26" s="432" t="n">
        <f aca="false">$S$34*O26</f>
        <v>12355.5952776723</v>
      </c>
      <c r="Q26" s="412" t="n">
        <f aca="false">SUMIF($AF$54:$AZ$54,L26,$AF74:$AZ74)</f>
        <v>1.12095269217727</v>
      </c>
      <c r="R26" s="427" t="n">
        <f aca="false">SUMIF($AF$6:$AZ$6,$L26,$AF26:$AZ26)</f>
        <v>4.41991654611098</v>
      </c>
      <c r="S26" s="427" t="n">
        <f aca="false">SUM(Q26:R26)</f>
        <v>5.54086923828825</v>
      </c>
      <c r="T26" s="433" t="n">
        <f aca="false">$S$34*S26</f>
        <v>1440.62600195495</v>
      </c>
      <c r="U26" s="372"/>
      <c r="V26" s="372"/>
      <c r="W26" s="400" t="n">
        <v>19</v>
      </c>
      <c r="X26" s="408" t="n">
        <f aca="false">X$7+(X$27-X$7)*$W26/20</f>
        <v>29450808.65</v>
      </c>
      <c r="Y26" s="402" t="n">
        <f aca="false">J26</f>
        <v>0.9405</v>
      </c>
      <c r="Z26" s="408" t="n">
        <f aca="false">'Input-Detail'!E33/AA26</f>
        <v>12699.5390150268</v>
      </c>
      <c r="AA26" s="434" t="n">
        <f aca="false">AA25</f>
        <v>2319.04548780488</v>
      </c>
      <c r="AB26" s="434" t="n">
        <f aca="false">AB25</f>
        <v>2</v>
      </c>
      <c r="AC26" s="435" t="n">
        <f aca="false">AC25</f>
        <v>0.7</v>
      </c>
      <c r="AD26" s="411" t="n">
        <f aca="false">Z26*AC26</f>
        <v>8889.67731051879</v>
      </c>
      <c r="AE26" s="412" t="n">
        <f aca="false">Peak_Time_Eve*$BI26*(3600/K59+BL26)/3600</f>
        <v>32.7089274918154</v>
      </c>
      <c r="AF26" s="413" t="n">
        <f aca="false">IF(AF$6&lt;Total_Lanes,($BJ26*($CI26+BN26)+$CN26*CP26)*Peak_Time_Eve/3600,"-")</f>
        <v>76496.8341930228</v>
      </c>
      <c r="AG26" s="413" t="n">
        <f aca="false">IF(AG$6&lt;Total_Lanes,($BJ26*($CI26+BO26)+$CN26*CQ26)*Peak_Time_Eve/3600,"-")</f>
        <v>29890.6140886057</v>
      </c>
      <c r="AH26" s="413" t="n">
        <f aca="false">IF(AH$6&lt;Total_Lanes,($BJ26*($CI26+BP26)+$CN26*CR26)*Peak_Time_Eve/3600,"-")</f>
        <v>14356.1944746761</v>
      </c>
      <c r="AI26" s="413" t="n">
        <f aca="false">IF(AI$6&lt;Total_Lanes,($BJ26*($CI26+BQ26)+$CN26*CS26)*Peak_Time_Eve/3600,"-")</f>
        <v>6591.12689283408</v>
      </c>
      <c r="AJ26" s="413" t="n">
        <f aca="false">IF(AJ$6&lt;Total_Lanes,($BJ26*($CI26+BR26)+$CN26*CT26)*Peak_Time_Eve/3600,"-")</f>
        <v>1942.56828371264</v>
      </c>
      <c r="AK26" s="413" t="n">
        <f aca="false">IF(AK$6&lt;Total_Lanes,($BJ26*($CI26+BS26)+$CN26*CU26)*Peak_Time_Eve/3600,"-")</f>
        <v>25.9430554659935</v>
      </c>
      <c r="AL26" s="413" t="n">
        <f aca="false">IF(AL$6&lt;Total_Lanes,($BJ26*($CI26+BT26)+$CN26*CV26)*Peak_Time_Eve/3600,"-")</f>
        <v>8.36915698925625</v>
      </c>
      <c r="AM26" s="413" t="n">
        <f aca="false">IF(AM$6&lt;Total_Lanes,($BJ26*($CI26+BU26)+$CN26*CW26)*Peak_Time_Eve/3600,"-")</f>
        <v>5.42668596749009</v>
      </c>
      <c r="AN26" s="413" t="n">
        <f aca="false">IF(AN$6&lt;Total_Lanes,($BJ26*($CI26+BV26)+$CN26*CX26)*Peak_Time_Eve/3600,"-")</f>
        <v>4.41991654611098</v>
      </c>
      <c r="AO26" s="413" t="n">
        <f aca="false">IF(AO$6&lt;Total_Lanes,($BJ26*($CI26+BW26)+$CN26*CY26)*Peak_Time_Eve/3600,"-")</f>
        <v>4.53075808189977</v>
      </c>
      <c r="AP26" s="413" t="n">
        <f aca="false">IF(AP$6&lt;Total_Lanes,($BJ26*($CI26+BX26)+$CN26*CZ26)*Peak_Time_Eve/3600,"-")</f>
        <v>65.5424612005048</v>
      </c>
      <c r="AQ26" s="413" t="str">
        <f aca="false">IF(AQ$6&lt;Total_Lanes,($BJ26*($CI26+BY26)+$CN26*DA26)*Peak_Time_Eve/3600,"-")</f>
        <v>-</v>
      </c>
      <c r="AR26" s="413" t="str">
        <f aca="false">IF(AR$6&lt;Total_Lanes,($BJ26*($CI26+BZ26)+$CN26*DB26)*Peak_Time_Eve/3600,"-")</f>
        <v>-</v>
      </c>
      <c r="AS26" s="413" t="str">
        <f aca="false">IF(AS$6&lt;Total_Lanes,($BJ26*($CI26+CA26)+$CN26*DC26)*Peak_Time_Eve/3600,"-")</f>
        <v>-</v>
      </c>
      <c r="AT26" s="413" t="str">
        <f aca="false">IF(AT$6&lt;Total_Lanes,($BJ26*($CI26+CB26)+$CN26*DD26)*Peak_Time_Eve/3600,"-")</f>
        <v>-</v>
      </c>
      <c r="AU26" s="413" t="str">
        <f aca="false">IF(AU$6&lt;Total_Lanes,($BJ26*($CI26+CC26)+$CN26*DE26)*Peak_Time_Eve/3600,"-")</f>
        <v>-</v>
      </c>
      <c r="AV26" s="413" t="str">
        <f aca="false">IF(AV$6&lt;Total_Lanes,($BJ26*($CI26+CD26)+$CN26*DF26)*Peak_Time_Eve/3600,"-")</f>
        <v>-</v>
      </c>
      <c r="AW26" s="413" t="str">
        <f aca="false">IF(AW$6&lt;Total_Lanes,($BJ26*($CI26+CE26)+$CN26*DG26)*Peak_Time_Eve/3600,"-")</f>
        <v>-</v>
      </c>
      <c r="AX26" s="413" t="str">
        <f aca="false">IF(AX$6&lt;Total_Lanes,($BJ26*($CI26+CF26)+$CN26*DH26)*Peak_Time_Eve/3600,"-")</f>
        <v>-</v>
      </c>
      <c r="AY26" s="413" t="str">
        <f aca="false">IF(AY$6&lt;Total_Lanes,($BJ26*($CI26+CG26)+$CN26*DI26)*Peak_Time_Eve/3600,"-")</f>
        <v>-</v>
      </c>
      <c r="AZ26" s="414" t="str">
        <f aca="false">IF(AZ$6&lt;Total_Lanes,($BJ26*($CI26+CH26)+$CN26*DJ26)*Peak_Time_Eve/3600,"-")</f>
        <v>-</v>
      </c>
      <c r="BA26" s="436" t="n">
        <f aca="false">SUMIF(AF26:AZ26,BB26,$AF$6:$AZ$6)</f>
        <v>9</v>
      </c>
      <c r="BB26" s="437" t="n">
        <f aca="false">MIN(AF26:AZ26)</f>
        <v>4.41991654611098</v>
      </c>
      <c r="BC26" s="436" t="n">
        <f aca="false">IF((SUMIF($BN24:$CH24,$BA26,$BN26:$CH26)+$CI26)&lt;(SUMIF($CP24:$DJ24,$BA26,$CP26:$DJ26)+$DK26),BA26+1,BA26)</f>
        <v>9</v>
      </c>
      <c r="BD26" s="437" t="n">
        <f aca="false">SUMIF($AF$6:$AZ$6,$BC26,$AF26:$AZ26)</f>
        <v>4.41991654611098</v>
      </c>
      <c r="BG26" s="400" t="n">
        <v>19</v>
      </c>
      <c r="BH26" s="402" t="n">
        <f aca="false">$Y26</f>
        <v>0.9405</v>
      </c>
      <c r="BI26" s="418" t="n">
        <f aca="false">$AD26</f>
        <v>8889.67731051879</v>
      </c>
      <c r="BJ26" s="438" t="n">
        <f aca="false">BI26*(1-BH26)</f>
        <v>528.935799975869</v>
      </c>
      <c r="BK26" s="420" t="n">
        <f aca="false">Peak_Arrival_Manual/K59</f>
        <v>0.966042468011483</v>
      </c>
      <c r="BL26" s="421" t="n">
        <f aca="false">900*Peak_Time_Eve*(BK26/Total_Lanes-1+SQRT((BK26/Total_Lanes-1)^2+8*(BK26/Total_Lanes)/(Peak_Time_Eve*$K59*Total_Lanes)))</f>
        <v>0.0479703766189665</v>
      </c>
      <c r="BM26" s="422" t="n">
        <f aca="false">Peak_Arrival_Manual/N59</f>
        <v>1.02536408724489</v>
      </c>
      <c r="BN26" s="423" t="n">
        <f aca="false">IF(BN$6&lt;Total_Lanes,900*Peak_Time_Eve*(($BM26/(Total_Lanes-BN$6))-1+SQRT((($BM26/(Total_Lanes-BN$6))-1)^2+8*($BM26/(Total_Lanes-BN$6))/(Peak_Time_Eve*$N59*(Total_Lanes-BN$6)))),"-")</f>
        <v>0.0652164762709351</v>
      </c>
      <c r="BO26" s="423" t="n">
        <f aca="false">IF(BO$6&lt;Total_Lanes,900*Peak_Time_Eve*(($BM26/(Total_Lanes-BO$6))-1+SQRT((($BM26/(Total_Lanes-BO$6))-1)^2+8*($BM26/(Total_Lanes-BO$6))/(Peak_Time_Eve*$N59*(Total_Lanes-BO$6)))),"-")</f>
        <v>0.0797311791631339</v>
      </c>
      <c r="BP26" s="423" t="n">
        <f aca="false">IF(BP$6&lt;Total_Lanes,900*Peak_Time_Eve*(($BM26/(Total_Lanes-BP$6))-1+SQRT((($BM26/(Total_Lanes-BP$6))-1)^2+8*($BM26/(Total_Lanes-BP$6))/(Peak_Time_Eve*$N59*(Total_Lanes-BP$6)))),"-")</f>
        <v>0.099698539450932</v>
      </c>
      <c r="BQ26" s="423" t="n">
        <f aca="false">IF(BQ$6&lt;Total_Lanes,900*Peak_Time_Eve*(($BM26/(Total_Lanes-BQ$6))-1+SQRT((($BM26/(Total_Lanes-BQ$6))-1)^2+8*($BM26/(Total_Lanes-BQ$6))/(Peak_Time_Eve*$N59*(Total_Lanes-BQ$6)))),"-")</f>
        <v>0.128240874236596</v>
      </c>
      <c r="BR26" s="423" t="n">
        <f aca="false">IF(BR$6&lt;Total_Lanes,900*Peak_Time_Eve*(($BM26/(Total_Lanes-BR$6))-1+SQRT((($BM26/(Total_Lanes-BR$6))-1)^2+8*($BM26/(Total_Lanes-BR$6))/(Peak_Time_Eve*$N59*(Total_Lanes-BR$6)))),"-")</f>
        <v>0.17108899572551</v>
      </c>
      <c r="BS26" s="423" t="n">
        <f aca="false">IF(BS$6&lt;Total_Lanes,900*Peak_Time_Eve*(($BM26/(Total_Lanes-BS$6))-1+SQRT((($BM26/(Total_Lanes-BS$6))-1)^2+8*($BM26/(Total_Lanes-BS$6))/(Peak_Time_Eve*$N59*(Total_Lanes-BS$6)))),"-")</f>
        <v>0.239722232335704</v>
      </c>
      <c r="BT26" s="423" t="n">
        <f aca="false">IF(BT$6&lt;Total_Lanes,900*Peak_Time_Eve*(($BM26/(Total_Lanes-BT$6))-1+SQRT((($BM26/(Total_Lanes-BT$6))-1)^2+8*($BM26/(Total_Lanes-BT$6))/(Peak_Time_Eve*$N59*(Total_Lanes-BT$6)))),"-")</f>
        <v>0.36002590684403</v>
      </c>
      <c r="BU26" s="423" t="n">
        <f aca="false">IF(BU$6&lt;Total_Lanes,900*Peak_Time_Eve*(($BM26/(Total_Lanes-BU$6))-1+SQRT((($BM26/(Total_Lanes-BU$6))-1)^2+8*($BM26/(Total_Lanes-BU$6))/(Peak_Time_Eve*$N59*(Total_Lanes-BU$6)))),"-")</f>
        <v>0.601262901673172</v>
      </c>
      <c r="BV26" s="423" t="n">
        <f aca="false">IF(BV$6&lt;Total_Lanes,900*Peak_Time_Eve*(($BM26/(Total_Lanes-BV$6))-1+SQRT((($BM26/(Total_Lanes-BV$6))-1)^2+8*($BM26/(Total_Lanes-BV$6))/(Peak_Time_Eve*$N59*(Total_Lanes-BV$6)))),"-")</f>
        <v>1.20733067115257</v>
      </c>
      <c r="BW26" s="423" t="n">
        <f aca="false">IF(BW$6&lt;Total_Lanes,900*Peak_Time_Eve*(($BM26/(Total_Lanes-BW$6))-1+SQRT((($BM26/(Total_Lanes-BW$6))-1)^2+8*($BM26/(Total_Lanes-BW$6))/(Peak_Time_Eve*$N59*(Total_Lanes-BW$6)))),"-")</f>
        <v>3.66334153103497</v>
      </c>
      <c r="BX26" s="423" t="n">
        <f aca="false">IF(BX$6&lt;Total_Lanes,900*Peak_Time_Eve*(($BM26/(Total_Lanes-BX$6))-1+SQRT((($BM26/(Total_Lanes-BX$6))-1)^2+8*($BM26/(Total_Lanes-BX$6))/(Peak_Time_Eve*$N59*(Total_Lanes-BX$6)))),"-")</f>
        <v>212.524006799881</v>
      </c>
      <c r="BY26" s="413" t="str">
        <f aca="false">IF(BY$6&lt;Total_Lanes,900*Peak_Time_Eve*(($BM26/(Total_Lanes-BY$6))-1+SQRT((($BM26/(Total_Lanes-BY$6))-1)^2+8*($BM26/(Total_Lanes-BY$6))/(Peak_Time_Eve*$N59*(Total_Lanes-BY$6)))),"-")</f>
        <v>-</v>
      </c>
      <c r="BZ26" s="413" t="str">
        <f aca="false">IF(BZ$6&lt;Total_Lanes,900*Peak_Time_Eve*(($BM26/(Total_Lanes-BZ$6))-1+SQRT((($BM26/(Total_Lanes-BZ$6))-1)^2+8*($BM26/(Total_Lanes-BZ$6))/(Peak_Time_Eve*$N59*(Total_Lanes-BZ$6)))),"-")</f>
        <v>-</v>
      </c>
      <c r="CA26" s="413" t="str">
        <f aca="false">IF(CA$6&lt;Total_Lanes,900*Peak_Time_Eve*(($BM26/(Total_Lanes-CA$6))-1+SQRT((($BM26/(Total_Lanes-CA$6))-1)^2+8*($BM26/(Total_Lanes-CA$6))/(Peak_Time_Eve*$N59*(Total_Lanes-CA$6)))),"-")</f>
        <v>-</v>
      </c>
      <c r="CB26" s="413" t="str">
        <f aca="false">IF(CB$6&lt;Total_Lanes,900*Peak_Time_Eve*(($BM26/(Total_Lanes-CB$6))-1+SQRT((($BM26/(Total_Lanes-CB$6))-1)^2+8*($BM26/(Total_Lanes-CB$6))/(Peak_Time_Eve*$N59*(Total_Lanes-CB$6)))),"-")</f>
        <v>-</v>
      </c>
      <c r="CC26" s="413" t="str">
        <f aca="false">IF(CC$6&lt;Total_Lanes,900*Peak_Time_Eve*(($BM26/(Total_Lanes-CC$6))-1+SQRT((($BM26/(Total_Lanes-CC$6))-1)^2+8*($BM26/(Total_Lanes-CC$6))/(Peak_Time_Eve*$N59*(Total_Lanes-CC$6)))),"-")</f>
        <v>-</v>
      </c>
      <c r="CD26" s="413" t="str">
        <f aca="false">IF(CD$6&lt;Total_Lanes,900*Peak_Time_Eve*(($BM26/(Total_Lanes-CD$6))-1+SQRT((($BM26/(Total_Lanes-CD$6))-1)^2+8*($BM26/(Total_Lanes-CD$6))/(Peak_Time_Eve*$N59*(Total_Lanes-CD$6)))),"-")</f>
        <v>-</v>
      </c>
      <c r="CE26" s="413" t="str">
        <f aca="false">IF(CE$6&lt;Total_Lanes,900*Peak_Time_Eve*(($BM26/(Total_Lanes-CE$6))-1+SQRT((($BM26/(Total_Lanes-CE$6))-1)^2+8*($BM26/(Total_Lanes-CE$6))/(Peak_Time_Eve*$N59*(Total_Lanes-CE$6)))),"-")</f>
        <v>-</v>
      </c>
      <c r="CF26" s="413" t="str">
        <f aca="false">IF(CF$6&lt;Total_Lanes,900*Peak_Time_Eve*(($BM26/(Total_Lanes-CF$6))-1+SQRT((($BM26/(Total_Lanes-CF$6))-1)^2+8*($BM26/(Total_Lanes-CF$6))/(Peak_Time_Eve*$N59*(Total_Lanes-CF$6)))),"-")</f>
        <v>-</v>
      </c>
      <c r="CG26" s="413" t="str">
        <f aca="false">IF(CG$6&lt;Total_Lanes,900*Peak_Time_Eve*(($BM26/(Total_Lanes-CG$6))-1+SQRT((($BM26/(Total_Lanes-CG$6))-1)^2+8*($BM26/(Total_Lanes-CG$6))/(Peak_Time_Eve*$N59*(Total_Lanes-CG$6)))),"-")</f>
        <v>-</v>
      </c>
      <c r="CH26" s="424" t="str">
        <f aca="false">IF(CH$6&lt;Total_Lanes,900*Peak_Time_Eve*(($BM26/(Total_Lanes-CH$6))-1+SQRT((($BM26/(Total_Lanes-CH$6))-1)^2+8*($BM26/(Total_Lanes-CH$6))/(Peak_Time_Eve*$N59*(Total_Lanes-CH$6)))),"-")</f>
        <v>-</v>
      </c>
      <c r="CI26" s="439" t="n">
        <f aca="false">3600/N59</f>
        <v>6.97875</v>
      </c>
      <c r="CK26" s="400" t="n">
        <v>19</v>
      </c>
      <c r="CL26" s="402" t="n">
        <f aca="false">$Y26</f>
        <v>0.9405</v>
      </c>
      <c r="CM26" s="411" t="n">
        <f aca="false">$AD26</f>
        <v>8889.67731051879</v>
      </c>
      <c r="CN26" s="412" t="n">
        <f aca="false">CM26*CL26</f>
        <v>8360.74151054292</v>
      </c>
      <c r="CO26" s="440" t="n">
        <f aca="false">CN26/O58</f>
        <v>5.57382767369528</v>
      </c>
      <c r="CP26" s="444" t="n">
        <f aca="false">IF(CP$6&lt;Total_Lanes,900*Peak_Time_Eve*(($CO26/CP$6-1)+SQRT(($CO26/CP$6-1)^2+8*($CO26/CP$6)/(Peak_Time_Eve*$O59*CP$6))),"-")</f>
        <v>16468.7038306076</v>
      </c>
      <c r="CQ26" s="444" t="n">
        <f aca="false">IF(CQ$6&lt;Total_Lanes,900*Peak_Time_Eve*(($CO26/CQ$6-1)+SQRT(($CO26/CQ$6-1)^2+8*($CO26/CQ$6)/(Peak_Time_Eve*$O59*CQ$6))),"-")</f>
        <v>6434.76081735811</v>
      </c>
      <c r="CR26" s="444" t="n">
        <f aca="false">IF(CR$6&lt;Total_Lanes,900*Peak_Time_Eve*(($CO26/CR$6-1)+SQRT(($CO26/CR$6-1)^2+8*($CO26/CR$6)/(Peak_Time_Eve*$O59*CR$6))),"-")</f>
        <v>3090.32470110397</v>
      </c>
      <c r="CS26" s="444" t="n">
        <f aca="false">IF(CS$6&lt;Total_Lanes,900*Peak_Time_Eve*(($CO26/CS$6-1)+SQRT(($CO26/CS$6-1)^2+8*($CO26/CS$6)/(Peak_Time_Eve*$O59*CS$6))),"-")</f>
        <v>1418.56667261415</v>
      </c>
      <c r="CT26" s="444" t="n">
        <f aca="false">IF(CT$6&lt;Total_Lanes,900*Peak_Time_Eve*(($CO26/CT$6-1)+SQRT(($CO26/CT$6-1)^2+8*($CO26/CT$6)/(Peak_Time_Eve*$O59*CT$6))),"-")</f>
        <v>417.766905060916</v>
      </c>
      <c r="CU26" s="444" t="n">
        <f aca="false">IF(CU$6&lt;Total_Lanes,900*Peak_Time_Eve*(($CO26/CU$6-1)+SQRT(($CO26/CU$6-1)^2+8*($CO26/CU$6)/(Peak_Time_Eve*$O59*CU$6))),"-")</f>
        <v>5.12865891140196</v>
      </c>
      <c r="CV26" s="444" t="n">
        <f aca="false">IF(CV$6&lt;Total_Lanes,900*Peak_Time_Eve*(($CO26/CV$6-1)+SQRT(($CO26/CV$6-1)^2+8*($CO26/CV$6)/(Peak_Time_Eve*$O59*CV$6))),"-")</f>
        <v>1.33752984247026</v>
      </c>
      <c r="CW26" s="444" t="n">
        <f aca="false">IF(CW$6&lt;Total_Lanes,900*Peak_Time_Eve*(($CO26/CW$6-1)+SQRT(($CO26/CW$6-1)^2+8*($CO26/CW$6)/(Peak_Time_Eve*$O59*CW$6))),"-")</f>
        <v>0.688777968586463</v>
      </c>
      <c r="CX26" s="444" t="n">
        <f aca="false">IF(CX$6&lt;Total_Lanes,900*Peak_Time_Eve*(($CO26/CX$6-1)+SQRT(($CO26/CX$6-1)^2+8*($CO26/CX$6)/(Peak_Time_Eve*$O59*CX$6))),"-")</f>
        <v>0.433686252584697</v>
      </c>
      <c r="CY26" s="444" t="n">
        <f aca="false">IF(CY$6&lt;Total_Lanes,900*Peak_Time_Eve*(($CO26/CY$6-1)+SQRT(($CO26/CY$6-1)^2+8*($CO26/CY$6)/(Peak_Time_Eve*$O59*CY$6))),"-")</f>
        <v>0.302171924206651</v>
      </c>
      <c r="CZ26" s="444" t="n">
        <f aca="false">IF(CZ$6&lt;Total_Lanes,900*Peak_Time_Eve*(($CO26/CZ$6-1)+SQRT(($CO26/CZ$6-1)^2+8*($CO26/CZ$6)/(Peak_Time_Eve*$O59*CZ$6))),"-")</f>
        <v>0.22409063761778</v>
      </c>
      <c r="DA26" s="445" t="str">
        <f aca="false">IF(DA$6&lt;Total_Lanes,900*Peak_Time_Eve*(($CO26/DA$6-1)+SQRT(($CO26/DA$6-1)^2+8*($CO26/DA$6)/(Peak_Time_Eve*$O59*DA$6))),"-")</f>
        <v>-</v>
      </c>
      <c r="DB26" s="445" t="str">
        <f aca="false">IF(DB$6&lt;Total_Lanes,900*Peak_Time_Eve*(($CO26/DB$6-1)+SQRT(($CO26/DB$6-1)^2+8*($CO26/DB$6)/(Peak_Time_Eve*$O59*DB$6))),"-")</f>
        <v>-</v>
      </c>
      <c r="DC26" s="445" t="str">
        <f aca="false">IF(DC$6&lt;Total_Lanes,900*Peak_Time_Eve*(($CO26/DC$6-1)+SQRT(($CO26/DC$6-1)^2+8*($CO26/DC$6)/(Peak_Time_Eve*$O59*DC$6))),"-")</f>
        <v>-</v>
      </c>
      <c r="DD26" s="445" t="str">
        <f aca="false">IF(DD$6&lt;Total_Lanes,900*Peak_Time_Eve*(($CO26/DD$6-1)+SQRT(($CO26/DD$6-1)^2+8*($CO26/DD$6)/(Peak_Time_Eve*$O59*DD$6))),"-")</f>
        <v>-</v>
      </c>
      <c r="DE26" s="445" t="str">
        <f aca="false">IF(DE$6&lt;Total_Lanes,900*Peak_Time_Eve*(($CO26/DE$6-1)+SQRT(($CO26/DE$6-1)^2+8*($CO26/DE$6)/(Peak_Time_Eve*$O59*DE$6))),"-")</f>
        <v>-</v>
      </c>
      <c r="DF26" s="445" t="str">
        <f aca="false">IF(DF$6&lt;Total_Lanes,900*Peak_Time_Eve*(($CO26/DF$6-1)+SQRT(($CO26/DF$6-1)^2+8*($CO26/DF$6)/(Peak_Time_Eve*$O59*DF$6))),"-")</f>
        <v>-</v>
      </c>
      <c r="DG26" s="445" t="str">
        <f aca="false">IF(DG$6&lt;Total_Lanes,900*Peak_Time_Eve*(($CO26/DG$6-1)+SQRT(($CO26/DG$6-1)^2+8*($CO26/DG$6)/(Peak_Time_Eve*$O59*DG$6))),"-")</f>
        <v>-</v>
      </c>
      <c r="DH26" s="445" t="str">
        <f aca="false">IF(DH$6&lt;Total_Lanes,900*Peak_Time_Eve*(($CO26/DH$6-1)+SQRT(($CO26/DH$6-1)^2+8*($CO26/DH$6)/(Peak_Time_Eve*$O59*DH$6))),"-")</f>
        <v>-</v>
      </c>
      <c r="DI26" s="445" t="str">
        <f aca="false">IF(DI$6&lt;Total_Lanes,900*Peak_Time_Eve*(($CO26/DI$6-1)+SQRT(($CO26/DI$6-1)^2+8*($CO26/DI$6)/(Peak_Time_Eve*$O59*DI$6))),"-")</f>
        <v>-</v>
      </c>
      <c r="DJ26" s="446" t="str">
        <f aca="false">IF(DJ$6&lt;Total_Lanes,900*Peak_Time_Eve*(($CO26/DJ$6-1)+SQRT(($CO26/DJ$6-1)^2+8*($CO26/DJ$6)/(Peak_Time_Eve*$O59*DJ$6))),"-")</f>
        <v>-</v>
      </c>
      <c r="DK26" s="447" t="n">
        <f aca="false">3600/O59</f>
        <v>2.4</v>
      </c>
    </row>
    <row r="27" customFormat="false" ht="13" hidden="false" customHeight="false" outlineLevel="0" collapsed="false">
      <c r="B27" s="1"/>
      <c r="C27" s="1"/>
      <c r="D27" s="1"/>
      <c r="E27" s="1"/>
      <c r="H27" s="452" t="n">
        <v>20</v>
      </c>
      <c r="I27" s="453" t="n">
        <f aca="false">'Input-Detail'!E34</f>
        <v>30000000</v>
      </c>
      <c r="J27" s="454" t="n">
        <f aca="false">'Input-Detail'!F34</f>
        <v>0.99</v>
      </c>
      <c r="K27" s="455" t="n">
        <f aca="false">AD27</f>
        <v>9055.44980054609</v>
      </c>
      <c r="L27" s="456" t="n">
        <f aca="false">IF(AD27&gt;AD75,BC27,BC75)</f>
        <v>11</v>
      </c>
      <c r="M27" s="457" t="n">
        <f aca="false">AE75</f>
        <v>15.0994356206098</v>
      </c>
      <c r="N27" s="458" t="n">
        <f aca="false">AE27</f>
        <v>33.1160670470118</v>
      </c>
      <c r="O27" s="458" t="n">
        <f aca="false">SUM(M27:N27)</f>
        <v>48.2155026676216</v>
      </c>
      <c r="P27" s="459" t="n">
        <f aca="false">$S$34*O27</f>
        <v>12536.0306935816</v>
      </c>
      <c r="Q27" s="460" t="n">
        <f aca="false">SUMIF($AF$54:$AZ$54,L27,$AF75:$AZ75)</f>
        <v>0.304595563265872</v>
      </c>
      <c r="R27" s="458" t="n">
        <f aca="false">SUMIF($AF$6:$AZ$6,$L27,$AF27:$AZ27)</f>
        <v>1.72002003536738</v>
      </c>
      <c r="S27" s="458" t="n">
        <f aca="false">SUM(Q27:R27)</f>
        <v>2.02461559863325</v>
      </c>
      <c r="T27" s="461" t="n">
        <f aca="false">$S$34*S27</f>
        <v>526.400055644646</v>
      </c>
      <c r="U27" s="372"/>
      <c r="V27" s="372"/>
      <c r="W27" s="452" t="n">
        <v>20</v>
      </c>
      <c r="X27" s="462" t="n">
        <f aca="false">'Input-Detail'!E34</f>
        <v>30000000</v>
      </c>
      <c r="Y27" s="463" t="n">
        <f aca="false">J27</f>
        <v>0.99</v>
      </c>
      <c r="Z27" s="464" t="n">
        <f aca="false">'Input-Detail'!E34/AA27</f>
        <v>12936.356857923</v>
      </c>
      <c r="AA27" s="465" t="n">
        <f aca="false">AA26</f>
        <v>2319.04548780488</v>
      </c>
      <c r="AB27" s="465" t="n">
        <f aca="false">AB26</f>
        <v>2</v>
      </c>
      <c r="AC27" s="466" t="n">
        <f aca="false">AC26</f>
        <v>0.7</v>
      </c>
      <c r="AD27" s="467" t="n">
        <f aca="false">Z27*AC27</f>
        <v>9055.44980054609</v>
      </c>
      <c r="AE27" s="460" t="n">
        <f aca="false">Peak_Time_Eve*$BI27*(3600/K60+BL27)/3600</f>
        <v>33.1160670470118</v>
      </c>
      <c r="AF27" s="468" t="n">
        <f aca="false">IF(AF$6&lt;Total_Lanes,($BJ27*($CI27+BN27)+$CN27*CP27)*Peak_Time_Eve/3600,"-")</f>
        <v>89244.0452188894</v>
      </c>
      <c r="AG27" s="468" t="n">
        <f aca="false">IF(AG$6&lt;Total_Lanes,($BJ27*($CI27+BO27)+$CN27*CQ27)*Peak_Time_Eve/3600,"-")</f>
        <v>35659.1075927819</v>
      </c>
      <c r="AH27" s="468" t="n">
        <f aca="false">IF(AH$6&lt;Total_Lanes,($BJ27*($CI27+BP27)+$CN27*CR27)*Peak_Time_Eve/3600,"-")</f>
        <v>17798.2689872352</v>
      </c>
      <c r="AI27" s="468" t="n">
        <f aca="false">IF(AI$6&lt;Total_Lanes,($BJ27*($CI27+BQ27)+$CN27*CS27)*Peak_Time_Eve/3600,"-")</f>
        <v>8869.37159995806</v>
      </c>
      <c r="AJ27" s="468" t="n">
        <f aca="false">IF(AJ$6&lt;Total_Lanes,($BJ27*($CI27+BR27)+$CN27*CT27)*Peak_Time_Eve/3600,"-")</f>
        <v>3516.95858913546</v>
      </c>
      <c r="AK27" s="468" t="n">
        <f aca="false">IF(AK$6&lt;Total_Lanes,($BJ27*($CI27+BS27)+$CN27*CU27)*Peak_Time_Eve/3600,"-")</f>
        <v>157.227577908079</v>
      </c>
      <c r="AL27" s="468" t="n">
        <f aca="false">IF(AL$6&lt;Total_Lanes,($BJ27*($CI27+BT27)+$CN27*CV27)*Peak_Time_Eve/3600,"-")</f>
        <v>10.2893257349631</v>
      </c>
      <c r="AM27" s="468" t="n">
        <f aca="false">IF(AM$6&lt;Total_Lanes,($BJ27*($CI27+BU27)+$CN27*CW27)*Peak_Time_Eve/3600,"-")</f>
        <v>4.76524451482562</v>
      </c>
      <c r="AN27" s="468" t="n">
        <f aca="false">IF(AN$6&lt;Total_Lanes,($BJ27*($CI27+BV27)+$CN27*CX27)*Peak_Time_Eve/3600,"-")</f>
        <v>2.98375535545803</v>
      </c>
      <c r="AO27" s="468" t="n">
        <f aca="false">IF(AO$6&lt;Total_Lanes,($BJ27*($CI27+BW27)+$CN27*CY27)*Peak_Time_Eve/3600,"-")</f>
        <v>2.1443129603753</v>
      </c>
      <c r="AP27" s="468" t="n">
        <f aca="false">IF(AP$6&lt;Total_Lanes,($BJ27*($CI27+BX27)+$CN27*CZ27)*Peak_Time_Eve/3600,"-")</f>
        <v>1.72002003536738</v>
      </c>
      <c r="AQ27" s="468" t="str">
        <f aca="false">IF(AQ$6&lt;Total_Lanes,($BJ27*($CI27+BY27)+$CN27*DA27)*Peak_Time_Eve/3600,"-")</f>
        <v>-</v>
      </c>
      <c r="AR27" s="468" t="str">
        <f aca="false">IF(AR$6&lt;Total_Lanes,($BJ27*($CI27+BZ27)+$CN27*DB27)*Peak_Time_Eve/3600,"-")</f>
        <v>-</v>
      </c>
      <c r="AS27" s="468" t="str">
        <f aca="false">IF(AS$6&lt;Total_Lanes,($BJ27*($CI27+CA27)+$CN27*DC27)*Peak_Time_Eve/3600,"-")</f>
        <v>-</v>
      </c>
      <c r="AT27" s="468" t="str">
        <f aca="false">IF(AT$6&lt;Total_Lanes,($BJ27*($CI27+CB27)+$CN27*DD27)*Peak_Time_Eve/3600,"-")</f>
        <v>-</v>
      </c>
      <c r="AU27" s="468" t="str">
        <f aca="false">IF(AU$6&lt;Total_Lanes,($BJ27*($CI27+CC27)+$CN27*DE27)*Peak_Time_Eve/3600,"-")</f>
        <v>-</v>
      </c>
      <c r="AV27" s="468" t="str">
        <f aca="false">IF(AV$6&lt;Total_Lanes,($BJ27*($CI27+CD27)+$CN27*DF27)*Peak_Time_Eve/3600,"-")</f>
        <v>-</v>
      </c>
      <c r="AW27" s="468" t="str">
        <f aca="false">IF(AW$6&lt;Total_Lanes,($BJ27*($CI27+CE27)+$CN27*DG27)*Peak_Time_Eve/3600,"-")</f>
        <v>-</v>
      </c>
      <c r="AX27" s="468" t="str">
        <f aca="false">IF(AX$6&lt;Total_Lanes,($BJ27*($CI27+CF27)+$CN27*DH27)*Peak_Time_Eve/3600,"-")</f>
        <v>-</v>
      </c>
      <c r="AY27" s="468" t="str">
        <f aca="false">IF(AY$6&lt;Total_Lanes,($BJ27*($CI27+CG27)+$CN27*DI27)*Peak_Time_Eve/3600,"-")</f>
        <v>-</v>
      </c>
      <c r="AZ27" s="469" t="str">
        <f aca="false">IF(AZ$6&lt;Total_Lanes,($BJ27*($CI27+CH27)+$CN27*DJ27)*Peak_Time_Eve/3600,"-")</f>
        <v>-</v>
      </c>
      <c r="BA27" s="470" t="n">
        <f aca="false">SUMIF(AF27:AZ27,BB27,$AF$6:$AZ$6)</f>
        <v>11</v>
      </c>
      <c r="BB27" s="471" t="n">
        <f aca="false">MIN(AF27:AZ27)</f>
        <v>1.72002003536738</v>
      </c>
      <c r="BC27" s="470" t="n">
        <f aca="false">IF((SUMIF($BN25:$CH25,$BA27,$BN27:$CH27)+$CI27)&lt;(SUMIF($CP25:$DJ25,$BA27,$CP27:$DJ27)+$DK27),BA27+1,BA27)</f>
        <v>11</v>
      </c>
      <c r="BD27" s="471" t="n">
        <f aca="false">SUMIF($AF$6:$AZ$6,$BC27,$AF27:$AZ27)</f>
        <v>1.72002003536738</v>
      </c>
      <c r="BG27" s="452" t="n">
        <v>20</v>
      </c>
      <c r="BH27" s="463" t="n">
        <f aca="false">$Y27</f>
        <v>0.99</v>
      </c>
      <c r="BI27" s="472" t="n">
        <f aca="false">$AD27</f>
        <v>9055.44980054609</v>
      </c>
      <c r="BJ27" s="457" t="n">
        <f aca="false">BI27*(1-BH27)</f>
        <v>90.554498005461</v>
      </c>
      <c r="BK27" s="473" t="n">
        <f aca="false">Peak_Arrival_Manual/K60</f>
        <v>0.165387728996085</v>
      </c>
      <c r="BL27" s="474" t="n">
        <f aca="false">900*Peak_Time_Eve*(BK27/Total_Lanes-1+SQRT((BK27/Total_Lanes-1)^2+8*(BK27/Total_Lanes)/(Peak_Time_Eve*$K60*Total_Lanes)))</f>
        <v>0.00765707364713819</v>
      </c>
      <c r="BM27" s="475" t="n">
        <f aca="false">Peak_Arrival_Manual/N60</f>
        <v>0.176078190566174</v>
      </c>
      <c r="BN27" s="476" t="n">
        <f aca="false">IF(BN$6&lt;Total_Lanes,900*Peak_Time_Eve*(($BM27/(Total_Lanes-BN$6))-1+SQRT((($BM27/(Total_Lanes-BN$6))-1)^2+8*($BM27/(Total_Lanes-BN$6))/(Peak_Time_Eve*$N60*(Total_Lanes-BN$6)))),"-")</f>
        <v>0.0103520177030525</v>
      </c>
      <c r="BO27" s="476" t="n">
        <f aca="false">IF(BO$6&lt;Total_Lanes,900*Peak_Time_Eve*(($BM27/(Total_Lanes-BO$6))-1+SQRT((($BM27/(Total_Lanes-BO$6))-1)^2+8*($BM27/(Total_Lanes-BO$6))/(Peak_Time_Eve*$N60*(Total_Lanes-BO$6)))),"-")</f>
        <v>0.0125463433582329</v>
      </c>
      <c r="BP27" s="476" t="n">
        <f aca="false">IF(BP$6&lt;Total_Lanes,900*Peak_Time_Eve*(($BM27/(Total_Lanes-BP$6))-1+SQRT((($BM27/(Total_Lanes-BP$6))-1)^2+8*($BM27/(Total_Lanes-BP$6))/(Peak_Time_Eve*$N60*(Total_Lanes-BP$6)))),"-")</f>
        <v>0.0155202079686001</v>
      </c>
      <c r="BQ27" s="476" t="n">
        <f aca="false">IF(BQ$6&lt;Total_Lanes,900*Peak_Time_Eve*(($BM27/(Total_Lanes-BQ$6))-1+SQRT((($BM27/(Total_Lanes-BQ$6))-1)^2+8*($BM27/(Total_Lanes-BQ$6))/(Peak_Time_Eve*$N60*(Total_Lanes-BQ$6)))),"-")</f>
        <v>0.0196918577138439</v>
      </c>
      <c r="BR27" s="476" t="n">
        <f aca="false">IF(BR$6&lt;Total_Lanes,900*Peak_Time_Eve*(($BM27/(Total_Lanes-BR$6))-1+SQRT((($BM27/(Total_Lanes-BR$6))-1)^2+8*($BM27/(Total_Lanes-BR$6))/(Peak_Time_Eve*$N60*(Total_Lanes-BR$6)))),"-")</f>
        <v>0.0258028888509676</v>
      </c>
      <c r="BS27" s="476" t="n">
        <f aca="false">IF(BS$6&lt;Total_Lanes,900*Peak_Time_Eve*(($BM27/(Total_Lanes-BS$6))-1+SQRT((($BM27/(Total_Lanes-BS$6))-1)^2+8*($BM27/(Total_Lanes-BS$6))/(Peak_Time_Eve*$N60*(Total_Lanes-BS$6)))),"-")</f>
        <v>0.0352721909456122</v>
      </c>
      <c r="BT27" s="476" t="n">
        <f aca="false">IF(BT$6&lt;Total_Lanes,900*Peak_Time_Eve*(($BM27/(Total_Lanes-BT$6))-1+SQRT((($BM27/(Total_Lanes-BT$6))-1)^2+8*($BM27/(Total_Lanes-BT$6))/(Peak_Time_Eve*$N60*(Total_Lanes-BT$6)))),"-")</f>
        <v>0.0511007121899221</v>
      </c>
      <c r="BU27" s="476" t="n">
        <f aca="false">IF(BU$6&lt;Total_Lanes,900*Peak_Time_Eve*(($BM27/(Total_Lanes-BU$6))-1+SQRT((($BM27/(Total_Lanes-BU$6))-1)^2+8*($BM27/(Total_Lanes-BU$6))/(Peak_Time_Eve*$N60*(Total_Lanes-BU$6)))),"-")</f>
        <v>0.0805794768680146</v>
      </c>
      <c r="BV27" s="476" t="n">
        <f aca="false">IF(BV$6&lt;Total_Lanes,900*Peak_Time_Eve*(($BM27/(Total_Lanes-BV$6))-1+SQRT((($BM27/(Total_Lanes-BV$6))-1)^2+8*($BM27/(Total_Lanes-BV$6))/(Peak_Time_Eve*$N60*(Total_Lanes-BV$6)))),"-")</f>
        <v>0.145482595266699</v>
      </c>
      <c r="BW27" s="476" t="n">
        <f aca="false">IF(BW$6&lt;Total_Lanes,900*Peak_Time_Eve*(($BM27/(Total_Lanes-BW$6))-1+SQRT((($BM27/(Total_Lanes-BW$6))-1)^2+8*($BM27/(Total_Lanes-BW$6))/(Peak_Time_Eve*$N60*(Total_Lanes-BW$6)))),"-")</f>
        <v>0.337849052290484</v>
      </c>
      <c r="BX27" s="476" t="n">
        <f aca="false">IF(BX$6&lt;Total_Lanes,900*Peak_Time_Eve*(($BM27/(Total_Lanes-BX$6))-1+SQRT((($BM27/(Total_Lanes-BX$6))-1)^2+8*($BM27/(Total_Lanes-BX$6))/(Peak_Time_Eve*$N60*(Total_Lanes-BX$6)))),"-")</f>
        <v>1.49519810621703</v>
      </c>
      <c r="BY27" s="468" t="str">
        <f aca="false">IF(BY$6&lt;Total_Lanes,900*Peak_Time_Eve*(($BM27/(Total_Lanes-BY$6))-1+SQRT((($BM27/(Total_Lanes-BY$6))-1)^2+8*($BM27/(Total_Lanes-BY$6))/(Peak_Time_Eve*$N60*(Total_Lanes-BY$6)))),"-")</f>
        <v>-</v>
      </c>
      <c r="BZ27" s="468" t="str">
        <f aca="false">IF(BZ$6&lt;Total_Lanes,900*Peak_Time_Eve*(($BM27/(Total_Lanes-BZ$6))-1+SQRT((($BM27/(Total_Lanes-BZ$6))-1)^2+8*($BM27/(Total_Lanes-BZ$6))/(Peak_Time_Eve*$N60*(Total_Lanes-BZ$6)))),"-")</f>
        <v>-</v>
      </c>
      <c r="CA27" s="468" t="str">
        <f aca="false">IF(CA$6&lt;Total_Lanes,900*Peak_Time_Eve*(($BM27/(Total_Lanes-CA$6))-1+SQRT((($BM27/(Total_Lanes-CA$6))-1)^2+8*($BM27/(Total_Lanes-CA$6))/(Peak_Time_Eve*$N60*(Total_Lanes-CA$6)))),"-")</f>
        <v>-</v>
      </c>
      <c r="CB27" s="468" t="str">
        <f aca="false">IF(CB$6&lt;Total_Lanes,900*Peak_Time_Eve*(($BM27/(Total_Lanes-CB$6))-1+SQRT((($BM27/(Total_Lanes-CB$6))-1)^2+8*($BM27/(Total_Lanes-CB$6))/(Peak_Time_Eve*$N60*(Total_Lanes-CB$6)))),"-")</f>
        <v>-</v>
      </c>
      <c r="CC27" s="468" t="str">
        <f aca="false">IF(CC$6&lt;Total_Lanes,900*Peak_Time_Eve*(($BM27/(Total_Lanes-CC$6))-1+SQRT((($BM27/(Total_Lanes-CC$6))-1)^2+8*($BM27/(Total_Lanes-CC$6))/(Peak_Time_Eve*$N60*(Total_Lanes-CC$6)))),"-")</f>
        <v>-</v>
      </c>
      <c r="CD27" s="468" t="str">
        <f aca="false">IF(CD$6&lt;Total_Lanes,900*Peak_Time_Eve*(($BM27/(Total_Lanes-CD$6))-1+SQRT((($BM27/(Total_Lanes-CD$6))-1)^2+8*($BM27/(Total_Lanes-CD$6))/(Peak_Time_Eve*$N60*(Total_Lanes-CD$6)))),"-")</f>
        <v>-</v>
      </c>
      <c r="CE27" s="468" t="str">
        <f aca="false">IF(CE$6&lt;Total_Lanes,900*Peak_Time_Eve*(($BM27/(Total_Lanes-CE$6))-1+SQRT((($BM27/(Total_Lanes-CE$6))-1)^2+8*($BM27/(Total_Lanes-CE$6))/(Peak_Time_Eve*$N60*(Total_Lanes-CE$6)))),"-")</f>
        <v>-</v>
      </c>
      <c r="CF27" s="468" t="str">
        <f aca="false">IF(CF$6&lt;Total_Lanes,900*Peak_Time_Eve*(($BM27/(Total_Lanes-CF$6))-1+SQRT((($BM27/(Total_Lanes-CF$6))-1)^2+8*($BM27/(Total_Lanes-CF$6))/(Peak_Time_Eve*$N60*(Total_Lanes-CF$6)))),"-")</f>
        <v>-</v>
      </c>
      <c r="CG27" s="468" t="str">
        <f aca="false">IF(CG$6&lt;Total_Lanes,900*Peak_Time_Eve*(($BM27/(Total_Lanes-CG$6))-1+SQRT((($BM27/(Total_Lanes-CG$6))-1)^2+8*($BM27/(Total_Lanes-CG$6))/(Peak_Time_Eve*$N60*(Total_Lanes-CG$6)))),"-")</f>
        <v>-</v>
      </c>
      <c r="CH27" s="477" t="str">
        <f aca="false">IF(CH$6&lt;Total_Lanes,900*Peak_Time_Eve*(($BM27/(Total_Lanes-CH$6))-1+SQRT((($BM27/(Total_Lanes-CH$6))-1)^2+8*($BM27/(Total_Lanes-CH$6))/(Peak_Time_Eve*$N60*(Total_Lanes-CH$6)))),"-")</f>
        <v>-</v>
      </c>
      <c r="CI27" s="478" t="n">
        <f aca="false">3600/N60</f>
        <v>7</v>
      </c>
      <c r="CK27" s="452" t="n">
        <v>20</v>
      </c>
      <c r="CL27" s="463" t="n">
        <f aca="false">$Y27</f>
        <v>0.99</v>
      </c>
      <c r="CM27" s="467" t="n">
        <f aca="false">$AD27</f>
        <v>9055.44980054609</v>
      </c>
      <c r="CN27" s="460" t="n">
        <f aca="false">CM27*CL27</f>
        <v>8964.89530254063</v>
      </c>
      <c r="CO27" s="479" t="n">
        <f aca="false">CN27/O59</f>
        <v>5.97659686836042</v>
      </c>
      <c r="CP27" s="480" t="n">
        <f aca="false">IF(CP$6&lt;Total_Lanes,900*Peak_Time_Eve*(($CO27/CP$6-1)+SQRT(($CO27/CP$6-1)^2+8*($CO27/CP$6)/(Peak_Time_Eve*$O60*CP$6))),"-")</f>
        <v>17918.6305198197</v>
      </c>
      <c r="CQ27" s="480" t="n">
        <f aca="false">IF(CQ$6&lt;Total_Lanes,900*Peak_Time_Eve*(($CO27/CQ$6-1)+SQRT(($CO27/CQ$6-1)^2+8*($CO27/CQ$6)/(Peak_Time_Eve*$O60*CQ$6))),"-")</f>
        <v>7159.67743998119</v>
      </c>
      <c r="CR27" s="480" t="n">
        <f aca="false">IF(CR$6&lt;Total_Lanes,900*Peak_Time_Eve*(($CO27/CR$6-1)+SQRT(($CO27/CR$6-1)^2+8*($CO27/CR$6)/(Peak_Time_Eve*$O60*CR$6))),"-")</f>
        <v>3573.52181023617</v>
      </c>
      <c r="CS27" s="480" t="n">
        <f aca="false">IF(CS$6&lt;Total_Lanes,900*Peak_Time_Eve*(($CO27/CS$6-1)+SQRT(($CO27/CS$6-1)^2+8*($CO27/CS$6)/(Peak_Time_Eve*$O60*CS$6))),"-")</f>
        <v>1780.74954324653</v>
      </c>
      <c r="CT27" s="480" t="n">
        <f aca="false">IF(CT$6&lt;Total_Lanes,900*Peak_Time_Eve*(($CO27/CT$6-1)+SQRT(($CO27/CT$6-1)^2+8*($CO27/CT$6)/(Peak_Time_Eve*$O60*CT$6))),"-")</f>
        <v>706.075088305411</v>
      </c>
      <c r="CU27" s="480" t="n">
        <f aca="false">IF(CU$6&lt;Total_Lanes,900*Peak_Time_Eve*(($CO27/CU$6-1)+SQRT(($CO27/CU$6-1)^2+8*($CO27/CU$6)/(Peak_Time_Eve*$O60*CU$6))),"-")</f>
        <v>31.4975864372823</v>
      </c>
      <c r="CV27" s="480" t="n">
        <f aca="false">IF(CV$6&lt;Total_Lanes,900*Peak_Time_Eve*(($CO27/CV$6-1)+SQRT(($CO27/CV$6-1)^2+8*($CO27/CV$6)/(Peak_Time_Eve*$O60*CV$6))),"-")</f>
        <v>1.99470008673581</v>
      </c>
      <c r="CW27" s="480" t="n">
        <f aca="false">IF(CW$6&lt;Total_Lanes,900*Peak_Time_Eve*(($CO27/CW$6-1)+SQRT(($CO27/CW$6-1)^2+8*($CO27/CW$6)/(Peak_Time_Eve*$O60*CW$6))),"-")</f>
        <v>0.88525984283625</v>
      </c>
      <c r="CX27" s="480" t="n">
        <f aca="false">IF(CX$6&lt;Total_Lanes,900*Peak_Time_Eve*(($CO27/CX$6-1)+SQRT(($CO27/CX$6-1)^2+8*($CO27/CX$6)/(Peak_Time_Eve*$O60*CX$6))),"-")</f>
        <v>0.52691123443066</v>
      </c>
      <c r="CY27" s="480" t="n">
        <f aca="false">IF(CY$6&lt;Total_Lanes,900*Peak_Time_Eve*(($CO27/CY$6-1)+SQRT(($CO27/CY$6-1)^2+8*($CO27/CY$6)/(Peak_Time_Eve*$O60*CY$6))),"-")</f>
        <v>0.35642224292346</v>
      </c>
      <c r="CZ27" s="480" t="n">
        <f aca="false">IF(CZ$6&lt;Total_Lanes,900*Peak_Time_Eve*(($CO27/CZ$6-1)+SQRT(($CO27/CZ$6-1)^2+8*($CO27/CZ$6)/(Peak_Time_Eve*$O60*CZ$6))),"-")</f>
        <v>0.259540974565142</v>
      </c>
      <c r="DA27" s="481" t="str">
        <f aca="false">IF(DA$6&lt;Total_Lanes,900*Peak_Time_Eve*(($CO27/DA$6-1)+SQRT(($CO27/DA$6-1)^2+8*($CO27/DA$6)/(Peak_Time_Eve*$O60*DA$6))),"-")</f>
        <v>-</v>
      </c>
      <c r="DB27" s="481" t="str">
        <f aca="false">IF(DB$6&lt;Total_Lanes,900*Peak_Time_Eve*(($CO27/DB$6-1)+SQRT(($CO27/DB$6-1)^2+8*($CO27/DB$6)/(Peak_Time_Eve*$O60*DB$6))),"-")</f>
        <v>-</v>
      </c>
      <c r="DC27" s="481" t="str">
        <f aca="false">IF(DC$6&lt;Total_Lanes,900*Peak_Time_Eve*(($CO27/DC$6-1)+SQRT(($CO27/DC$6-1)^2+8*($CO27/DC$6)/(Peak_Time_Eve*$O60*DC$6))),"-")</f>
        <v>-</v>
      </c>
      <c r="DD27" s="481" t="str">
        <f aca="false">IF(DD$6&lt;Total_Lanes,900*Peak_Time_Eve*(($CO27/DD$6-1)+SQRT(($CO27/DD$6-1)^2+8*($CO27/DD$6)/(Peak_Time_Eve*$O60*DD$6))),"-")</f>
        <v>-</v>
      </c>
      <c r="DE27" s="481" t="str">
        <f aca="false">IF(DE$6&lt;Total_Lanes,900*Peak_Time_Eve*(($CO27/DE$6-1)+SQRT(($CO27/DE$6-1)^2+8*($CO27/DE$6)/(Peak_Time_Eve*$O60*DE$6))),"-")</f>
        <v>-</v>
      </c>
      <c r="DF27" s="481" t="str">
        <f aca="false">IF(DF$6&lt;Total_Lanes,900*Peak_Time_Eve*(($CO27/DF$6-1)+SQRT(($CO27/DF$6-1)^2+8*($CO27/DF$6)/(Peak_Time_Eve*$O60*DF$6))),"-")</f>
        <v>-</v>
      </c>
      <c r="DG27" s="481" t="str">
        <f aca="false">IF(DG$6&lt;Total_Lanes,900*Peak_Time_Eve*(($CO27/DG$6-1)+SQRT(($CO27/DG$6-1)^2+8*($CO27/DG$6)/(Peak_Time_Eve*$O60*DG$6))),"-")</f>
        <v>-</v>
      </c>
      <c r="DH27" s="481" t="str">
        <f aca="false">IF(DH$6&lt;Total_Lanes,900*Peak_Time_Eve*(($CO27/DH$6-1)+SQRT(($CO27/DH$6-1)^2+8*($CO27/DH$6)/(Peak_Time_Eve*$O60*DH$6))),"-")</f>
        <v>-</v>
      </c>
      <c r="DI27" s="481" t="str">
        <f aca="false">IF(DI$6&lt;Total_Lanes,900*Peak_Time_Eve*(($CO27/DI$6-1)+SQRT(($CO27/DI$6-1)^2+8*($CO27/DI$6)/(Peak_Time_Eve*$O60*DI$6))),"-")</f>
        <v>-</v>
      </c>
      <c r="DJ27" s="482" t="str">
        <f aca="false">IF(DJ$6&lt;Total_Lanes,900*Peak_Time_Eve*(($CO27/DJ$6-1)+SQRT(($CO27/DJ$6-1)^2+8*($CO27/DJ$6)/(Peak_Time_Eve*$O60*DJ$6))),"-")</f>
        <v>-</v>
      </c>
      <c r="DK27" s="483" t="n">
        <f aca="false">3600/O60</f>
        <v>2.4</v>
      </c>
    </row>
    <row r="29" customFormat="false" ht="13" hidden="false" customHeight="false" outlineLevel="0" collapsed="false">
      <c r="B29" s="1"/>
      <c r="C29" s="1"/>
      <c r="D29" s="1"/>
      <c r="E29" s="1"/>
    </row>
    <row r="30" customFormat="false" ht="14" hidden="false" customHeight="false" outlineLevel="0" collapsed="false">
      <c r="B30" s="1"/>
      <c r="C30" s="1"/>
      <c r="D30" s="1"/>
      <c r="E30" s="1"/>
      <c r="H30" s="285" t="s">
        <v>236</v>
      </c>
      <c r="W30" s="285" t="s">
        <v>236</v>
      </c>
      <c r="CF30" s="7"/>
      <c r="CG30" s="372"/>
      <c r="CS30" s="7"/>
    </row>
    <row r="31" customFormat="false" ht="14" hidden="false" customHeight="false" outlineLevel="0" collapsed="false">
      <c r="B31" s="1"/>
      <c r="C31" s="1"/>
      <c r="D31" s="1"/>
      <c r="E31" s="1"/>
      <c r="H31" s="484" t="s">
        <v>338</v>
      </c>
      <c r="I31" s="485"/>
      <c r="J31" s="485"/>
      <c r="K31" s="485"/>
      <c r="L31" s="485"/>
      <c r="M31" s="485"/>
      <c r="N31" s="485"/>
      <c r="O31" s="485"/>
      <c r="P31" s="485"/>
      <c r="Q31" s="485"/>
      <c r="R31" s="485"/>
      <c r="S31" s="486"/>
      <c r="T31" s="372"/>
      <c r="U31" s="372"/>
      <c r="V31" s="372"/>
      <c r="W31" s="487" t="s">
        <v>339</v>
      </c>
      <c r="X31" s="488"/>
      <c r="Y31" s="488"/>
      <c r="Z31" s="488"/>
      <c r="AA31" s="488"/>
      <c r="AB31" s="488"/>
      <c r="AC31" s="488"/>
      <c r="AD31" s="488"/>
      <c r="AE31" s="488"/>
      <c r="AF31" s="488"/>
      <c r="AG31" s="488"/>
      <c r="AH31" s="488"/>
      <c r="AI31" s="488"/>
      <c r="AJ31" s="488"/>
      <c r="AK31" s="488"/>
      <c r="AL31" s="488"/>
      <c r="AM31" s="488"/>
      <c r="AN31" s="488"/>
      <c r="AO31" s="488"/>
      <c r="AP31" s="488"/>
      <c r="AQ31" s="488"/>
      <c r="AR31" s="488"/>
      <c r="AS31" s="488"/>
      <c r="AT31" s="488"/>
      <c r="AU31" s="488"/>
      <c r="AV31" s="488"/>
      <c r="AW31" s="488"/>
      <c r="AX31" s="488"/>
      <c r="AY31" s="488"/>
      <c r="AZ31" s="488"/>
      <c r="BA31" s="489"/>
      <c r="BB31" s="489"/>
      <c r="BC31" s="488"/>
      <c r="BD31" s="490"/>
      <c r="CF31" s="7"/>
      <c r="CG31" s="372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</row>
    <row r="32" customFormat="false" ht="17" hidden="false" customHeight="false" outlineLevel="0" collapsed="false">
      <c r="B32" s="1"/>
      <c r="C32" s="1"/>
      <c r="D32" s="1"/>
      <c r="E32" s="1"/>
      <c r="H32" s="491" t="s">
        <v>340</v>
      </c>
      <c r="I32" s="492"/>
      <c r="J32" s="492"/>
      <c r="K32" s="492"/>
      <c r="L32" s="492"/>
      <c r="M32" s="492"/>
      <c r="N32" s="492"/>
      <c r="O32" s="492"/>
      <c r="P32" s="492"/>
      <c r="Q32" s="492"/>
      <c r="R32" s="492"/>
      <c r="S32" s="493"/>
      <c r="T32" s="372"/>
      <c r="U32" s="372"/>
      <c r="V32" s="372"/>
      <c r="W32" s="494" t="s">
        <v>341</v>
      </c>
      <c r="X32" s="495"/>
      <c r="Y32" s="495"/>
      <c r="Z32" s="495"/>
      <c r="AA32" s="495"/>
      <c r="AB32" s="495"/>
      <c r="AC32" s="495"/>
      <c r="AD32" s="495"/>
      <c r="AE32" s="495"/>
      <c r="AF32" s="495"/>
      <c r="AG32" s="495"/>
      <c r="AH32" s="495"/>
      <c r="AI32" s="495"/>
      <c r="AJ32" s="495"/>
      <c r="AK32" s="495"/>
      <c r="AL32" s="495"/>
      <c r="AM32" s="495"/>
      <c r="AN32" s="495"/>
      <c r="AO32" s="495"/>
      <c r="AP32" s="495"/>
      <c r="AQ32" s="495"/>
      <c r="AR32" s="495"/>
      <c r="AS32" s="495"/>
      <c r="AT32" s="495"/>
      <c r="AU32" s="495"/>
      <c r="AV32" s="495"/>
      <c r="AW32" s="495"/>
      <c r="AX32" s="495"/>
      <c r="AY32" s="495"/>
      <c r="AZ32" s="495"/>
      <c r="BA32" s="496"/>
      <c r="BB32" s="496"/>
      <c r="BC32" s="495"/>
      <c r="BD32" s="497"/>
      <c r="CF32" s="7"/>
      <c r="CG32" s="372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</row>
    <row r="33" customFormat="false" ht="13" hidden="false" customHeight="false" outlineLevel="0" collapsed="false">
      <c r="A33" s="1"/>
      <c r="B33" s="1"/>
      <c r="C33" s="1"/>
      <c r="D33" s="1"/>
      <c r="E33" s="1"/>
      <c r="F33" s="1"/>
      <c r="G33" s="1"/>
      <c r="H33" s="491" t="s">
        <v>342</v>
      </c>
      <c r="I33" s="492"/>
      <c r="J33" s="492"/>
      <c r="K33" s="492"/>
      <c r="L33" s="492"/>
      <c r="M33" s="492"/>
      <c r="N33" s="492"/>
      <c r="O33" s="492"/>
      <c r="P33" s="492"/>
      <c r="Q33" s="492"/>
      <c r="R33" s="495"/>
      <c r="S33" s="493" t="n">
        <v>52</v>
      </c>
      <c r="T33" s="1"/>
      <c r="U33" s="1"/>
      <c r="V33" s="1"/>
      <c r="W33" s="294" t="s">
        <v>343</v>
      </c>
      <c r="X33" s="495"/>
      <c r="Y33" s="495"/>
      <c r="Z33" s="495"/>
      <c r="AA33" s="495"/>
      <c r="AB33" s="495"/>
      <c r="AC33" s="495"/>
      <c r="AD33" s="495"/>
      <c r="AE33" s="495"/>
      <c r="AF33" s="495"/>
      <c r="AG33" s="495"/>
      <c r="AH33" s="495"/>
      <c r="AI33" s="495"/>
      <c r="AJ33" s="495"/>
      <c r="AK33" s="495"/>
      <c r="AL33" s="495"/>
      <c r="AM33" s="495"/>
      <c r="AN33" s="495"/>
      <c r="AO33" s="495"/>
      <c r="AP33" s="495"/>
      <c r="AQ33" s="495"/>
      <c r="AR33" s="495"/>
      <c r="AS33" s="495"/>
      <c r="AT33" s="495"/>
      <c r="AU33" s="495"/>
      <c r="AV33" s="495"/>
      <c r="AW33" s="495"/>
      <c r="AX33" s="495"/>
      <c r="AY33" s="495"/>
      <c r="AZ33" s="495"/>
      <c r="BA33" s="496"/>
      <c r="BB33" s="496"/>
      <c r="BC33" s="495"/>
      <c r="BD33" s="497"/>
      <c r="CF33" s="7"/>
      <c r="CG33" s="1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</row>
    <row r="34" customFormat="false" ht="14" hidden="false" customHeight="false" outlineLevel="0" collapsed="false">
      <c r="B34" s="1"/>
      <c r="C34" s="1"/>
      <c r="D34" s="1"/>
      <c r="E34" s="1"/>
      <c r="H34" s="296" t="s">
        <v>344</v>
      </c>
      <c r="I34" s="498"/>
      <c r="J34" s="498"/>
      <c r="K34" s="498"/>
      <c r="L34" s="498"/>
      <c r="M34" s="498"/>
      <c r="N34" s="498"/>
      <c r="O34" s="498"/>
      <c r="P34" s="498"/>
      <c r="Q34" s="498"/>
      <c r="R34" s="498"/>
      <c r="S34" s="499" t="n">
        <f aca="false">5*S33</f>
        <v>260</v>
      </c>
      <c r="T34" s="372"/>
      <c r="U34" s="372"/>
      <c r="V34" s="372"/>
      <c r="W34" s="294" t="s">
        <v>345</v>
      </c>
      <c r="X34" s="495"/>
      <c r="Y34" s="495"/>
      <c r="Z34" s="495"/>
      <c r="AA34" s="495"/>
      <c r="AB34" s="495"/>
      <c r="AC34" s="495"/>
      <c r="AD34" s="495"/>
      <c r="AE34" s="495"/>
      <c r="AF34" s="495"/>
      <c r="AG34" s="495"/>
      <c r="AH34" s="495"/>
      <c r="AI34" s="495"/>
      <c r="AJ34" s="495"/>
      <c r="AK34" s="495"/>
      <c r="AL34" s="495"/>
      <c r="AM34" s="495"/>
      <c r="AN34" s="495"/>
      <c r="AO34" s="495"/>
      <c r="AP34" s="495"/>
      <c r="AQ34" s="495"/>
      <c r="AR34" s="495"/>
      <c r="AS34" s="495"/>
      <c r="AT34" s="495"/>
      <c r="AU34" s="495"/>
      <c r="AV34" s="495"/>
      <c r="AW34" s="495"/>
      <c r="AX34" s="495"/>
      <c r="AY34" s="495"/>
      <c r="AZ34" s="495"/>
      <c r="BA34" s="496"/>
      <c r="BB34" s="496"/>
      <c r="BC34" s="495"/>
      <c r="BD34" s="497"/>
      <c r="CF34" s="7"/>
      <c r="CG34" s="372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</row>
    <row r="35" customFormat="false" ht="14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294" t="s">
        <v>346</v>
      </c>
      <c r="X35" s="495"/>
      <c r="Y35" s="495"/>
      <c r="Z35" s="495"/>
      <c r="AA35" s="495"/>
      <c r="AB35" s="495"/>
      <c r="AC35" s="495"/>
      <c r="AD35" s="495"/>
      <c r="AE35" s="495"/>
      <c r="AF35" s="495"/>
      <c r="AG35" s="495"/>
      <c r="AH35" s="495"/>
      <c r="AI35" s="495"/>
      <c r="AJ35" s="495"/>
      <c r="AK35" s="495"/>
      <c r="AL35" s="495"/>
      <c r="AM35" s="495"/>
      <c r="AN35" s="495"/>
      <c r="AO35" s="495"/>
      <c r="AP35" s="495"/>
      <c r="AQ35" s="495"/>
      <c r="AR35" s="495"/>
      <c r="AS35" s="495"/>
      <c r="AT35" s="495"/>
      <c r="AU35" s="495"/>
      <c r="AV35" s="495"/>
      <c r="AW35" s="495"/>
      <c r="AX35" s="495"/>
      <c r="AY35" s="495"/>
      <c r="AZ35" s="495"/>
      <c r="BA35" s="496"/>
      <c r="BB35" s="496"/>
      <c r="BC35" s="495"/>
      <c r="BD35" s="497"/>
      <c r="CF35" s="7"/>
      <c r="CG35" s="1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</row>
    <row r="36" customFormat="false" ht="13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294" t="s">
        <v>347</v>
      </c>
      <c r="X36" s="495"/>
      <c r="Y36" s="495"/>
      <c r="Z36" s="495"/>
      <c r="AA36" s="495"/>
      <c r="AB36" s="495"/>
      <c r="AC36" s="495"/>
      <c r="AD36" s="495"/>
      <c r="AE36" s="495"/>
      <c r="AF36" s="495"/>
      <c r="AG36" s="495"/>
      <c r="AH36" s="495"/>
      <c r="AI36" s="495"/>
      <c r="AJ36" s="495"/>
      <c r="AK36" s="495"/>
      <c r="AL36" s="495"/>
      <c r="AM36" s="495"/>
      <c r="AN36" s="495"/>
      <c r="AO36" s="495"/>
      <c r="AP36" s="495"/>
      <c r="AQ36" s="495"/>
      <c r="AR36" s="495"/>
      <c r="AS36" s="495"/>
      <c r="AT36" s="495"/>
      <c r="AU36" s="495"/>
      <c r="AV36" s="495"/>
      <c r="AW36" s="495"/>
      <c r="AX36" s="495"/>
      <c r="AY36" s="495"/>
      <c r="AZ36" s="495"/>
      <c r="BA36" s="496"/>
      <c r="BB36" s="496"/>
      <c r="BC36" s="495"/>
      <c r="BD36" s="497"/>
      <c r="CF36" s="7"/>
      <c r="CG36" s="1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</row>
    <row r="37" customFormat="false" ht="17" hidden="false" customHeight="false" outlineLevel="0" collapsed="false">
      <c r="A37" s="1"/>
      <c r="B37" s="1"/>
      <c r="C37" s="1"/>
      <c r="D37" s="1"/>
      <c r="E37" s="1"/>
      <c r="F37" s="1"/>
      <c r="G37" s="1"/>
      <c r="H37" s="341" t="s">
        <v>348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294" t="s">
        <v>349</v>
      </c>
      <c r="X37" s="495"/>
      <c r="Y37" s="495"/>
      <c r="Z37" s="495"/>
      <c r="AA37" s="495"/>
      <c r="AB37" s="495"/>
      <c r="AC37" s="495"/>
      <c r="AD37" s="495"/>
      <c r="AE37" s="495"/>
      <c r="AF37" s="495"/>
      <c r="AG37" s="495"/>
      <c r="AH37" s="495"/>
      <c r="AI37" s="495"/>
      <c r="AJ37" s="495"/>
      <c r="AK37" s="495"/>
      <c r="AL37" s="495"/>
      <c r="AM37" s="495"/>
      <c r="AN37" s="495"/>
      <c r="AO37" s="495"/>
      <c r="AP37" s="495"/>
      <c r="AQ37" s="495"/>
      <c r="AR37" s="495"/>
      <c r="AS37" s="495"/>
      <c r="AT37" s="495"/>
      <c r="AU37" s="495"/>
      <c r="AV37" s="495"/>
      <c r="AW37" s="495"/>
      <c r="AX37" s="495"/>
      <c r="AY37" s="495"/>
      <c r="AZ37" s="495"/>
      <c r="BA37" s="496"/>
      <c r="BB37" s="496"/>
      <c r="BC37" s="495"/>
      <c r="BD37" s="497"/>
      <c r="CF37" s="7"/>
      <c r="CG37" s="1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378" t="s">
        <v>96</v>
      </c>
      <c r="I38" s="500" t="s">
        <v>350</v>
      </c>
      <c r="J38" s="500"/>
      <c r="K38" s="500"/>
      <c r="L38" s="382" t="s">
        <v>351</v>
      </c>
      <c r="M38" s="382"/>
      <c r="N38" s="382"/>
      <c r="O38" s="378" t="s">
        <v>352</v>
      </c>
      <c r="P38" s="1"/>
      <c r="Q38" s="1"/>
      <c r="R38" s="1"/>
      <c r="S38" s="1"/>
      <c r="T38" s="1"/>
      <c r="U38" s="1"/>
      <c r="V38" s="1"/>
      <c r="W38" s="294" t="s">
        <v>353</v>
      </c>
      <c r="X38" s="495"/>
      <c r="Y38" s="495"/>
      <c r="Z38" s="495"/>
      <c r="AA38" s="495"/>
      <c r="AB38" s="495"/>
      <c r="AC38" s="495"/>
      <c r="AD38" s="495"/>
      <c r="AE38" s="495"/>
      <c r="AF38" s="495"/>
      <c r="AG38" s="495"/>
      <c r="AH38" s="495"/>
      <c r="AI38" s="495"/>
      <c r="AJ38" s="495"/>
      <c r="AK38" s="495"/>
      <c r="AL38" s="495"/>
      <c r="AM38" s="495"/>
      <c r="AN38" s="495"/>
      <c r="AO38" s="495"/>
      <c r="AP38" s="495"/>
      <c r="AQ38" s="495"/>
      <c r="AR38" s="495"/>
      <c r="AS38" s="495"/>
      <c r="AT38" s="495"/>
      <c r="AU38" s="495"/>
      <c r="AV38" s="495"/>
      <c r="AW38" s="495"/>
      <c r="AX38" s="495"/>
      <c r="AY38" s="495"/>
      <c r="AZ38" s="495"/>
      <c r="BA38" s="496"/>
      <c r="BB38" s="496"/>
      <c r="BC38" s="495"/>
      <c r="BD38" s="497"/>
      <c r="CF38" s="7"/>
      <c r="CG38" s="1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</row>
    <row r="39" customFormat="false" ht="14" hidden="false" customHeight="false" outlineLevel="0" collapsed="false">
      <c r="A39" s="1"/>
      <c r="B39" s="1"/>
      <c r="C39" s="1"/>
      <c r="D39" s="1"/>
      <c r="E39" s="1"/>
      <c r="F39" s="1"/>
      <c r="G39" s="1"/>
      <c r="H39" s="378"/>
      <c r="I39" s="360" t="s">
        <v>354</v>
      </c>
      <c r="J39" s="388" t="s">
        <v>109</v>
      </c>
      <c r="K39" s="388" t="s">
        <v>355</v>
      </c>
      <c r="L39" s="360" t="s">
        <v>356</v>
      </c>
      <c r="M39" s="388" t="s">
        <v>109</v>
      </c>
      <c r="N39" s="388" t="s">
        <v>355</v>
      </c>
      <c r="O39" s="378"/>
      <c r="P39" s="1"/>
      <c r="Q39" s="1"/>
      <c r="R39" s="1"/>
      <c r="S39" s="1"/>
      <c r="T39" s="1"/>
      <c r="U39" s="1"/>
      <c r="V39" s="1"/>
      <c r="W39" s="294" t="s">
        <v>357</v>
      </c>
      <c r="X39" s="495"/>
      <c r="Y39" s="495"/>
      <c r="Z39" s="495"/>
      <c r="AA39" s="495"/>
      <c r="AB39" s="495"/>
      <c r="AC39" s="495"/>
      <c r="AD39" s="495"/>
      <c r="AE39" s="495"/>
      <c r="AF39" s="495"/>
      <c r="AG39" s="495"/>
      <c r="AH39" s="495"/>
      <c r="AI39" s="495"/>
      <c r="AJ39" s="495"/>
      <c r="AK39" s="495"/>
      <c r="AL39" s="495"/>
      <c r="AM39" s="495"/>
      <c r="AN39" s="495"/>
      <c r="AO39" s="495"/>
      <c r="AP39" s="495"/>
      <c r="AQ39" s="495"/>
      <c r="AR39" s="495"/>
      <c r="AS39" s="495"/>
      <c r="AT39" s="495"/>
      <c r="AU39" s="495"/>
      <c r="AV39" s="495"/>
      <c r="AW39" s="495"/>
      <c r="AX39" s="495"/>
      <c r="AY39" s="495"/>
      <c r="AZ39" s="495"/>
      <c r="BA39" s="496"/>
      <c r="BB39" s="496"/>
      <c r="BC39" s="495"/>
      <c r="BD39" s="497"/>
      <c r="CF39" s="7"/>
      <c r="CG39" s="1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</row>
    <row r="40" customFormat="false" ht="14" hidden="false" customHeight="false" outlineLevel="0" collapsed="false">
      <c r="A40" s="1"/>
      <c r="B40" s="1"/>
      <c r="C40" s="1"/>
      <c r="D40" s="1"/>
      <c r="E40" s="1"/>
      <c r="F40" s="1"/>
      <c r="G40" s="1"/>
      <c r="H40" s="400" t="s">
        <v>114</v>
      </c>
      <c r="I40" s="501" t="n">
        <f aca="false">'Input-Detail'!BH13</f>
        <v>0.83</v>
      </c>
      <c r="J40" s="502" t="n">
        <f aca="false">1-I40</f>
        <v>0.17</v>
      </c>
      <c r="K40" s="407" t="n">
        <f aca="false">3600/(Trans_Time_Cash*I40+Trans_Time_Ticket*J40)</f>
        <v>547.528517110266</v>
      </c>
      <c r="L40" s="501" t="n">
        <f aca="false">'Input-Detail'!BJ13</f>
        <v>0.83</v>
      </c>
      <c r="M40" s="502" t="n">
        <f aca="false">1-L40</f>
        <v>0.17</v>
      </c>
      <c r="N40" s="407" t="n">
        <f aca="false">3600/(Trans_Time_Cash*L40+Trans_Time_Ticket*M40)</f>
        <v>547.528517110266</v>
      </c>
      <c r="O40" s="407" t="n">
        <f aca="false">3600/Headway_ETC</f>
        <v>1500</v>
      </c>
      <c r="P40" s="1"/>
      <c r="Q40" s="1"/>
      <c r="R40" s="1"/>
      <c r="S40" s="1"/>
      <c r="T40" s="1"/>
      <c r="U40" s="1"/>
      <c r="V40" s="1"/>
      <c r="W40" s="294" t="s">
        <v>358</v>
      </c>
      <c r="X40" s="495"/>
      <c r="Y40" s="495"/>
      <c r="Z40" s="495"/>
      <c r="AA40" s="495"/>
      <c r="AB40" s="495"/>
      <c r="AC40" s="495"/>
      <c r="AD40" s="495"/>
      <c r="AE40" s="495"/>
      <c r="AF40" s="495"/>
      <c r="AG40" s="495"/>
      <c r="AH40" s="495"/>
      <c r="AI40" s="495"/>
      <c r="AJ40" s="495"/>
      <c r="AK40" s="495"/>
      <c r="AL40" s="495"/>
      <c r="AM40" s="495"/>
      <c r="AN40" s="495"/>
      <c r="AO40" s="495"/>
      <c r="AP40" s="495"/>
      <c r="AQ40" s="495"/>
      <c r="AR40" s="495"/>
      <c r="AS40" s="495"/>
      <c r="AT40" s="495"/>
      <c r="AU40" s="495"/>
      <c r="AV40" s="495"/>
      <c r="AW40" s="495"/>
      <c r="AX40" s="495"/>
      <c r="AY40" s="495"/>
      <c r="AZ40" s="495"/>
      <c r="BA40" s="496"/>
      <c r="BB40" s="496"/>
      <c r="BC40" s="495"/>
      <c r="BD40" s="497"/>
      <c r="CF40" s="7"/>
      <c r="CG40" s="1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</row>
    <row r="41" customFormat="false" ht="13" hidden="false" customHeight="false" outlineLevel="0" collapsed="false">
      <c r="A41" s="1"/>
      <c r="B41" s="1"/>
      <c r="C41" s="1"/>
      <c r="D41" s="1"/>
      <c r="E41" s="1"/>
      <c r="F41" s="1"/>
      <c r="G41" s="1"/>
      <c r="H41" s="400" t="n">
        <v>1</v>
      </c>
      <c r="I41" s="501" t="n">
        <f aca="false">'Input-Detail'!BH14</f>
        <v>0.83</v>
      </c>
      <c r="J41" s="502" t="n">
        <f aca="false">1-I41</f>
        <v>0.17</v>
      </c>
      <c r="K41" s="407" t="n">
        <f aca="false">3600/(Trans_Time_Cash*I41+Trans_Time_Ticket*J41)</f>
        <v>547.528517110266</v>
      </c>
      <c r="L41" s="501" t="n">
        <f aca="false">'Input-Detail'!BJ14</f>
        <v>0.8385</v>
      </c>
      <c r="M41" s="502" t="n">
        <f aca="false">1-L41</f>
        <v>0.1615</v>
      </c>
      <c r="N41" s="407" t="n">
        <f aca="false">3600/(Trans_Time_Cash*L41+Trans_Time_Ticket*M41)</f>
        <v>545.764638999432</v>
      </c>
      <c r="O41" s="407" t="n">
        <f aca="false">3600/Headway_ETC</f>
        <v>1500</v>
      </c>
      <c r="P41" s="1"/>
      <c r="Q41" s="1"/>
      <c r="R41" s="1"/>
      <c r="S41" s="1"/>
      <c r="T41" s="1"/>
      <c r="U41" s="1"/>
      <c r="V41" s="1"/>
      <c r="W41" s="294" t="s">
        <v>359</v>
      </c>
      <c r="X41" s="495"/>
      <c r="Y41" s="495"/>
      <c r="Z41" s="495"/>
      <c r="AA41" s="495"/>
      <c r="AB41" s="495"/>
      <c r="AC41" s="495"/>
      <c r="AD41" s="495"/>
      <c r="AE41" s="495"/>
      <c r="AF41" s="495"/>
      <c r="AG41" s="495"/>
      <c r="AH41" s="495"/>
      <c r="AI41" s="495"/>
      <c r="AJ41" s="495"/>
      <c r="AK41" s="495"/>
      <c r="AL41" s="495"/>
      <c r="AM41" s="495"/>
      <c r="AN41" s="495"/>
      <c r="AO41" s="495"/>
      <c r="AP41" s="495"/>
      <c r="AQ41" s="495"/>
      <c r="AR41" s="495"/>
      <c r="AS41" s="495"/>
      <c r="AT41" s="495"/>
      <c r="AU41" s="495"/>
      <c r="AV41" s="495"/>
      <c r="AW41" s="495"/>
      <c r="AX41" s="495"/>
      <c r="AY41" s="495"/>
      <c r="AZ41" s="495"/>
      <c r="BA41" s="496"/>
      <c r="BB41" s="496"/>
      <c r="BC41" s="495"/>
      <c r="BD41" s="497"/>
      <c r="CF41" s="7"/>
      <c r="CG41" s="1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</row>
    <row r="42" customFormat="false" ht="13" hidden="false" customHeight="false" outlineLevel="0" collapsed="false">
      <c r="A42" s="1"/>
      <c r="B42" s="1"/>
      <c r="C42" s="1"/>
      <c r="D42" s="1"/>
      <c r="E42" s="1"/>
      <c r="F42" s="1"/>
      <c r="G42" s="1"/>
      <c r="H42" s="400" t="n">
        <v>2</v>
      </c>
      <c r="I42" s="501" t="n">
        <f aca="false">'Input-Detail'!BH15</f>
        <v>0.83</v>
      </c>
      <c r="J42" s="502" t="n">
        <f aca="false">1-I42</f>
        <v>0.17</v>
      </c>
      <c r="K42" s="407" t="n">
        <f aca="false">3600/(Trans_Time_Cash*I42+Trans_Time_Ticket*J42)</f>
        <v>547.528517110266</v>
      </c>
      <c r="L42" s="501" t="n">
        <f aca="false">'Input-Detail'!BJ15</f>
        <v>0.847</v>
      </c>
      <c r="M42" s="502" t="n">
        <f aca="false">1-L42</f>
        <v>0.153</v>
      </c>
      <c r="N42" s="407" t="n">
        <f aca="false">3600/(Trans_Time_Cash*L42+Trans_Time_Ticket*M42)</f>
        <v>544.012089157537</v>
      </c>
      <c r="O42" s="407" t="n">
        <f aca="false">3600/Headway_ETC</f>
        <v>1500</v>
      </c>
      <c r="P42" s="1"/>
      <c r="Q42" s="1"/>
      <c r="R42" s="1"/>
      <c r="S42" s="1"/>
      <c r="T42" s="1"/>
      <c r="U42" s="1"/>
      <c r="V42" s="1"/>
      <c r="W42" s="294" t="s">
        <v>360</v>
      </c>
      <c r="X42" s="495"/>
      <c r="Y42" s="495"/>
      <c r="Z42" s="495"/>
      <c r="AA42" s="495"/>
      <c r="AB42" s="495"/>
      <c r="AC42" s="495"/>
      <c r="AD42" s="495"/>
      <c r="AE42" s="495"/>
      <c r="AF42" s="495"/>
      <c r="AG42" s="495"/>
      <c r="AH42" s="495"/>
      <c r="AI42" s="495"/>
      <c r="AJ42" s="495"/>
      <c r="AK42" s="495"/>
      <c r="AL42" s="495"/>
      <c r="AM42" s="495"/>
      <c r="AN42" s="495"/>
      <c r="AO42" s="495"/>
      <c r="AP42" s="495"/>
      <c r="AQ42" s="495"/>
      <c r="AR42" s="495"/>
      <c r="AS42" s="495"/>
      <c r="AT42" s="495"/>
      <c r="AU42" s="495"/>
      <c r="AV42" s="495"/>
      <c r="AW42" s="495"/>
      <c r="AX42" s="495"/>
      <c r="AY42" s="495"/>
      <c r="AZ42" s="495"/>
      <c r="BA42" s="496"/>
      <c r="BB42" s="496"/>
      <c r="BC42" s="495"/>
      <c r="BD42" s="497"/>
      <c r="CF42" s="7"/>
      <c r="CG42" s="1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</row>
    <row r="43" customFormat="false" ht="13" hidden="false" customHeight="false" outlineLevel="0" collapsed="false">
      <c r="A43" s="1"/>
      <c r="B43" s="1"/>
      <c r="C43" s="1"/>
      <c r="D43" s="1"/>
      <c r="E43" s="1"/>
      <c r="F43" s="1"/>
      <c r="G43" s="1"/>
      <c r="H43" s="400" t="n">
        <v>3</v>
      </c>
      <c r="I43" s="501" t="n">
        <f aca="false">'Input-Detail'!BH16</f>
        <v>0.83</v>
      </c>
      <c r="J43" s="502" t="n">
        <f aca="false">1-I43</f>
        <v>0.17</v>
      </c>
      <c r="K43" s="407" t="n">
        <f aca="false">3600/(Trans_Time_Cash*I43+Trans_Time_Ticket*J43)</f>
        <v>547.528517110266</v>
      </c>
      <c r="L43" s="501" t="n">
        <f aca="false">'Input-Detail'!BJ16</f>
        <v>0.8555</v>
      </c>
      <c r="M43" s="502" t="n">
        <f aca="false">1-L43</f>
        <v>0.1445</v>
      </c>
      <c r="N43" s="407" t="n">
        <f aca="false">3600/(Trans_Time_Cash*L43+Trans_Time_Ticket*M43)</f>
        <v>542.270758802485</v>
      </c>
      <c r="O43" s="407" t="n">
        <f aca="false">3600/Headway_ETC</f>
        <v>1500</v>
      </c>
      <c r="P43" s="1"/>
      <c r="Q43" s="1"/>
      <c r="R43" s="1"/>
      <c r="S43" s="1"/>
      <c r="T43" s="1"/>
      <c r="U43" s="1"/>
      <c r="V43" s="1"/>
      <c r="W43" s="294"/>
      <c r="X43" s="495"/>
      <c r="Y43" s="495"/>
      <c r="Z43" s="495"/>
      <c r="AA43" s="495"/>
      <c r="AB43" s="495"/>
      <c r="AC43" s="495"/>
      <c r="AD43" s="495"/>
      <c r="AE43" s="495"/>
      <c r="AF43" s="495"/>
      <c r="AG43" s="495"/>
      <c r="AH43" s="495"/>
      <c r="AI43" s="495"/>
      <c r="AJ43" s="495"/>
      <c r="AK43" s="495"/>
      <c r="AL43" s="495"/>
      <c r="AM43" s="495"/>
      <c r="AN43" s="495"/>
      <c r="AO43" s="495"/>
      <c r="AP43" s="495"/>
      <c r="AQ43" s="495"/>
      <c r="AR43" s="495"/>
      <c r="AS43" s="495"/>
      <c r="AT43" s="495"/>
      <c r="AU43" s="495"/>
      <c r="AV43" s="495"/>
      <c r="AW43" s="495"/>
      <c r="AX43" s="495"/>
      <c r="AY43" s="495"/>
      <c r="AZ43" s="495"/>
      <c r="BA43" s="496"/>
      <c r="BB43" s="496"/>
      <c r="BC43" s="495"/>
      <c r="BD43" s="497"/>
      <c r="CF43" s="7"/>
      <c r="CG43" s="1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</row>
    <row r="44" customFormat="false" ht="17" hidden="false" customHeight="false" outlineLevel="0" collapsed="false">
      <c r="A44" s="1"/>
      <c r="B44" s="1"/>
      <c r="C44" s="1"/>
      <c r="D44" s="1"/>
      <c r="E44" s="1"/>
      <c r="F44" s="1"/>
      <c r="G44" s="1"/>
      <c r="H44" s="400" t="n">
        <v>4</v>
      </c>
      <c r="I44" s="501" t="n">
        <f aca="false">'Input-Detail'!BH17</f>
        <v>0.83</v>
      </c>
      <c r="J44" s="502" t="n">
        <f aca="false">1-I44</f>
        <v>0.17</v>
      </c>
      <c r="K44" s="407" t="n">
        <f aca="false">3600/(Trans_Time_Cash*I44+Trans_Time_Ticket*J44)</f>
        <v>547.528517110266</v>
      </c>
      <c r="L44" s="501" t="n">
        <f aca="false">'Input-Detail'!BJ17</f>
        <v>0.864</v>
      </c>
      <c r="M44" s="502" t="n">
        <f aca="false">1-L44</f>
        <v>0.136</v>
      </c>
      <c r="N44" s="407" t="n">
        <f aca="false">3600/(Trans_Time_Cash*L44+Trans_Time_Ticket*M44)</f>
        <v>540.540540540541</v>
      </c>
      <c r="O44" s="407" t="n">
        <f aca="false">3600/Headway_ETC</f>
        <v>1500</v>
      </c>
      <c r="P44" s="1"/>
      <c r="Q44" s="1"/>
      <c r="R44" s="1"/>
      <c r="S44" s="1"/>
      <c r="T44" s="1"/>
      <c r="U44" s="1"/>
      <c r="V44" s="1"/>
      <c r="W44" s="494" t="s">
        <v>361</v>
      </c>
      <c r="X44" s="495"/>
      <c r="Y44" s="495"/>
      <c r="Z44" s="495"/>
      <c r="AA44" s="495"/>
      <c r="AB44" s="495"/>
      <c r="AC44" s="495"/>
      <c r="AD44" s="495"/>
      <c r="AE44" s="495"/>
      <c r="AF44" s="495"/>
      <c r="AG44" s="495"/>
      <c r="AH44" s="495"/>
      <c r="AI44" s="495"/>
      <c r="AJ44" s="495"/>
      <c r="AK44" s="495"/>
      <c r="AL44" s="495"/>
      <c r="AM44" s="495"/>
      <c r="AN44" s="495"/>
      <c r="AO44" s="495"/>
      <c r="AP44" s="495"/>
      <c r="AQ44" s="495"/>
      <c r="AR44" s="495"/>
      <c r="AS44" s="495"/>
      <c r="AT44" s="495"/>
      <c r="AU44" s="495"/>
      <c r="AV44" s="495"/>
      <c r="AW44" s="495"/>
      <c r="AX44" s="495"/>
      <c r="AY44" s="495"/>
      <c r="AZ44" s="495"/>
      <c r="BA44" s="496"/>
      <c r="BB44" s="496"/>
      <c r="BC44" s="495"/>
      <c r="BD44" s="497"/>
      <c r="CF44" s="7"/>
      <c r="CG44" s="1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</row>
    <row r="45" customFormat="false" ht="13" hidden="false" customHeight="false" outlineLevel="0" collapsed="false">
      <c r="A45" s="1"/>
      <c r="B45" s="1"/>
      <c r="C45" s="1"/>
      <c r="D45" s="1"/>
      <c r="E45" s="1"/>
      <c r="F45" s="1"/>
      <c r="G45" s="1"/>
      <c r="H45" s="400" t="n">
        <v>5</v>
      </c>
      <c r="I45" s="501" t="n">
        <f aca="false">'Input-Detail'!BH18</f>
        <v>0.83</v>
      </c>
      <c r="J45" s="502" t="n">
        <f aca="false">1-I45</f>
        <v>0.17</v>
      </c>
      <c r="K45" s="407" t="n">
        <f aca="false">3600/(Trans_Time_Cash*I45+Trans_Time_Ticket*J45)</f>
        <v>547.528517110266</v>
      </c>
      <c r="L45" s="501" t="n">
        <f aca="false">'Input-Detail'!BJ18</f>
        <v>0.8725</v>
      </c>
      <c r="M45" s="502" t="n">
        <f aca="false">1-L45</f>
        <v>0.1275</v>
      </c>
      <c r="N45" s="407" t="n">
        <f aca="false">3600/(Trans_Time_Cash*L45+Trans_Time_Ticket*M45)</f>
        <v>538.821328344247</v>
      </c>
      <c r="O45" s="407" t="n">
        <f aca="false">3600/Headway_ETC</f>
        <v>1500</v>
      </c>
      <c r="P45" s="1"/>
      <c r="Q45" s="1"/>
      <c r="R45" s="1"/>
      <c r="S45" s="1"/>
      <c r="T45" s="1"/>
      <c r="U45" s="1"/>
      <c r="V45" s="1"/>
      <c r="W45" s="294" t="s">
        <v>362</v>
      </c>
      <c r="X45" s="495"/>
      <c r="Y45" s="495"/>
      <c r="Z45" s="495"/>
      <c r="AA45" s="495"/>
      <c r="AB45" s="495"/>
      <c r="AC45" s="495"/>
      <c r="AD45" s="495"/>
      <c r="AE45" s="495"/>
      <c r="AF45" s="495"/>
      <c r="AG45" s="495"/>
      <c r="AH45" s="495"/>
      <c r="AI45" s="495"/>
      <c r="AJ45" s="495"/>
      <c r="AK45" s="495"/>
      <c r="AL45" s="495"/>
      <c r="AM45" s="495"/>
      <c r="AN45" s="495"/>
      <c r="AO45" s="495"/>
      <c r="AP45" s="495"/>
      <c r="AQ45" s="495"/>
      <c r="AR45" s="495"/>
      <c r="AS45" s="495"/>
      <c r="AT45" s="495"/>
      <c r="AU45" s="495"/>
      <c r="AV45" s="495"/>
      <c r="AW45" s="495"/>
      <c r="AX45" s="495"/>
      <c r="AY45" s="495"/>
      <c r="AZ45" s="495"/>
      <c r="BA45" s="496"/>
      <c r="BB45" s="496"/>
      <c r="BC45" s="495"/>
      <c r="BD45" s="497"/>
      <c r="CF45" s="7"/>
      <c r="CG45" s="1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</row>
    <row r="46" customFormat="false" ht="13" hidden="false" customHeight="false" outlineLevel="0" collapsed="false">
      <c r="A46" s="1"/>
      <c r="B46" s="1"/>
      <c r="C46" s="1"/>
      <c r="D46" s="1"/>
      <c r="E46" s="1"/>
      <c r="F46" s="1"/>
      <c r="G46" s="1"/>
      <c r="H46" s="400" t="n">
        <v>6</v>
      </c>
      <c r="I46" s="501" t="n">
        <f aca="false">'Input-Detail'!BH19</f>
        <v>0.83</v>
      </c>
      <c r="J46" s="502" t="n">
        <f aca="false">1-I46</f>
        <v>0.17</v>
      </c>
      <c r="K46" s="407" t="n">
        <f aca="false">3600/(Trans_Time_Cash*I46+Trans_Time_Ticket*J46)</f>
        <v>547.528517110266</v>
      </c>
      <c r="L46" s="501" t="n">
        <f aca="false">'Input-Detail'!BJ19</f>
        <v>0.881</v>
      </c>
      <c r="M46" s="502" t="n">
        <f aca="false">1-L46</f>
        <v>0.119</v>
      </c>
      <c r="N46" s="407" t="n">
        <f aca="false">3600/(Trans_Time_Cash*L46+Trans_Time_Ticket*M46)</f>
        <v>537.113017530772</v>
      </c>
      <c r="O46" s="407" t="n">
        <f aca="false">3600/Headway_ETC</f>
        <v>1500</v>
      </c>
      <c r="P46" s="1"/>
      <c r="Q46" s="1"/>
      <c r="R46" s="1"/>
      <c r="S46" s="1"/>
      <c r="T46" s="1"/>
      <c r="U46" s="1"/>
      <c r="V46" s="1"/>
      <c r="W46" s="294" t="s">
        <v>363</v>
      </c>
      <c r="X46" s="495"/>
      <c r="Y46" s="495"/>
      <c r="Z46" s="495"/>
      <c r="AA46" s="495"/>
      <c r="AB46" s="495"/>
      <c r="AC46" s="495"/>
      <c r="AD46" s="495"/>
      <c r="AE46" s="495"/>
      <c r="AF46" s="495"/>
      <c r="AG46" s="495"/>
      <c r="AH46" s="495"/>
      <c r="AI46" s="495"/>
      <c r="AJ46" s="495"/>
      <c r="AK46" s="495"/>
      <c r="AL46" s="495"/>
      <c r="AM46" s="495"/>
      <c r="AN46" s="495"/>
      <c r="AO46" s="495"/>
      <c r="AP46" s="495"/>
      <c r="AQ46" s="495"/>
      <c r="AR46" s="495"/>
      <c r="AS46" s="495"/>
      <c r="AT46" s="495"/>
      <c r="AU46" s="495"/>
      <c r="AV46" s="495"/>
      <c r="AW46" s="495"/>
      <c r="AX46" s="495"/>
      <c r="AY46" s="495"/>
      <c r="AZ46" s="495"/>
      <c r="BA46" s="496"/>
      <c r="BB46" s="496"/>
      <c r="BC46" s="495"/>
      <c r="BD46" s="497"/>
      <c r="CF46" s="7"/>
      <c r="CG46" s="1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</row>
    <row r="47" customFormat="false" ht="13" hidden="false" customHeight="false" outlineLevel="0" collapsed="false">
      <c r="A47" s="1"/>
      <c r="B47" s="1"/>
      <c r="C47" s="1"/>
      <c r="D47" s="1"/>
      <c r="E47" s="1"/>
      <c r="F47" s="1"/>
      <c r="G47" s="1"/>
      <c r="H47" s="400" t="n">
        <v>7</v>
      </c>
      <c r="I47" s="501" t="n">
        <f aca="false">'Input-Detail'!BH20</f>
        <v>0.83</v>
      </c>
      <c r="J47" s="502" t="n">
        <f aca="false">1-I47</f>
        <v>0.17</v>
      </c>
      <c r="K47" s="407" t="n">
        <f aca="false">3600/(Trans_Time_Cash*I47+Trans_Time_Ticket*J47)</f>
        <v>547.528517110266</v>
      </c>
      <c r="L47" s="501" t="n">
        <f aca="false">'Input-Detail'!BJ20</f>
        <v>0.8895</v>
      </c>
      <c r="M47" s="502" t="n">
        <f aca="false">1-L47</f>
        <v>0.1105</v>
      </c>
      <c r="N47" s="407" t="n">
        <f aca="false">3600/(Trans_Time_Cash*L47+Trans_Time_Ticket*M47)</f>
        <v>535.415504740658</v>
      </c>
      <c r="O47" s="407" t="n">
        <f aca="false">3600/Headway_ETC</f>
        <v>1500</v>
      </c>
      <c r="P47" s="1"/>
      <c r="Q47" s="1"/>
      <c r="R47" s="1"/>
      <c r="S47" s="1"/>
      <c r="T47" s="1"/>
      <c r="U47" s="1"/>
      <c r="V47" s="1"/>
      <c r="W47" s="294"/>
      <c r="X47" s="495"/>
      <c r="Y47" s="495"/>
      <c r="Z47" s="495"/>
      <c r="AA47" s="495"/>
      <c r="AB47" s="495"/>
      <c r="AC47" s="495"/>
      <c r="AD47" s="495"/>
      <c r="AE47" s="495"/>
      <c r="AF47" s="495"/>
      <c r="AG47" s="495"/>
      <c r="AH47" s="495"/>
      <c r="AI47" s="495"/>
      <c r="AJ47" s="495"/>
      <c r="AK47" s="495"/>
      <c r="AL47" s="495"/>
      <c r="AM47" s="495"/>
      <c r="AN47" s="495"/>
      <c r="AO47" s="495"/>
      <c r="AP47" s="495"/>
      <c r="AQ47" s="495"/>
      <c r="AR47" s="495"/>
      <c r="AS47" s="495"/>
      <c r="AT47" s="495"/>
      <c r="AU47" s="495"/>
      <c r="AV47" s="495"/>
      <c r="AW47" s="495"/>
      <c r="AX47" s="495"/>
      <c r="AY47" s="495"/>
      <c r="AZ47" s="495"/>
      <c r="BA47" s="496"/>
      <c r="BB47" s="496"/>
      <c r="BC47" s="495"/>
      <c r="BD47" s="497"/>
      <c r="CF47" s="7"/>
      <c r="CG47" s="1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</row>
    <row r="48" customFormat="false" ht="14" hidden="false" customHeight="false" outlineLevel="0" collapsed="false">
      <c r="A48" s="1"/>
      <c r="B48" s="1"/>
      <c r="C48" s="1"/>
      <c r="D48" s="1"/>
      <c r="E48" s="1"/>
      <c r="F48" s="1"/>
      <c r="G48" s="1"/>
      <c r="H48" s="400" t="n">
        <v>8</v>
      </c>
      <c r="I48" s="501" t="n">
        <f aca="false">'Input-Detail'!BH21</f>
        <v>0.83</v>
      </c>
      <c r="J48" s="502" t="n">
        <f aca="false">1-I48</f>
        <v>0.17</v>
      </c>
      <c r="K48" s="407" t="n">
        <f aca="false">3600/(Trans_Time_Cash*I48+Trans_Time_Ticket*J48)</f>
        <v>547.528517110266</v>
      </c>
      <c r="L48" s="501" t="n">
        <f aca="false">'Input-Detail'!BJ21</f>
        <v>0.898</v>
      </c>
      <c r="M48" s="502" t="n">
        <f aca="false">1-L48</f>
        <v>0.102</v>
      </c>
      <c r="N48" s="407" t="n">
        <f aca="false">3600/(Trans_Time_Cash*L48+Trans_Time_Ticket*M48)</f>
        <v>533.728687916976</v>
      </c>
      <c r="O48" s="407" t="n">
        <f aca="false">3600/Headway_ETC</f>
        <v>1500</v>
      </c>
      <c r="P48" s="1"/>
      <c r="Q48" s="1"/>
      <c r="R48" s="1"/>
      <c r="S48" s="1"/>
      <c r="T48" s="1"/>
      <c r="U48" s="1"/>
      <c r="V48" s="1"/>
      <c r="W48" s="503" t="s">
        <v>364</v>
      </c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  <c r="AI48" s="297"/>
      <c r="AJ48" s="297"/>
      <c r="AK48" s="297"/>
      <c r="AL48" s="297"/>
      <c r="AM48" s="297"/>
      <c r="AN48" s="297"/>
      <c r="AO48" s="297"/>
      <c r="AP48" s="297"/>
      <c r="AQ48" s="297"/>
      <c r="AR48" s="297"/>
      <c r="AS48" s="297"/>
      <c r="AT48" s="297"/>
      <c r="AU48" s="297"/>
      <c r="AV48" s="297"/>
      <c r="AW48" s="297"/>
      <c r="AX48" s="297"/>
      <c r="AY48" s="297"/>
      <c r="AZ48" s="297"/>
      <c r="BA48" s="504"/>
      <c r="BB48" s="504"/>
      <c r="BC48" s="297"/>
      <c r="BD48" s="505"/>
      <c r="CF48" s="7"/>
      <c r="CG48" s="1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</row>
    <row r="49" customFormat="false" ht="14" hidden="false" customHeight="false" outlineLevel="0" collapsed="false">
      <c r="A49" s="1"/>
      <c r="B49" s="1"/>
      <c r="C49" s="1"/>
      <c r="D49" s="1"/>
      <c r="E49" s="1"/>
      <c r="F49" s="1"/>
      <c r="G49" s="1"/>
      <c r="H49" s="400" t="n">
        <v>9</v>
      </c>
      <c r="I49" s="501" t="n">
        <f aca="false">'Input-Detail'!BH22</f>
        <v>0.83</v>
      </c>
      <c r="J49" s="502" t="n">
        <f aca="false">1-I49</f>
        <v>0.17</v>
      </c>
      <c r="K49" s="407" t="n">
        <f aca="false">3600/(Trans_Time_Cash*I49+Trans_Time_Ticket*J49)</f>
        <v>547.528517110266</v>
      </c>
      <c r="L49" s="501" t="n">
        <f aca="false">'Input-Detail'!BJ22</f>
        <v>0.9065</v>
      </c>
      <c r="M49" s="502" t="n">
        <f aca="false">1-L49</f>
        <v>0.0935</v>
      </c>
      <c r="N49" s="407" t="n">
        <f aca="false">3600/(Trans_Time_Cash*L49+Trans_Time_Ticket*M49)</f>
        <v>532.05246628487</v>
      </c>
      <c r="O49" s="407" t="n">
        <f aca="false">3600/Headway_ETC</f>
        <v>1500</v>
      </c>
      <c r="P49" s="1"/>
      <c r="Q49" s="1"/>
      <c r="R49" s="1"/>
      <c r="S49" s="1"/>
      <c r="T49" s="1"/>
      <c r="U49" s="1"/>
      <c r="V49" s="1"/>
      <c r="CF49" s="7"/>
      <c r="CG49" s="1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</row>
    <row r="50" customFormat="false" ht="13" hidden="false" customHeight="false" outlineLevel="0" collapsed="false">
      <c r="A50" s="1"/>
      <c r="B50" s="1"/>
      <c r="C50" s="1"/>
      <c r="D50" s="1"/>
      <c r="E50" s="1"/>
      <c r="F50" s="1"/>
      <c r="G50" s="1"/>
      <c r="H50" s="400" t="n">
        <v>10</v>
      </c>
      <c r="I50" s="501" t="n">
        <f aca="false">'Input-Detail'!BH23</f>
        <v>0.83</v>
      </c>
      <c r="J50" s="502" t="n">
        <f aca="false">1-I50</f>
        <v>0.17</v>
      </c>
      <c r="K50" s="407" t="n">
        <f aca="false">3600/(Trans_Time_Cash*I50+Trans_Time_Ticket*J50)</f>
        <v>547.528517110266</v>
      </c>
      <c r="L50" s="501" t="n">
        <f aca="false">'Input-Detail'!BJ23</f>
        <v>0.915</v>
      </c>
      <c r="M50" s="502" t="n">
        <f aca="false">1-L50</f>
        <v>0.085</v>
      </c>
      <c r="N50" s="407" t="n">
        <f aca="false">3600/(Trans_Time_Cash*L50+Trans_Time_Ticket*M50)</f>
        <v>530.386740331492</v>
      </c>
      <c r="O50" s="407" t="n">
        <f aca="false">3600/Headway_ETC</f>
        <v>1500</v>
      </c>
      <c r="P50" s="1"/>
      <c r="Q50" s="1"/>
      <c r="R50" s="1"/>
      <c r="S50" s="1"/>
      <c r="T50" s="1"/>
      <c r="U50" s="1"/>
      <c r="V50" s="1"/>
      <c r="CF50" s="7"/>
      <c r="CG50" s="1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</row>
    <row r="51" customFormat="false" ht="13" hidden="false" customHeight="false" outlineLevel="0" collapsed="false">
      <c r="A51" s="1"/>
      <c r="B51" s="1"/>
      <c r="C51" s="1"/>
      <c r="D51" s="1"/>
      <c r="E51" s="1"/>
      <c r="F51" s="1"/>
      <c r="G51" s="1"/>
      <c r="H51" s="400" t="n">
        <v>11</v>
      </c>
      <c r="I51" s="501" t="n">
        <f aca="false">'Input-Detail'!BH24</f>
        <v>0.83</v>
      </c>
      <c r="J51" s="502" t="n">
        <f aca="false">1-I51</f>
        <v>0.17</v>
      </c>
      <c r="K51" s="407" t="n">
        <f aca="false">3600/(Trans_Time_Cash*I51+Trans_Time_Ticket*J51)</f>
        <v>547.528517110266</v>
      </c>
      <c r="L51" s="501" t="n">
        <f aca="false">'Input-Detail'!BJ24</f>
        <v>0.9235</v>
      </c>
      <c r="M51" s="502" t="n">
        <f aca="false">1-L51</f>
        <v>0.0765</v>
      </c>
      <c r="N51" s="407" t="n">
        <f aca="false">3600/(Trans_Time_Cash*L51+Trans_Time_Ticket*M51)</f>
        <v>528.731411786304</v>
      </c>
      <c r="O51" s="407" t="n">
        <f aca="false">3600/Headway_ETC</f>
        <v>1500</v>
      </c>
      <c r="P51" s="1"/>
      <c r="Q51" s="1"/>
      <c r="R51" s="1"/>
      <c r="S51" s="1"/>
      <c r="T51" s="1"/>
      <c r="U51" s="1"/>
      <c r="V51" s="1"/>
      <c r="W51" s="1" t="s">
        <v>365</v>
      </c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374"/>
      <c r="BB51" s="374"/>
      <c r="BC51" s="1"/>
      <c r="BD51" s="1"/>
      <c r="BE51" s="1"/>
      <c r="BF51" s="1"/>
      <c r="BG51" s="1" t="s">
        <v>317</v>
      </c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 t="s">
        <v>318</v>
      </c>
      <c r="CL51" s="1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</row>
    <row r="52" customFormat="false" ht="18" hidden="false" customHeight="true" outlineLevel="0" collapsed="false">
      <c r="A52" s="1"/>
      <c r="B52" s="1"/>
      <c r="C52" s="1"/>
      <c r="D52" s="1"/>
      <c r="E52" s="1"/>
      <c r="F52" s="1"/>
      <c r="G52" s="1"/>
      <c r="H52" s="400" t="n">
        <v>12</v>
      </c>
      <c r="I52" s="501" t="n">
        <f aca="false">'Input-Detail'!BH25</f>
        <v>0.83</v>
      </c>
      <c r="J52" s="502" t="n">
        <f aca="false">1-I52</f>
        <v>0.17</v>
      </c>
      <c r="K52" s="407" t="n">
        <f aca="false">3600/(Trans_Time_Cash*I52+Trans_Time_Ticket*J52)</f>
        <v>547.528517110266</v>
      </c>
      <c r="L52" s="501" t="n">
        <f aca="false">'Input-Detail'!BJ25</f>
        <v>0.932</v>
      </c>
      <c r="M52" s="502" t="n">
        <f aca="false">1-L52</f>
        <v>0.0680000000000001</v>
      </c>
      <c r="N52" s="407" t="n">
        <f aca="false">3600/(Trans_Time_Cash*L52+Trans_Time_Ticket*M52)</f>
        <v>527.086383601757</v>
      </c>
      <c r="O52" s="407" t="n">
        <f aca="false">3600/Headway_ETC</f>
        <v>1500</v>
      </c>
      <c r="P52" s="1"/>
      <c r="Q52" s="1"/>
      <c r="R52" s="1"/>
      <c r="S52" s="1"/>
      <c r="T52" s="1"/>
      <c r="U52" s="1"/>
      <c r="V52" s="1"/>
      <c r="Y52" s="359"/>
      <c r="CF52" s="7"/>
      <c r="CG52" s="1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</row>
    <row r="53" customFormat="false" ht="34.5" hidden="false" customHeight="true" outlineLevel="0" collapsed="false">
      <c r="A53" s="1"/>
      <c r="B53" s="1"/>
      <c r="C53" s="1"/>
      <c r="D53" s="1"/>
      <c r="E53" s="1"/>
      <c r="F53" s="1"/>
      <c r="G53" s="1"/>
      <c r="H53" s="400" t="n">
        <v>13</v>
      </c>
      <c r="I53" s="501" t="n">
        <f aca="false">'Input-Detail'!BH26</f>
        <v>0.83</v>
      </c>
      <c r="J53" s="502" t="n">
        <f aca="false">1-I53</f>
        <v>0.17</v>
      </c>
      <c r="K53" s="407" t="n">
        <f aca="false">3600/(Trans_Time_Cash*I53+Trans_Time_Ticket*J53)</f>
        <v>547.528517110266</v>
      </c>
      <c r="L53" s="501" t="n">
        <f aca="false">'Input-Detail'!BJ26</f>
        <v>0.9405</v>
      </c>
      <c r="M53" s="502" t="n">
        <f aca="false">1-L53</f>
        <v>0.0595</v>
      </c>
      <c r="N53" s="407" t="n">
        <f aca="false">3600/(Trans_Time_Cash*L53+Trans_Time_Ticket*M53)</f>
        <v>525.451559934319</v>
      </c>
      <c r="O53" s="407" t="n">
        <f aca="false">3600/Headway_ETC</f>
        <v>1500</v>
      </c>
      <c r="P53" s="1"/>
      <c r="Q53" s="1"/>
      <c r="R53" s="1"/>
      <c r="S53" s="1"/>
      <c r="T53" s="1"/>
      <c r="U53" s="1"/>
      <c r="V53" s="1"/>
      <c r="W53" s="378" t="s">
        <v>96</v>
      </c>
      <c r="X53" s="378" t="s">
        <v>223</v>
      </c>
      <c r="Y53" s="378" t="s">
        <v>319</v>
      </c>
      <c r="Z53" s="378" t="s">
        <v>230</v>
      </c>
      <c r="AA53" s="378" t="s">
        <v>231</v>
      </c>
      <c r="AB53" s="378" t="s">
        <v>143</v>
      </c>
      <c r="AC53" s="383" t="s">
        <v>232</v>
      </c>
      <c r="AD53" s="378" t="s">
        <v>325</v>
      </c>
      <c r="AE53" s="506" t="s">
        <v>326</v>
      </c>
      <c r="AF53" s="506"/>
      <c r="AG53" s="506"/>
      <c r="AH53" s="506"/>
      <c r="AI53" s="506"/>
      <c r="AJ53" s="506"/>
      <c r="AK53" s="506"/>
      <c r="AL53" s="506"/>
      <c r="AM53" s="506"/>
      <c r="AN53" s="506"/>
      <c r="AO53" s="506"/>
      <c r="AP53" s="506"/>
      <c r="AQ53" s="506"/>
      <c r="AR53" s="506"/>
      <c r="AS53" s="506"/>
      <c r="AT53" s="506"/>
      <c r="AU53" s="506"/>
      <c r="AV53" s="506"/>
      <c r="AW53" s="506"/>
      <c r="AX53" s="506"/>
      <c r="AY53" s="506"/>
      <c r="AZ53" s="506"/>
      <c r="BA53" s="383" t="s">
        <v>327</v>
      </c>
      <c r="BB53" s="383" t="s">
        <v>328</v>
      </c>
      <c r="BC53" s="507" t="s">
        <v>329</v>
      </c>
      <c r="BD53" s="383" t="s">
        <v>328</v>
      </c>
      <c r="BG53" s="378" t="s">
        <v>96</v>
      </c>
      <c r="BH53" s="379" t="s">
        <v>319</v>
      </c>
      <c r="BI53" s="380" t="s">
        <v>325</v>
      </c>
      <c r="BJ53" s="383" t="s">
        <v>366</v>
      </c>
      <c r="BK53" s="386" t="s">
        <v>326</v>
      </c>
      <c r="BL53" s="386"/>
      <c r="BM53" s="386"/>
      <c r="BN53" s="386"/>
      <c r="BO53" s="386"/>
      <c r="BP53" s="386"/>
      <c r="BQ53" s="386"/>
      <c r="BR53" s="386"/>
      <c r="BS53" s="386"/>
      <c r="BT53" s="386"/>
      <c r="BU53" s="386"/>
      <c r="BV53" s="386"/>
      <c r="BW53" s="386"/>
      <c r="BX53" s="386"/>
      <c r="BY53" s="386"/>
      <c r="BZ53" s="386"/>
      <c r="CA53" s="386"/>
      <c r="CB53" s="386"/>
      <c r="CC53" s="386"/>
      <c r="CD53" s="386"/>
      <c r="CE53" s="386"/>
      <c r="CF53" s="386"/>
      <c r="CG53" s="386"/>
      <c r="CH53" s="386"/>
      <c r="CI53" s="378" t="s">
        <v>331</v>
      </c>
      <c r="CK53" s="378" t="s">
        <v>96</v>
      </c>
      <c r="CL53" s="379" t="s">
        <v>319</v>
      </c>
      <c r="CM53" s="378" t="s">
        <v>325</v>
      </c>
      <c r="CN53" s="378" t="s">
        <v>332</v>
      </c>
      <c r="CO53" s="386" t="s">
        <v>326</v>
      </c>
      <c r="CP53" s="386"/>
      <c r="CQ53" s="386"/>
      <c r="CR53" s="386"/>
      <c r="CS53" s="386"/>
      <c r="CT53" s="386"/>
      <c r="CU53" s="386"/>
      <c r="CV53" s="386"/>
      <c r="CW53" s="386"/>
      <c r="CX53" s="386"/>
      <c r="CY53" s="386"/>
      <c r="CZ53" s="386"/>
      <c r="DA53" s="386"/>
      <c r="DB53" s="386"/>
      <c r="DC53" s="386"/>
      <c r="DD53" s="386"/>
      <c r="DE53" s="386"/>
      <c r="DF53" s="386"/>
      <c r="DG53" s="386"/>
      <c r="DH53" s="386"/>
      <c r="DI53" s="386"/>
      <c r="DJ53" s="386"/>
      <c r="DK53" s="378" t="s">
        <v>331</v>
      </c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</row>
    <row r="54" customFormat="false" ht="24" hidden="false" customHeight="false" outlineLevel="0" collapsed="false">
      <c r="A54" s="1"/>
      <c r="B54" s="1"/>
      <c r="C54" s="1"/>
      <c r="D54" s="1"/>
      <c r="E54" s="1"/>
      <c r="F54" s="1"/>
      <c r="G54" s="1"/>
      <c r="H54" s="400" t="n">
        <v>14</v>
      </c>
      <c r="I54" s="501" t="n">
        <f aca="false">'Input-Detail'!BH27</f>
        <v>0.83</v>
      </c>
      <c r="J54" s="502" t="n">
        <f aca="false">1-I54</f>
        <v>0.17</v>
      </c>
      <c r="K54" s="407" t="n">
        <f aca="false">3600/(Trans_Time_Cash*I54+Trans_Time_Ticket*J54)</f>
        <v>547.528517110266</v>
      </c>
      <c r="L54" s="501" t="n">
        <f aca="false">'Input-Detail'!BJ27</f>
        <v>0.949</v>
      </c>
      <c r="M54" s="502" t="n">
        <f aca="false">1-L54</f>
        <v>0.051</v>
      </c>
      <c r="N54" s="407" t="n">
        <f aca="false">3600/(Trans_Time_Cash*L54+Trans_Time_Ticket*M54)</f>
        <v>523.826846125864</v>
      </c>
      <c r="O54" s="407" t="n">
        <f aca="false">3600/Headway_ETC</f>
        <v>1500</v>
      </c>
      <c r="P54" s="1"/>
      <c r="Q54" s="1"/>
      <c r="R54" s="1"/>
      <c r="S54" s="1"/>
      <c r="T54" s="1"/>
      <c r="U54" s="1"/>
      <c r="V54" s="1"/>
      <c r="W54" s="378"/>
      <c r="X54" s="378"/>
      <c r="Y54" s="378"/>
      <c r="Z54" s="378"/>
      <c r="AA54" s="378"/>
      <c r="AB54" s="378"/>
      <c r="AC54" s="383"/>
      <c r="AD54" s="378"/>
      <c r="AE54" s="508" t="s">
        <v>334</v>
      </c>
      <c r="AF54" s="390" t="n">
        <v>1</v>
      </c>
      <c r="AG54" s="390" t="n">
        <v>2</v>
      </c>
      <c r="AH54" s="390" t="n">
        <v>3</v>
      </c>
      <c r="AI54" s="390" t="n">
        <v>4</v>
      </c>
      <c r="AJ54" s="390" t="n">
        <v>5</v>
      </c>
      <c r="AK54" s="390" t="n">
        <v>6</v>
      </c>
      <c r="AL54" s="390" t="n">
        <v>7</v>
      </c>
      <c r="AM54" s="390" t="n">
        <v>8</v>
      </c>
      <c r="AN54" s="390" t="n">
        <v>9</v>
      </c>
      <c r="AO54" s="390" t="n">
        <v>10</v>
      </c>
      <c r="AP54" s="390" t="n">
        <v>11</v>
      </c>
      <c r="AQ54" s="390" t="n">
        <v>12</v>
      </c>
      <c r="AR54" s="390" t="n">
        <v>13</v>
      </c>
      <c r="AS54" s="390" t="n">
        <v>14</v>
      </c>
      <c r="AT54" s="390" t="n">
        <v>15</v>
      </c>
      <c r="AU54" s="390" t="n">
        <v>16</v>
      </c>
      <c r="AV54" s="390" t="n">
        <v>17</v>
      </c>
      <c r="AW54" s="390" t="n">
        <v>18</v>
      </c>
      <c r="AX54" s="390" t="n">
        <v>19</v>
      </c>
      <c r="AY54" s="390" t="n">
        <v>20</v>
      </c>
      <c r="AZ54" s="397" t="n">
        <v>21</v>
      </c>
      <c r="BA54" s="383"/>
      <c r="BB54" s="383"/>
      <c r="BC54" s="507"/>
      <c r="BD54" s="383"/>
      <c r="BG54" s="378"/>
      <c r="BH54" s="379"/>
      <c r="BI54" s="380"/>
      <c r="BJ54" s="383"/>
      <c r="BK54" s="392" t="s">
        <v>335</v>
      </c>
      <c r="BL54" s="509" t="s">
        <v>334</v>
      </c>
      <c r="BM54" s="392" t="s">
        <v>336</v>
      </c>
      <c r="BN54" s="390" t="n">
        <v>1</v>
      </c>
      <c r="BO54" s="390" t="n">
        <v>2</v>
      </c>
      <c r="BP54" s="390" t="n">
        <v>3</v>
      </c>
      <c r="BQ54" s="390" t="n">
        <v>4</v>
      </c>
      <c r="BR54" s="390" t="n">
        <v>5</v>
      </c>
      <c r="BS54" s="390" t="n">
        <v>6</v>
      </c>
      <c r="BT54" s="390" t="n">
        <v>7</v>
      </c>
      <c r="BU54" s="390" t="n">
        <v>8</v>
      </c>
      <c r="BV54" s="390" t="n">
        <v>9</v>
      </c>
      <c r="BW54" s="390" t="n">
        <v>10</v>
      </c>
      <c r="BX54" s="390" t="n">
        <v>11</v>
      </c>
      <c r="BY54" s="390" t="n">
        <v>12</v>
      </c>
      <c r="BZ54" s="390" t="n">
        <v>13</v>
      </c>
      <c r="CA54" s="390" t="n">
        <v>14</v>
      </c>
      <c r="CB54" s="390" t="n">
        <v>15</v>
      </c>
      <c r="CC54" s="390" t="n">
        <v>16</v>
      </c>
      <c r="CD54" s="390" t="n">
        <v>17</v>
      </c>
      <c r="CE54" s="390" t="n">
        <v>18</v>
      </c>
      <c r="CF54" s="390" t="n">
        <v>19</v>
      </c>
      <c r="CG54" s="390" t="n">
        <v>20</v>
      </c>
      <c r="CH54" s="397" t="n">
        <v>21</v>
      </c>
      <c r="CI54" s="378"/>
      <c r="CK54" s="378"/>
      <c r="CL54" s="379"/>
      <c r="CM54" s="378"/>
      <c r="CN54" s="378"/>
      <c r="CO54" s="396" t="s">
        <v>336</v>
      </c>
      <c r="CP54" s="390" t="n">
        <v>1</v>
      </c>
      <c r="CQ54" s="390" t="n">
        <v>2</v>
      </c>
      <c r="CR54" s="390" t="n">
        <v>3</v>
      </c>
      <c r="CS54" s="390" t="n">
        <v>4</v>
      </c>
      <c r="CT54" s="390" t="n">
        <v>5</v>
      </c>
      <c r="CU54" s="390" t="n">
        <v>6</v>
      </c>
      <c r="CV54" s="390" t="n">
        <v>7</v>
      </c>
      <c r="CW54" s="390" t="n">
        <v>8</v>
      </c>
      <c r="CX54" s="390" t="n">
        <v>9</v>
      </c>
      <c r="CY54" s="390" t="n">
        <v>10</v>
      </c>
      <c r="CZ54" s="390" t="n">
        <v>11</v>
      </c>
      <c r="DA54" s="390" t="n">
        <v>12</v>
      </c>
      <c r="DB54" s="390" t="n">
        <v>13</v>
      </c>
      <c r="DC54" s="390" t="n">
        <v>14</v>
      </c>
      <c r="DD54" s="390" t="n">
        <v>15</v>
      </c>
      <c r="DE54" s="390" t="n">
        <v>16</v>
      </c>
      <c r="DF54" s="390" t="n">
        <v>17</v>
      </c>
      <c r="DG54" s="390" t="n">
        <v>18</v>
      </c>
      <c r="DH54" s="390" t="n">
        <v>19</v>
      </c>
      <c r="DI54" s="390" t="n">
        <v>20</v>
      </c>
      <c r="DJ54" s="397" t="n">
        <v>21</v>
      </c>
      <c r="DK54" s="378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</row>
    <row r="55" customFormat="false" ht="14" hidden="false" customHeight="false" outlineLevel="0" collapsed="false">
      <c r="A55" s="1"/>
      <c r="B55" s="1"/>
      <c r="C55" s="1"/>
      <c r="D55" s="1"/>
      <c r="E55" s="1"/>
      <c r="F55" s="1"/>
      <c r="G55" s="1"/>
      <c r="H55" s="400" t="n">
        <v>15</v>
      </c>
      <c r="I55" s="501" t="n">
        <f aca="false">'Input-Detail'!BH28</f>
        <v>0.83</v>
      </c>
      <c r="J55" s="502" t="n">
        <f aca="false">1-I55</f>
        <v>0.17</v>
      </c>
      <c r="K55" s="407" t="n">
        <f aca="false">3600/(Trans_Time_Cash*I55+Trans_Time_Ticket*J55)</f>
        <v>547.528517110266</v>
      </c>
      <c r="L55" s="501" t="n">
        <f aca="false">'Input-Detail'!BJ28</f>
        <v>0.9575</v>
      </c>
      <c r="M55" s="502" t="n">
        <f aca="false">1-L55</f>
        <v>0.0425</v>
      </c>
      <c r="N55" s="407" t="n">
        <f aca="false">3600/(Trans_Time_Cash*L55+Trans_Time_Ticket*M55)</f>
        <v>522.212148685403</v>
      </c>
      <c r="O55" s="407" t="n">
        <f aca="false">3600/Headway_ETC</f>
        <v>1500</v>
      </c>
      <c r="P55" s="1"/>
      <c r="Q55" s="1"/>
      <c r="R55" s="1"/>
      <c r="S55" s="1"/>
      <c r="T55" s="1"/>
      <c r="U55" s="1"/>
      <c r="V55" s="1"/>
      <c r="W55" s="400" t="s">
        <v>114</v>
      </c>
      <c r="X55" s="401" t="n">
        <f aca="false">X7</f>
        <v>19016173</v>
      </c>
      <c r="Y55" s="402" t="n">
        <f aca="false">Y7</f>
        <v>0</v>
      </c>
      <c r="Z55" s="401" t="n">
        <f aca="false">'Input-Detail'!M18</f>
        <v>8200</v>
      </c>
      <c r="AA55" s="401" t="n">
        <f aca="false">'Input-Detail'!N18</f>
        <v>2319.04548780488</v>
      </c>
      <c r="AB55" s="401" t="n">
        <f aca="false">'Input-Detail'!O18</f>
        <v>2</v>
      </c>
      <c r="AC55" s="510" t="n">
        <f aca="false">'Input-Detail'!P18</f>
        <v>0.3</v>
      </c>
      <c r="AD55" s="405" t="n">
        <f aca="false">Z55*AC55</f>
        <v>2460</v>
      </c>
      <c r="AE55" s="412" t="n">
        <f aca="false">Peak_Time_Mor*$BI55*(CI55+BL55)/3600</f>
        <v>9.43392928235184</v>
      </c>
      <c r="AF55" s="413"/>
      <c r="AG55" s="511"/>
      <c r="AH55" s="511"/>
      <c r="AI55" s="511"/>
      <c r="AJ55" s="511"/>
      <c r="AK55" s="511"/>
      <c r="AL55" s="511"/>
      <c r="AM55" s="511"/>
      <c r="AN55" s="511"/>
      <c r="AO55" s="511"/>
      <c r="AP55" s="511"/>
      <c r="AQ55" s="511"/>
      <c r="AR55" s="511"/>
      <c r="AS55" s="511"/>
      <c r="AT55" s="511"/>
      <c r="AU55" s="511"/>
      <c r="AV55" s="511"/>
      <c r="AW55" s="511"/>
      <c r="AX55" s="511"/>
      <c r="AY55" s="511"/>
      <c r="AZ55" s="512"/>
      <c r="BA55" s="415"/>
      <c r="BB55" s="416"/>
      <c r="BC55" s="417"/>
      <c r="BD55" s="417"/>
      <c r="BG55" s="400" t="s">
        <v>114</v>
      </c>
      <c r="BH55" s="402" t="n">
        <f aca="false">$Y55</f>
        <v>0</v>
      </c>
      <c r="BI55" s="411" t="n">
        <f aca="false">$AD55</f>
        <v>2460</v>
      </c>
      <c r="BJ55" s="426" t="n">
        <f aca="false">BI55*(1-BH55)</f>
        <v>2460</v>
      </c>
      <c r="BK55" s="420" t="n">
        <f aca="false">Peak_Arrival_Manual_Mor/K40</f>
        <v>4.49291666666667</v>
      </c>
      <c r="BL55" s="513" t="n">
        <f aca="false">900*Peak_Time_Mor*($BK55/Total_Lanes-1+SQRT(($BK55/Total_Lanes-1)^2+8*($BK55/Total_Lanes)/(Peak_Time_Mor*$K40*Total_Lanes)))</f>
        <v>0.327875084647689</v>
      </c>
      <c r="BM55" s="420" t="n">
        <f aca="false">Peak_Arrival_Manual_Mor/N40</f>
        <v>4.49291666666667</v>
      </c>
      <c r="BN55" s="514" t="n">
        <f aca="false">IF(BN$6&lt;Total_Lanes,900*Peak_Time_Mor*($BM55/(Total_Lanes-BN$6)-1+SQRT(($BM55/(Total_Lanes-BN$6)-1)^2+8*($BM55/(Total_Lanes-BN$6))/(Peak_Time_Mor*$N40*(Total_Lanes-BN$6)))),"-")</f>
        <v>0.412630119867385</v>
      </c>
      <c r="BO55" s="445" t="n">
        <f aca="false">IF(BO$6&lt;Total_Lanes,900*Peak_Time_Mor*($BM55/(Total_Lanes-BO$6)-1+SQRT(($BM55/(Total_Lanes-BO$6)-1)^2+8*($BM55/(Total_Lanes-BO$6))/(Peak_Time_Mor*$N40*(Total_Lanes-BO$6)))),"-")</f>
        <v>0.536271865772009</v>
      </c>
      <c r="BP55" s="445" t="n">
        <f aca="false">IF(BP$6&lt;Total_Lanes,900*Peak_Time_Mor*($BM55/(Total_Lanes-BP$6)-1+SQRT(($BM55/(Total_Lanes-BP$6)-1)^2+8*($BM55/(Total_Lanes-BP$6))/(Peak_Time_Mor*$N40*(Total_Lanes-BP$6)))),"-")</f>
        <v>0.727965328135594</v>
      </c>
      <c r="BQ55" s="445" t="n">
        <f aca="false">IF(BQ$6&lt;Total_Lanes,900*Peak_Time_Mor*($BM55/(Total_Lanes-BQ$6)-1+SQRT(($BM55/(Total_Lanes-BQ$6)-1)^2+8*($BM55/(Total_Lanes-BQ$6))/(Peak_Time_Mor*$N40*(Total_Lanes-BQ$6)))),"-")</f>
        <v>1.05220071891619</v>
      </c>
      <c r="BR55" s="445" t="n">
        <f aca="false">IF(BR$6&lt;Total_Lanes,900*Peak_Time_Mor*($BM55/(Total_Lanes-BR$6)-1+SQRT(($BM55/(Total_Lanes-BR$6)-1)^2+8*($BM55/(Total_Lanes-BR$6))/(Peak_Time_Mor*$N40*(Total_Lanes-BR$6)))),"-")</f>
        <v>1.68109182843778</v>
      </c>
      <c r="BS55" s="445" t="n">
        <f aca="false">IF(BS$6&lt;Total_Lanes,900*Peak_Time_Mor*($BM55/(Total_Lanes-BS$6)-1+SQRT(($BM55/(Total_Lanes-BS$6)-1)^2+8*($BM55/(Total_Lanes-BS$6))/(Peak_Time_Mor*$N40*(Total_Lanes-BS$6)))),"-")</f>
        <v>3.25517999615812</v>
      </c>
      <c r="BT55" s="445" t="n">
        <f aca="false">IF(BT$6&lt;Total_Lanes,900*Peak_Time_Mor*($BM55/(Total_Lanes-BT$6)-1+SQRT(($BM55/(Total_Lanes-BT$6)-1)^2+8*($BM55/(Total_Lanes-BT$6))/(Peak_Time_Mor*$N40*(Total_Lanes-BT$6)))),"-")</f>
        <v>11.3014792308792</v>
      </c>
      <c r="BU55" s="445" t="n">
        <f aca="false">IF(BU$6&lt;Total_Lanes,900*Peak_Time_Mor*($BM55/(Total_Lanes-BU$6)-1+SQRT(($BM55/(Total_Lanes-BU$6)-1)^2+8*($BM55/(Total_Lanes-BU$6))/(Peak_Time_Mor*$N40*(Total_Lanes-BU$6)))),"-")</f>
        <v>458.133243376454</v>
      </c>
      <c r="BV55" s="445" t="n">
        <f aca="false">IF(BV$6&lt;Total_Lanes,900*Peak_Time_Mor*($BM55/(Total_Lanes-BV$6)-1+SQRT(($BM55/(Total_Lanes-BV$6)-1)^2+8*($BM55/(Total_Lanes-BV$6))/(Peak_Time_Mor*$N40*(Total_Lanes-BV$6)))),"-")</f>
        <v>1798.07169060338</v>
      </c>
      <c r="BW55" s="445" t="n">
        <f aca="false">IF(BW$6&lt;Total_Lanes,900*Peak_Time_Mor*($BM55/(Total_Lanes-BW$6)-1+SQRT(($BM55/(Total_Lanes-BW$6)-1)^2+8*($BM55/(Total_Lanes-BW$6))/(Peak_Time_Mor*$N40*(Total_Lanes-BW$6)))),"-")</f>
        <v>4493.16717008706</v>
      </c>
      <c r="BX55" s="515" t="n">
        <f aca="false">IF(BX$6&lt;Total_Lanes,900*Peak_Time_Mor*($BM55/(Total_Lanes-BX$6)-1+SQRT(($BM55/(Total_Lanes-BX$6)-1)^2+8*($BM55/(Total_Lanes-BX$6))/(Peak_Time_Mor*$N40*(Total_Lanes-BX$6)))),"-")</f>
        <v>12582.9517003667</v>
      </c>
      <c r="BY55" s="445" t="str">
        <f aca="false">IF(BY$6&lt;Total_Lanes,900*Peak_Time_Mor*($BM55/(Total_Lanes-BY$6)-1+SQRT(($BM55/(Total_Lanes-BY$6)-1)^2+8*($BM55/(Total_Lanes-BY$6))/(Peak_Time_Mor*$N40*(Total_Lanes-BY$6)))),"-")</f>
        <v>-</v>
      </c>
      <c r="BZ55" s="445" t="str">
        <f aca="false">IF(BZ$6&lt;Total_Lanes,900*Peak_Time_Mor*($BM55/(Total_Lanes-BZ$6)-1+SQRT(($BM55/(Total_Lanes-BZ$6)-1)^2+8*($BM55/(Total_Lanes-BZ$6))/(Peak_Time_Mor*$N40*(Total_Lanes-BZ$6)))),"-")</f>
        <v>-</v>
      </c>
      <c r="CA55" s="445" t="str">
        <f aca="false">IF(CA$6&lt;Total_Lanes,900*Peak_Time_Mor*($BM55/(Total_Lanes-CA$6)-1+SQRT(($BM55/(Total_Lanes-CA$6)-1)^2+8*($BM55/(Total_Lanes-CA$6))/(Peak_Time_Mor*$N40*(Total_Lanes-CA$6)))),"-")</f>
        <v>-</v>
      </c>
      <c r="CB55" s="445" t="str">
        <f aca="false">IF(CB$6&lt;Total_Lanes,900*Peak_Time_Mor*($BM55/(Total_Lanes-CB$6)-1+SQRT(($BM55/(Total_Lanes-CB$6)-1)^2+8*($BM55/(Total_Lanes-CB$6))/(Peak_Time_Mor*$N40*(Total_Lanes-CB$6)))),"-")</f>
        <v>-</v>
      </c>
      <c r="CC55" s="445" t="str">
        <f aca="false">IF(CC$6&lt;Total_Lanes,900*Peak_Time_Mor*($BM55/(Total_Lanes-CC$6)-1+SQRT(($BM55/(Total_Lanes-CC$6)-1)^2+8*($BM55/(Total_Lanes-CC$6))/(Peak_Time_Mor*$N40*(Total_Lanes-CC$6)))),"-")</f>
        <v>-</v>
      </c>
      <c r="CD55" s="445" t="str">
        <f aca="false">IF(CD$6&lt;Total_Lanes,900*Peak_Time_Mor*($BM55/(Total_Lanes-CD$6)-1+SQRT(($BM55/(Total_Lanes-CD$6)-1)^2+8*($BM55/(Total_Lanes-CD$6))/(Peak_Time_Mor*$N40*(Total_Lanes-CD$6)))),"-")</f>
        <v>-</v>
      </c>
      <c r="CE55" s="445" t="str">
        <f aca="false">IF(CE$6&lt;Total_Lanes,900*Peak_Time_Mor*($BM55/(Total_Lanes-CE$6)-1+SQRT(($BM55/(Total_Lanes-CE$6)-1)^2+8*($BM55/(Total_Lanes-CE$6))/(Peak_Time_Mor*$N40*(Total_Lanes-CE$6)))),"-")</f>
        <v>-</v>
      </c>
      <c r="CF55" s="445" t="str">
        <f aca="false">IF(CF$6&lt;Total_Lanes,900*Peak_Time_Mor*($BM55/(Total_Lanes-CF$6)-1+SQRT(($BM55/(Total_Lanes-CF$6)-1)^2+8*($BM55/(Total_Lanes-CF$6))/(Peak_Time_Mor*$N40*(Total_Lanes-CF$6)))),"-")</f>
        <v>-</v>
      </c>
      <c r="CG55" s="445" t="str">
        <f aca="false">IF(CG$6&lt;Total_Lanes,900*Peak_Time_Mor*($BM55/(Total_Lanes-CG$6)-1+SQRT(($BM55/(Total_Lanes-CG$6)-1)^2+8*($BM55/(Total_Lanes-CG$6))/(Peak_Time_Mor*$N40*(Total_Lanes-CG$6)))),"-")</f>
        <v>-</v>
      </c>
      <c r="CH55" s="446" t="str">
        <f aca="false">IF(CH$6&lt;Total_Lanes,900*Peak_Time_Mor*($BM55/(Total_Lanes-CH$6)-1+SQRT(($BM55/(Total_Lanes-CH$6)-1)^2+8*($BM55/(Total_Lanes-CH$6))/(Peak_Time_Mor*$N40*(Total_Lanes-CH$6)))),"-")</f>
        <v>-</v>
      </c>
      <c r="CI55" s="516" t="n">
        <f aca="false">3600/N40</f>
        <v>6.575</v>
      </c>
      <c r="CK55" s="400" t="s">
        <v>114</v>
      </c>
      <c r="CL55" s="402" t="n">
        <f aca="false">$Y55</f>
        <v>0</v>
      </c>
      <c r="CM55" s="427" t="n">
        <f aca="false">$AD55</f>
        <v>2460</v>
      </c>
      <c r="CN55" s="517" t="n">
        <f aca="false">CM55*CL55</f>
        <v>0</v>
      </c>
      <c r="CO55" s="427"/>
      <c r="CP55" s="444"/>
      <c r="CQ55" s="429"/>
      <c r="CR55" s="429"/>
      <c r="CS55" s="429"/>
      <c r="CT55" s="429"/>
      <c r="CU55" s="429"/>
      <c r="CV55" s="429"/>
      <c r="CW55" s="429"/>
      <c r="CX55" s="429"/>
      <c r="CY55" s="429"/>
      <c r="CZ55" s="429"/>
      <c r="DA55" s="429"/>
      <c r="DB55" s="429"/>
      <c r="DC55" s="429"/>
      <c r="DD55" s="429"/>
      <c r="DE55" s="429"/>
      <c r="DF55" s="429"/>
      <c r="DG55" s="429"/>
      <c r="DH55" s="429"/>
      <c r="DI55" s="429"/>
      <c r="DJ55" s="430"/>
      <c r="DK55" s="425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</row>
    <row r="56" customFormat="false" ht="13" hidden="false" customHeight="false" outlineLevel="0" collapsed="false">
      <c r="A56" s="1"/>
      <c r="B56" s="1"/>
      <c r="C56" s="1"/>
      <c r="D56" s="1"/>
      <c r="E56" s="1"/>
      <c r="F56" s="1"/>
      <c r="G56" s="1"/>
      <c r="H56" s="400" t="n">
        <v>16</v>
      </c>
      <c r="I56" s="501" t="n">
        <f aca="false">'Input-Detail'!BH29</f>
        <v>0.83</v>
      </c>
      <c r="J56" s="502" t="n">
        <f aca="false">1-I56</f>
        <v>0.17</v>
      </c>
      <c r="K56" s="407" t="n">
        <f aca="false">3600/(Trans_Time_Cash*I56+Trans_Time_Ticket*J56)</f>
        <v>547.528517110266</v>
      </c>
      <c r="L56" s="501" t="n">
        <f aca="false">'Input-Detail'!BJ29</f>
        <v>0.966</v>
      </c>
      <c r="M56" s="502" t="n">
        <f aca="false">1-L56</f>
        <v>0.034</v>
      </c>
      <c r="N56" s="407" t="n">
        <f aca="false">3600/(Trans_Time_Cash*L56+Trans_Time_Ticket*M56)</f>
        <v>520.60737527115</v>
      </c>
      <c r="O56" s="407" t="n">
        <f aca="false">3600/Headway_ETC</f>
        <v>1500</v>
      </c>
      <c r="P56" s="1"/>
      <c r="Q56" s="1"/>
      <c r="R56" s="1"/>
      <c r="S56" s="1"/>
      <c r="T56" s="1"/>
      <c r="U56" s="1"/>
      <c r="V56" s="1"/>
      <c r="W56" s="400" t="n">
        <v>1</v>
      </c>
      <c r="X56" s="401" t="n">
        <f aca="false">X8</f>
        <v>19565364.35</v>
      </c>
      <c r="Y56" s="402" t="n">
        <f aca="false">Y8</f>
        <v>0.0495</v>
      </c>
      <c r="Z56" s="401" t="n">
        <f aca="false">Z8</f>
        <v>8436.81784289615</v>
      </c>
      <c r="AA56" s="409" t="n">
        <f aca="false">X56/Z56</f>
        <v>2319.04548780488</v>
      </c>
      <c r="AB56" s="518" t="n">
        <f aca="false">AB8</f>
        <v>2</v>
      </c>
      <c r="AC56" s="435" t="n">
        <f aca="false">1-AC8</f>
        <v>0.3</v>
      </c>
      <c r="AD56" s="405" t="n">
        <f aca="false">Z56*AC56</f>
        <v>2531.04535286885</v>
      </c>
      <c r="AE56" s="427" t="n">
        <f aca="false">Peak_Time_Mor*$BI56*(CI56+BL56)/3600</f>
        <v>9.72022882694747</v>
      </c>
      <c r="AF56" s="413" t="n">
        <f aca="false">IF(AF$54&lt;Total_Lanes,($BJ56*($CI56+BN56)+$CN56*CP56)*Peak_Time_Mor/3600,"-")</f>
        <v>9.36716738249709</v>
      </c>
      <c r="AG56" s="413" t="n">
        <f aca="false">IF(AG$54&lt;Total_Lanes,($BJ56*($CI56+BO56)+$CN56*CQ56)*Peak_Time_Mor/3600,"-")</f>
        <v>9.514524152805</v>
      </c>
      <c r="AH56" s="413" t="n">
        <f aca="false">IF(AH$54&lt;Total_Lanes,($BJ56*($CI56+BP56)+$CN56*CR56)*Peak_Time_Mor/3600,"-")</f>
        <v>9.75767522866035</v>
      </c>
      <c r="AI56" s="413" t="n">
        <f aca="false">IF(AI$54&lt;Total_Lanes,($BJ56*($CI56+BQ56)+$CN56*CS56)*Peak_Time_Mor/3600,"-")</f>
        <v>10.1685419060727</v>
      </c>
      <c r="AJ56" s="413" t="n">
        <f aca="false">IF(AJ$54&lt;Total_Lanes,($BJ56*($CI56+BR56)+$CN56*CT56)*Peak_Time_Mor/3600,"-")</f>
        <v>10.9560001082012</v>
      </c>
      <c r="AK56" s="413" t="n">
        <f aca="false">IF(AK$54&lt;Total_Lanes,($BJ56*($CI56+BS56)+$CN56*CU56)*Peak_Time_Mor/3600,"-")</f>
        <v>12.872192902397</v>
      </c>
      <c r="AL56" s="413" t="n">
        <f aca="false">IF(AL$54&lt;Total_Lanes,($BJ56*($CI56+BT56)+$CN56*CV56)*Peak_Time_Mor/3600,"-")</f>
        <v>21.657076010018</v>
      </c>
      <c r="AM56" s="413" t="n">
        <f aca="false">IF(AM$54&lt;Total_Lanes,($BJ56*($CI56+BU56)+$CN56*CW56)*Peak_Time_Mor/3600,"-")</f>
        <v>522.407493773447</v>
      </c>
      <c r="AN56" s="413" t="n">
        <f aca="false">IF(AN$54&lt;Total_Lanes,($BJ56*($CI56+BV56)+$CN56*CX56)*Peak_Time_Mor/3600,"-")</f>
        <v>2276.26693860989</v>
      </c>
      <c r="AO56" s="413" t="n">
        <f aca="false">IF(AO$54&lt;Total_Lanes,($BJ56*($CI56+BW56)+$CN56*CY56)*Peak_Time_Mor/3600,"-")</f>
        <v>5810.06468343124</v>
      </c>
      <c r="AP56" s="413" t="n">
        <f aca="false">IF(AP$54&lt;Total_Lanes,($BJ56*($CI56+BX56)+$CN56*CZ56)*Peak_Time_Mor/3600,"-")</f>
        <v>16418.1094696023</v>
      </c>
      <c r="AQ56" s="413" t="str">
        <f aca="false">IF(AQ$54&lt;Total_Lanes,($BJ56*($CI56+BY56)+$CN56*DA56)*Peak_Time_Mor/3600,"-")</f>
        <v>-</v>
      </c>
      <c r="AR56" s="413" t="str">
        <f aca="false">IF(AR$54&lt;Total_Lanes,($BJ56*($CI56+BZ56)+$CN56*DB56)*Peak_Time_Mor/3600,"-")</f>
        <v>-</v>
      </c>
      <c r="AS56" s="413" t="str">
        <f aca="false">IF(AS$54&lt;Total_Lanes,($BJ56*($CI56+CA56)+$CN56*DC56)*Peak_Time_Mor/3600,"-")</f>
        <v>-</v>
      </c>
      <c r="AT56" s="413" t="str">
        <f aca="false">IF(AT$54&lt;Total_Lanes,($BJ56*($CI56+CB56)+$CN56*DD56)*Peak_Time_Mor/3600,"-")</f>
        <v>-</v>
      </c>
      <c r="AU56" s="413" t="str">
        <f aca="false">IF(AU$54&lt;Total_Lanes,($BJ56*($CI56+CC56)+$CN56*DE56)*Peak_Time_Mor/3600,"-")</f>
        <v>-</v>
      </c>
      <c r="AV56" s="413" t="str">
        <f aca="false">IF(AV$54&lt;Total_Lanes,($BJ56*($CI56+CD56)+$CN56*DF56)*Peak_Time_Mor/3600,"-")</f>
        <v>-</v>
      </c>
      <c r="AW56" s="413" t="str">
        <f aca="false">IF(AW$54&lt;Total_Lanes,($BJ56*($CI56+CE56)+$CN56*DG56)*Peak_Time_Mor/3600,"-")</f>
        <v>-</v>
      </c>
      <c r="AX56" s="413" t="str">
        <f aca="false">IF(AX$54&lt;Total_Lanes,($BJ56*($CI56+CF56)+$CN56*DH56)*Peak_Time_Mor/3600,"-")</f>
        <v>-</v>
      </c>
      <c r="AY56" s="413" t="str">
        <f aca="false">IF(AY$54&lt;Total_Lanes,($BJ56*($CI56+CG56)+$CN56*DI56)*Peak_Time_Mor/3600,"-")</f>
        <v>-</v>
      </c>
      <c r="AZ56" s="414" t="str">
        <f aca="false">IF(AZ$54&lt;Total_Lanes,($BJ56*($CI56+CH56)+$CN56*DJ56)*Peak_Time_Mor/3600,"-")</f>
        <v>-</v>
      </c>
      <c r="BA56" s="436" t="n">
        <f aca="false">SUMIF(AF56:AZ56,BB56,$AF$54:$AZ$54)</f>
        <v>1</v>
      </c>
      <c r="BB56" s="437" t="n">
        <f aca="false">MIN(AF56:AZ56)</f>
        <v>9.36716738249709</v>
      </c>
      <c r="BC56" s="436" t="n">
        <f aca="false">IF((SUMIF($BN54:$CH54,$BA56,$BN56:$CH56)+$CI56)&lt;(SUMIF($CP54:$DJ54,$BA56,$CP56:$DJ56)+$DK56),BA56+1,BA56)</f>
        <v>1</v>
      </c>
      <c r="BD56" s="437" t="n">
        <f aca="false">SUMIF($AF$54:$AZ$54,$BC56,$AF56:$AZ56)</f>
        <v>9.36716738249709</v>
      </c>
      <c r="BG56" s="400" t="n">
        <v>1</v>
      </c>
      <c r="BH56" s="402" t="n">
        <f aca="false">$Y56</f>
        <v>0.0495</v>
      </c>
      <c r="BI56" s="411" t="n">
        <f aca="false">$AD56</f>
        <v>2531.04535286885</v>
      </c>
      <c r="BJ56" s="412" t="n">
        <f aca="false">BI56*(1-BH56)</f>
        <v>2405.75860790184</v>
      </c>
      <c r="BK56" s="420" t="n">
        <f aca="false">Peak_Arrival_Manual_Mor/K41</f>
        <v>4.39385079082072</v>
      </c>
      <c r="BL56" s="513" t="n">
        <f aca="false">900*Peak_Time_Mor*($BK56/Total_Lanes-1+SQRT(($BK56/Total_Lanes-1)^2+8*($BK56/Total_Lanes)/(Peak_Time_Mor*$K41*Total_Lanes)))</f>
        <v>0.316471602824664</v>
      </c>
      <c r="BM56" s="420" t="n">
        <f aca="false">Peak_Arrival_Manual_Mor/N41</f>
        <v>4.40805144927014</v>
      </c>
      <c r="BN56" s="514" t="n">
        <f aca="false">IF(BN$6&lt;Total_Lanes,900*Peak_Time_Mor*($BM56/(Total_Lanes-BN$6)-1+SQRT(($BM56/(Total_Lanes-BN$6)-1)^2+8*($BM56/(Total_Lanes-BN$6))/(Peak_Time_Mor*$N41*(Total_Lanes-BN$6)))),"-")</f>
        <v>0.400918934160188</v>
      </c>
      <c r="BO56" s="445" t="n">
        <f aca="false">IF(BO$6&lt;Total_Lanes,900*Peak_Time_Mor*($BM56/(Total_Lanes-BO$6)-1+SQRT(($BM56/(Total_Lanes-BO$6)-1)^2+8*($BM56/(Total_Lanes-BO$6))/(Peak_Time_Mor*$N41*(Total_Lanes-BO$6)))),"-")</f>
        <v>0.519838526078975</v>
      </c>
      <c r="BP56" s="445" t="n">
        <f aca="false">IF(BP$6&lt;Total_Lanes,900*Peak_Time_Mor*($BM56/(Total_Lanes-BP$6)-1+SQRT(($BM56/(Total_Lanes-BP$6)-1)^2+8*($BM56/(Total_Lanes-BP$6))/(Peak_Time_Mor*$N41*(Total_Lanes-BP$6)))),"-")</f>
        <v>0.703295730952336</v>
      </c>
      <c r="BQ56" s="445" t="n">
        <f aca="false">IF(BQ$6&lt;Total_Lanes,900*Peak_Time_Mor*($BM56/(Total_Lanes-BQ$6)-1+SQRT(($BM56/(Total_Lanes-BQ$6)-1)^2+8*($BM56/(Total_Lanes-BQ$6))/(Peak_Time_Mor*$N41*(Total_Lanes-BQ$6)))),"-")</f>
        <v>1.01123490067344</v>
      </c>
      <c r="BR56" s="445" t="n">
        <f aca="false">IF(BR$6&lt;Total_Lanes,900*Peak_Time_Mor*($BM56/(Total_Lanes-BR$6)-1+SQRT(($BM56/(Total_Lanes-BR$6)-1)^2+8*($BM56/(Total_Lanes-BR$6))/(Peak_Time_Mor*$N41*(Total_Lanes-BR$6)))),"-")</f>
        <v>1.60065656927814</v>
      </c>
      <c r="BS56" s="445" t="n">
        <f aca="false">IF(BS$6&lt;Total_Lanes,900*Peak_Time_Mor*($BM56/(Total_Lanes-BS$6)-1+SQRT(($BM56/(Total_Lanes-BS$6)-1)^2+8*($BM56/(Total_Lanes-BS$6))/(Peak_Time_Mor*$N41*(Total_Lanes-BS$6)))),"-")</f>
        <v>3.03449169889449</v>
      </c>
      <c r="BT56" s="445" t="n">
        <f aca="false">IF(BT$6&lt;Total_Lanes,900*Peak_Time_Mor*($BM56/(Total_Lanes-BT$6)-1+SQRT(($BM56/(Total_Lanes-BT$6)-1)^2+8*($BM56/(Total_Lanes-BT$6))/(Peak_Time_Mor*$N41*(Total_Lanes-BT$6)))),"-")</f>
        <v>9.60746135884</v>
      </c>
      <c r="BU56" s="445" t="n">
        <f aca="false">IF(BU$6&lt;Total_Lanes,900*Peak_Time_Mor*($BM56/(Total_Lanes-BU$6)-1+SQRT(($BM56/(Total_Lanes-BU$6)-1)^2+8*($BM56/(Total_Lanes-BU$6))/(Peak_Time_Mor*$N41*(Total_Lanes-BU$6)))),"-")</f>
        <v>384.27134957731</v>
      </c>
      <c r="BV56" s="445" t="n">
        <f aca="false">IF(BV$6&lt;Total_Lanes,900*Peak_Time_Mor*($BM56/(Total_Lanes-BV$6)-1+SQRT(($BM56/(Total_Lanes-BV$6)-1)^2+8*($BM56/(Total_Lanes-BV$6))/(Peak_Time_Mor*$N41*(Total_Lanes-BV$6)))),"-")</f>
        <v>1696.51733881818</v>
      </c>
      <c r="BW56" s="445" t="n">
        <f aca="false">IF(BW$6&lt;Total_Lanes,900*Peak_Time_Mor*($BM56/(Total_Lanes-BW$6)-1+SQRT(($BM56/(Total_Lanes-BW$6)-1)^2+8*($BM56/(Total_Lanes-BW$6))/(Peak_Time_Mor*$N41*(Total_Lanes-BW$6)))),"-")</f>
        <v>4340.52159572338</v>
      </c>
      <c r="BX56" s="515" t="n">
        <f aca="false">IF(BX$6&lt;Total_Lanes,900*Peak_Time_Mor*($BM56/(Total_Lanes-BX$6)-1+SQRT(($BM56/(Total_Lanes-BX$6)-1)^2+8*($BM56/(Total_Lanes-BX$6))/(Peak_Time_Mor*$N41*(Total_Lanes-BX$6)))),"-")</f>
        <v>12277.5110328623</v>
      </c>
      <c r="BY56" s="445" t="str">
        <f aca="false">IF(BY$6&lt;Total_Lanes,900*Peak_Time_Mor*($BM56/(Total_Lanes-BY$6)-1+SQRT(($BM56/(Total_Lanes-BY$6)-1)^2+8*($BM56/(Total_Lanes-BY$6))/(Peak_Time_Mor*$N41*(Total_Lanes-BY$6)))),"-")</f>
        <v>-</v>
      </c>
      <c r="BZ56" s="445" t="str">
        <f aca="false">IF(BZ$6&lt;Total_Lanes,900*Peak_Time_Mor*($BM56/(Total_Lanes-BZ$6)-1+SQRT(($BM56/(Total_Lanes-BZ$6)-1)^2+8*($BM56/(Total_Lanes-BZ$6))/(Peak_Time_Mor*$N41*(Total_Lanes-BZ$6)))),"-")</f>
        <v>-</v>
      </c>
      <c r="CA56" s="445" t="str">
        <f aca="false">IF(CA$6&lt;Total_Lanes,900*Peak_Time_Mor*($BM56/(Total_Lanes-CA$6)-1+SQRT(($BM56/(Total_Lanes-CA$6)-1)^2+8*($BM56/(Total_Lanes-CA$6))/(Peak_Time_Mor*$N41*(Total_Lanes-CA$6)))),"-")</f>
        <v>-</v>
      </c>
      <c r="CB56" s="445" t="str">
        <f aca="false">IF(CB$6&lt;Total_Lanes,900*Peak_Time_Mor*($BM56/(Total_Lanes-CB$6)-1+SQRT(($BM56/(Total_Lanes-CB$6)-1)^2+8*($BM56/(Total_Lanes-CB$6))/(Peak_Time_Mor*$N41*(Total_Lanes-CB$6)))),"-")</f>
        <v>-</v>
      </c>
      <c r="CC56" s="445" t="str">
        <f aca="false">IF(CC$6&lt;Total_Lanes,900*Peak_Time_Mor*($BM56/(Total_Lanes-CC$6)-1+SQRT(($BM56/(Total_Lanes-CC$6)-1)^2+8*($BM56/(Total_Lanes-CC$6))/(Peak_Time_Mor*$N41*(Total_Lanes-CC$6)))),"-")</f>
        <v>-</v>
      </c>
      <c r="CD56" s="445" t="str">
        <f aca="false">IF(CD$6&lt;Total_Lanes,900*Peak_Time_Mor*($BM56/(Total_Lanes-CD$6)-1+SQRT(($BM56/(Total_Lanes-CD$6)-1)^2+8*($BM56/(Total_Lanes-CD$6))/(Peak_Time_Mor*$N41*(Total_Lanes-CD$6)))),"-")</f>
        <v>-</v>
      </c>
      <c r="CE56" s="445" t="str">
        <f aca="false">IF(CE$6&lt;Total_Lanes,900*Peak_Time_Mor*($BM56/(Total_Lanes-CE$6)-1+SQRT(($BM56/(Total_Lanes-CE$6)-1)^2+8*($BM56/(Total_Lanes-CE$6))/(Peak_Time_Mor*$N41*(Total_Lanes-CE$6)))),"-")</f>
        <v>-</v>
      </c>
      <c r="CF56" s="445" t="str">
        <f aca="false">IF(CF$6&lt;Total_Lanes,900*Peak_Time_Mor*($BM56/(Total_Lanes-CF$6)-1+SQRT(($BM56/(Total_Lanes-CF$6)-1)^2+8*($BM56/(Total_Lanes-CF$6))/(Peak_Time_Mor*$N41*(Total_Lanes-CF$6)))),"-")</f>
        <v>-</v>
      </c>
      <c r="CG56" s="445" t="str">
        <f aca="false">IF(CG$6&lt;Total_Lanes,900*Peak_Time_Mor*($BM56/(Total_Lanes-CG$6)-1+SQRT(($BM56/(Total_Lanes-CG$6)-1)^2+8*($BM56/(Total_Lanes-CG$6))/(Peak_Time_Mor*$N41*(Total_Lanes-CG$6)))),"-")</f>
        <v>-</v>
      </c>
      <c r="CH56" s="446" t="str">
        <f aca="false">IF(CH$6&lt;Total_Lanes,900*Peak_Time_Mor*($BM56/(Total_Lanes-CH$6)-1+SQRT(($BM56/(Total_Lanes-CH$6)-1)^2+8*($BM56/(Total_Lanes-CH$6))/(Peak_Time_Mor*$N41*(Total_Lanes-CH$6)))),"-")</f>
        <v>-</v>
      </c>
      <c r="CI56" s="519" t="n">
        <f aca="false">3600/N41</f>
        <v>6.59625</v>
      </c>
      <c r="CK56" s="400" t="n">
        <v>1</v>
      </c>
      <c r="CL56" s="402" t="n">
        <f aca="false">$Y56</f>
        <v>0.0495</v>
      </c>
      <c r="CM56" s="427" t="n">
        <f aca="false">$AD56</f>
        <v>2531.04535286885</v>
      </c>
      <c r="CN56" s="427" t="n">
        <f aca="false">CM56*CL56</f>
        <v>125.286744967008</v>
      </c>
      <c r="CO56" s="440" t="n">
        <f aca="false">CN56/O41</f>
        <v>0.0835244966446719</v>
      </c>
      <c r="CP56" s="445" t="n">
        <f aca="false">IF(CP$54&lt;Total_Lanes,900*Peak_Time_Mor*($CO56/CP$54-1+SQRT(($CO56/CP$54-1)^2+8*($CO56/CP$54)/(Peak_Time_Mor*$O41*CP$54))),"-")</f>
        <v>0.218713433753703</v>
      </c>
      <c r="CQ56" s="445" t="n">
        <f aca="false">IF(CQ$54&lt;Total_Lanes,900*Peak_Time_Mor*($CO56/CQ$54-1+SQRT(($CO56/CQ$54-1)^2+8*($CO56/CQ$54)/(Peak_Time_Mor*$O41*CQ$54))),"-")</f>
        <v>0.0522980211892676</v>
      </c>
      <c r="CR56" s="445" t="n">
        <f aca="false">IF(CR$54&lt;Total_Lanes,900*Peak_Time_Mor*($CO56/CR$54-1+SQRT(($CO56/CR$54-1)^2+8*($CO56/CR$54)/(Peak_Time_Mor*$O41*CR$54))),"-")</f>
        <v>0.0229109278694795</v>
      </c>
      <c r="CS56" s="445" t="n">
        <f aca="false">IF(CS$54&lt;Total_Lanes,900*Peak_Time_Mor*($CO56/CS$54-1+SQRT(($CO56/CS$54-1)^2+8*($CO56/CS$54)/(Peak_Time_Mor*$O41*CS$54))),"-")</f>
        <v>0.0127958201240785</v>
      </c>
      <c r="CT56" s="445" t="n">
        <f aca="false">IF(CT$54&lt;Total_Lanes,900*Peak_Time_Mor*($CO56/CT$54-1+SQRT(($CO56/CT$54-1)^2+8*($CO56/CT$54)/(Peak_Time_Mor*$O41*CT$54))),"-")</f>
        <v>0.00815455421387945</v>
      </c>
      <c r="CU56" s="445" t="n">
        <f aca="false">IF(CU$54&lt;Total_Lanes,900*Peak_Time_Mor*($CO56/CU$54-1+SQRT(($CO56/CU$54-1)^2+8*($CO56/CU$54)/(Peak_Time_Mor*$O41*CU$54))),"-")</f>
        <v>0.00564689999860146</v>
      </c>
      <c r="CV56" s="445" t="n">
        <f aca="false">IF(CV$54&lt;Total_Lanes,900*Peak_Time_Mor*($CO56/CV$54-1+SQRT(($CO56/CV$54-1)^2+8*($CO56/CV$54)/(Peak_Time_Mor*$O41*CV$54))),"-")</f>
        <v>0.00414039447287351</v>
      </c>
      <c r="CW56" s="445" t="n">
        <f aca="false">IF(CW$54&lt;Total_Lanes,900*Peak_Time_Mor*($CO56/CW$54-1+SQRT(($CO56/CW$54-1)^2+8*($CO56/CW$54)/(Peak_Time_Mor*$O41*CW$54))),"-")</f>
        <v>0.00316521243814982</v>
      </c>
      <c r="CX56" s="445" t="n">
        <f aca="false">IF(CX$54&lt;Total_Lanes,900*Peak_Time_Mor*($CO56/CX$54-1+SQRT(($CO56/CX$54-1)^2+8*($CO56/CX$54)/(Peak_Time_Mor*$O41*CX$54))),"-")</f>
        <v>0.00249798067590845</v>
      </c>
      <c r="CY56" s="445" t="n">
        <f aca="false">IF(CY$54&lt;Total_Lanes,900*Peak_Time_Mor*($CO56/CY$54-1+SQRT(($CO56/CY$54-1)^2+8*($CO56/CY$54)/(Peak_Time_Mor*$O41*CY$54))),"-")</f>
        <v>0.00202147101937555</v>
      </c>
      <c r="CZ56" s="445" t="n">
        <f aca="false">IF(CZ$54&lt;Total_Lanes,900*Peak_Time_Mor*($CO56/CZ$54-1+SQRT(($CO56/CZ$54-1)^2+8*($CO56/CZ$54)/(Peak_Time_Mor*$O41*CZ$54))),"-")</f>
        <v>0.00166935912793154</v>
      </c>
      <c r="DA56" s="445" t="str">
        <f aca="false">IF(DA$54&lt;Total_Lanes,900*Peak_Time_Mor*($CO56/DA$54-1+SQRT(($CO56/DA$54-1)^2+8*($CO56/DA$54)/(Peak_Time_Mor*$O41*DA$54))),"-")</f>
        <v>-</v>
      </c>
      <c r="DB56" s="445" t="str">
        <f aca="false">IF(DB$54&lt;Total_Lanes,900*Peak_Time_Mor*($CO56/DB$54-1+SQRT(($CO56/DB$54-1)^2+8*($CO56/DB$54)/(Peak_Time_Mor*$O41*DB$54))),"-")</f>
        <v>-</v>
      </c>
      <c r="DC56" s="445" t="str">
        <f aca="false">IF(DC$54&lt;Total_Lanes,900*Peak_Time_Mor*($CO56/DC$54-1+SQRT(($CO56/DC$54-1)^2+8*($CO56/DC$54)/(Peak_Time_Mor*$O41*DC$54))),"-")</f>
        <v>-</v>
      </c>
      <c r="DD56" s="445" t="str">
        <f aca="false">IF(DD$54&lt;Total_Lanes,900*Peak_Time_Mor*($CO56/DD$54-1+SQRT(($CO56/DD$54-1)^2+8*($CO56/DD$54)/(Peak_Time_Mor*$O41*DD$54))),"-")</f>
        <v>-</v>
      </c>
      <c r="DE56" s="445" t="str">
        <f aca="false">IF(DE$54&lt;Total_Lanes,900*Peak_Time_Mor*($CO56/DE$54-1+SQRT(($CO56/DE$54-1)^2+8*($CO56/DE$54)/(Peak_Time_Mor*$O41*DE$54))),"-")</f>
        <v>-</v>
      </c>
      <c r="DF56" s="445" t="str">
        <f aca="false">IF(DF$54&lt;Total_Lanes,900*Peak_Time_Mor*($CO56/DF$54-1+SQRT(($CO56/DF$54-1)^2+8*($CO56/DF$54)/(Peak_Time_Mor*$O41*DF$54))),"-")</f>
        <v>-</v>
      </c>
      <c r="DG56" s="445" t="str">
        <f aca="false">IF(DG$54&lt;Total_Lanes,900*Peak_Time_Mor*($CO56/DG$54-1+SQRT(($CO56/DG$54-1)^2+8*($CO56/DG$54)/(Peak_Time_Mor*$O41*DG$54))),"-")</f>
        <v>-</v>
      </c>
      <c r="DH56" s="445" t="str">
        <f aca="false">IF(DH$54&lt;Total_Lanes,900*Peak_Time_Mor*($CO56/DH$54-1+SQRT(($CO56/DH$54-1)^2+8*($CO56/DH$54)/(Peak_Time_Mor*$O41*DH$54))),"-")</f>
        <v>-</v>
      </c>
      <c r="DI56" s="445" t="str">
        <f aca="false">IF(DI$54&lt;Total_Lanes,900*Peak_Time_Mor*($CO56/DI$54-1+SQRT(($CO56/DI$54-1)^2+8*($CO56/DI$54)/(Peak_Time_Mor*$O41*DI$54))),"-")</f>
        <v>-</v>
      </c>
      <c r="DJ56" s="445" t="str">
        <f aca="false">IF(DJ$54&lt;Total_Lanes,900*Peak_Time_Mor*($CO56/DJ$54-1+SQRT(($CO56/DJ$54-1)^2+8*($CO56/DJ$54)/(Peak_Time_Mor*$O41*DJ$54))),"-")</f>
        <v>-</v>
      </c>
      <c r="DK56" s="519" t="n">
        <f aca="false">3600/$O41</f>
        <v>2.4</v>
      </c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</row>
    <row r="57" customFormat="false" ht="13" hidden="false" customHeight="false" outlineLevel="0" collapsed="false">
      <c r="A57" s="1"/>
      <c r="B57" s="1"/>
      <c r="C57" s="1"/>
      <c r="D57" s="1"/>
      <c r="E57" s="1"/>
      <c r="F57" s="1"/>
      <c r="G57" s="1"/>
      <c r="H57" s="400" t="n">
        <v>17</v>
      </c>
      <c r="I57" s="501" t="n">
        <f aca="false">'Input-Detail'!BH30</f>
        <v>0.83</v>
      </c>
      <c r="J57" s="502" t="n">
        <f aca="false">1-I57</f>
        <v>0.17</v>
      </c>
      <c r="K57" s="407" t="n">
        <f aca="false">3600/(Trans_Time_Cash*I57+Trans_Time_Ticket*J57)</f>
        <v>547.528517110266</v>
      </c>
      <c r="L57" s="501" t="n">
        <f aca="false">'Input-Detail'!BJ30</f>
        <v>0.9745</v>
      </c>
      <c r="M57" s="502" t="n">
        <f aca="false">1-L57</f>
        <v>0.0255000000000001</v>
      </c>
      <c r="N57" s="407" t="n">
        <f aca="false">3600/(Trans_Time_Cash*L57+Trans_Time_Ticket*M57)</f>
        <v>519.012434672914</v>
      </c>
      <c r="O57" s="407" t="n">
        <f aca="false">3600/Headway_ETC</f>
        <v>1500</v>
      </c>
      <c r="P57" s="1"/>
      <c r="Q57" s="1"/>
      <c r="R57" s="1"/>
      <c r="S57" s="1"/>
      <c r="T57" s="1"/>
      <c r="U57" s="1"/>
      <c r="V57" s="1"/>
      <c r="W57" s="400" t="n">
        <v>2</v>
      </c>
      <c r="X57" s="401" t="n">
        <f aca="false">X9</f>
        <v>20114555.7</v>
      </c>
      <c r="Y57" s="402" t="n">
        <f aca="false">Y9</f>
        <v>0.099</v>
      </c>
      <c r="Z57" s="401" t="n">
        <f aca="false">Z9</f>
        <v>8673.6356857923</v>
      </c>
      <c r="AA57" s="409" t="n">
        <f aca="false">X57/Z57</f>
        <v>2319.04548780488</v>
      </c>
      <c r="AB57" s="518" t="n">
        <f aca="false">AB9</f>
        <v>2</v>
      </c>
      <c r="AC57" s="435" t="n">
        <f aca="false">1-AC9</f>
        <v>0.3</v>
      </c>
      <c r="AD57" s="405" t="n">
        <f aca="false">Z57*AC57</f>
        <v>2602.09070573769</v>
      </c>
      <c r="AE57" s="427" t="n">
        <f aca="false">Peak_Time_Mor*$BI57*(CI57+BL57)/3600</f>
        <v>10.005676772878</v>
      </c>
      <c r="AF57" s="413" t="n">
        <f aca="false">IF(AF$54&lt;Total_Lanes,($BJ57*($CI57+BN57)+$CN57*CP57)*Peak_Time_Mor/3600,"-")</f>
        <v>9.19508688577882</v>
      </c>
      <c r="AG57" s="413" t="n">
        <f aca="false">IF(AG$54&lt;Total_Lanes,($BJ57*($CI57+BO57)+$CN57*CQ57)*Peak_Time_Mor/3600,"-")</f>
        <v>9.28798446210325</v>
      </c>
      <c r="AH57" s="413" t="n">
        <f aca="false">IF(AH$54&lt;Total_Lanes,($BJ57*($CI57+BP57)+$CN57*CR57)*Peak_Time_Mor/3600,"-")</f>
        <v>9.50581638735484</v>
      </c>
      <c r="AI57" s="413" t="n">
        <f aca="false">IF(AI$54&lt;Total_Lanes,($BJ57*($CI57+BQ57)+$CN57*CS57)*Peak_Time_Mor/3600,"-")</f>
        <v>9.88054406744433</v>
      </c>
      <c r="AJ57" s="413" t="n">
        <f aca="false">IF(AJ$54&lt;Total_Lanes,($BJ57*($CI57+BR57)+$CN57*CT57)*Peak_Time_Mor/3600,"-")</f>
        <v>10.5919241941514</v>
      </c>
      <c r="AK57" s="413" t="n">
        <f aca="false">IF(AK$54&lt;Total_Lanes,($BJ57*($CI57+BS57)+$CN57*CU57)*Peak_Time_Mor/3600,"-")</f>
        <v>12.2732665494086</v>
      </c>
      <c r="AL57" s="413" t="n">
        <f aca="false">IF(AL$54&lt;Total_Lanes,($BJ57*($CI57+BT57)+$CN57*CV57)*Peak_Time_Mor/3600,"-")</f>
        <v>19.2081898548091</v>
      </c>
      <c r="AM57" s="413" t="n">
        <f aca="false">IF(AM$54&lt;Total_Lanes,($BJ57*($CI57+BU57)+$CN57*CW57)*Peak_Time_Mor/3600,"-")</f>
        <v>399.421484301306</v>
      </c>
      <c r="AN57" s="413" t="n">
        <f aca="false">IF(AN$54&lt;Total_Lanes,($BJ57*($CI57+BV57)+$CN57*CX57)*Peak_Time_Mor/3600,"-")</f>
        <v>2064.94837526516</v>
      </c>
      <c r="AO57" s="413" t="n">
        <f aca="false">IF(AO$54&lt;Total_Lanes,($BJ57*($CI57+BW57)+$CN57*CY57)*Peak_Time_Mor/3600,"-")</f>
        <v>5431.50880870099</v>
      </c>
      <c r="AP57" s="413" t="n">
        <f aca="false">IF(AP$54&lt;Total_Lanes,($BJ57*($CI57+BX57)+$CN57*CZ57)*Peak_Time_Mor/3600,"-")</f>
        <v>15538.521360259</v>
      </c>
      <c r="AQ57" s="413" t="str">
        <f aca="false">IF(AQ$54&lt;Total_Lanes,($BJ57*($CI57+BY57)+$CN57*DA57)*Peak_Time_Mor/3600,"-")</f>
        <v>-</v>
      </c>
      <c r="AR57" s="413" t="str">
        <f aca="false">IF(AR$54&lt;Total_Lanes,($BJ57*($CI57+BZ57)+$CN57*DB57)*Peak_Time_Mor/3600,"-")</f>
        <v>-</v>
      </c>
      <c r="AS57" s="413" t="str">
        <f aca="false">IF(AS$54&lt;Total_Lanes,($BJ57*($CI57+CA57)+$CN57*DC57)*Peak_Time_Mor/3600,"-")</f>
        <v>-</v>
      </c>
      <c r="AT57" s="413" t="str">
        <f aca="false">IF(AT$54&lt;Total_Lanes,($BJ57*($CI57+CB57)+$CN57*DD57)*Peak_Time_Mor/3600,"-")</f>
        <v>-</v>
      </c>
      <c r="AU57" s="413" t="str">
        <f aca="false">IF(AU$54&lt;Total_Lanes,($BJ57*($CI57+CC57)+$CN57*DE57)*Peak_Time_Mor/3600,"-")</f>
        <v>-</v>
      </c>
      <c r="AV57" s="413" t="str">
        <f aca="false">IF(AV$54&lt;Total_Lanes,($BJ57*($CI57+CD57)+$CN57*DF57)*Peak_Time_Mor/3600,"-")</f>
        <v>-</v>
      </c>
      <c r="AW57" s="413" t="str">
        <f aca="false">IF(AW$54&lt;Total_Lanes,($BJ57*($CI57+CE57)+$CN57*DG57)*Peak_Time_Mor/3600,"-")</f>
        <v>-</v>
      </c>
      <c r="AX57" s="413" t="str">
        <f aca="false">IF(AX$54&lt;Total_Lanes,($BJ57*($CI57+CF57)+$CN57*DH57)*Peak_Time_Mor/3600,"-")</f>
        <v>-</v>
      </c>
      <c r="AY57" s="413" t="str">
        <f aca="false">IF(AY$54&lt;Total_Lanes,($BJ57*($CI57+CG57)+$CN57*DI57)*Peak_Time_Mor/3600,"-")</f>
        <v>-</v>
      </c>
      <c r="AZ57" s="414" t="str">
        <f aca="false">IF(AZ$54&lt;Total_Lanes,($BJ57*($CI57+CH57)+$CN57*DJ57)*Peak_Time_Mor/3600,"-")</f>
        <v>-</v>
      </c>
      <c r="BA57" s="436" t="n">
        <f aca="false">SUMIF(AF57:AZ57,BB57,$AF$54:$AZ$54)</f>
        <v>1</v>
      </c>
      <c r="BB57" s="437" t="n">
        <f aca="false">MIN(AF57:AZ57)</f>
        <v>9.19508688577882</v>
      </c>
      <c r="BC57" s="436" t="n">
        <f aca="false">IF((SUMIF($BN55:$CH55,$BA57,$BN57:$CH57)+$CI57)&lt;(SUMIF($CP55:$DJ55,$BA57,$CP57:$DJ57)+$DK57),BA57+1,BA57)</f>
        <v>1</v>
      </c>
      <c r="BD57" s="437" t="n">
        <f aca="false">SUMIF($AF$54:$AZ$54,$BC57,$AF57:$AZ57)</f>
        <v>9.19508688577882</v>
      </c>
      <c r="BG57" s="400" t="n">
        <v>2</v>
      </c>
      <c r="BH57" s="402" t="n">
        <f aca="false">$Y57</f>
        <v>0.099</v>
      </c>
      <c r="BI57" s="411" t="n">
        <f aca="false">$AD57</f>
        <v>2602.09070573769</v>
      </c>
      <c r="BJ57" s="412" t="n">
        <f aca="false">BI57*(1-BH57)</f>
        <v>2344.48372586966</v>
      </c>
      <c r="BK57" s="420" t="n">
        <f aca="false">Peak_Arrival_Manual_Mor/K42</f>
        <v>4.28193902710917</v>
      </c>
      <c r="BL57" s="513" t="n">
        <f aca="false">900*Peak_Time_Mor*($BK57/Total_Lanes-1+SQRT(($BK57/Total_Lanes-1)^2+8*($BK57/Total_Lanes)/(Peak_Time_Mor*$K42*Total_Lanes)))</f>
        <v>0.303941343865244</v>
      </c>
      <c r="BM57" s="420" t="n">
        <f aca="false">Peak_Arrival_Manual_Mor/N42</f>
        <v>4.30961695998402</v>
      </c>
      <c r="BN57" s="514" t="n">
        <f aca="false">IF(BN$6&lt;Total_Lanes,900*Peak_Time_Mor*($BM57/(Total_Lanes-BN$6)-1+SQRT(($BM57/(Total_Lanes-BN$6)-1)^2+8*($BM57/(Total_Lanes-BN$6))/(Peak_Time_Mor*$N42*(Total_Lanes-BN$6)))),"-")</f>
        <v>0.387446829938387</v>
      </c>
      <c r="BO57" s="445" t="n">
        <f aca="false">IF(BO$6&lt;Total_Lanes,900*Peak_Time_Mor*($BM57/(Total_Lanes-BO$6)-1+SQRT(($BM57/(Total_Lanes-BO$6)-1)^2+8*($BM57/(Total_Lanes-BO$6))/(Peak_Time_Mor*$N42*(Total_Lanes-BO$6)))),"-")</f>
        <v>0.50105443283972</v>
      </c>
      <c r="BP57" s="445" t="n">
        <f aca="false">IF(BP$6&lt;Total_Lanes,900*Peak_Time_Mor*($BM57/(Total_Lanes-BP$6)-1+SQRT(($BM57/(Total_Lanes-BP$6)-1)^2+8*($BM57/(Total_Lanes-BP$6))/(Peak_Time_Mor*$N42*(Total_Lanes-BP$6)))),"-")</f>
        <v>0.675344706009362</v>
      </c>
      <c r="BQ57" s="445" t="n">
        <f aca="false">IF(BQ$6&lt;Total_Lanes,900*Peak_Time_Mor*($BM57/(Total_Lanes-BQ$6)-1+SQRT(($BM57/(Total_Lanes-BQ$6)-1)^2+8*($BM57/(Total_Lanes-BQ$6))/(Peak_Time_Mor*$N42*(Total_Lanes-BQ$6)))),"-")</f>
        <v>0.965425546898446</v>
      </c>
      <c r="BR57" s="445" t="n">
        <f aca="false">IF(BR$6&lt;Total_Lanes,900*Peak_Time_Mor*($BM57/(Total_Lanes-BR$6)-1+SQRT(($BM57/(Total_Lanes-BR$6)-1)^2+8*($BM57/(Total_Lanes-BR$6))/(Peak_Time_Mor*$N42*(Total_Lanes-BR$6)))),"-")</f>
        <v>1.51267602406714</v>
      </c>
      <c r="BS57" s="445" t="n">
        <f aca="false">IF(BS$6&lt;Total_Lanes,900*Peak_Time_Mor*($BM57/(Total_Lanes-BS$6)-1+SQRT(($BM57/(Total_Lanes-BS$6)-1)^2+8*($BM57/(Total_Lanes-BS$6))/(Peak_Time_Mor*$N42*(Total_Lanes-BS$6)))),"-")</f>
        <v>2.80412372627121</v>
      </c>
      <c r="BT57" s="445" t="n">
        <f aca="false">IF(BT$6&lt;Total_Lanes,900*Peak_Time_Mor*($BM57/(Total_Lanes-BT$6)-1+SQRT(($BM57/(Total_Lanes-BT$6)-1)^2+8*($BM57/(Total_Lanes-BT$6))/(Peak_Time_Mor*$N42*(Total_Lanes-BT$6)))),"-")</f>
        <v>8.12882558176934</v>
      </c>
      <c r="BU57" s="445" t="n">
        <f aca="false">IF(BU$6&lt;Total_Lanes,900*Peak_Time_Mor*($BM57/(Total_Lanes-BU$6)-1+SQRT(($BM57/(Total_Lanes-BU$6)-1)^2+8*($BM57/(Total_Lanes-BU$6))/(Peak_Time_Mor*$N42*(Total_Lanes-BU$6)))),"-")</f>
        <v>300.041475015366</v>
      </c>
      <c r="BV57" s="445" t="n">
        <f aca="false">IF(BV$6&lt;Total_Lanes,900*Peak_Time_Mor*($BM57/(Total_Lanes-BV$6)-1+SQRT(($BM57/(Total_Lanes-BV$6)-1)^2+8*($BM57/(Total_Lanes-BV$6))/(Peak_Time_Mor*$N42*(Total_Lanes-BV$6)))),"-")</f>
        <v>1578.76596763692</v>
      </c>
      <c r="BW57" s="445" t="n">
        <f aca="false">IF(BW$6&lt;Total_Lanes,900*Peak_Time_Mor*($BM57/(Total_Lanes-BW$6)-1+SQRT(($BM57/(Total_Lanes-BW$6)-1)^2+8*($BM57/(Total_Lanes-BW$6))/(Peak_Time_Mor*$N42*(Total_Lanes-BW$6)))),"-")</f>
        <v>4163.47533001159</v>
      </c>
      <c r="BX57" s="515" t="n">
        <f aca="false">IF(BX$6&lt;Total_Lanes,900*Peak_Time_Mor*($BM57/(Total_Lanes-BX$6)-1+SQRT(($BM57/(Total_Lanes-BX$6)-1)^2+8*($BM57/(Total_Lanes-BX$6))/(Peak_Time_Mor*$N42*(Total_Lanes-BX$6)))),"-")</f>
        <v>11923.2318090069</v>
      </c>
      <c r="BY57" s="445" t="str">
        <f aca="false">IF(BY$6&lt;Total_Lanes,900*Peak_Time_Mor*($BM57/(Total_Lanes-BY$6)-1+SQRT(($BM57/(Total_Lanes-BY$6)-1)^2+8*($BM57/(Total_Lanes-BY$6))/(Peak_Time_Mor*$N42*(Total_Lanes-BY$6)))),"-")</f>
        <v>-</v>
      </c>
      <c r="BZ57" s="445" t="str">
        <f aca="false">IF(BZ$6&lt;Total_Lanes,900*Peak_Time_Mor*($BM57/(Total_Lanes-BZ$6)-1+SQRT(($BM57/(Total_Lanes-BZ$6)-1)^2+8*($BM57/(Total_Lanes-BZ$6))/(Peak_Time_Mor*$N42*(Total_Lanes-BZ$6)))),"-")</f>
        <v>-</v>
      </c>
      <c r="CA57" s="445" t="str">
        <f aca="false">IF(CA$6&lt;Total_Lanes,900*Peak_Time_Mor*($BM57/(Total_Lanes-CA$6)-1+SQRT(($BM57/(Total_Lanes-CA$6)-1)^2+8*($BM57/(Total_Lanes-CA$6))/(Peak_Time_Mor*$N42*(Total_Lanes-CA$6)))),"-")</f>
        <v>-</v>
      </c>
      <c r="CB57" s="445" t="str">
        <f aca="false">IF(CB$6&lt;Total_Lanes,900*Peak_Time_Mor*($BM57/(Total_Lanes-CB$6)-1+SQRT(($BM57/(Total_Lanes-CB$6)-1)^2+8*($BM57/(Total_Lanes-CB$6))/(Peak_Time_Mor*$N42*(Total_Lanes-CB$6)))),"-")</f>
        <v>-</v>
      </c>
      <c r="CC57" s="445" t="str">
        <f aca="false">IF(CC$6&lt;Total_Lanes,900*Peak_Time_Mor*($BM57/(Total_Lanes-CC$6)-1+SQRT(($BM57/(Total_Lanes-CC$6)-1)^2+8*($BM57/(Total_Lanes-CC$6))/(Peak_Time_Mor*$N42*(Total_Lanes-CC$6)))),"-")</f>
        <v>-</v>
      </c>
      <c r="CD57" s="445" t="str">
        <f aca="false">IF(CD$6&lt;Total_Lanes,900*Peak_Time_Mor*($BM57/(Total_Lanes-CD$6)-1+SQRT(($BM57/(Total_Lanes-CD$6)-1)^2+8*($BM57/(Total_Lanes-CD$6))/(Peak_Time_Mor*$N42*(Total_Lanes-CD$6)))),"-")</f>
        <v>-</v>
      </c>
      <c r="CE57" s="445" t="str">
        <f aca="false">IF(CE$6&lt;Total_Lanes,900*Peak_Time_Mor*($BM57/(Total_Lanes-CE$6)-1+SQRT(($BM57/(Total_Lanes-CE$6)-1)^2+8*($BM57/(Total_Lanes-CE$6))/(Peak_Time_Mor*$N42*(Total_Lanes-CE$6)))),"-")</f>
        <v>-</v>
      </c>
      <c r="CF57" s="445" t="str">
        <f aca="false">IF(CF$6&lt;Total_Lanes,900*Peak_Time_Mor*($BM57/(Total_Lanes-CF$6)-1+SQRT(($BM57/(Total_Lanes-CF$6)-1)^2+8*($BM57/(Total_Lanes-CF$6))/(Peak_Time_Mor*$N42*(Total_Lanes-CF$6)))),"-")</f>
        <v>-</v>
      </c>
      <c r="CG57" s="445" t="str">
        <f aca="false">IF(CG$6&lt;Total_Lanes,900*Peak_Time_Mor*($BM57/(Total_Lanes-CG$6)-1+SQRT(($BM57/(Total_Lanes-CG$6)-1)^2+8*($BM57/(Total_Lanes-CG$6))/(Peak_Time_Mor*$N42*(Total_Lanes-CG$6)))),"-")</f>
        <v>-</v>
      </c>
      <c r="CH57" s="446" t="str">
        <f aca="false">IF(CH$6&lt;Total_Lanes,900*Peak_Time_Mor*($BM57/(Total_Lanes-CH$6)-1+SQRT(($BM57/(Total_Lanes-CH$6)-1)^2+8*($BM57/(Total_Lanes-CH$6))/(Peak_Time_Mor*$N42*(Total_Lanes-CH$6)))),"-")</f>
        <v>-</v>
      </c>
      <c r="CI57" s="519" t="n">
        <f aca="false">3600/N42</f>
        <v>6.6175</v>
      </c>
      <c r="CK57" s="400" t="n">
        <v>2</v>
      </c>
      <c r="CL57" s="402" t="n">
        <f aca="false">$Y57</f>
        <v>0.099</v>
      </c>
      <c r="CM57" s="427" t="n">
        <f aca="false">$AD57</f>
        <v>2602.09070573769</v>
      </c>
      <c r="CN57" s="427" t="n">
        <f aca="false">CM57*CL57</f>
        <v>257.606979868031</v>
      </c>
      <c r="CO57" s="440" t="n">
        <f aca="false">CN57/O42</f>
        <v>0.171737986578688</v>
      </c>
      <c r="CP57" s="445" t="n">
        <f aca="false">IF(CP$54&lt;Total_Lanes,900*Peak_Time_Mor*($CO57/CP$54-1+SQRT(($CO57/CP$54-1)^2+8*($CO57/CP$54)/(Peak_Time_Mor*$O42*CP$54))),"-")</f>
        <v>0.497550769372568</v>
      </c>
      <c r="CQ57" s="445" t="n">
        <f aca="false">IF(CQ$54&lt;Total_Lanes,900*Peak_Time_Mor*($CO57/CQ$54-1+SQRT(($CO57/CQ$54-1)^2+8*($CO57/CQ$54)/(Peak_Time_Mor*$O42*CQ$54))),"-")</f>
        <v>0.112718266759204</v>
      </c>
      <c r="CR57" s="445" t="n">
        <f aca="false">IF(CR$54&lt;Total_Lanes,900*Peak_Time_Mor*($CO57/CR$54-1+SQRT(($CO57/CR$54-1)^2+8*($CO57/CR$54)/(Peak_Time_Mor*$O42*CR$54))),"-")</f>
        <v>0.0485769784323464</v>
      </c>
      <c r="CS57" s="445" t="n">
        <f aca="false">IF(CS$54&lt;Total_Lanes,900*Peak_Time_Mor*($CO57/CS$54-1+SQRT(($CO57/CS$54-1)^2+8*($CO57/CS$54)/(Peak_Time_Mor*$O42*CS$54))),"-")</f>
        <v>0.0269161271121421</v>
      </c>
      <c r="CT57" s="445" t="n">
        <f aca="false">IF(CT$54&lt;Total_Lanes,900*Peak_Time_Mor*($CO57/CT$54-1+SQRT(($CO57/CT$54-1)^2+8*($CO57/CT$54)/(Peak_Time_Mor*$O42*CT$54))),"-")</f>
        <v>0.0170731887533693</v>
      </c>
      <c r="CU57" s="445" t="n">
        <f aca="false">IF(CU$54&lt;Total_Lanes,900*Peak_Time_Mor*($CO57/CU$54-1+SQRT(($CO57/CU$54-1)^2+8*($CO57/CU$54)/(Peak_Time_Mor*$O42*CU$54))),"-")</f>
        <v>0.011786526229618</v>
      </c>
      <c r="CV57" s="445" t="n">
        <f aca="false">IF(CV$54&lt;Total_Lanes,900*Peak_Time_Mor*($CO57/CV$54-1+SQRT(($CO57/CV$54-1)^2+8*($CO57/CV$54)/(Peak_Time_Mor*$O42*CV$54))),"-")</f>
        <v>0.00862319733698769</v>
      </c>
      <c r="CW57" s="445" t="n">
        <f aca="false">IF(CW$54&lt;Total_Lanes,900*Peak_Time_Mor*($CO57/CW$54-1+SQRT(($CO57/CW$54-1)^2+8*($CO57/CW$54)/(Peak_Time_Mor*$O42*CW$54))),"-")</f>
        <v>0.00658144804415173</v>
      </c>
      <c r="CX57" s="445" t="n">
        <f aca="false">IF(CX$54&lt;Total_Lanes,900*Peak_Time_Mor*($CO57/CX$54-1+SQRT(($CO57/CX$54-1)^2+8*($CO57/CX$54)/(Peak_Time_Mor*$O42*CX$54))),"-")</f>
        <v>0.00518751358709046</v>
      </c>
      <c r="CY57" s="445" t="n">
        <f aca="false">IF(CY$54&lt;Total_Lanes,900*Peak_Time_Mor*($CO57/CY$54-1+SQRT(($CO57/CY$54-1)^2+8*($CO57/CY$54)/(Peak_Time_Mor*$O42*CY$54))),"-")</f>
        <v>0.0041937290508276</v>
      </c>
      <c r="CZ57" s="445" t="n">
        <f aca="false">IF(CZ$54&lt;Total_Lanes,900*Peak_Time_Mor*($CO57/CZ$54-1+SQRT(($CO57/CZ$54-1)^2+8*($CO57/CZ$54)/(Peak_Time_Mor*$O42*CZ$54))),"-")</f>
        <v>0.00346039553971167</v>
      </c>
      <c r="DA57" s="445" t="str">
        <f aca="false">IF(DA$54&lt;Total_Lanes,900*Peak_Time_Mor*($CO57/DA$54-1+SQRT(($CO57/DA$54-1)^2+8*($CO57/DA$54)/(Peak_Time_Mor*$O42*DA$54))),"-")</f>
        <v>-</v>
      </c>
      <c r="DB57" s="445" t="str">
        <f aca="false">IF(DB$54&lt;Total_Lanes,900*Peak_Time_Mor*($CO57/DB$54-1+SQRT(($CO57/DB$54-1)^2+8*($CO57/DB$54)/(Peak_Time_Mor*$O42*DB$54))),"-")</f>
        <v>-</v>
      </c>
      <c r="DC57" s="445" t="str">
        <f aca="false">IF(DC$54&lt;Total_Lanes,900*Peak_Time_Mor*($CO57/DC$54-1+SQRT(($CO57/DC$54-1)^2+8*($CO57/DC$54)/(Peak_Time_Mor*$O42*DC$54))),"-")</f>
        <v>-</v>
      </c>
      <c r="DD57" s="445" t="str">
        <f aca="false">IF(DD$54&lt;Total_Lanes,900*Peak_Time_Mor*($CO57/DD$54-1+SQRT(($CO57/DD$54-1)^2+8*($CO57/DD$54)/(Peak_Time_Mor*$O42*DD$54))),"-")</f>
        <v>-</v>
      </c>
      <c r="DE57" s="445" t="str">
        <f aca="false">IF(DE$54&lt;Total_Lanes,900*Peak_Time_Mor*($CO57/DE$54-1+SQRT(($CO57/DE$54-1)^2+8*($CO57/DE$54)/(Peak_Time_Mor*$O42*DE$54))),"-")</f>
        <v>-</v>
      </c>
      <c r="DF57" s="445" t="str">
        <f aca="false">IF(DF$54&lt;Total_Lanes,900*Peak_Time_Mor*($CO57/DF$54-1+SQRT(($CO57/DF$54-1)^2+8*($CO57/DF$54)/(Peak_Time_Mor*$O42*DF$54))),"-")</f>
        <v>-</v>
      </c>
      <c r="DG57" s="445" t="str">
        <f aca="false">IF(DG$54&lt;Total_Lanes,900*Peak_Time_Mor*($CO57/DG$54-1+SQRT(($CO57/DG$54-1)^2+8*($CO57/DG$54)/(Peak_Time_Mor*$O42*DG$54))),"-")</f>
        <v>-</v>
      </c>
      <c r="DH57" s="445" t="str">
        <f aca="false">IF(DH$54&lt;Total_Lanes,900*Peak_Time_Mor*($CO57/DH$54-1+SQRT(($CO57/DH$54-1)^2+8*($CO57/DH$54)/(Peak_Time_Mor*$O42*DH$54))),"-")</f>
        <v>-</v>
      </c>
      <c r="DI57" s="445" t="str">
        <f aca="false">IF(DI$54&lt;Total_Lanes,900*Peak_Time_Mor*($CO57/DI$54-1+SQRT(($CO57/DI$54-1)^2+8*($CO57/DI$54)/(Peak_Time_Mor*$O42*DI$54))),"-")</f>
        <v>-</v>
      </c>
      <c r="DJ57" s="446" t="str">
        <f aca="false">IF(DJ$54&lt;Total_Lanes,900*Peak_Time_Mor*($CO57/DJ$54-1+SQRT(($CO57/DJ$54-1)^2+8*($CO57/DJ$54)/(Peak_Time_Mor*$O42*DJ$54))),"-")</f>
        <v>-</v>
      </c>
      <c r="DK57" s="519" t="n">
        <f aca="false">3600/$O42</f>
        <v>2.4</v>
      </c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</row>
    <row r="58" customFormat="false" ht="13" hidden="false" customHeight="false" outlineLevel="0" collapsed="false">
      <c r="A58" s="1"/>
      <c r="B58" s="1"/>
      <c r="C58" s="1"/>
      <c r="D58" s="1"/>
      <c r="E58" s="1"/>
      <c r="F58" s="1"/>
      <c r="G58" s="1"/>
      <c r="H58" s="400" t="n">
        <v>18</v>
      </c>
      <c r="I58" s="501" t="n">
        <f aca="false">'Input-Detail'!BH31</f>
        <v>0.83</v>
      </c>
      <c r="J58" s="502" t="n">
        <f aca="false">1-I58</f>
        <v>0.17</v>
      </c>
      <c r="K58" s="407" t="n">
        <f aca="false">3600/(Trans_Time_Cash*I58+Trans_Time_Ticket*J58)</f>
        <v>547.528517110266</v>
      </c>
      <c r="L58" s="501" t="n">
        <f aca="false">'Input-Detail'!BJ31</f>
        <v>0.983</v>
      </c>
      <c r="M58" s="502" t="n">
        <f aca="false">1-L58</f>
        <v>0.017</v>
      </c>
      <c r="N58" s="407" t="n">
        <f aca="false">3600/(Trans_Time_Cash*L58+Trans_Time_Ticket*M58)</f>
        <v>517.427236794826</v>
      </c>
      <c r="O58" s="407" t="n">
        <f aca="false">3600/Headway_ETC</f>
        <v>1500</v>
      </c>
      <c r="P58" s="1"/>
      <c r="Q58" s="1"/>
      <c r="R58" s="1"/>
      <c r="S58" s="1"/>
      <c r="T58" s="1"/>
      <c r="U58" s="1"/>
      <c r="V58" s="1"/>
      <c r="W58" s="400" t="n">
        <v>3</v>
      </c>
      <c r="X58" s="401" t="n">
        <f aca="false">X10</f>
        <v>20663747.05</v>
      </c>
      <c r="Y58" s="402" t="n">
        <f aca="false">Y10</f>
        <v>0.1485</v>
      </c>
      <c r="Z58" s="401" t="n">
        <f aca="false">Z10</f>
        <v>8910.45352868845</v>
      </c>
      <c r="AA58" s="409" t="n">
        <f aca="false">X58/Z58</f>
        <v>2319.04548780488</v>
      </c>
      <c r="AB58" s="518" t="n">
        <f aca="false">AB10</f>
        <v>2</v>
      </c>
      <c r="AC58" s="435" t="n">
        <f aca="false">1-AC10</f>
        <v>0.3</v>
      </c>
      <c r="AD58" s="405" t="n">
        <f aca="false">Z58*AC58</f>
        <v>2673.13605860654</v>
      </c>
      <c r="AE58" s="427" t="n">
        <f aca="false">Peak_Time_Mor*$BI58*(CI58+BL58)/3600</f>
        <v>10.2903026756692</v>
      </c>
      <c r="AF58" s="413" t="n">
        <f aca="false">IF(AF$54&lt;Total_Lanes,($BJ58*($CI58+BN58)+$CN58*CP58)*Peak_Time_Mor/3600,"-")</f>
        <v>9.0562335074027</v>
      </c>
      <c r="AG58" s="413" t="n">
        <f aca="false">IF(AG$54&lt;Total_Lanes,($BJ58*($CI58+BO58)+$CN58*CQ58)*Peak_Time_Mor/3600,"-")</f>
        <v>9.04247847095971</v>
      </c>
      <c r="AH58" s="413" t="n">
        <f aca="false">IF(AH$54&lt;Total_Lanes,($BJ58*($CI58+BP58)+$CN58*CR58)*Peak_Time_Mor/3600,"-")</f>
        <v>9.22703619234881</v>
      </c>
      <c r="AI58" s="413" t="n">
        <f aca="false">IF(AI$54&lt;Total_Lanes,($BJ58*($CI58+BQ58)+$CN58*CS58)*Peak_Time_Mor/3600,"-")</f>
        <v>9.56210558483921</v>
      </c>
      <c r="AJ58" s="413" t="n">
        <f aca="false">IF(AJ$54&lt;Total_Lanes,($BJ58*($CI58+BR58)+$CN58*CT58)*Peak_Time_Mor/3600,"-")</f>
        <v>10.1953633205261</v>
      </c>
      <c r="AK58" s="413" t="n">
        <f aca="false">IF(AK$54&lt;Total_Lanes,($BJ58*($CI58+BS58)+$CN58*CU58)*Peak_Time_Mor/3600,"-")</f>
        <v>11.649537397772</v>
      </c>
      <c r="AL58" s="413" t="n">
        <f aca="false">IF(AL$54&lt;Total_Lanes,($BJ58*($CI58+BT58)+$CN58*CV58)*Peak_Time_Mor/3600,"-")</f>
        <v>17.0767489283922</v>
      </c>
      <c r="AM58" s="413" t="n">
        <f aca="false">IF(AM$54&lt;Total_Lanes,($BJ58*($CI58+BU58)+$CN58*CW58)*Peak_Time_Mor/3600,"-")</f>
        <v>271.2931479344</v>
      </c>
      <c r="AN58" s="413" t="n">
        <f aca="false">IF(AN$54&lt;Total_Lanes,($BJ58*($CI58+BV58)+$CN58*CX58)*Peak_Time_Mor/3600,"-")</f>
        <v>1835.28261751189</v>
      </c>
      <c r="AO58" s="413" t="n">
        <f aca="false">IF(AO$54&lt;Total_Lanes,($BJ58*($CI58+BW58)+$CN58*CY58)*Peak_Time_Mor/3600,"-")</f>
        <v>5018.27085312993</v>
      </c>
      <c r="AP58" s="413" t="n">
        <f aca="false">IF(AP$54&lt;Total_Lanes,($BJ58*($CI58+BX58)+$CN58*CZ58)*Peak_Time_Mor/3600,"-")</f>
        <v>14575.4980078836</v>
      </c>
      <c r="AQ58" s="413" t="str">
        <f aca="false">IF(AQ$54&lt;Total_Lanes,($BJ58*($CI58+BY58)+$CN58*DA58)*Peak_Time_Mor/3600,"-")</f>
        <v>-</v>
      </c>
      <c r="AR58" s="413" t="str">
        <f aca="false">IF(AR$54&lt;Total_Lanes,($BJ58*($CI58+BZ58)+$CN58*DB58)*Peak_Time_Mor/3600,"-")</f>
        <v>-</v>
      </c>
      <c r="AS58" s="413" t="str">
        <f aca="false">IF(AS$54&lt;Total_Lanes,($BJ58*($CI58+CA58)+$CN58*DC58)*Peak_Time_Mor/3600,"-")</f>
        <v>-</v>
      </c>
      <c r="AT58" s="413" t="str">
        <f aca="false">IF(AT$54&lt;Total_Lanes,($BJ58*($CI58+CB58)+$CN58*DD58)*Peak_Time_Mor/3600,"-")</f>
        <v>-</v>
      </c>
      <c r="AU58" s="413" t="str">
        <f aca="false">IF(AU$54&lt;Total_Lanes,($BJ58*($CI58+CC58)+$CN58*DE58)*Peak_Time_Mor/3600,"-")</f>
        <v>-</v>
      </c>
      <c r="AV58" s="413" t="str">
        <f aca="false">IF(AV$54&lt;Total_Lanes,($BJ58*($CI58+CD58)+$CN58*DF58)*Peak_Time_Mor/3600,"-")</f>
        <v>-</v>
      </c>
      <c r="AW58" s="413" t="str">
        <f aca="false">IF(AW$54&lt;Total_Lanes,($BJ58*($CI58+CE58)+$CN58*DG58)*Peak_Time_Mor/3600,"-")</f>
        <v>-</v>
      </c>
      <c r="AX58" s="413" t="str">
        <f aca="false">IF(AX$54&lt;Total_Lanes,($BJ58*($CI58+CF58)+$CN58*DH58)*Peak_Time_Mor/3600,"-")</f>
        <v>-</v>
      </c>
      <c r="AY58" s="413" t="str">
        <f aca="false">IF(AY$54&lt;Total_Lanes,($BJ58*($CI58+CG58)+$CN58*DI58)*Peak_Time_Mor/3600,"-")</f>
        <v>-</v>
      </c>
      <c r="AZ58" s="414" t="str">
        <f aca="false">IF(AZ$54&lt;Total_Lanes,($BJ58*($CI58+CH58)+$CN58*DJ58)*Peak_Time_Mor/3600,"-")</f>
        <v>-</v>
      </c>
      <c r="BA58" s="436" t="n">
        <f aca="false">SUMIF(AF58:AZ58,BB58,$AF$54:$AZ$54)</f>
        <v>2</v>
      </c>
      <c r="BB58" s="437" t="n">
        <f aca="false">MIN(AF58:AZ58)</f>
        <v>9.04247847095971</v>
      </c>
      <c r="BC58" s="436" t="n">
        <f aca="false">IF((SUMIF($BN56:$CH56,$BA58,$BN58:$CH58)+$CI58)&lt;(SUMIF($CP56:$DJ56,$BA58,$CP58:$DJ58)+$DK58),BA58+1,BA58)</f>
        <v>2</v>
      </c>
      <c r="BD58" s="437" t="n">
        <f aca="false">SUMIF($AF$54:$AZ$54,$BC58,$AF58:$AZ58)</f>
        <v>9.04247847095971</v>
      </c>
      <c r="BG58" s="400" t="n">
        <v>3</v>
      </c>
      <c r="BH58" s="402" t="n">
        <f aca="false">$Y58</f>
        <v>0.1485</v>
      </c>
      <c r="BI58" s="411" t="n">
        <f aca="false">$AD58</f>
        <v>2673.13605860654</v>
      </c>
      <c r="BJ58" s="412" t="n">
        <f aca="false">BI58*(1-BH58)</f>
        <v>2276.17535390347</v>
      </c>
      <c r="BK58" s="420" t="n">
        <f aca="false">Peak_Arrival_Manual_Mor/K43</f>
        <v>4.15718137553202</v>
      </c>
      <c r="BL58" s="513" t="n">
        <f aca="false">900*Peak_Time_Mor*($BK58/Total_Lanes-1+SQRT(($BK58/Total_Lanes-1)^2+8*($BK58/Total_Lanes)/(Peak_Time_Mor*$K43*Total_Lanes)))</f>
        <v>0.290394050325671</v>
      </c>
      <c r="BM58" s="420" t="n">
        <f aca="false">Peak_Arrival_Manual_Mor/N43</f>
        <v>4.19748864742406</v>
      </c>
      <c r="BN58" s="514" t="n">
        <f aca="false">IF(BN$6&lt;Total_Lanes,900*Peak_Time_Mor*($BM58/(Total_Lanes-BN$6)-1+SQRT(($BM58/(Total_Lanes-BN$6)-1)^2+8*($BM58/(Total_Lanes-BN$6))/(Peak_Time_Mor*$N43*(Total_Lanes-BN$6)))),"-")</f>
        <v>0.372341338158777</v>
      </c>
      <c r="BO58" s="445" t="n">
        <f aca="false">IF(BO$6&lt;Total_Lanes,900*Peak_Time_Mor*($BM58/(Total_Lanes-BO$6)-1+SQRT(($BM58/(Total_Lanes-BO$6)-1)^2+8*($BM58/(Total_Lanes-BO$6))/(Peak_Time_Mor*$N43*(Total_Lanes-BO$6)))),"-")</f>
        <v>0.480131318371724</v>
      </c>
      <c r="BP58" s="445" t="n">
        <f aca="false">IF(BP$6&lt;Total_Lanes,900*Peak_Time_Mor*($BM58/(Total_Lanes-BP$6)-1+SQRT(($BM58/(Total_Lanes-BP$6)-1)^2+8*($BM58/(Total_Lanes-BP$6))/(Peak_Time_Mor*$N43*(Total_Lanes-BP$6)))),"-")</f>
        <v>0.644494557469999</v>
      </c>
      <c r="BQ58" s="445" t="n">
        <f aca="false">IF(BQ$6&lt;Total_Lanes,900*Peak_Time_Mor*($BM58/(Total_Lanes-BQ$6)-1+SQRT(($BM58/(Total_Lanes-BQ$6)-1)^2+8*($BM58/(Total_Lanes-BQ$6))/(Peak_Time_Mor*$N43*(Total_Lanes-BQ$6)))),"-")</f>
        <v>0.915552026378008</v>
      </c>
      <c r="BR58" s="445" t="n">
        <f aca="false">IF(BR$6&lt;Total_Lanes,900*Peak_Time_Mor*($BM58/(Total_Lanes-BR$6)-1+SQRT(($BM58/(Total_Lanes-BR$6)-1)^2+8*($BM58/(Total_Lanes-BR$6))/(Peak_Time_Mor*$N43*(Total_Lanes-BR$6)))),"-")</f>
        <v>1.41906744385291</v>
      </c>
      <c r="BS58" s="445" t="n">
        <f aca="false">IF(BS$6&lt;Total_Lanes,900*Peak_Time_Mor*($BM58/(Total_Lanes-BS$6)-1+SQRT(($BM58/(Total_Lanes-BS$6)-1)^2+8*($BM58/(Total_Lanes-BS$6))/(Peak_Time_Mor*$N43*(Total_Lanes-BS$6)))),"-")</f>
        <v>2.57048807937657</v>
      </c>
      <c r="BT58" s="445" t="n">
        <f aca="false">IF(BT$6&lt;Total_Lanes,900*Peak_Time_Mor*($BM58/(Total_Lanes-BT$6)-1+SQRT(($BM58/(Total_Lanes-BT$6)-1)^2+8*($BM58/(Total_Lanes-BT$6))/(Peak_Time_Mor*$N43*(Total_Lanes-BT$6)))),"-")</f>
        <v>6.86319767405827</v>
      </c>
      <c r="BU58" s="445" t="n">
        <f aca="false">IF(BU$6&lt;Total_Lanes,900*Peak_Time_Mor*($BM58/(Total_Lanes-BU$6)-1+SQRT(($BM58/(Total_Lanes-BU$6)-1)^2+8*($BM58/(Total_Lanes-BU$6))/(Peak_Time_Mor*$N43*(Total_Lanes-BU$6)))),"-")</f>
        <v>207.898144636003</v>
      </c>
      <c r="BV58" s="445" t="n">
        <f aca="false">IF(BV$6&lt;Total_Lanes,900*Peak_Time_Mor*($BM58/(Total_Lanes-BV$6)-1+SQRT(($BM58/(Total_Lanes-BV$6)-1)^2+8*($BM58/(Total_Lanes-BV$6))/(Peak_Time_Mor*$N43*(Total_Lanes-BV$6)))),"-")</f>
        <v>1444.70176245963</v>
      </c>
      <c r="BW58" s="445" t="n">
        <f aca="false">IF(BW$6&lt;Total_Lanes,900*Peak_Time_Mor*($BM58/(Total_Lanes-BW$6)-1+SQRT(($BM58/(Total_Lanes-BW$6)-1)^2+8*($BM58/(Total_Lanes-BW$6))/(Peak_Time_Mor*$N43*(Total_Lanes-BW$6)))),"-")</f>
        <v>3961.80987166137</v>
      </c>
      <c r="BX58" s="515" t="n">
        <f aca="false">IF(BX$6&lt;Total_Lanes,900*Peak_Time_Mor*($BM58/(Total_Lanes-BX$6)-1+SQRT(($BM58/(Total_Lanes-BX$6)-1)^2+8*($BM58/(Total_Lanes-BX$6))/(Peak_Time_Mor*$N43*(Total_Lanes-BX$6)))),"-")</f>
        <v>11519.6675313516</v>
      </c>
      <c r="BY58" s="445" t="str">
        <f aca="false">IF(BY$6&lt;Total_Lanes,900*Peak_Time_Mor*($BM58/(Total_Lanes-BY$6)-1+SQRT(($BM58/(Total_Lanes-BY$6)-1)^2+8*($BM58/(Total_Lanes-BY$6))/(Peak_Time_Mor*$N43*(Total_Lanes-BY$6)))),"-")</f>
        <v>-</v>
      </c>
      <c r="BZ58" s="445" t="str">
        <f aca="false">IF(BZ$6&lt;Total_Lanes,900*Peak_Time_Mor*($BM58/(Total_Lanes-BZ$6)-1+SQRT(($BM58/(Total_Lanes-BZ$6)-1)^2+8*($BM58/(Total_Lanes-BZ$6))/(Peak_Time_Mor*$N43*(Total_Lanes-BZ$6)))),"-")</f>
        <v>-</v>
      </c>
      <c r="CA58" s="445" t="str">
        <f aca="false">IF(CA$6&lt;Total_Lanes,900*Peak_Time_Mor*($BM58/(Total_Lanes-CA$6)-1+SQRT(($BM58/(Total_Lanes-CA$6)-1)^2+8*($BM58/(Total_Lanes-CA$6))/(Peak_Time_Mor*$N43*(Total_Lanes-CA$6)))),"-")</f>
        <v>-</v>
      </c>
      <c r="CB58" s="445" t="str">
        <f aca="false">IF(CB$6&lt;Total_Lanes,900*Peak_Time_Mor*($BM58/(Total_Lanes-CB$6)-1+SQRT(($BM58/(Total_Lanes-CB$6)-1)^2+8*($BM58/(Total_Lanes-CB$6))/(Peak_Time_Mor*$N43*(Total_Lanes-CB$6)))),"-")</f>
        <v>-</v>
      </c>
      <c r="CC58" s="445" t="str">
        <f aca="false">IF(CC$6&lt;Total_Lanes,900*Peak_Time_Mor*($BM58/(Total_Lanes-CC$6)-1+SQRT(($BM58/(Total_Lanes-CC$6)-1)^2+8*($BM58/(Total_Lanes-CC$6))/(Peak_Time_Mor*$N43*(Total_Lanes-CC$6)))),"-")</f>
        <v>-</v>
      </c>
      <c r="CD58" s="445" t="str">
        <f aca="false">IF(CD$6&lt;Total_Lanes,900*Peak_Time_Mor*($BM58/(Total_Lanes-CD$6)-1+SQRT(($BM58/(Total_Lanes-CD$6)-1)^2+8*($BM58/(Total_Lanes-CD$6))/(Peak_Time_Mor*$N43*(Total_Lanes-CD$6)))),"-")</f>
        <v>-</v>
      </c>
      <c r="CE58" s="445" t="str">
        <f aca="false">IF(CE$6&lt;Total_Lanes,900*Peak_Time_Mor*($BM58/(Total_Lanes-CE$6)-1+SQRT(($BM58/(Total_Lanes-CE$6)-1)^2+8*($BM58/(Total_Lanes-CE$6))/(Peak_Time_Mor*$N43*(Total_Lanes-CE$6)))),"-")</f>
        <v>-</v>
      </c>
      <c r="CF58" s="445" t="str">
        <f aca="false">IF(CF$6&lt;Total_Lanes,900*Peak_Time_Mor*($BM58/(Total_Lanes-CF$6)-1+SQRT(($BM58/(Total_Lanes-CF$6)-1)^2+8*($BM58/(Total_Lanes-CF$6))/(Peak_Time_Mor*$N43*(Total_Lanes-CF$6)))),"-")</f>
        <v>-</v>
      </c>
      <c r="CG58" s="445" t="str">
        <f aca="false">IF(CG$6&lt;Total_Lanes,900*Peak_Time_Mor*($BM58/(Total_Lanes-CG$6)-1+SQRT(($BM58/(Total_Lanes-CG$6)-1)^2+8*($BM58/(Total_Lanes-CG$6))/(Peak_Time_Mor*$N43*(Total_Lanes-CG$6)))),"-")</f>
        <v>-</v>
      </c>
      <c r="CH58" s="446" t="str">
        <f aca="false">IF(CH$6&lt;Total_Lanes,900*Peak_Time_Mor*($BM58/(Total_Lanes-CH$6)-1+SQRT(($BM58/(Total_Lanes-CH$6)-1)^2+8*($BM58/(Total_Lanes-CH$6))/(Peak_Time_Mor*$N43*(Total_Lanes-CH$6)))),"-")</f>
        <v>-</v>
      </c>
      <c r="CI58" s="519" t="n">
        <f aca="false">3600/N43</f>
        <v>6.63875</v>
      </c>
      <c r="CK58" s="400" t="n">
        <v>3</v>
      </c>
      <c r="CL58" s="402" t="n">
        <f aca="false">$Y58</f>
        <v>0.1485</v>
      </c>
      <c r="CM58" s="427" t="n">
        <f aca="false">$AD58</f>
        <v>2673.13605860654</v>
      </c>
      <c r="CN58" s="427" t="n">
        <f aca="false">CM58*CL58</f>
        <v>396.96070470307</v>
      </c>
      <c r="CO58" s="440" t="n">
        <f aca="false">CN58/O43</f>
        <v>0.264640469802047</v>
      </c>
      <c r="CP58" s="445" t="n">
        <f aca="false">IF(CP$54&lt;Total_Lanes,900*Peak_Time_Mor*($CO58/CP$54-1+SQRT(($CO58/CP$54-1)^2+8*($CO58/CP$54)/(Peak_Time_Mor*$O43*CP$54))),"-")</f>
        <v>0.863428045600023</v>
      </c>
      <c r="CQ58" s="445" t="n">
        <f aca="false">IF(CQ$54&lt;Total_Lanes,900*Peak_Time_Mor*($CO58/CQ$54-1+SQRT(($CO58/CQ$54-1)^2+8*($CO58/CQ$54)/(Peak_Time_Mor*$O43*CQ$54))),"-")</f>
        <v>0.182987995097128</v>
      </c>
      <c r="CR58" s="445" t="n">
        <f aca="false">IF(CR$54&lt;Total_Lanes,900*Peak_Time_Mor*($CO58/CR$54-1+SQRT(($CO58/CR$54-1)^2+8*($CO58/CR$54)/(Peak_Time_Mor*$O43*CR$54))),"-")</f>
        <v>0.0773965475652894</v>
      </c>
      <c r="CS58" s="445" t="n">
        <f aca="false">IF(CS$54&lt;Total_Lanes,900*Peak_Time_Mor*($CO58/CS$54-1+SQRT(($CO58/CS$54-1)^2+8*($CO58/CS$54)/(Peak_Time_Mor*$O43*CS$54))),"-")</f>
        <v>0.0425078959353842</v>
      </c>
      <c r="CT58" s="445" t="n">
        <f aca="false">IF(CT$54&lt;Total_Lanes,900*Peak_Time_Mor*($CO58/CT$54-1+SQRT(($CO58/CT$54-1)^2+8*($CO58/CT$54)/(Peak_Time_Mor*$O43*CT$54))),"-")</f>
        <v>0.0268250858821872</v>
      </c>
      <c r="CU58" s="445" t="n">
        <f aca="false">IF(CU$54&lt;Total_Lanes,900*Peak_Time_Mor*($CO58/CU$54-1+SQRT(($CO58/CU$54-1)^2+8*($CO58/CU$54)/(Peak_Time_Mor*$O43*CU$54))),"-")</f>
        <v>0.0184566668604447</v>
      </c>
      <c r="CV58" s="445" t="n">
        <f aca="false">IF(CV$54&lt;Total_Lanes,900*Peak_Time_Mor*($CO58/CV$54-1+SQRT(($CO58/CV$54-1)^2+8*($CO58/CV$54)/(Peak_Time_Mor*$O43*CV$54))),"-")</f>
        <v>0.0134712218536226</v>
      </c>
      <c r="CW58" s="445" t="n">
        <f aca="false">IF(CW$54&lt;Total_Lanes,900*Peak_Time_Mor*($CO58/CW$54-1+SQRT(($CO58/CW$54-1)^2+8*($CO58/CW$54)/(Peak_Time_Mor*$O43*CW$54))),"-")</f>
        <v>0.0102635057289024</v>
      </c>
      <c r="CX58" s="445" t="n">
        <f aca="false">IF(CX$54&lt;Total_Lanes,900*Peak_Time_Mor*($CO58/CX$54-1+SQRT(($CO58/CX$54-1)^2+8*($CO58/CX$54)/(Peak_Time_Mor*$O43*CX$54))),"-")</f>
        <v>0.00807873202455234</v>
      </c>
      <c r="CY58" s="445" t="n">
        <f aca="false">IF(CY$54&lt;Total_Lanes,900*Peak_Time_Mor*($CO58/CY$54-1+SQRT(($CO58/CY$54-1)^2+8*($CO58/CY$54)/(Peak_Time_Mor*$O43*CY$54))),"-")</f>
        <v>0.0065240111908782</v>
      </c>
      <c r="CZ58" s="445" t="n">
        <f aca="false">IF(CZ$54&lt;Total_Lanes,900*Peak_Time_Mor*($CO58/CZ$54-1+SQRT(($CO58/CZ$54-1)^2+8*($CO58/CZ$54)/(Peak_Time_Mor*$O43*CZ$54))),"-")</f>
        <v>0.00537845521739744</v>
      </c>
      <c r="DA58" s="445" t="str">
        <f aca="false">IF(DA$54&lt;Total_Lanes,900*Peak_Time_Mor*($CO58/DA$54-1+SQRT(($CO58/DA$54-1)^2+8*($CO58/DA$54)/(Peak_Time_Mor*$O43*DA$54))),"-")</f>
        <v>-</v>
      </c>
      <c r="DB58" s="445" t="str">
        <f aca="false">IF(DB$54&lt;Total_Lanes,900*Peak_Time_Mor*($CO58/DB$54-1+SQRT(($CO58/DB$54-1)^2+8*($CO58/DB$54)/(Peak_Time_Mor*$O43*DB$54))),"-")</f>
        <v>-</v>
      </c>
      <c r="DC58" s="445" t="str">
        <f aca="false">IF(DC$54&lt;Total_Lanes,900*Peak_Time_Mor*($CO58/DC$54-1+SQRT(($CO58/DC$54-1)^2+8*($CO58/DC$54)/(Peak_Time_Mor*$O43*DC$54))),"-")</f>
        <v>-</v>
      </c>
      <c r="DD58" s="445" t="str">
        <f aca="false">IF(DD$54&lt;Total_Lanes,900*Peak_Time_Mor*($CO58/DD$54-1+SQRT(($CO58/DD$54-1)^2+8*($CO58/DD$54)/(Peak_Time_Mor*$O43*DD$54))),"-")</f>
        <v>-</v>
      </c>
      <c r="DE58" s="445" t="str">
        <f aca="false">IF(DE$54&lt;Total_Lanes,900*Peak_Time_Mor*($CO58/DE$54-1+SQRT(($CO58/DE$54-1)^2+8*($CO58/DE$54)/(Peak_Time_Mor*$O43*DE$54))),"-")</f>
        <v>-</v>
      </c>
      <c r="DF58" s="445" t="str">
        <f aca="false">IF(DF$54&lt;Total_Lanes,900*Peak_Time_Mor*($CO58/DF$54-1+SQRT(($CO58/DF$54-1)^2+8*($CO58/DF$54)/(Peak_Time_Mor*$O43*DF$54))),"-")</f>
        <v>-</v>
      </c>
      <c r="DG58" s="445" t="str">
        <f aca="false">IF(DG$54&lt;Total_Lanes,900*Peak_Time_Mor*($CO58/DG$54-1+SQRT(($CO58/DG$54-1)^2+8*($CO58/DG$54)/(Peak_Time_Mor*$O43*DG$54))),"-")</f>
        <v>-</v>
      </c>
      <c r="DH58" s="445" t="str">
        <f aca="false">IF(DH$54&lt;Total_Lanes,900*Peak_Time_Mor*($CO58/DH$54-1+SQRT(($CO58/DH$54-1)^2+8*($CO58/DH$54)/(Peak_Time_Mor*$O43*DH$54))),"-")</f>
        <v>-</v>
      </c>
      <c r="DI58" s="445" t="str">
        <f aca="false">IF(DI$54&lt;Total_Lanes,900*Peak_Time_Mor*($CO58/DI$54-1+SQRT(($CO58/DI$54-1)^2+8*($CO58/DI$54)/(Peak_Time_Mor*$O43*DI$54))),"-")</f>
        <v>-</v>
      </c>
      <c r="DJ58" s="446" t="str">
        <f aca="false">IF(DJ$54&lt;Total_Lanes,900*Peak_Time_Mor*($CO58/DJ$54-1+SQRT(($CO58/DJ$54-1)^2+8*($CO58/DJ$54)/(Peak_Time_Mor*$O43*DJ$54))),"-")</f>
        <v>-</v>
      </c>
      <c r="DK58" s="519" t="n">
        <f aca="false">3600/$O43</f>
        <v>2.4</v>
      </c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</row>
    <row r="59" customFormat="false" ht="13" hidden="false" customHeight="false" outlineLevel="0" collapsed="false">
      <c r="A59" s="1"/>
      <c r="B59" s="1"/>
      <c r="C59" s="1"/>
      <c r="D59" s="1"/>
      <c r="E59" s="1"/>
      <c r="F59" s="1"/>
      <c r="G59" s="1"/>
      <c r="H59" s="400" t="n">
        <v>19</v>
      </c>
      <c r="I59" s="501" t="n">
        <f aca="false">'Input-Detail'!BH32</f>
        <v>0.83</v>
      </c>
      <c r="J59" s="502" t="n">
        <f aca="false">1-I59</f>
        <v>0.17</v>
      </c>
      <c r="K59" s="407" t="n">
        <f aca="false">3600/(Trans_Time_Cash*I59+Trans_Time_Ticket*J59)</f>
        <v>547.528517110266</v>
      </c>
      <c r="L59" s="501" t="n">
        <f aca="false">'Input-Detail'!BJ32</f>
        <v>0.9915</v>
      </c>
      <c r="M59" s="502" t="n">
        <f aca="false">1-L59</f>
        <v>0.00849999999999995</v>
      </c>
      <c r="N59" s="407" t="n">
        <f aca="false">3600/(Trans_Time_Cash*L59+Trans_Time_Ticket*M59)</f>
        <v>515.851692638366</v>
      </c>
      <c r="O59" s="407" t="n">
        <f aca="false">3600/Headway_ETC</f>
        <v>1500</v>
      </c>
      <c r="P59" s="1"/>
      <c r="Q59" s="1"/>
      <c r="R59" s="1"/>
      <c r="S59" s="1"/>
      <c r="T59" s="1"/>
      <c r="U59" s="1"/>
      <c r="V59" s="1"/>
      <c r="W59" s="400" t="n">
        <v>4</v>
      </c>
      <c r="X59" s="401" t="n">
        <f aca="false">X11</f>
        <v>21212938.4</v>
      </c>
      <c r="Y59" s="402" t="n">
        <f aca="false">Y11</f>
        <v>0.198</v>
      </c>
      <c r="Z59" s="401" t="n">
        <f aca="false">Z11</f>
        <v>9147.2713715846</v>
      </c>
      <c r="AA59" s="409" t="n">
        <f aca="false">X59/Z59</f>
        <v>2319.04548780488</v>
      </c>
      <c r="AB59" s="518" t="n">
        <f aca="false">AB11</f>
        <v>2</v>
      </c>
      <c r="AC59" s="435" t="n">
        <f aca="false">1-AC11</f>
        <v>0.3</v>
      </c>
      <c r="AD59" s="405" t="n">
        <f aca="false">Z59*AC59</f>
        <v>2744.18141147538</v>
      </c>
      <c r="AE59" s="427" t="n">
        <f aca="false">Peak_Time_Mor*$BI59*(CI59+BL59)/3600</f>
        <v>10.5741584705292</v>
      </c>
      <c r="AF59" s="413" t="n">
        <f aca="false">IF(AF$54&lt;Total_Lanes,($BJ59*($CI59+BN59)+$CN59*CP59)*Peak_Time_Mor/3600,"-")</f>
        <v>8.98927344008067</v>
      </c>
      <c r="AG59" s="413" t="n">
        <f aca="false">IF(AG$54&lt;Total_Lanes,($BJ59*($CI59+BO59)+$CN59*CQ59)*Peak_Time_Mor/3600,"-")</f>
        <v>8.78232335229073</v>
      </c>
      <c r="AH59" s="413" t="n">
        <f aca="false">IF(AH$54&lt;Total_Lanes,($BJ59*($CI59+BP59)+$CN59*CR59)*Peak_Time_Mor/3600,"-")</f>
        <v>8.92348433073359</v>
      </c>
      <c r="AI59" s="413" t="n">
        <f aca="false">IF(AI$54&lt;Total_Lanes,($BJ59*($CI59+BQ59)+$CN59*CS59)*Peak_Time_Mor/3600,"-")</f>
        <v>9.21556321218495</v>
      </c>
      <c r="AJ59" s="413" t="n">
        <f aca="false">IF(AJ$54&lt;Total_Lanes,($BJ59*($CI59+BR59)+$CN59*CT59)*Peak_Time_Mor/3600,"-")</f>
        <v>9.77035773291109</v>
      </c>
      <c r="AK59" s="413" t="n">
        <f aca="false">IF(AK$54&lt;Total_Lanes,($BJ59*($CI59+BS59)+$CN59*CU59)*Peak_Time_Mor/3600,"-")</f>
        <v>11.0104689996048</v>
      </c>
      <c r="AL59" s="413" t="n">
        <f aca="false">IF(AL$54&lt;Total_Lanes,($BJ59*($CI59+BT59)+$CN59*CV59)*Peak_Time_Mor/3600,"-")</f>
        <v>15.2293229337539</v>
      </c>
      <c r="AM59" s="413" t="n">
        <f aca="false">IF(AM$54&lt;Total_Lanes,($BJ59*($CI59+BU59)+$CN59*CW59)*Peak_Time_Mor/3600,"-")</f>
        <v>150.808469706557</v>
      </c>
      <c r="AN59" s="413" t="n">
        <f aca="false">IF(AN$54&lt;Total_Lanes,($BJ59*($CI59+BV59)+$CN59*CX59)*Peak_Time_Mor/3600,"-")</f>
        <v>1590.58373148253</v>
      </c>
      <c r="AO59" s="413" t="n">
        <f aca="false">IF(AO$54&lt;Total_Lanes,($BJ59*($CI59+BW59)+$CN59*CY59)*Peak_Time_Mor/3600,"-")</f>
        <v>4575.25320626354</v>
      </c>
      <c r="AP59" s="413" t="n">
        <f aca="false">IF(AP$54&lt;Total_Lanes,($BJ59*($CI59+BX59)+$CN59*CZ59)*Peak_Time_Mor/3600,"-")</f>
        <v>13538.8357811435</v>
      </c>
      <c r="AQ59" s="413" t="str">
        <f aca="false">IF(AQ$54&lt;Total_Lanes,($BJ59*($CI59+BY59)+$CN59*DA59)*Peak_Time_Mor/3600,"-")</f>
        <v>-</v>
      </c>
      <c r="AR59" s="413" t="str">
        <f aca="false">IF(AR$54&lt;Total_Lanes,($BJ59*($CI59+BZ59)+$CN59*DB59)*Peak_Time_Mor/3600,"-")</f>
        <v>-</v>
      </c>
      <c r="AS59" s="413" t="str">
        <f aca="false">IF(AS$54&lt;Total_Lanes,($BJ59*($CI59+CA59)+$CN59*DC59)*Peak_Time_Mor/3600,"-")</f>
        <v>-</v>
      </c>
      <c r="AT59" s="413" t="str">
        <f aca="false">IF(AT$54&lt;Total_Lanes,($BJ59*($CI59+CB59)+$CN59*DD59)*Peak_Time_Mor/3600,"-")</f>
        <v>-</v>
      </c>
      <c r="AU59" s="413" t="str">
        <f aca="false">IF(AU$54&lt;Total_Lanes,($BJ59*($CI59+CC59)+$CN59*DE59)*Peak_Time_Mor/3600,"-")</f>
        <v>-</v>
      </c>
      <c r="AV59" s="413" t="str">
        <f aca="false">IF(AV$54&lt;Total_Lanes,($BJ59*($CI59+CD59)+$CN59*DF59)*Peak_Time_Mor/3600,"-")</f>
        <v>-</v>
      </c>
      <c r="AW59" s="413" t="str">
        <f aca="false">IF(AW$54&lt;Total_Lanes,($BJ59*($CI59+CE59)+$CN59*DG59)*Peak_Time_Mor/3600,"-")</f>
        <v>-</v>
      </c>
      <c r="AX59" s="413" t="str">
        <f aca="false">IF(AX$54&lt;Total_Lanes,($BJ59*($CI59+CF59)+$CN59*DH59)*Peak_Time_Mor/3600,"-")</f>
        <v>-</v>
      </c>
      <c r="AY59" s="413" t="str">
        <f aca="false">IF(AY$54&lt;Total_Lanes,($BJ59*($CI59+CG59)+$CN59*DI59)*Peak_Time_Mor/3600,"-")</f>
        <v>-</v>
      </c>
      <c r="AZ59" s="414" t="str">
        <f aca="false">IF(AZ$54&lt;Total_Lanes,($BJ59*($CI59+CH59)+$CN59*DJ59)*Peak_Time_Mor/3600,"-")</f>
        <v>-</v>
      </c>
      <c r="BA59" s="436" t="n">
        <f aca="false">SUMIF(AF59:AZ59,BB59,$AF$54:$AZ$54)</f>
        <v>2</v>
      </c>
      <c r="BB59" s="437" t="n">
        <f aca="false">MIN(AF59:AZ59)</f>
        <v>8.78232335229073</v>
      </c>
      <c r="BC59" s="436" t="n">
        <f aca="false">IF((SUMIF($BN57:$CH57,$BA59,$BN59:$CH59)+$CI59)&lt;(SUMIF($CP57:$DJ57,$BA59,$CP59:$DJ59)+$DK59),BA59+1,BA59)</f>
        <v>2</v>
      </c>
      <c r="BD59" s="437" t="n">
        <f aca="false">SUMIF($AF$54:$AZ$54,$BC59,$AF59:$AZ59)</f>
        <v>8.78232335229073</v>
      </c>
      <c r="BG59" s="400" t="n">
        <v>4</v>
      </c>
      <c r="BH59" s="402" t="n">
        <f aca="false">$Y59</f>
        <v>0.198</v>
      </c>
      <c r="BI59" s="411" t="n">
        <f aca="false">$AD59</f>
        <v>2744.18141147538</v>
      </c>
      <c r="BJ59" s="412" t="n">
        <f aca="false">BI59*(1-BH59)</f>
        <v>2200.83349200325</v>
      </c>
      <c r="BK59" s="420" t="n">
        <f aca="false">Peak_Arrival_Manual_Mor/K44</f>
        <v>4.01957783608928</v>
      </c>
      <c r="BL59" s="513" t="n">
        <f aca="false">900*Peak_Time_Mor*($BK59/Total_Lanes-1+SQRT(($BK59/Total_Lanes-1)^2+8*($BK59/Total_Lanes)/(Peak_Time_Mor*$K44*Total_Lanes)))</f>
        <v>0.275942779642757</v>
      </c>
      <c r="BM59" s="420" t="n">
        <f aca="false">Peak_Arrival_Manual_Mor/N44</f>
        <v>4.07154196020602</v>
      </c>
      <c r="BN59" s="514" t="n">
        <f aca="false">IF(BN$6&lt;Total_Lanes,900*Peak_Time_Mor*($BM59/(Total_Lanes-BN$6)-1+SQRT(($BM59/(Total_Lanes-BN$6)-1)^2+8*($BM59/(Total_Lanes-BN$6))/(Peak_Time_Mor*$N44*(Total_Lanes-BN$6)))),"-")</f>
        <v>0.355742487549171</v>
      </c>
      <c r="BO59" s="445" t="n">
        <f aca="false">IF(BO$6&lt;Total_Lanes,900*Peak_Time_Mor*($BM59/(Total_Lanes-BO$6)-1+SQRT(($BM59/(Total_Lanes-BO$6)-1)^2+8*($BM59/(Total_Lanes-BO$6))/(Peak_Time_Mor*$N44*(Total_Lanes-BO$6)))),"-")</f>
        <v>0.45729699643684</v>
      </c>
      <c r="BP59" s="445" t="n">
        <f aca="false">IF(BP$6&lt;Total_Lanes,900*Peak_Time_Mor*($BM59/(Total_Lanes-BP$6)-1+SQRT(($BM59/(Total_Lanes-BP$6)-1)^2+8*($BM59/(Total_Lanes-BP$6))/(Peak_Time_Mor*$N44*(Total_Lanes-BP$6)))),"-")</f>
        <v>0.611145976636185</v>
      </c>
      <c r="BQ59" s="445" t="n">
        <f aca="false">IF(BQ$6&lt;Total_Lanes,900*Peak_Time_Mor*($BM59/(Total_Lanes-BQ$6)-1+SQRT(($BM59/(Total_Lanes-BQ$6)-1)^2+8*($BM59/(Total_Lanes-BQ$6))/(Peak_Time_Mor*$N44*(Total_Lanes-BQ$6)))),"-")</f>
        <v>0.862400947708186</v>
      </c>
      <c r="BR59" s="445" t="n">
        <f aca="false">IF(BR$6&lt;Total_Lanes,900*Peak_Time_Mor*($BM59/(Total_Lanes-BR$6)-1+SQRT(($BM59/(Total_Lanes-BR$6)-1)^2+8*($BM59/(Total_Lanes-BR$6))/(Peak_Time_Mor*$N44*(Total_Lanes-BR$6)))),"-")</f>
        <v>1.32164601415123</v>
      </c>
      <c r="BS59" s="445" t="n">
        <f aca="false">IF(BS$6&lt;Total_Lanes,900*Peak_Time_Mor*($BM59/(Total_Lanes-BS$6)-1+SQRT(($BM59/(Total_Lanes-BS$6)-1)^2+8*($BM59/(Total_Lanes-BS$6))/(Peak_Time_Mor*$N44*(Total_Lanes-BS$6)))),"-")</f>
        <v>2.3388089192626</v>
      </c>
      <c r="BT59" s="445" t="n">
        <f aca="false">IF(BT$6&lt;Total_Lanes,900*Peak_Time_Mor*($BM59/(Total_Lanes-BT$6)-1+SQRT(($BM59/(Total_Lanes-BT$6)-1)^2+8*($BM59/(Total_Lanes-BT$6))/(Peak_Time_Mor*$N44*(Total_Lanes-BT$6)))),"-")</f>
        <v>5.79101699002091</v>
      </c>
      <c r="BU59" s="445" t="n">
        <f aca="false">IF(BU$6&lt;Total_Lanes,900*Peak_Time_Mor*($BM59/(Total_Lanes-BU$6)-1+SQRT(($BM59/(Total_Lanes-BU$6)-1)^2+8*($BM59/(Total_Lanes-BU$6))/(Peak_Time_Mor*$N44*(Total_Lanes-BU$6)))),"-")</f>
        <v>116.678505969294</v>
      </c>
      <c r="BV59" s="445" t="n">
        <f aca="false">IF(BV$6&lt;Total_Lanes,900*Peak_Time_Mor*($BM59/(Total_Lanes-BV$6)-1+SQRT(($BM59/(Total_Lanes-BV$6)-1)^2+8*($BM59/(Total_Lanes-BV$6))/(Peak_Time_Mor*$N44*(Total_Lanes-BV$6)))),"-")</f>
        <v>1294.23107190191</v>
      </c>
      <c r="BW59" s="445" t="n">
        <f aca="false">IF(BW$6&lt;Total_Lanes,900*Peak_Time_Mor*($BM59/(Total_Lanes-BW$6)-1+SQRT(($BM59/(Total_Lanes-BW$6)-1)^2+8*($BM59/(Total_Lanes-BW$6))/(Peak_Time_Mor*$N44*(Total_Lanes-BW$6)))),"-")</f>
        <v>3735.30907673541</v>
      </c>
      <c r="BX59" s="515" t="n">
        <f aca="false">IF(BX$6&lt;Total_Lanes,900*Peak_Time_Mor*($BM59/(Total_Lanes-BX$6)-1+SQRT(($BM59/(Total_Lanes-BX$6)-1)^2+8*($BM59/(Total_Lanes-BX$6))/(Peak_Time_Mor*$N44*(Total_Lanes-BX$6)))),"-")</f>
        <v>11066.3723115567</v>
      </c>
      <c r="BY59" s="445" t="str">
        <f aca="false">IF(BY$6&lt;Total_Lanes,900*Peak_Time_Mor*($BM59/(Total_Lanes-BY$6)-1+SQRT(($BM59/(Total_Lanes-BY$6)-1)^2+8*($BM59/(Total_Lanes-BY$6))/(Peak_Time_Mor*$N44*(Total_Lanes-BY$6)))),"-")</f>
        <v>-</v>
      </c>
      <c r="BZ59" s="445" t="str">
        <f aca="false">IF(BZ$6&lt;Total_Lanes,900*Peak_Time_Mor*($BM59/(Total_Lanes-BZ$6)-1+SQRT(($BM59/(Total_Lanes-BZ$6)-1)^2+8*($BM59/(Total_Lanes-BZ$6))/(Peak_Time_Mor*$N44*(Total_Lanes-BZ$6)))),"-")</f>
        <v>-</v>
      </c>
      <c r="CA59" s="445" t="str">
        <f aca="false">IF(CA$6&lt;Total_Lanes,900*Peak_Time_Mor*($BM59/(Total_Lanes-CA$6)-1+SQRT(($BM59/(Total_Lanes-CA$6)-1)^2+8*($BM59/(Total_Lanes-CA$6))/(Peak_Time_Mor*$N44*(Total_Lanes-CA$6)))),"-")</f>
        <v>-</v>
      </c>
      <c r="CB59" s="445" t="str">
        <f aca="false">IF(CB$6&lt;Total_Lanes,900*Peak_Time_Mor*($BM59/(Total_Lanes-CB$6)-1+SQRT(($BM59/(Total_Lanes-CB$6)-1)^2+8*($BM59/(Total_Lanes-CB$6))/(Peak_Time_Mor*$N44*(Total_Lanes-CB$6)))),"-")</f>
        <v>-</v>
      </c>
      <c r="CC59" s="445" t="str">
        <f aca="false">IF(CC$6&lt;Total_Lanes,900*Peak_Time_Mor*($BM59/(Total_Lanes-CC$6)-1+SQRT(($BM59/(Total_Lanes-CC$6)-1)^2+8*($BM59/(Total_Lanes-CC$6))/(Peak_Time_Mor*$N44*(Total_Lanes-CC$6)))),"-")</f>
        <v>-</v>
      </c>
      <c r="CD59" s="445" t="str">
        <f aca="false">IF(CD$6&lt;Total_Lanes,900*Peak_Time_Mor*($BM59/(Total_Lanes-CD$6)-1+SQRT(($BM59/(Total_Lanes-CD$6)-1)^2+8*($BM59/(Total_Lanes-CD$6))/(Peak_Time_Mor*$N44*(Total_Lanes-CD$6)))),"-")</f>
        <v>-</v>
      </c>
      <c r="CE59" s="445" t="str">
        <f aca="false">IF(CE$6&lt;Total_Lanes,900*Peak_Time_Mor*($BM59/(Total_Lanes-CE$6)-1+SQRT(($BM59/(Total_Lanes-CE$6)-1)^2+8*($BM59/(Total_Lanes-CE$6))/(Peak_Time_Mor*$N44*(Total_Lanes-CE$6)))),"-")</f>
        <v>-</v>
      </c>
      <c r="CF59" s="445" t="str">
        <f aca="false">IF(CF$6&lt;Total_Lanes,900*Peak_Time_Mor*($BM59/(Total_Lanes-CF$6)-1+SQRT(($BM59/(Total_Lanes-CF$6)-1)^2+8*($BM59/(Total_Lanes-CF$6))/(Peak_Time_Mor*$N44*(Total_Lanes-CF$6)))),"-")</f>
        <v>-</v>
      </c>
      <c r="CG59" s="445" t="str">
        <f aca="false">IF(CG$6&lt;Total_Lanes,900*Peak_Time_Mor*($BM59/(Total_Lanes-CG$6)-1+SQRT(($BM59/(Total_Lanes-CG$6)-1)^2+8*($BM59/(Total_Lanes-CG$6))/(Peak_Time_Mor*$N44*(Total_Lanes-CG$6)))),"-")</f>
        <v>-</v>
      </c>
      <c r="CH59" s="446" t="str">
        <f aca="false">IF(CH$6&lt;Total_Lanes,900*Peak_Time_Mor*($BM59/(Total_Lanes-CH$6)-1+SQRT(($BM59/(Total_Lanes-CH$6)-1)^2+8*($BM59/(Total_Lanes-CH$6))/(Peak_Time_Mor*$N44*(Total_Lanes-CH$6)))),"-")</f>
        <v>-</v>
      </c>
      <c r="CI59" s="519" t="n">
        <f aca="false">3600/N44</f>
        <v>6.66</v>
      </c>
      <c r="CK59" s="400" t="n">
        <v>4</v>
      </c>
      <c r="CL59" s="402" t="n">
        <f aca="false">$Y59</f>
        <v>0.198</v>
      </c>
      <c r="CM59" s="427" t="n">
        <f aca="false">$AD59</f>
        <v>2744.18141147538</v>
      </c>
      <c r="CN59" s="427" t="n">
        <f aca="false">CM59*CL59</f>
        <v>543.347919472125</v>
      </c>
      <c r="CO59" s="440" t="n">
        <f aca="false">CN59/O44</f>
        <v>0.36223194631475</v>
      </c>
      <c r="CP59" s="445" t="n">
        <f aca="false">IF(CP$54&lt;Total_Lanes,900*Peak_Time_Mor*($CO59/CP$54-1+SQRT(($CO59/CP$54-1)^2+8*($CO59/CP$54)/(Peak_Time_Mor*$O44*CP$54))),"-")</f>
        <v>1.36231524544328</v>
      </c>
      <c r="CQ59" s="445" t="n">
        <f aca="false">IF(CQ$54&lt;Total_Lanes,900*Peak_Time_Mor*($CO59/CQ$54-1+SQRT(($CO59/CQ$54-1)^2+8*($CO59/CQ$54)/(Peak_Time_Mor*$O44*CQ$54))),"-")</f>
        <v>0.265385081387715</v>
      </c>
      <c r="CR59" s="445" t="n">
        <f aca="false">IF(CR$54&lt;Total_Lanes,900*Peak_Time_Mor*($CO59/CR$54-1+SQRT(($CO59/CR$54-1)^2+8*($CO59/CR$54)/(Peak_Time_Mor*$O44*CR$54))),"-")</f>
        <v>0.1098563232796</v>
      </c>
      <c r="CS59" s="445" t="n">
        <f aca="false">IF(CS$54&lt;Total_Lanes,900*Peak_Time_Mor*($CO59/CS$54-1+SQRT(($CO59/CS$54-1)^2+8*($CO59/CS$54)/(Peak_Time_Mor*$O44*CS$54))),"-")</f>
        <v>0.0597441064488447</v>
      </c>
      <c r="CT59" s="445" t="n">
        <f aca="false">IF(CT$54&lt;Total_Lanes,900*Peak_Time_Mor*($CO59/CT$54-1+SQRT(($CO59/CT$54-1)^2+8*($CO59/CT$54)/(Peak_Time_Mor*$O44*CT$54))),"-")</f>
        <v>0.0374898830963311</v>
      </c>
      <c r="CU59" s="445" t="n">
        <f aca="false">IF(CU$54&lt;Total_Lanes,900*Peak_Time_Mor*($CO59/CU$54-1+SQRT(($CO59/CU$54-1)^2+8*($CO59/CU$54)/(Peak_Time_Mor*$O44*CU$54))),"-")</f>
        <v>0.0257001842419502</v>
      </c>
      <c r="CV59" s="445" t="n">
        <f aca="false">IF(CV$54&lt;Total_Lanes,900*Peak_Time_Mor*($CO59/CV$54-1+SQRT(($CO59/CV$54-1)^2+8*($CO59/CV$54)/(Peak_Time_Mor*$O44*CV$54))),"-")</f>
        <v>0.0187100736987578</v>
      </c>
      <c r="CW59" s="445" t="n">
        <f aca="false">IF(CW$54&lt;Total_Lanes,900*Peak_Time_Mor*($CO59/CW$54-1+SQRT(($CO59/CW$54-1)^2+8*($CO59/CW$54)/(Peak_Time_Mor*$O44*CW$54))),"-")</f>
        <v>0.0142278651670269</v>
      </c>
      <c r="CX59" s="445" t="n">
        <f aca="false">IF(CX$54&lt;Total_Lanes,900*Peak_Time_Mor*($CO59/CX$54-1+SQRT(($CO59/CX$54-1)^2+8*($CO59/CX$54)/(Peak_Time_Mor*$O44*CX$54))),"-")</f>
        <v>0.0111828509914202</v>
      </c>
      <c r="CY59" s="445" t="n">
        <f aca="false">IF(CY$54&lt;Total_Lanes,900*Peak_Time_Mor*($CO59/CY$54-1+SQRT(($CO59/CY$54-1)^2+8*($CO59/CY$54)/(Peak_Time_Mor*$O44*CY$54))),"-")</f>
        <v>0.00902028774873998</v>
      </c>
      <c r="CZ59" s="445" t="n">
        <f aca="false">IF(CZ$54&lt;Total_Lanes,900*Peak_Time_Mor*($CO59/CZ$54-1+SQRT(($CO59/CZ$54-1)^2+8*($CO59/CZ$54)/(Peak_Time_Mor*$O44*CZ$54))),"-")</f>
        <v>0.0074294020697474</v>
      </c>
      <c r="DA59" s="445" t="str">
        <f aca="false">IF(DA$54&lt;Total_Lanes,900*Peak_Time_Mor*($CO59/DA$54-1+SQRT(($CO59/DA$54-1)^2+8*($CO59/DA$54)/(Peak_Time_Mor*$O44*DA$54))),"-")</f>
        <v>-</v>
      </c>
      <c r="DB59" s="445" t="str">
        <f aca="false">IF(DB$54&lt;Total_Lanes,900*Peak_Time_Mor*($CO59/DB$54-1+SQRT(($CO59/DB$54-1)^2+8*($CO59/DB$54)/(Peak_Time_Mor*$O44*DB$54))),"-")</f>
        <v>-</v>
      </c>
      <c r="DC59" s="445" t="str">
        <f aca="false">IF(DC$54&lt;Total_Lanes,900*Peak_Time_Mor*($CO59/DC$54-1+SQRT(($CO59/DC$54-1)^2+8*($CO59/DC$54)/(Peak_Time_Mor*$O44*DC$54))),"-")</f>
        <v>-</v>
      </c>
      <c r="DD59" s="445" t="str">
        <f aca="false">IF(DD$54&lt;Total_Lanes,900*Peak_Time_Mor*($CO59/DD$54-1+SQRT(($CO59/DD$54-1)^2+8*($CO59/DD$54)/(Peak_Time_Mor*$O44*DD$54))),"-")</f>
        <v>-</v>
      </c>
      <c r="DE59" s="445" t="str">
        <f aca="false">IF(DE$54&lt;Total_Lanes,900*Peak_Time_Mor*($CO59/DE$54-1+SQRT(($CO59/DE$54-1)^2+8*($CO59/DE$54)/(Peak_Time_Mor*$O44*DE$54))),"-")</f>
        <v>-</v>
      </c>
      <c r="DF59" s="445" t="str">
        <f aca="false">IF(DF$54&lt;Total_Lanes,900*Peak_Time_Mor*($CO59/DF$54-1+SQRT(($CO59/DF$54-1)^2+8*($CO59/DF$54)/(Peak_Time_Mor*$O44*DF$54))),"-")</f>
        <v>-</v>
      </c>
      <c r="DG59" s="445" t="str">
        <f aca="false">IF(DG$54&lt;Total_Lanes,900*Peak_Time_Mor*($CO59/DG$54-1+SQRT(($CO59/DG$54-1)^2+8*($CO59/DG$54)/(Peak_Time_Mor*$O44*DG$54))),"-")</f>
        <v>-</v>
      </c>
      <c r="DH59" s="445" t="str">
        <f aca="false">IF(DH$54&lt;Total_Lanes,900*Peak_Time_Mor*($CO59/DH$54-1+SQRT(($CO59/DH$54-1)^2+8*($CO59/DH$54)/(Peak_Time_Mor*$O44*DH$54))),"-")</f>
        <v>-</v>
      </c>
      <c r="DI59" s="445" t="str">
        <f aca="false">IF(DI$54&lt;Total_Lanes,900*Peak_Time_Mor*($CO59/DI$54-1+SQRT(($CO59/DI$54-1)^2+8*($CO59/DI$54)/(Peak_Time_Mor*$O44*DI$54))),"-")</f>
        <v>-</v>
      </c>
      <c r="DJ59" s="446" t="str">
        <f aca="false">IF(DJ$54&lt;Total_Lanes,900*Peak_Time_Mor*($CO59/DJ$54-1+SQRT(($CO59/DJ$54-1)^2+8*($CO59/DJ$54)/(Peak_Time_Mor*$O44*DJ$54))),"-")</f>
        <v>-</v>
      </c>
      <c r="DK59" s="519" t="n">
        <f aca="false">3600/$O44</f>
        <v>2.4</v>
      </c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</row>
    <row r="60" customFormat="false" ht="13" hidden="false" customHeight="false" outlineLevel="0" collapsed="false">
      <c r="A60" s="1"/>
      <c r="B60" s="1"/>
      <c r="C60" s="1"/>
      <c r="D60" s="1"/>
      <c r="E60" s="1"/>
      <c r="F60" s="1"/>
      <c r="G60" s="1"/>
      <c r="H60" s="452" t="n">
        <v>20</v>
      </c>
      <c r="I60" s="520" t="n">
        <f aca="false">'Input-Detail'!BH33</f>
        <v>0.83</v>
      </c>
      <c r="J60" s="521" t="n">
        <f aca="false">1-I60</f>
        <v>0.17</v>
      </c>
      <c r="K60" s="522" t="n">
        <f aca="false">3600/(Trans_Time_Cash*I60+Trans_Time_Ticket*J60)</f>
        <v>547.528517110266</v>
      </c>
      <c r="L60" s="520" t="n">
        <f aca="false">'Input-Detail'!BJ33</f>
        <v>1</v>
      </c>
      <c r="M60" s="521" t="n">
        <f aca="false">1-L60</f>
        <v>0</v>
      </c>
      <c r="N60" s="522" t="n">
        <f aca="false">3600/(Trans_Time_Cash*L60+Trans_Time_Ticket*M60)</f>
        <v>514.285714285714</v>
      </c>
      <c r="O60" s="522" t="n">
        <f aca="false">3600/Headway_ETC</f>
        <v>1500</v>
      </c>
      <c r="P60" s="1"/>
      <c r="Q60" s="1"/>
      <c r="R60" s="1"/>
      <c r="S60" s="1"/>
      <c r="T60" s="1"/>
      <c r="U60" s="1"/>
      <c r="V60" s="1"/>
      <c r="W60" s="400" t="n">
        <v>5</v>
      </c>
      <c r="X60" s="401" t="n">
        <f aca="false">X12</f>
        <v>21762129.75</v>
      </c>
      <c r="Y60" s="402" t="n">
        <f aca="false">Y12</f>
        <v>0.2475</v>
      </c>
      <c r="Z60" s="401" t="n">
        <f aca="false">Z12</f>
        <v>9384.08921448075</v>
      </c>
      <c r="AA60" s="409" t="n">
        <f aca="false">X60/Z60</f>
        <v>2319.04548780488</v>
      </c>
      <c r="AB60" s="518" t="n">
        <f aca="false">AB12</f>
        <v>2</v>
      </c>
      <c r="AC60" s="435" t="n">
        <f aca="false">1-AC12</f>
        <v>0.3</v>
      </c>
      <c r="AD60" s="405" t="n">
        <f aca="false">Z60*AC60</f>
        <v>2815.22676434422</v>
      </c>
      <c r="AE60" s="427" t="n">
        <f aca="false">Peak_Time_Mor*$BI60*(CI60+BL60)/3600</f>
        <v>10.8573159375286</v>
      </c>
      <c r="AF60" s="413" t="n">
        <f aca="false">IF(AF$54&lt;Total_Lanes,($BJ60*($CI60+BN60)+$CN60*CP60)*Peak_Time_Mor/3600,"-")</f>
        <v>9.06588850313473</v>
      </c>
      <c r="AG60" s="413" t="n">
        <f aca="false">IF(AG$54&lt;Total_Lanes,($BJ60*($CI60+BO60)+$CN60*CQ60)*Peak_Time_Mor/3600,"-")</f>
        <v>8.51316824598917</v>
      </c>
      <c r="AH60" s="413" t="n">
        <f aca="false">IF(AH$54&lt;Total_Lanes,($BJ60*($CI60+BP60)+$CN60*CR60)*Peak_Time_Mor/3600,"-")</f>
        <v>8.59759613683688</v>
      </c>
      <c r="AI60" s="413" t="n">
        <f aca="false">IF(AI$54&lt;Total_Lanes,($BJ60*($CI60+BQ60)+$CN60*CS60)*Peak_Time_Mor/3600,"-")</f>
        <v>8.84328817474419</v>
      </c>
      <c r="AJ60" s="413" t="n">
        <f aca="false">IF(AJ$54&lt;Total_Lanes,($BJ60*($CI60+BR60)+$CN60*CT60)*Peak_Time_Mor/3600,"-")</f>
        <v>9.32060730885175</v>
      </c>
      <c r="AK60" s="413" t="n">
        <f aca="false">IF(AK$54&lt;Total_Lanes,($BJ60*($CI60+BS60)+$CN60*CU60)*Peak_Time_Mor/3600,"-")</f>
        <v>10.3632450325535</v>
      </c>
      <c r="AL60" s="413" t="n">
        <f aca="false">IF(AL$54&lt;Total_Lanes,($BJ60*($CI60+BT60)+$CN60*CV60)*Peak_Time_Mor/3600,"-")</f>
        <v>13.6237911812501</v>
      </c>
      <c r="AM60" s="413" t="n">
        <f aca="false">IF(AM$54&lt;Total_Lanes,($BJ60*($CI60+BU60)+$CN60*CW60)*Peak_Time_Mor/3600,"-")</f>
        <v>69.1251670292153</v>
      </c>
      <c r="AN60" s="413" t="n">
        <f aca="false">IF(AN$54&lt;Total_Lanes,($BJ60*($CI60+BV60)+$CN60*CX60)*Peak_Time_Mor/3600,"-")</f>
        <v>1334.6164030535</v>
      </c>
      <c r="AO60" s="413" t="n">
        <f aca="false">IF(AO$54&lt;Total_Lanes,($BJ60*($CI60+BW60)+$CN60*CY60)*Peak_Time_Mor/3600,"-")</f>
        <v>4107.97929869948</v>
      </c>
      <c r="AP60" s="413" t="n">
        <f aca="false">IF(AP$54&lt;Total_Lanes,($BJ60*($CI60+BX60)+$CN60*CZ60)*Peak_Time_Mor/3600,"-")</f>
        <v>12439.5691613725</v>
      </c>
      <c r="AQ60" s="413" t="str">
        <f aca="false">IF(AQ$54&lt;Total_Lanes,($BJ60*($CI60+BY60)+$CN60*DA60)*Peak_Time_Mor/3600,"-")</f>
        <v>-</v>
      </c>
      <c r="AR60" s="413" t="str">
        <f aca="false">IF(AR$54&lt;Total_Lanes,($BJ60*($CI60+BZ60)+$CN60*DB60)*Peak_Time_Mor/3600,"-")</f>
        <v>-</v>
      </c>
      <c r="AS60" s="413" t="str">
        <f aca="false">IF(AS$54&lt;Total_Lanes,($BJ60*($CI60+CA60)+$CN60*DC60)*Peak_Time_Mor/3600,"-")</f>
        <v>-</v>
      </c>
      <c r="AT60" s="413" t="str">
        <f aca="false">IF(AT$54&lt;Total_Lanes,($BJ60*($CI60+CB60)+$CN60*DD60)*Peak_Time_Mor/3600,"-")</f>
        <v>-</v>
      </c>
      <c r="AU60" s="413" t="str">
        <f aca="false">IF(AU$54&lt;Total_Lanes,($BJ60*($CI60+CC60)+$CN60*DE60)*Peak_Time_Mor/3600,"-")</f>
        <v>-</v>
      </c>
      <c r="AV60" s="413" t="str">
        <f aca="false">IF(AV$54&lt;Total_Lanes,($BJ60*($CI60+CD60)+$CN60*DF60)*Peak_Time_Mor/3600,"-")</f>
        <v>-</v>
      </c>
      <c r="AW60" s="413" t="str">
        <f aca="false">IF(AW$54&lt;Total_Lanes,($BJ60*($CI60+CE60)+$CN60*DG60)*Peak_Time_Mor/3600,"-")</f>
        <v>-</v>
      </c>
      <c r="AX60" s="413" t="str">
        <f aca="false">IF(AX$54&lt;Total_Lanes,($BJ60*($CI60+CF60)+$CN60*DH60)*Peak_Time_Mor/3600,"-")</f>
        <v>-</v>
      </c>
      <c r="AY60" s="413" t="str">
        <f aca="false">IF(AY$54&lt;Total_Lanes,($BJ60*($CI60+CG60)+$CN60*DI60)*Peak_Time_Mor/3600,"-")</f>
        <v>-</v>
      </c>
      <c r="AZ60" s="414" t="str">
        <f aca="false">IF(AZ$54&lt;Total_Lanes,($BJ60*($CI60+CH60)+$CN60*DJ60)*Peak_Time_Mor/3600,"-")</f>
        <v>-</v>
      </c>
      <c r="BA60" s="436" t="n">
        <f aca="false">SUMIF(AF60:AZ60,BB60,$AF$54:$AZ$54)</f>
        <v>2</v>
      </c>
      <c r="BB60" s="437" t="n">
        <f aca="false">MIN(AF60:AZ60)</f>
        <v>8.51316824598917</v>
      </c>
      <c r="BC60" s="436" t="n">
        <f aca="false">IF((SUMIF($BN58:$CH58,$BA60,$BN60:$CH60)+$CI60)&lt;(SUMIF($CP58:$DJ58,$BA60,$CP60:$DJ60)+$DK60),BA60+1,BA60)</f>
        <v>2</v>
      </c>
      <c r="BD60" s="437" t="n">
        <f aca="false">SUMIF($AF$54:$AZ$54,$BC60,$AF60:$AZ60)</f>
        <v>8.51316824598917</v>
      </c>
      <c r="BG60" s="400" t="n">
        <v>5</v>
      </c>
      <c r="BH60" s="402" t="n">
        <f aca="false">$Y60</f>
        <v>0.2475</v>
      </c>
      <c r="BI60" s="411" t="n">
        <f aca="false">$AD60</f>
        <v>2815.22676434422</v>
      </c>
      <c r="BJ60" s="412" t="n">
        <f aca="false">BI60*(1-BH60)</f>
        <v>2118.45814016903</v>
      </c>
      <c r="BK60" s="420" t="n">
        <f aca="false">Peak_Arrival_Manual_Mor/K45</f>
        <v>3.86912840878093</v>
      </c>
      <c r="BL60" s="513" t="n">
        <f aca="false">900*Peak_Time_Mor*($BK60/Total_Lanes-1+SQRT(($BK60/Total_Lanes-1)^2+8*($BK60/Total_Lanes)/(Peak_Time_Mor*$K45*Total_Lanes)))</f>
        <v>0.260701865147106</v>
      </c>
      <c r="BM60" s="420" t="n">
        <f aca="false">Peak_Arrival_Manual_Mor/N45</f>
        <v>3.93165234694565</v>
      </c>
      <c r="BN60" s="514" t="n">
        <f aca="false">IF(BN$6&lt;Total_Lanes,900*Peak_Time_Mor*($BM60/(Total_Lanes-BN$6)-1+SQRT(($BM60/(Total_Lanes-BN$6)-1)^2+8*($BM60/(Total_Lanes-BN$6))/(Peak_Time_Mor*$N45*(Total_Lanes-BN$6)))),"-")</f>
        <v>0.337799366231018</v>
      </c>
      <c r="BO60" s="445" t="n">
        <f aca="false">IF(BO$6&lt;Total_Lanes,900*Peak_Time_Mor*($BM60/(Total_Lanes-BO$6)-1+SQRT(($BM60/(Total_Lanes-BO$6)-1)^2+8*($BM60/(Total_Lanes-BO$6))/(Peak_Time_Mor*$N45*(Total_Lanes-BO$6)))),"-")</f>
        <v>0.432789134506573</v>
      </c>
      <c r="BP60" s="445" t="n">
        <f aca="false">IF(BP$6&lt;Total_Lanes,900*Peak_Time_Mor*($BM60/(Total_Lanes-BP$6)-1+SQRT(($BM60/(Total_Lanes-BP$6)-1)^2+8*($BM60/(Total_Lanes-BP$6))/(Peak_Time_Mor*$N45*(Total_Lanes-BP$6)))),"-")</f>
        <v>0.575705814115124</v>
      </c>
      <c r="BQ60" s="445" t="n">
        <f aca="false">IF(BQ$6&lt;Total_Lanes,900*Peak_Time_Mor*($BM60/(Total_Lanes-BQ$6)-1+SQRT(($BM60/(Total_Lanes-BQ$6)-1)^2+8*($BM60/(Total_Lanes-BQ$6))/(Peak_Time_Mor*$N45*(Total_Lanes-BQ$6)))),"-")</f>
        <v>0.806739743889828</v>
      </c>
      <c r="BR60" s="445" t="n">
        <f aca="false">IF(BR$6&lt;Total_Lanes,900*Peak_Time_Mor*($BM60/(Total_Lanes-BR$6)-1+SQRT(($BM60/(Total_Lanes-BR$6)-1)^2+8*($BM60/(Total_Lanes-BR$6))/(Peak_Time_Mor*$N45*(Total_Lanes-BR$6)))),"-")</f>
        <v>1.22206420526312</v>
      </c>
      <c r="BS60" s="445" t="n">
        <f aca="false">IF(BS$6&lt;Total_Lanes,900*Peak_Time_Mor*($BM60/(Total_Lanes-BS$6)-1+SQRT(($BM60/(Total_Lanes-BS$6)-1)^2+8*($BM60/(Total_Lanes-BS$6))/(Peak_Time_Mor*$N45*(Total_Lanes-BS$6)))),"-")</f>
        <v>2.11309580584441</v>
      </c>
      <c r="BT60" s="445" t="n">
        <f aca="false">IF(BT$6&lt;Total_Lanes,900*Peak_Time_Mor*($BM60/(Total_Lanes-BT$6)-1+SQRT(($BM60/(Total_Lanes-BT$6)-1)^2+8*($BM60/(Total_Lanes-BT$6))/(Peak_Time_Mor*$N45*(Total_Lanes-BT$6)))),"-")</f>
        <v>4.88652395424593</v>
      </c>
      <c r="BU60" s="445" t="n">
        <f aca="false">IF(BU$6&lt;Total_Lanes,900*Peak_Time_Mor*($BM60/(Total_Lanes-BU$6)-1+SQRT(($BM60/(Total_Lanes-BU$6)-1)^2+8*($BM60/(Total_Lanes-BU$6))/(Peak_Time_Mor*$N45*(Total_Lanes-BU$6)))),"-")</f>
        <v>52.0465638878475</v>
      </c>
      <c r="BV60" s="445" t="n">
        <f aca="false">IF(BV$6&lt;Total_Lanes,900*Peak_Time_Mor*($BM60/(Total_Lanes-BV$6)-1+SQRT(($BM60/(Total_Lanes-BV$6)-1)^2+8*($BM60/(Total_Lanes-BV$6))/(Peak_Time_Mor*$N45*(Total_Lanes-BV$6)))),"-")</f>
        <v>1127.30358936903</v>
      </c>
      <c r="BW60" s="445" t="n">
        <f aca="false">IF(BW$6&lt;Total_Lanes,900*Peak_Time_Mor*($BM60/(Total_Lanes-BW$6)-1+SQRT(($BM60/(Total_Lanes-BW$6)-1)^2+8*($BM60/(Total_Lanes-BW$6))/(Peak_Time_Mor*$N45*(Total_Lanes-BW$6)))),"-")</f>
        <v>3483.76043081234</v>
      </c>
      <c r="BX60" s="515" t="n">
        <f aca="false">IF(BX$6&lt;Total_Lanes,900*Peak_Time_Mor*($BM60/(Total_Lanes-BX$6)-1+SQRT(($BM60/(Total_Lanes-BX$6)-1)^2+8*($BM60/(Total_Lanes-BX$6))/(Peak_Time_Mor*$N45*(Total_Lanes-BX$6)))),"-")</f>
        <v>10562.901109556</v>
      </c>
      <c r="BY60" s="445" t="str">
        <f aca="false">IF(BY$6&lt;Total_Lanes,900*Peak_Time_Mor*($BM60/(Total_Lanes-BY$6)-1+SQRT(($BM60/(Total_Lanes-BY$6)-1)^2+8*($BM60/(Total_Lanes-BY$6))/(Peak_Time_Mor*$N45*(Total_Lanes-BY$6)))),"-")</f>
        <v>-</v>
      </c>
      <c r="BZ60" s="445" t="str">
        <f aca="false">IF(BZ$6&lt;Total_Lanes,900*Peak_Time_Mor*($BM60/(Total_Lanes-BZ$6)-1+SQRT(($BM60/(Total_Lanes-BZ$6)-1)^2+8*($BM60/(Total_Lanes-BZ$6))/(Peak_Time_Mor*$N45*(Total_Lanes-BZ$6)))),"-")</f>
        <v>-</v>
      </c>
      <c r="CA60" s="445" t="str">
        <f aca="false">IF(CA$6&lt;Total_Lanes,900*Peak_Time_Mor*($BM60/(Total_Lanes-CA$6)-1+SQRT(($BM60/(Total_Lanes-CA$6)-1)^2+8*($BM60/(Total_Lanes-CA$6))/(Peak_Time_Mor*$N45*(Total_Lanes-CA$6)))),"-")</f>
        <v>-</v>
      </c>
      <c r="CB60" s="445" t="str">
        <f aca="false">IF(CB$6&lt;Total_Lanes,900*Peak_Time_Mor*($BM60/(Total_Lanes-CB$6)-1+SQRT(($BM60/(Total_Lanes-CB$6)-1)^2+8*($BM60/(Total_Lanes-CB$6))/(Peak_Time_Mor*$N45*(Total_Lanes-CB$6)))),"-")</f>
        <v>-</v>
      </c>
      <c r="CC60" s="445" t="str">
        <f aca="false">IF(CC$6&lt;Total_Lanes,900*Peak_Time_Mor*($BM60/(Total_Lanes-CC$6)-1+SQRT(($BM60/(Total_Lanes-CC$6)-1)^2+8*($BM60/(Total_Lanes-CC$6))/(Peak_Time_Mor*$N45*(Total_Lanes-CC$6)))),"-")</f>
        <v>-</v>
      </c>
      <c r="CD60" s="445" t="str">
        <f aca="false">IF(CD$6&lt;Total_Lanes,900*Peak_Time_Mor*($BM60/(Total_Lanes-CD$6)-1+SQRT(($BM60/(Total_Lanes-CD$6)-1)^2+8*($BM60/(Total_Lanes-CD$6))/(Peak_Time_Mor*$N45*(Total_Lanes-CD$6)))),"-")</f>
        <v>-</v>
      </c>
      <c r="CE60" s="445" t="str">
        <f aca="false">IF(CE$6&lt;Total_Lanes,900*Peak_Time_Mor*($BM60/(Total_Lanes-CE$6)-1+SQRT(($BM60/(Total_Lanes-CE$6)-1)^2+8*($BM60/(Total_Lanes-CE$6))/(Peak_Time_Mor*$N45*(Total_Lanes-CE$6)))),"-")</f>
        <v>-</v>
      </c>
      <c r="CF60" s="445" t="str">
        <f aca="false">IF(CF$6&lt;Total_Lanes,900*Peak_Time_Mor*($BM60/(Total_Lanes-CF$6)-1+SQRT(($BM60/(Total_Lanes-CF$6)-1)^2+8*($BM60/(Total_Lanes-CF$6))/(Peak_Time_Mor*$N45*(Total_Lanes-CF$6)))),"-")</f>
        <v>-</v>
      </c>
      <c r="CG60" s="445" t="str">
        <f aca="false">IF(CG$6&lt;Total_Lanes,900*Peak_Time_Mor*($BM60/(Total_Lanes-CG$6)-1+SQRT(($BM60/(Total_Lanes-CG$6)-1)^2+8*($BM60/(Total_Lanes-CG$6))/(Peak_Time_Mor*$N45*(Total_Lanes-CG$6)))),"-")</f>
        <v>-</v>
      </c>
      <c r="CH60" s="446" t="str">
        <f aca="false">IF(CH$6&lt;Total_Lanes,900*Peak_Time_Mor*($BM60/(Total_Lanes-CH$6)-1+SQRT(($BM60/(Total_Lanes-CH$6)-1)^2+8*($BM60/(Total_Lanes-CH$6))/(Peak_Time_Mor*$N45*(Total_Lanes-CH$6)))),"-")</f>
        <v>-</v>
      </c>
      <c r="CI60" s="519" t="n">
        <f aca="false">3600/N45</f>
        <v>6.68125</v>
      </c>
      <c r="CK60" s="400" t="n">
        <v>5</v>
      </c>
      <c r="CL60" s="402" t="n">
        <f aca="false">$Y60</f>
        <v>0.2475</v>
      </c>
      <c r="CM60" s="427" t="n">
        <f aca="false">$AD60</f>
        <v>2815.22676434422</v>
      </c>
      <c r="CN60" s="427" t="n">
        <f aca="false">CM60*CL60</f>
        <v>696.768624175196</v>
      </c>
      <c r="CO60" s="440" t="n">
        <f aca="false">CN60/O45</f>
        <v>0.464512416116797</v>
      </c>
      <c r="CP60" s="445" t="n">
        <f aca="false">IF(CP$54&lt;Total_Lanes,900*Peak_Time_Mor*($CO60/CP$54-1+SQRT(($CO60/CP$54-1)^2+8*($CO60/CP$54)/(Peak_Time_Mor*$O45*CP$54))),"-")</f>
        <v>2.07965311471574</v>
      </c>
      <c r="CQ60" s="445" t="n">
        <f aca="false">IF(CQ$54&lt;Total_Lanes,900*Peak_Time_Mor*($CO60/CQ$54-1+SQRT(($CO60/CQ$54-1)^2+8*($CO60/CQ$54)/(Peak_Time_Mor*$O45*CQ$54))),"-")</f>
        <v>0.362973762062557</v>
      </c>
      <c r="CR60" s="445" t="n">
        <f aca="false">IF(CR$54&lt;Total_Lanes,900*Peak_Time_Mor*($CO60/CR$54-1+SQRT(($CO60/CR$54-1)^2+8*($CO60/CR$54)/(Peak_Time_Mor*$O45*CR$54))),"-")</f>
        <v>0.146556439977652</v>
      </c>
      <c r="CS60" s="445" t="n">
        <f aca="false">IF(CS$54&lt;Total_Lanes,900*Peak_Time_Mor*($CO60/CS$54-1+SQRT(($CO60/CS$54-1)^2+8*($CO60/CS$54)/(Peak_Time_Mor*$O45*CS$54))),"-")</f>
        <v>0.0788294509658227</v>
      </c>
      <c r="CT60" s="445" t="n">
        <f aca="false">IF(CT$54&lt;Total_Lanes,900*Peak_Time_Mor*($CO60/CT$54-1+SQRT(($CO60/CT$54-1)^2+8*($CO60/CT$54)/(Peak_Time_Mor*$O45*CT$54))),"-")</f>
        <v>0.0491595664493749</v>
      </c>
      <c r="CU60" s="445" t="n">
        <f aca="false">IF(CU$54&lt;Total_Lanes,900*Peak_Time_Mor*($CO60/CU$54-1+SQRT(($CO60/CU$54-1)^2+8*($CO60/CU$54)/(Peak_Time_Mor*$O45*CU$54))),"-")</f>
        <v>0.0335658035284459</v>
      </c>
      <c r="CV60" s="445" t="n">
        <f aca="false">IF(CV$54&lt;Total_Lanes,900*Peak_Time_Mor*($CO60/CV$54-1+SQRT(($CO60/CV$54-1)^2+8*($CO60/CV$54)/(Peak_Time_Mor*$O45*CV$54))),"-")</f>
        <v>0.0243685330446386</v>
      </c>
      <c r="CW60" s="445" t="n">
        <f aca="false">IF(CW$54&lt;Total_Lanes,900*Peak_Time_Mor*($CO60/CW$54-1+SQRT(($CO60/CW$54-1)^2+8*($CO60/CW$54)/(Peak_Time_Mor*$O45*CW$54))),"-")</f>
        <v>0.0184928929034101</v>
      </c>
      <c r="CX60" s="445" t="n">
        <f aca="false">IF(CX$54&lt;Total_Lanes,900*Peak_Time_Mor*($CO60/CX$54-1+SQRT(($CO60/CX$54-1)^2+8*($CO60/CX$54)/(Peak_Time_Mor*$O45*CX$54))),"-")</f>
        <v>0.0145122876575865</v>
      </c>
      <c r="CY60" s="445" t="n">
        <f aca="false">IF(CY$54&lt;Total_Lanes,900*Peak_Time_Mor*($CO60/CY$54-1+SQRT(($CO60/CY$54-1)^2+8*($CO60/CY$54)/(Peak_Time_Mor*$O45*CY$54))),"-")</f>
        <v>0.0116913371444038</v>
      </c>
      <c r="CZ60" s="445" t="n">
        <f aca="false">IF(CZ$54&lt;Total_Lanes,900*Peak_Time_Mor*($CO60/CZ$54-1+SQRT(($CO60/CZ$54-1)^2+8*($CO60/CZ$54)/(Peak_Time_Mor*$O45*CZ$54))),"-")</f>
        <v>0.00961966685968374</v>
      </c>
      <c r="DA60" s="445" t="str">
        <f aca="false">IF(DA$54&lt;Total_Lanes,900*Peak_Time_Mor*($CO60/DA$54-1+SQRT(($CO60/DA$54-1)^2+8*($CO60/DA$54)/(Peak_Time_Mor*$O45*DA$54))),"-")</f>
        <v>-</v>
      </c>
      <c r="DB60" s="445" t="str">
        <f aca="false">IF(DB$54&lt;Total_Lanes,900*Peak_Time_Mor*($CO60/DB$54-1+SQRT(($CO60/DB$54-1)^2+8*($CO60/DB$54)/(Peak_Time_Mor*$O45*DB$54))),"-")</f>
        <v>-</v>
      </c>
      <c r="DC60" s="445" t="str">
        <f aca="false">IF(DC$54&lt;Total_Lanes,900*Peak_Time_Mor*($CO60/DC$54-1+SQRT(($CO60/DC$54-1)^2+8*($CO60/DC$54)/(Peak_Time_Mor*$O45*DC$54))),"-")</f>
        <v>-</v>
      </c>
      <c r="DD60" s="445" t="str">
        <f aca="false">IF(DD$54&lt;Total_Lanes,900*Peak_Time_Mor*($CO60/DD$54-1+SQRT(($CO60/DD$54-1)^2+8*($CO60/DD$54)/(Peak_Time_Mor*$O45*DD$54))),"-")</f>
        <v>-</v>
      </c>
      <c r="DE60" s="445" t="str">
        <f aca="false">IF(DE$54&lt;Total_Lanes,900*Peak_Time_Mor*($CO60/DE$54-1+SQRT(($CO60/DE$54-1)^2+8*($CO60/DE$54)/(Peak_Time_Mor*$O45*DE$54))),"-")</f>
        <v>-</v>
      </c>
      <c r="DF60" s="445" t="str">
        <f aca="false">IF(DF$54&lt;Total_Lanes,900*Peak_Time_Mor*($CO60/DF$54-1+SQRT(($CO60/DF$54-1)^2+8*($CO60/DF$54)/(Peak_Time_Mor*$O45*DF$54))),"-")</f>
        <v>-</v>
      </c>
      <c r="DG60" s="445" t="str">
        <f aca="false">IF(DG$54&lt;Total_Lanes,900*Peak_Time_Mor*($CO60/DG$54-1+SQRT(($CO60/DG$54-1)^2+8*($CO60/DG$54)/(Peak_Time_Mor*$O45*DG$54))),"-")</f>
        <v>-</v>
      </c>
      <c r="DH60" s="445" t="str">
        <f aca="false">IF(DH$54&lt;Total_Lanes,900*Peak_Time_Mor*($CO60/DH$54-1+SQRT(($CO60/DH$54-1)^2+8*($CO60/DH$54)/(Peak_Time_Mor*$O45*DH$54))),"-")</f>
        <v>-</v>
      </c>
      <c r="DI60" s="445" t="str">
        <f aca="false">IF(DI$54&lt;Total_Lanes,900*Peak_Time_Mor*($CO60/DI$54-1+SQRT(($CO60/DI$54-1)^2+8*($CO60/DI$54)/(Peak_Time_Mor*$O45*DI$54))),"-")</f>
        <v>-</v>
      </c>
      <c r="DJ60" s="446" t="str">
        <f aca="false">IF(DJ$54&lt;Total_Lanes,900*Peak_Time_Mor*($CO60/DJ$54-1+SQRT(($CO60/DJ$54-1)^2+8*($CO60/DJ$54)/(Peak_Time_Mor*$O45*DJ$54))),"-")</f>
        <v>-</v>
      </c>
      <c r="DK60" s="519" t="n">
        <f aca="false">3600/$O45</f>
        <v>2.4</v>
      </c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</row>
    <row r="61" customFormat="false" ht="13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400" t="n">
        <v>6</v>
      </c>
      <c r="X61" s="401" t="n">
        <f aca="false">X13</f>
        <v>22311321.1</v>
      </c>
      <c r="Y61" s="402" t="n">
        <f aca="false">Y13</f>
        <v>0.297</v>
      </c>
      <c r="Z61" s="401" t="n">
        <f aca="false">Z13</f>
        <v>9620.9070573769</v>
      </c>
      <c r="AA61" s="409" t="n">
        <f aca="false">X61/Z61</f>
        <v>2319.04548780488</v>
      </c>
      <c r="AB61" s="518" t="n">
        <f aca="false">AB13</f>
        <v>2</v>
      </c>
      <c r="AC61" s="435" t="n">
        <f aca="false">1-AC13</f>
        <v>0.3</v>
      </c>
      <c r="AD61" s="405" t="n">
        <f aca="false">Z61*AC61</f>
        <v>2886.27211721307</v>
      </c>
      <c r="AE61" s="427" t="n">
        <f aca="false">Peak_Time_Mor*$BI61*(CI61+BL61)/3600</f>
        <v>11.1398639462281</v>
      </c>
      <c r="AF61" s="413" t="n">
        <f aca="false">IF(AF$54&lt;Total_Lanes,($BJ61*($CI61+BN61)+$CN61*CP61)*Peak_Time_Mor/3600,"-")</f>
        <v>9.43574138144402</v>
      </c>
      <c r="AG61" s="413" t="n">
        <f aca="false">IF(AG$54&lt;Total_Lanes,($BJ61*($CI61+BO61)+$CN61*CQ61)*Peak_Time_Mor/3600,"-")</f>
        <v>8.24259118970341</v>
      </c>
      <c r="AH61" s="413" t="n">
        <f aca="false">IF(AH$54&lt;Total_Lanes,($BJ61*($CI61+BP61)+$CN61*CR61)*Peak_Time_Mor/3600,"-")</f>
        <v>8.2521489510432</v>
      </c>
      <c r="AI61" s="413" t="n">
        <f aca="false">IF(AI$54&lt;Total_Lanes,($BJ61*($CI61+BQ61)+$CN61*CS61)*Peak_Time_Mor/3600,"-")</f>
        <v>8.44766035829303</v>
      </c>
      <c r="AJ61" s="413" t="n">
        <f aca="false">IF(AJ$54&lt;Total_Lanes,($BJ61*($CI61+BR61)+$CN61*CT61)*Peak_Time_Mor/3600,"-")</f>
        <v>8.84940772902292</v>
      </c>
      <c r="AK61" s="413" t="n">
        <f aca="false">IF(AK$54&lt;Total_Lanes,($BJ61*($CI61+BS61)+$CN61*CU61)*Peak_Time_Mor/3600,"-")</f>
        <v>9.71297221931867</v>
      </c>
      <c r="AL61" s="413" t="n">
        <f aca="false">IF(AL$54&lt;Total_Lanes,($BJ61*($CI61+BT61)+$CN61*CV61)*Peak_Time_Mor/3600,"-")</f>
        <v>12.218312461132</v>
      </c>
      <c r="AM61" s="413" t="n">
        <f aca="false">IF(AM$54&lt;Total_Lanes,($BJ61*($CI61+BU61)+$CN61*CW61)*Peak_Time_Mor/3600,"-")</f>
        <v>36.0634524180865</v>
      </c>
      <c r="AN61" s="413" t="n">
        <f aca="false">IF(AN$54&lt;Total_Lanes,($BJ61*($CI61+BV61)+$CN61*CX61)*Peak_Time_Mor/3600,"-")</f>
        <v>1071.64652985306</v>
      </c>
      <c r="AO61" s="413" t="n">
        <f aca="false">IF(AO$54&lt;Total_Lanes,($BJ61*($CI61+BW61)+$CN61*CY61)*Peak_Time_Mor/3600,"-")</f>
        <v>3622.60364284342</v>
      </c>
      <c r="AP61" s="413" t="n">
        <f aca="false">IF(AP$54&lt;Total_Lanes,($BJ61*($CI61+BX61)+$CN61*CZ61)*Peak_Time_Mor/3600,"-")</f>
        <v>11289.988368427</v>
      </c>
      <c r="AQ61" s="413" t="str">
        <f aca="false">IF(AQ$54&lt;Total_Lanes,($BJ61*($CI61+BY61)+$CN61*DA61)*Peak_Time_Mor/3600,"-")</f>
        <v>-</v>
      </c>
      <c r="AR61" s="413" t="str">
        <f aca="false">IF(AR$54&lt;Total_Lanes,($BJ61*($CI61+BZ61)+$CN61*DB61)*Peak_Time_Mor/3600,"-")</f>
        <v>-</v>
      </c>
      <c r="AS61" s="413" t="str">
        <f aca="false">IF(AS$54&lt;Total_Lanes,($BJ61*($CI61+CA61)+$CN61*DC61)*Peak_Time_Mor/3600,"-")</f>
        <v>-</v>
      </c>
      <c r="AT61" s="413" t="str">
        <f aca="false">IF(AT$54&lt;Total_Lanes,($BJ61*($CI61+CB61)+$CN61*DD61)*Peak_Time_Mor/3600,"-")</f>
        <v>-</v>
      </c>
      <c r="AU61" s="413" t="str">
        <f aca="false">IF(AU$54&lt;Total_Lanes,($BJ61*($CI61+CC61)+$CN61*DE61)*Peak_Time_Mor/3600,"-")</f>
        <v>-</v>
      </c>
      <c r="AV61" s="413" t="str">
        <f aca="false">IF(AV$54&lt;Total_Lanes,($BJ61*($CI61+CD61)+$CN61*DF61)*Peak_Time_Mor/3600,"-")</f>
        <v>-</v>
      </c>
      <c r="AW61" s="413" t="str">
        <f aca="false">IF(AW$54&lt;Total_Lanes,($BJ61*($CI61+CE61)+$CN61*DG61)*Peak_Time_Mor/3600,"-")</f>
        <v>-</v>
      </c>
      <c r="AX61" s="413" t="str">
        <f aca="false">IF(AX$54&lt;Total_Lanes,($BJ61*($CI61+CF61)+$CN61*DH61)*Peak_Time_Mor/3600,"-")</f>
        <v>-</v>
      </c>
      <c r="AY61" s="413" t="str">
        <f aca="false">IF(AY$54&lt;Total_Lanes,($BJ61*($CI61+CG61)+$CN61*DI61)*Peak_Time_Mor/3600,"-")</f>
        <v>-</v>
      </c>
      <c r="AZ61" s="414" t="str">
        <f aca="false">IF(AZ$54&lt;Total_Lanes,($BJ61*($CI61+CH61)+$CN61*DJ61)*Peak_Time_Mor/3600,"-")</f>
        <v>-</v>
      </c>
      <c r="BA61" s="436" t="n">
        <f aca="false">SUMIF(AF61:AZ61,BB61,$AF$54:$AZ$54)</f>
        <v>2</v>
      </c>
      <c r="BB61" s="437" t="n">
        <f aca="false">MIN(AF61:AZ61)</f>
        <v>8.24259118970341</v>
      </c>
      <c r="BC61" s="436" t="n">
        <f aca="false">IF((SUMIF($BN59:$CH59,$BA61,$BN61:$CH61)+$CI61)&lt;(SUMIF($CP59:$DJ59,$BA61,$CP61:$DJ61)+$DK61),BA61+1,BA61)</f>
        <v>2</v>
      </c>
      <c r="BD61" s="437" t="n">
        <f aca="false">SUMIF($AF$54:$AZ$54,$BC61,$AF61:$AZ61)</f>
        <v>8.24259118970341</v>
      </c>
      <c r="BG61" s="400" t="n">
        <v>6</v>
      </c>
      <c r="BH61" s="402" t="n">
        <f aca="false">$Y61</f>
        <v>0.297</v>
      </c>
      <c r="BI61" s="411" t="n">
        <f aca="false">$AD61</f>
        <v>2886.27211721307</v>
      </c>
      <c r="BJ61" s="412" t="n">
        <f aca="false">BI61*(1-BH61)</f>
        <v>2029.04929840079</v>
      </c>
      <c r="BK61" s="420" t="n">
        <f aca="false">Peak_Arrival_Manual_Mor/K46</f>
        <v>3.70583309360699</v>
      </c>
      <c r="BL61" s="513" t="n">
        <f aca="false">900*Peak_Time_Mor*($BK61/Total_Lanes-1+SQRT(($BK61/Total_Lanes-1)^2+8*($BK61/Total_Lanes)/(Peak_Time_Mor*$K46*Total_Lanes)))</f>
        <v>0.244785040667672</v>
      </c>
      <c r="BM61" s="420" t="n">
        <f aca="false">Peak_Arrival_Manual_Mor/N46</f>
        <v>3.77769525625869</v>
      </c>
      <c r="BN61" s="514" t="n">
        <f aca="false">IF(BN$6&lt;Total_Lanes,900*Peak_Time_Mor*($BM61/(Total_Lanes-BN$6)-1+SQRT(($BM61/(Total_Lanes-BN$6)-1)^2+8*($BM61/(Total_Lanes-BN$6))/(Peak_Time_Mor*$N46*(Total_Lanes-BN$6)))),"-")</f>
        <v>0.318666713696336</v>
      </c>
      <c r="BO61" s="445" t="n">
        <f aca="false">IF(BO$6&lt;Total_Lanes,900*Peak_Time_Mor*($BM61/(Total_Lanes-BO$6)-1+SQRT(($BM61/(Total_Lanes-BO$6)-1)^2+8*($BM61/(Total_Lanes-BO$6))/(Peak_Time_Mor*$N46*(Total_Lanes-BO$6)))),"-")</f>
        <v>0.406849319391678</v>
      </c>
      <c r="BP61" s="445" t="n">
        <f aca="false">IF(BP$6&lt;Total_Lanes,900*Peak_Time_Mor*($BM61/(Total_Lanes-BP$6)-1+SQRT(($BM61/(Total_Lanes-BP$6)-1)^2+8*($BM61/(Total_Lanes-BP$6))/(Peak_Time_Mor*$N46*(Total_Lanes-BP$6)))),"-")</f>
        <v>0.538576085394316</v>
      </c>
      <c r="BQ61" s="445" t="n">
        <f aca="false">IF(BQ$6&lt;Total_Lanes,900*Peak_Time_Mor*($BM61/(Total_Lanes-BQ$6)-1+SQRT(($BM61/(Total_Lanes-BQ$6)-1)^2+8*($BM61/(Total_Lanes-BQ$6))/(Peak_Time_Mor*$N46*(Total_Lanes-BQ$6)))),"-")</f>
        <v>0.749295194720578</v>
      </c>
      <c r="BR61" s="445" t="n">
        <f aca="false">IF(BR$6&lt;Total_Lanes,900*Peak_Time_Mor*($BM61/(Total_Lanes-BR$6)-1+SQRT(($BM61/(Total_Lanes-BR$6)-1)^2+8*($BM61/(Total_Lanes-BR$6))/(Peak_Time_Mor*$N46*(Total_Lanes-BR$6)))),"-")</f>
        <v>1.12177359161452</v>
      </c>
      <c r="BS61" s="445" t="n">
        <f aca="false">IF(BS$6&lt;Total_Lanes,900*Peak_Time_Mor*($BM61/(Total_Lanes-BS$6)-1+SQRT(($BM61/(Total_Lanes-BS$6)-1)^2+8*($BM61/(Total_Lanes-BS$6))/(Peak_Time_Mor*$N46*(Total_Lanes-BS$6)))),"-")</f>
        <v>1.89623299344417</v>
      </c>
      <c r="BT61" s="445" t="n">
        <f aca="false">IF(BT$6&lt;Total_Lanes,900*Peak_Time_Mor*($BM61/(Total_Lanes-BT$6)-1+SQRT(($BM61/(Total_Lanes-BT$6)-1)^2+8*($BM61/(Total_Lanes-BT$6))/(Peak_Time_Mor*$N46*(Total_Lanes-BT$6)))),"-")</f>
        <v>4.12367122634739</v>
      </c>
      <c r="BU61" s="445" t="n">
        <f aca="false">IF(BU$6&lt;Total_Lanes,900*Peak_Time_Mor*($BM61/(Total_Lanes-BU$6)-1+SQRT(($BM61/(Total_Lanes-BU$6)-1)^2+8*($BM61/(Total_Lanes-BU$6))/(Peak_Time_Mor*$N46*(Total_Lanes-BU$6)))),"-")</f>
        <v>25.2801780393309</v>
      </c>
      <c r="BV61" s="445" t="n">
        <f aca="false">IF(BV$6&lt;Total_Lanes,900*Peak_Time_Mor*($BM61/(Total_Lanes-BV$6)-1+SQRT(($BM61/(Total_Lanes-BV$6)-1)^2+8*($BM61/(Total_Lanes-BV$6))/(Peak_Time_Mor*$N46*(Total_Lanes-BV$6)))),"-")</f>
        <v>943.963536543065</v>
      </c>
      <c r="BW61" s="445" t="n">
        <f aca="false">IF(BW$6&lt;Total_Lanes,900*Peak_Time_Mor*($BM61/(Total_Lanes-BW$6)-1+SQRT(($BM61/(Total_Lanes-BW$6)-1)^2+8*($BM61/(Total_Lanes-BW$6))/(Peak_Time_Mor*$N46*(Total_Lanes-BW$6)))),"-")</f>
        <v>3206.95726291541</v>
      </c>
      <c r="BX61" s="515" t="n">
        <f aca="false">IF(BX$6&lt;Total_Lanes,900*Peak_Time_Mor*($BM61/(Total_Lanes-BX$6)-1+SQRT(($BM61/(Total_Lanes-BX$6)-1)^2+8*($BM61/(Total_Lanes-BX$6))/(Peak_Time_Mor*$N46*(Total_Lanes-BX$6)))),"-")</f>
        <v>10008.8100999009</v>
      </c>
      <c r="BY61" s="445" t="str">
        <f aca="false">IF(BY$6&lt;Total_Lanes,900*Peak_Time_Mor*($BM61/(Total_Lanes-BY$6)-1+SQRT(($BM61/(Total_Lanes-BY$6)-1)^2+8*($BM61/(Total_Lanes-BY$6))/(Peak_Time_Mor*$N46*(Total_Lanes-BY$6)))),"-")</f>
        <v>-</v>
      </c>
      <c r="BZ61" s="445" t="str">
        <f aca="false">IF(BZ$6&lt;Total_Lanes,900*Peak_Time_Mor*($BM61/(Total_Lanes-BZ$6)-1+SQRT(($BM61/(Total_Lanes-BZ$6)-1)^2+8*($BM61/(Total_Lanes-BZ$6))/(Peak_Time_Mor*$N46*(Total_Lanes-BZ$6)))),"-")</f>
        <v>-</v>
      </c>
      <c r="CA61" s="445" t="str">
        <f aca="false">IF(CA$6&lt;Total_Lanes,900*Peak_Time_Mor*($BM61/(Total_Lanes-CA$6)-1+SQRT(($BM61/(Total_Lanes-CA$6)-1)^2+8*($BM61/(Total_Lanes-CA$6))/(Peak_Time_Mor*$N46*(Total_Lanes-CA$6)))),"-")</f>
        <v>-</v>
      </c>
      <c r="CB61" s="445" t="str">
        <f aca="false">IF(CB$6&lt;Total_Lanes,900*Peak_Time_Mor*($BM61/(Total_Lanes-CB$6)-1+SQRT(($BM61/(Total_Lanes-CB$6)-1)^2+8*($BM61/(Total_Lanes-CB$6))/(Peak_Time_Mor*$N46*(Total_Lanes-CB$6)))),"-")</f>
        <v>-</v>
      </c>
      <c r="CC61" s="445" t="str">
        <f aca="false">IF(CC$6&lt;Total_Lanes,900*Peak_Time_Mor*($BM61/(Total_Lanes-CC$6)-1+SQRT(($BM61/(Total_Lanes-CC$6)-1)^2+8*($BM61/(Total_Lanes-CC$6))/(Peak_Time_Mor*$N46*(Total_Lanes-CC$6)))),"-")</f>
        <v>-</v>
      </c>
      <c r="CD61" s="445" t="str">
        <f aca="false">IF(CD$6&lt;Total_Lanes,900*Peak_Time_Mor*($BM61/(Total_Lanes-CD$6)-1+SQRT(($BM61/(Total_Lanes-CD$6)-1)^2+8*($BM61/(Total_Lanes-CD$6))/(Peak_Time_Mor*$N46*(Total_Lanes-CD$6)))),"-")</f>
        <v>-</v>
      </c>
      <c r="CE61" s="445" t="str">
        <f aca="false">IF(CE$6&lt;Total_Lanes,900*Peak_Time_Mor*($BM61/(Total_Lanes-CE$6)-1+SQRT(($BM61/(Total_Lanes-CE$6)-1)^2+8*($BM61/(Total_Lanes-CE$6))/(Peak_Time_Mor*$N46*(Total_Lanes-CE$6)))),"-")</f>
        <v>-</v>
      </c>
      <c r="CF61" s="445" t="str">
        <f aca="false">IF(CF$6&lt;Total_Lanes,900*Peak_Time_Mor*($BM61/(Total_Lanes-CF$6)-1+SQRT(($BM61/(Total_Lanes-CF$6)-1)^2+8*($BM61/(Total_Lanes-CF$6))/(Peak_Time_Mor*$N46*(Total_Lanes-CF$6)))),"-")</f>
        <v>-</v>
      </c>
      <c r="CG61" s="445" t="str">
        <f aca="false">IF(CG$6&lt;Total_Lanes,900*Peak_Time_Mor*($BM61/(Total_Lanes-CG$6)-1+SQRT(($BM61/(Total_Lanes-CG$6)-1)^2+8*($BM61/(Total_Lanes-CG$6))/(Peak_Time_Mor*$N46*(Total_Lanes-CG$6)))),"-")</f>
        <v>-</v>
      </c>
      <c r="CH61" s="446" t="str">
        <f aca="false">IF(CH$6&lt;Total_Lanes,900*Peak_Time_Mor*($BM61/(Total_Lanes-CH$6)-1+SQRT(($BM61/(Total_Lanes-CH$6)-1)^2+8*($BM61/(Total_Lanes-CH$6))/(Peak_Time_Mor*$N46*(Total_Lanes-CH$6)))),"-")</f>
        <v>-</v>
      </c>
      <c r="CI61" s="519" t="n">
        <f aca="false">3600/N46</f>
        <v>6.7025</v>
      </c>
      <c r="CK61" s="400" t="n">
        <v>6</v>
      </c>
      <c r="CL61" s="402" t="n">
        <f aca="false">$Y61</f>
        <v>0.297</v>
      </c>
      <c r="CM61" s="427" t="n">
        <f aca="false">$AD61</f>
        <v>2886.27211721307</v>
      </c>
      <c r="CN61" s="427" t="n">
        <f aca="false">CM61*CL61</f>
        <v>857.222818812282</v>
      </c>
      <c r="CO61" s="440" t="n">
        <f aca="false">CN61/O46</f>
        <v>0.571481879208188</v>
      </c>
      <c r="CP61" s="445" t="n">
        <f aca="false">IF(CP$54&lt;Total_Lanes,900*Peak_Time_Mor*($CO61/CP$54-1+SQRT(($CO61/CP$54-1)^2+8*($CO61/CP$54)/(Peak_Time_Mor*$O46*CP$54))),"-")</f>
        <v>3.19408330264982</v>
      </c>
      <c r="CQ61" s="445" t="n">
        <f aca="false">IF(CQ$54&lt;Total_Lanes,900*Peak_Time_Mor*($CO61/CQ$54-1+SQRT(($CO61/CQ$54-1)^2+8*($CO61/CQ$54)/(Peak_Time_Mor*$O46*CQ$54))),"-")</f>
        <v>0.479973098987729</v>
      </c>
      <c r="CR61" s="445" t="n">
        <f aca="false">IF(CR$54&lt;Total_Lanes,900*Peak_Time_Mor*($CO61/CR$54-1+SQRT(($CO61/CR$54-1)^2+8*($CO61/CR$54)/(Peak_Time_Mor*$O46*CR$54))),"-")</f>
        <v>0.188244826899586</v>
      </c>
      <c r="CS61" s="445" t="n">
        <f aca="false">IF(CS$54&lt;Total_Lanes,900*Peak_Time_Mor*($CO61/CS$54-1+SQRT(($CO61/CS$54-1)^2+8*($CO61/CS$54)/(Peak_Time_Mor*$O46*CS$54))),"-")</f>
        <v>0.100007642554445</v>
      </c>
      <c r="CT61" s="445" t="n">
        <f aca="false">IF(CT$54&lt;Total_Lanes,900*Peak_Time_Mor*($CO61/CT$54-1+SQRT(($CO61/CT$54-1)^2+8*($CO61/CT$54)/(Peak_Time_Mor*$O46*CT$54))),"-")</f>
        <v>0.0619408040882341</v>
      </c>
      <c r="CU61" s="445" t="n">
        <f aca="false">IF(CU$54&lt;Total_Lanes,900*Peak_Time_Mor*($CO61/CU$54-1+SQRT(($CO61/CU$54-1)^2+8*($CO61/CU$54)/(Peak_Time_Mor*$O46*CU$54))),"-")</f>
        <v>0.042109060209139</v>
      </c>
      <c r="CV61" s="445" t="n">
        <f aca="false">IF(CV$54&lt;Total_Lanes,900*Peak_Time_Mor*($CO61/CV$54-1+SQRT(($CO61/CV$54-1)^2+8*($CO61/CV$54)/(Peak_Time_Mor*$O46*CV$54))),"-")</f>
        <v>0.0304790053148096</v>
      </c>
      <c r="CW61" s="445" t="n">
        <f aca="false">IF(CW$54&lt;Total_Lanes,900*Peak_Time_Mor*($CO61/CW$54-1+SQRT(($CO61/CW$54-1)^2+8*($CO61/CW$54)/(Peak_Time_Mor*$O46*CW$54))),"-")</f>
        <v>0.0230790821697635</v>
      </c>
      <c r="CX61" s="445" t="n">
        <f aca="false">IF(CX$54&lt;Total_Lanes,900*Peak_Time_Mor*($CO61/CX$54-1+SQRT(($CO61/CX$54-1)^2+8*($CO61/CX$54)/(Peak_Time_Mor*$O46*CX$54))),"-")</f>
        <v>0.0180808000074029</v>
      </c>
      <c r="CY61" s="445" t="n">
        <f aca="false">IF(CY$54&lt;Total_Lanes,900*Peak_Time_Mor*($CO61/CY$54-1+SQRT(($CO61/CY$54-1)^2+8*($CO61/CY$54)/(Peak_Time_Mor*$O46*CY$54))),"-")</f>
        <v>0.0145468313732744</v>
      </c>
      <c r="CZ61" s="445" t="n">
        <f aca="false">IF(CZ$54&lt;Total_Lanes,900*Peak_Time_Mor*($CO61/CZ$54-1+SQRT(($CO61/CZ$54-1)^2+8*($CO61/CZ$54)/(Peak_Time_Mor*$O46*CZ$54))),"-")</f>
        <v>0.011956302632754</v>
      </c>
      <c r="DA61" s="445" t="str">
        <f aca="false">IF(DA$54&lt;Total_Lanes,900*Peak_Time_Mor*($CO61/DA$54-1+SQRT(($CO61/DA$54-1)^2+8*($CO61/DA$54)/(Peak_Time_Mor*$O46*DA$54))),"-")</f>
        <v>-</v>
      </c>
      <c r="DB61" s="445" t="str">
        <f aca="false">IF(DB$54&lt;Total_Lanes,900*Peak_Time_Mor*($CO61/DB$54-1+SQRT(($CO61/DB$54-1)^2+8*($CO61/DB$54)/(Peak_Time_Mor*$O46*DB$54))),"-")</f>
        <v>-</v>
      </c>
      <c r="DC61" s="445" t="str">
        <f aca="false">IF(DC$54&lt;Total_Lanes,900*Peak_Time_Mor*($CO61/DC$54-1+SQRT(($CO61/DC$54-1)^2+8*($CO61/DC$54)/(Peak_Time_Mor*$O46*DC$54))),"-")</f>
        <v>-</v>
      </c>
      <c r="DD61" s="445" t="str">
        <f aca="false">IF(DD$54&lt;Total_Lanes,900*Peak_Time_Mor*($CO61/DD$54-1+SQRT(($CO61/DD$54-1)^2+8*($CO61/DD$54)/(Peak_Time_Mor*$O46*DD$54))),"-")</f>
        <v>-</v>
      </c>
      <c r="DE61" s="445" t="str">
        <f aca="false">IF(DE$54&lt;Total_Lanes,900*Peak_Time_Mor*($CO61/DE$54-1+SQRT(($CO61/DE$54-1)^2+8*($CO61/DE$54)/(Peak_Time_Mor*$O46*DE$54))),"-")</f>
        <v>-</v>
      </c>
      <c r="DF61" s="445" t="str">
        <f aca="false">IF(DF$54&lt;Total_Lanes,900*Peak_Time_Mor*($CO61/DF$54-1+SQRT(($CO61/DF$54-1)^2+8*($CO61/DF$54)/(Peak_Time_Mor*$O46*DF$54))),"-")</f>
        <v>-</v>
      </c>
      <c r="DG61" s="445" t="str">
        <f aca="false">IF(DG$54&lt;Total_Lanes,900*Peak_Time_Mor*($CO61/DG$54-1+SQRT(($CO61/DG$54-1)^2+8*($CO61/DG$54)/(Peak_Time_Mor*$O46*DG$54))),"-")</f>
        <v>-</v>
      </c>
      <c r="DH61" s="445" t="str">
        <f aca="false">IF(DH$54&lt;Total_Lanes,900*Peak_Time_Mor*($CO61/DH$54-1+SQRT(($CO61/DH$54-1)^2+8*($CO61/DH$54)/(Peak_Time_Mor*$O46*DH$54))),"-")</f>
        <v>-</v>
      </c>
      <c r="DI61" s="445" t="str">
        <f aca="false">IF(DI$54&lt;Total_Lanes,900*Peak_Time_Mor*($CO61/DI$54-1+SQRT(($CO61/DI$54-1)^2+8*($CO61/DI$54)/(Peak_Time_Mor*$O46*DI$54))),"-")</f>
        <v>-</v>
      </c>
      <c r="DJ61" s="446" t="str">
        <f aca="false">IF(DJ$54&lt;Total_Lanes,900*Peak_Time_Mor*($CO61/DJ$54-1+SQRT(($CO61/DJ$54-1)^2+8*($CO61/DJ$54)/(Peak_Time_Mor*$O46*DJ$54))),"-")</f>
        <v>-</v>
      </c>
      <c r="DK61" s="519" t="n">
        <f aca="false">3600/$O46</f>
        <v>2.4</v>
      </c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</row>
    <row r="62" customFormat="false" ht="13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400" t="n">
        <v>7</v>
      </c>
      <c r="X62" s="401" t="n">
        <f aca="false">X14</f>
        <v>22860512.45</v>
      </c>
      <c r="Y62" s="402" t="n">
        <f aca="false">Y14</f>
        <v>0.3465</v>
      </c>
      <c r="Z62" s="401" t="n">
        <f aca="false">Z14</f>
        <v>9857.72490027305</v>
      </c>
      <c r="AA62" s="409" t="n">
        <f aca="false">X62/Z62</f>
        <v>2319.04548780488</v>
      </c>
      <c r="AB62" s="518" t="n">
        <f aca="false">AB14</f>
        <v>2</v>
      </c>
      <c r="AC62" s="435" t="n">
        <f aca="false">1-AC14</f>
        <v>0.3</v>
      </c>
      <c r="AD62" s="405" t="n">
        <f aca="false">Z62*AC62</f>
        <v>2957.31747008191</v>
      </c>
      <c r="AE62" s="427" t="n">
        <f aca="false">Peak_Time_Mor*$BI62*(CI62+BL62)/3600</f>
        <v>11.421905592481</v>
      </c>
      <c r="AF62" s="413" t="n">
        <f aca="false">IF(AF$54&lt;Total_Lanes,($BJ62*($CI62+BN62)+$CN62*CP62)*Peak_Time_Mor/3600,"-")</f>
        <v>10.4720045881275</v>
      </c>
      <c r="AG62" s="413" t="n">
        <f aca="false">IF(AG$54&lt;Total_Lanes,($BJ62*($CI62+BO62)+$CN62*CQ62)*Peak_Time_Mor/3600,"-")</f>
        <v>7.98107999931326</v>
      </c>
      <c r="AH62" s="413" t="n">
        <f aca="false">IF(AH$54&lt;Total_Lanes,($BJ62*($CI62+BP62)+$CN62*CR62)*Peak_Time_Mor/3600,"-")</f>
        <v>7.89035682727464</v>
      </c>
      <c r="AI62" s="413" t="n">
        <f aca="false">IF(AI$54&lt;Total_Lanes,($BJ62*($CI62+BQ62)+$CN62*CS62)*Peak_Time_Mor/3600,"-")</f>
        <v>8.03106348659306</v>
      </c>
      <c r="AJ62" s="413" t="n">
        <f aca="false">IF(AJ$54&lt;Total_Lanes,($BJ62*($CI62+BR62)+$CN62*CT62)*Peak_Time_Mor/3600,"-")</f>
        <v>8.35963245182901</v>
      </c>
      <c r="AK62" s="413" t="n">
        <f aca="false">IF(AK$54&lt;Total_Lanes,($BJ62*($CI62+BS62)+$CN62*CU62)*Peak_Time_Mor/3600,"-")</f>
        <v>9.06299651568519</v>
      </c>
      <c r="AL62" s="413" t="n">
        <f aca="false">IF(AL$54&lt;Total_Lanes,($BJ62*($CI62+BT62)+$CN62*CV62)*Peak_Time_Mor/3600,"-")</f>
        <v>10.9752989673771</v>
      </c>
      <c r="AM62" s="413" t="n">
        <f aca="false">IF(AM$54&lt;Total_Lanes,($BJ62*($CI62+BU62)+$CN62*CW62)*Peak_Time_Mor/3600,"-")</f>
        <v>23.2402850582626</v>
      </c>
      <c r="AN62" s="413" t="n">
        <f aca="false">IF(AN$54&lt;Total_Lanes,($BJ62*($CI62+BV62)+$CN62*CX62)*Peak_Time_Mor/3600,"-")</f>
        <v>806.573809804653</v>
      </c>
      <c r="AO62" s="413" t="n">
        <f aca="false">IF(AO$54&lt;Total_Lanes,($BJ62*($CI62+BW62)+$CN62*CY62)*Peak_Time_Mor/3600,"-")</f>
        <v>3125.92295025699</v>
      </c>
      <c r="AP62" s="413" t="n">
        <f aca="false">IF(AP$54&lt;Total_Lanes,($BJ62*($CI62+BX62)+$CN62*CZ62)*Peak_Time_Mor/3600,"-")</f>
        <v>10103.657047416</v>
      </c>
      <c r="AQ62" s="413" t="str">
        <f aca="false">IF(AQ$54&lt;Total_Lanes,($BJ62*($CI62+BY62)+$CN62*DA62)*Peak_Time_Mor/3600,"-")</f>
        <v>-</v>
      </c>
      <c r="AR62" s="413" t="str">
        <f aca="false">IF(AR$54&lt;Total_Lanes,($BJ62*($CI62+BZ62)+$CN62*DB62)*Peak_Time_Mor/3600,"-")</f>
        <v>-</v>
      </c>
      <c r="AS62" s="413" t="str">
        <f aca="false">IF(AS$54&lt;Total_Lanes,($BJ62*($CI62+CA62)+$CN62*DC62)*Peak_Time_Mor/3600,"-")</f>
        <v>-</v>
      </c>
      <c r="AT62" s="413" t="str">
        <f aca="false">IF(AT$54&lt;Total_Lanes,($BJ62*($CI62+CB62)+$CN62*DD62)*Peak_Time_Mor/3600,"-")</f>
        <v>-</v>
      </c>
      <c r="AU62" s="413" t="str">
        <f aca="false">IF(AU$54&lt;Total_Lanes,($BJ62*($CI62+CC62)+$CN62*DE62)*Peak_Time_Mor/3600,"-")</f>
        <v>-</v>
      </c>
      <c r="AV62" s="413" t="str">
        <f aca="false">IF(AV$54&lt;Total_Lanes,($BJ62*($CI62+CD62)+$CN62*DF62)*Peak_Time_Mor/3600,"-")</f>
        <v>-</v>
      </c>
      <c r="AW62" s="413" t="str">
        <f aca="false">IF(AW$54&lt;Total_Lanes,($BJ62*($CI62+CE62)+$CN62*DG62)*Peak_Time_Mor/3600,"-")</f>
        <v>-</v>
      </c>
      <c r="AX62" s="413" t="str">
        <f aca="false">IF(AX$54&lt;Total_Lanes,($BJ62*($CI62+CF62)+$CN62*DH62)*Peak_Time_Mor/3600,"-")</f>
        <v>-</v>
      </c>
      <c r="AY62" s="413" t="str">
        <f aca="false">IF(AY$54&lt;Total_Lanes,($BJ62*($CI62+CG62)+$CN62*DI62)*Peak_Time_Mor/3600,"-")</f>
        <v>-</v>
      </c>
      <c r="AZ62" s="414" t="str">
        <f aca="false">IF(AZ$54&lt;Total_Lanes,($BJ62*($CI62+CH62)+$CN62*DJ62)*Peak_Time_Mor/3600,"-")</f>
        <v>-</v>
      </c>
      <c r="BA62" s="436" t="n">
        <f aca="false">SUMIF(AF62:AZ62,BB62,$AF$54:$AZ$54)</f>
        <v>3</v>
      </c>
      <c r="BB62" s="437" t="n">
        <f aca="false">MIN(AF62:AZ62)</f>
        <v>7.89035682727464</v>
      </c>
      <c r="BC62" s="436" t="n">
        <f aca="false">IF((SUMIF($BN60:$CH60,$BA62,$BN62:$CH62)+$CI62)&lt;(SUMIF($CP60:$DJ60,$BA62,$CP62:$DJ62)+$DK62),BA62+1,BA62)</f>
        <v>3</v>
      </c>
      <c r="BD62" s="437" t="n">
        <f aca="false">SUMIF($AF$54:$AZ$54,$BC62,$AF62:$AZ62)</f>
        <v>7.89035682727464</v>
      </c>
      <c r="BG62" s="400" t="n">
        <v>7</v>
      </c>
      <c r="BH62" s="402" t="n">
        <f aca="false">$Y62</f>
        <v>0.3465</v>
      </c>
      <c r="BI62" s="411" t="n">
        <f aca="false">$AD62</f>
        <v>2957.31747008191</v>
      </c>
      <c r="BJ62" s="412" t="n">
        <f aca="false">BI62*(1-BH62)</f>
        <v>1932.60696669853</v>
      </c>
      <c r="BK62" s="420" t="n">
        <f aca="false">Peak_Arrival_Manual_Mor/K47</f>
        <v>3.52969189056746</v>
      </c>
      <c r="BL62" s="513" t="n">
        <f aca="false">900*Peak_Time_Mor*($BK62/Total_Lanes-1+SQRT(($BK62/Total_Lanes-1)^2+8*($BK62/Total_Lanes)/(Peak_Time_Mor*$K47*Total_Lanes)))</f>
        <v>0.228303769829585</v>
      </c>
      <c r="BM62" s="420" t="n">
        <f aca="false">Peak_Arrival_Manual_Mor/N47</f>
        <v>3.6095461367609</v>
      </c>
      <c r="BN62" s="514" t="n">
        <f aca="false">IF(BN$6&lt;Total_Lanes,900*Peak_Time_Mor*($BM62/(Total_Lanes-BN$6)-1+SQRT(($BM62/(Total_Lanes-BN$6)-1)^2+8*($BM62/(Total_Lanes-BN$6))/(Peak_Time_Mor*$N47*(Total_Lanes-BN$6)))),"-")</f>
        <v>0.298501669450735</v>
      </c>
      <c r="BO62" s="445" t="n">
        <f aca="false">IF(BO$6&lt;Total_Lanes,900*Peak_Time_Mor*($BM62/(Total_Lanes-BO$6)-1+SQRT(($BM62/(Total_Lanes-BO$6)-1)^2+8*($BM62/(Total_Lanes-BO$6))/(Peak_Time_Mor*$N47*(Total_Lanes-BO$6)))),"-")</f>
        <v>0.379717641405986</v>
      </c>
      <c r="BP62" s="445" t="n">
        <f aca="false">IF(BP$6&lt;Total_Lanes,900*Peak_Time_Mor*($BM62/(Total_Lanes-BP$6)-1+SQRT(($BM62/(Total_Lanes-BP$6)-1)^2+8*($BM62/(Total_Lanes-BP$6))/(Peak_Time_Mor*$N47*(Total_Lanes-BP$6)))),"-")</f>
        <v>0.500144601274233</v>
      </c>
      <c r="BQ62" s="445" t="n">
        <f aca="false">IF(BQ$6&lt;Total_Lanes,900*Peak_Time_Mor*($BM62/(Total_Lanes-BQ$6)-1+SQRT(($BM62/(Total_Lanes-BQ$6)-1)^2+8*($BM62/(Total_Lanes-BQ$6))/(Peak_Time_Mor*$N47*(Total_Lanes-BQ$6)))),"-")</f>
        <v>0.690737350096704</v>
      </c>
      <c r="BR62" s="445" t="n">
        <f aca="false">IF(BR$6&lt;Total_Lanes,900*Peak_Time_Mor*($BM62/(Total_Lanes-BR$6)-1+SQRT(($BM62/(Total_Lanes-BR$6)-1)^2+8*($BM62/(Total_Lanes-BR$6))/(Peak_Time_Mor*$N47*(Total_Lanes-BR$6)))),"-")</f>
        <v>1.02200683101166</v>
      </c>
      <c r="BS62" s="445" t="n">
        <f aca="false">IF(BS$6&lt;Total_Lanes,900*Peak_Time_Mor*($BM62/(Total_Lanes-BS$6)-1+SQRT(($BM62/(Total_Lanes-BS$6)-1)^2+8*($BM62/(Total_Lanes-BS$6))/(Peak_Time_Mor*$N47*(Total_Lanes-BS$6)))),"-")</f>
        <v>1.69013373634218</v>
      </c>
      <c r="BT62" s="445" t="n">
        <f aca="false">IF(BT$6&lt;Total_Lanes,900*Peak_Time_Mor*($BM62/(Total_Lanes-BT$6)-1+SQRT(($BM62/(Total_Lanes-BT$6)-1)^2+8*($BM62/(Total_Lanes-BT$6))/(Peak_Time_Mor*$N47*(Total_Lanes-BT$6)))),"-")</f>
        <v>3.47881276034093</v>
      </c>
      <c r="BU62" s="445" t="n">
        <f aca="false">IF(BU$6&lt;Total_Lanes,900*Peak_Time_Mor*($BM62/(Total_Lanes-BU$6)-1+SQRT(($BM62/(Total_Lanes-BU$6)-1)^2+8*($BM62/(Total_Lanes-BU$6))/(Peak_Time_Mor*$N47*(Total_Lanes-BU$6)))),"-")</f>
        <v>14.9070380328026</v>
      </c>
      <c r="BV62" s="445" t="n">
        <f aca="false">IF(BV$6&lt;Total_Lanes,900*Peak_Time_Mor*($BM62/(Total_Lanes-BV$6)-1+SQRT(($BM62/(Total_Lanes-BV$6)-1)^2+8*($BM62/(Total_Lanes-BV$6))/(Peak_Time_Mor*$N47*(Total_Lanes-BV$6)))),"-")</f>
        <v>744.494908407065</v>
      </c>
      <c r="BW62" s="445" t="n">
        <f aca="false">IF(BW$6&lt;Total_Lanes,900*Peak_Time_Mor*($BM62/(Total_Lanes-BW$6)-1+SQRT(($BM62/(Total_Lanes-BW$6)-1)^2+8*($BM62/(Total_Lanes-BW$6))/(Peak_Time_Mor*$N47*(Total_Lanes-BW$6)))),"-")</f>
        <v>2904.70282309128</v>
      </c>
      <c r="BX62" s="515" t="n">
        <f aca="false">IF(BX$6&lt;Total_Lanes,900*Peak_Time_Mor*($BM62/(Total_Lanes-BX$6)-1+SQRT(($BM62/(Total_Lanes-BX$6)-1)^2+8*($BM62/(Total_Lanes-BX$6))/(Peak_Time_Mor*$N47*(Total_Lanes-BX$6)))),"-")</f>
        <v>9403.65725073473</v>
      </c>
      <c r="BY62" s="445" t="str">
        <f aca="false">IF(BY$6&lt;Total_Lanes,900*Peak_Time_Mor*($BM62/(Total_Lanes-BY$6)-1+SQRT(($BM62/(Total_Lanes-BY$6)-1)^2+8*($BM62/(Total_Lanes-BY$6))/(Peak_Time_Mor*$N47*(Total_Lanes-BY$6)))),"-")</f>
        <v>-</v>
      </c>
      <c r="BZ62" s="445" t="str">
        <f aca="false">IF(BZ$6&lt;Total_Lanes,900*Peak_Time_Mor*($BM62/(Total_Lanes-BZ$6)-1+SQRT(($BM62/(Total_Lanes-BZ$6)-1)^2+8*($BM62/(Total_Lanes-BZ$6))/(Peak_Time_Mor*$N47*(Total_Lanes-BZ$6)))),"-")</f>
        <v>-</v>
      </c>
      <c r="CA62" s="445" t="str">
        <f aca="false">IF(CA$6&lt;Total_Lanes,900*Peak_Time_Mor*($BM62/(Total_Lanes-CA$6)-1+SQRT(($BM62/(Total_Lanes-CA$6)-1)^2+8*($BM62/(Total_Lanes-CA$6))/(Peak_Time_Mor*$N47*(Total_Lanes-CA$6)))),"-")</f>
        <v>-</v>
      </c>
      <c r="CB62" s="445" t="str">
        <f aca="false">IF(CB$6&lt;Total_Lanes,900*Peak_Time_Mor*($BM62/(Total_Lanes-CB$6)-1+SQRT(($BM62/(Total_Lanes-CB$6)-1)^2+8*($BM62/(Total_Lanes-CB$6))/(Peak_Time_Mor*$N47*(Total_Lanes-CB$6)))),"-")</f>
        <v>-</v>
      </c>
      <c r="CC62" s="445" t="str">
        <f aca="false">IF(CC$6&lt;Total_Lanes,900*Peak_Time_Mor*($BM62/(Total_Lanes-CC$6)-1+SQRT(($BM62/(Total_Lanes-CC$6)-1)^2+8*($BM62/(Total_Lanes-CC$6))/(Peak_Time_Mor*$N47*(Total_Lanes-CC$6)))),"-")</f>
        <v>-</v>
      </c>
      <c r="CD62" s="445" t="str">
        <f aca="false">IF(CD$6&lt;Total_Lanes,900*Peak_Time_Mor*($BM62/(Total_Lanes-CD$6)-1+SQRT(($BM62/(Total_Lanes-CD$6)-1)^2+8*($BM62/(Total_Lanes-CD$6))/(Peak_Time_Mor*$N47*(Total_Lanes-CD$6)))),"-")</f>
        <v>-</v>
      </c>
      <c r="CE62" s="445" t="str">
        <f aca="false">IF(CE$6&lt;Total_Lanes,900*Peak_Time_Mor*($BM62/(Total_Lanes-CE$6)-1+SQRT(($BM62/(Total_Lanes-CE$6)-1)^2+8*($BM62/(Total_Lanes-CE$6))/(Peak_Time_Mor*$N47*(Total_Lanes-CE$6)))),"-")</f>
        <v>-</v>
      </c>
      <c r="CF62" s="445" t="str">
        <f aca="false">IF(CF$6&lt;Total_Lanes,900*Peak_Time_Mor*($BM62/(Total_Lanes-CF$6)-1+SQRT(($BM62/(Total_Lanes-CF$6)-1)^2+8*($BM62/(Total_Lanes-CF$6))/(Peak_Time_Mor*$N47*(Total_Lanes-CF$6)))),"-")</f>
        <v>-</v>
      </c>
      <c r="CG62" s="445" t="str">
        <f aca="false">IF(CG$6&lt;Total_Lanes,900*Peak_Time_Mor*($BM62/(Total_Lanes-CG$6)-1+SQRT(($BM62/(Total_Lanes-CG$6)-1)^2+8*($BM62/(Total_Lanes-CG$6))/(Peak_Time_Mor*$N47*(Total_Lanes-CG$6)))),"-")</f>
        <v>-</v>
      </c>
      <c r="CH62" s="446" t="str">
        <f aca="false">IF(CH$6&lt;Total_Lanes,900*Peak_Time_Mor*($BM62/(Total_Lanes-CH$6)-1+SQRT(($BM62/(Total_Lanes-CH$6)-1)^2+8*($BM62/(Total_Lanes-CH$6))/(Peak_Time_Mor*$N47*(Total_Lanes-CH$6)))),"-")</f>
        <v>-</v>
      </c>
      <c r="CI62" s="519" t="n">
        <f aca="false">3600/N47</f>
        <v>6.72375</v>
      </c>
      <c r="CK62" s="400" t="n">
        <v>7</v>
      </c>
      <c r="CL62" s="402" t="n">
        <f aca="false">$Y62</f>
        <v>0.3465</v>
      </c>
      <c r="CM62" s="427" t="n">
        <f aca="false">$AD62</f>
        <v>2957.31747008191</v>
      </c>
      <c r="CN62" s="427" t="n">
        <f aca="false">CM62*CL62</f>
        <v>1024.71050338338</v>
      </c>
      <c r="CO62" s="440" t="n">
        <f aca="false">CN62/O47</f>
        <v>0.683140335588922</v>
      </c>
      <c r="CP62" s="445" t="n">
        <f aca="false">IF(CP$54&lt;Total_Lanes,900*Peak_Time_Mor*($CO62/CP$54-1+SQRT(($CO62/CP$54-1)^2+8*($CO62/CP$54)/(Peak_Time_Mor*$O47*CP$54))),"-")</f>
        <v>5.15107022218534</v>
      </c>
      <c r="CQ62" s="445" t="n">
        <f aca="false">IF(CQ$54&lt;Total_Lanes,900*Peak_Time_Mor*($CO62/CQ$54-1+SQRT(($CO62/CQ$54-1)^2+8*($CO62/CQ$54)/(Peak_Time_Mor*$O47*CQ$54))),"-")</f>
        <v>0.622354260212443</v>
      </c>
      <c r="CR62" s="445" t="n">
        <f aca="false">IF(CR$54&lt;Total_Lanes,900*Peak_Time_Mor*($CO62/CR$54-1+SQRT(($CO62/CR$54-1)^2+8*($CO62/CR$54)/(Peak_Time_Mor*$O47*CR$54))),"-")</f>
        <v>0.235864915191009</v>
      </c>
      <c r="CS62" s="445" t="n">
        <f aca="false">IF(CS$54&lt;Total_Lanes,900*Peak_Time_Mor*($CO62/CS$54-1+SQRT(($CO62/CS$54-1)^2+8*($CO62/CS$54)/(Peak_Time_Mor*$O47*CS$54))),"-")</f>
        <v>0.123570870167145</v>
      </c>
      <c r="CT62" s="445" t="n">
        <f aca="false">IF(CT$54&lt;Total_Lanes,900*Peak_Time_Mor*($CO62/CT$54-1+SQRT(($CO62/CT$54-1)^2+8*($CO62/CT$54)/(Peak_Time_Mor*$O47*CT$54))),"-")</f>
        <v>0.0759578427949714</v>
      </c>
      <c r="CU62" s="445" t="n">
        <f aca="false">IF(CU$54&lt;Total_Lanes,900*Peak_Time_Mor*($CO62/CU$54-1+SQRT(($CO62/CU$54-1)^2+8*($CO62/CU$54)/(Peak_Time_Mor*$O47*CU$54))),"-")</f>
        <v>0.051393444502712</v>
      </c>
      <c r="CV62" s="445" t="n">
        <f aca="false">IF(CV$54&lt;Total_Lanes,900*Peak_Time_Mor*($CO62/CV$54-1+SQRT(($CO62/CV$54-1)^2+8*($CO62/CV$54)/(Peak_Time_Mor*$O47*CV$54))),"-")</f>
        <v>0.0370780550598582</v>
      </c>
      <c r="CW62" s="445" t="n">
        <f aca="false">IF(CW$54&lt;Total_Lanes,900*Peak_Time_Mor*($CO62/CW$54-1+SQRT(($CO62/CW$54-1)^2+8*($CO62/CW$54)/(Peak_Time_Mor*$O47*CW$54))),"-")</f>
        <v>0.0280093327865272</v>
      </c>
      <c r="CX62" s="445" t="n">
        <f aca="false">IF(CX$54&lt;Total_Lanes,900*Peak_Time_Mor*($CO62/CX$54-1+SQRT(($CO62/CX$54-1)^2+8*($CO62/CX$54)/(Peak_Time_Mor*$O47*CX$54))),"-")</f>
        <v>0.0219036468191103</v>
      </c>
      <c r="CY62" s="445" t="n">
        <f aca="false">IF(CY$54&lt;Total_Lanes,900*Peak_Time_Mor*($CO62/CY$54-1+SQRT(($CO62/CY$54-1)^2+8*($CO62/CY$54)/(Peak_Time_Mor*$O47*CY$54))),"-")</f>
        <v>0.0175974337120133</v>
      </c>
      <c r="CZ62" s="445" t="n">
        <f aca="false">IF(CZ$54&lt;Total_Lanes,900*Peak_Time_Mor*($CO62/CZ$54-1+SQRT(($CO62/CZ$54-1)^2+8*($CO62/CZ$54)/(Peak_Time_Mor*$O47*CZ$54))),"-")</f>
        <v>0.0144470476088232</v>
      </c>
      <c r="DA62" s="445" t="str">
        <f aca="false">IF(DA$54&lt;Total_Lanes,900*Peak_Time_Mor*($CO62/DA$54-1+SQRT(($CO62/DA$54-1)^2+8*($CO62/DA$54)/(Peak_Time_Mor*$O47*DA$54))),"-")</f>
        <v>-</v>
      </c>
      <c r="DB62" s="445" t="str">
        <f aca="false">IF(DB$54&lt;Total_Lanes,900*Peak_Time_Mor*($CO62/DB$54-1+SQRT(($CO62/DB$54-1)^2+8*($CO62/DB$54)/(Peak_Time_Mor*$O47*DB$54))),"-")</f>
        <v>-</v>
      </c>
      <c r="DC62" s="445" t="str">
        <f aca="false">IF(DC$54&lt;Total_Lanes,900*Peak_Time_Mor*($CO62/DC$54-1+SQRT(($CO62/DC$54-1)^2+8*($CO62/DC$54)/(Peak_Time_Mor*$O47*DC$54))),"-")</f>
        <v>-</v>
      </c>
      <c r="DD62" s="445" t="str">
        <f aca="false">IF(DD$54&lt;Total_Lanes,900*Peak_Time_Mor*($CO62/DD$54-1+SQRT(($CO62/DD$54-1)^2+8*($CO62/DD$54)/(Peak_Time_Mor*$O47*DD$54))),"-")</f>
        <v>-</v>
      </c>
      <c r="DE62" s="445" t="str">
        <f aca="false">IF(DE$54&lt;Total_Lanes,900*Peak_Time_Mor*($CO62/DE$54-1+SQRT(($CO62/DE$54-1)^2+8*($CO62/DE$54)/(Peak_Time_Mor*$O47*DE$54))),"-")</f>
        <v>-</v>
      </c>
      <c r="DF62" s="445" t="str">
        <f aca="false">IF(DF$54&lt;Total_Lanes,900*Peak_Time_Mor*($CO62/DF$54-1+SQRT(($CO62/DF$54-1)^2+8*($CO62/DF$54)/(Peak_Time_Mor*$O47*DF$54))),"-")</f>
        <v>-</v>
      </c>
      <c r="DG62" s="445" t="str">
        <f aca="false">IF(DG$54&lt;Total_Lanes,900*Peak_Time_Mor*($CO62/DG$54-1+SQRT(($CO62/DG$54-1)^2+8*($CO62/DG$54)/(Peak_Time_Mor*$O47*DG$54))),"-")</f>
        <v>-</v>
      </c>
      <c r="DH62" s="445" t="str">
        <f aca="false">IF(DH$54&lt;Total_Lanes,900*Peak_Time_Mor*($CO62/DH$54-1+SQRT(($CO62/DH$54-1)^2+8*($CO62/DH$54)/(Peak_Time_Mor*$O47*DH$54))),"-")</f>
        <v>-</v>
      </c>
      <c r="DI62" s="445" t="str">
        <f aca="false">IF(DI$54&lt;Total_Lanes,900*Peak_Time_Mor*($CO62/DI$54-1+SQRT(($CO62/DI$54-1)^2+8*($CO62/DI$54)/(Peak_Time_Mor*$O47*DI$54))),"-")</f>
        <v>-</v>
      </c>
      <c r="DJ62" s="446" t="str">
        <f aca="false">IF(DJ$54&lt;Total_Lanes,900*Peak_Time_Mor*($CO62/DJ$54-1+SQRT(($CO62/DJ$54-1)^2+8*($CO62/DJ$54)/(Peak_Time_Mor*$O47*DJ$54))),"-")</f>
        <v>-</v>
      </c>
      <c r="DK62" s="519" t="n">
        <f aca="false">3600/$O47</f>
        <v>2.4</v>
      </c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</row>
    <row r="63" customFormat="false" ht="13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400" t="n">
        <v>8</v>
      </c>
      <c r="X63" s="401" t="n">
        <f aca="false">X15</f>
        <v>23409703.8</v>
      </c>
      <c r="Y63" s="402" t="n">
        <f aca="false">Y15</f>
        <v>0.396</v>
      </c>
      <c r="Z63" s="401" t="n">
        <f aca="false">Z15</f>
        <v>10094.5427431692</v>
      </c>
      <c r="AA63" s="409" t="n">
        <f aca="false">X63/Z63</f>
        <v>2319.04548780488</v>
      </c>
      <c r="AB63" s="518" t="n">
        <f aca="false">AB15</f>
        <v>2</v>
      </c>
      <c r="AC63" s="435" t="n">
        <f aca="false">1-AC15</f>
        <v>0.3</v>
      </c>
      <c r="AD63" s="405" t="n">
        <f aca="false">Z63*AC63</f>
        <v>3028.36282295076</v>
      </c>
      <c r="AE63" s="427" t="n">
        <f aca="false">Peak_Time_Mor*$BI63*(CI63+BL63)/3600</f>
        <v>11.7035553296497</v>
      </c>
      <c r="AF63" s="413" t="n">
        <f aca="false">IF(AF$54&lt;Total_Lanes,($BJ63*($CI63+BN63)+$CN63*CP63)*Peak_Time_Mor/3600,"-")</f>
        <v>13.429241972295</v>
      </c>
      <c r="AG63" s="413" t="n">
        <f aca="false">IF(AG$54&lt;Total_Lanes,($BJ63*($CI63+BO63)+$CN63*CQ63)*Peak_Time_Mor/3600,"-")</f>
        <v>7.74370615386412</v>
      </c>
      <c r="AH63" s="413" t="n">
        <f aca="false">IF(AH$54&lt;Total_Lanes,($BJ63*($CI63+BP63)+$CN63*CR63)*Peak_Time_Mor/3600,"-")</f>
        <v>7.51602025242135</v>
      </c>
      <c r="AI63" s="413" t="n">
        <f aca="false">IF(AI$54&lt;Total_Lanes,($BJ63*($CI63+BQ63)+$CN63*CS63)*Peak_Time_Mor/3600,"-")</f>
        <v>7.59590336926924</v>
      </c>
      <c r="AJ63" s="413" t="n">
        <f aca="false">IF(AJ$54&lt;Total_Lanes,($BJ63*($CI63+BR63)+$CN63*CT63)*Peak_Time_Mor/3600,"-")</f>
        <v>7.85375236770071</v>
      </c>
      <c r="AK63" s="413" t="n">
        <f aca="false">IF(AK$54&lt;Total_Lanes,($BJ63*($CI63+BS63)+$CN63*CU63)*Peak_Time_Mor/3600,"-")</f>
        <v>8.41525834109027</v>
      </c>
      <c r="AL63" s="413" t="n">
        <f aca="false">IF(AL$54&lt;Total_Lanes,($BJ63*($CI63+BT63)+$CN63*CV63)*Peak_Time_Mor/3600,"-")</f>
        <v>9.86267372893219</v>
      </c>
      <c r="AM63" s="413" t="n">
        <f aca="false">IF(AM$54&lt;Total_Lanes,($BJ63*($CI63+BU63)+$CN63*CW63)*Peak_Time_Mor/3600,"-")</f>
        <v>16.9333470255193</v>
      </c>
      <c r="AN63" s="413" t="n">
        <f aca="false">IF(AN$54&lt;Total_Lanes,($BJ63*($CI63+BV63)+$CN63*CX63)*Peak_Time_Mor/3600,"-")</f>
        <v>545.392224045874</v>
      </c>
      <c r="AO63" s="413" t="n">
        <f aca="false">IF(AO$54&lt;Total_Lanes,($BJ63*($CI63+BW63)+$CN63*CY63)*Peak_Time_Mor/3600,"-")</f>
        <v>2625.38954918912</v>
      </c>
      <c r="AP63" s="413" t="n">
        <f aca="false">IF(AP$54&lt;Total_Lanes,($BJ63*($CI63+BX63)+$CN63*CZ63)*Peak_Time_Mor/3600,"-")</f>
        <v>8895.43006154194</v>
      </c>
      <c r="AQ63" s="413" t="str">
        <f aca="false">IF(AQ$54&lt;Total_Lanes,($BJ63*($CI63+BY63)+$CN63*DA63)*Peak_Time_Mor/3600,"-")</f>
        <v>-</v>
      </c>
      <c r="AR63" s="413" t="str">
        <f aca="false">IF(AR$54&lt;Total_Lanes,($BJ63*($CI63+BZ63)+$CN63*DB63)*Peak_Time_Mor/3600,"-")</f>
        <v>-</v>
      </c>
      <c r="AS63" s="413" t="str">
        <f aca="false">IF(AS$54&lt;Total_Lanes,($BJ63*($CI63+CA63)+$CN63*DC63)*Peak_Time_Mor/3600,"-")</f>
        <v>-</v>
      </c>
      <c r="AT63" s="413" t="str">
        <f aca="false">IF(AT$54&lt;Total_Lanes,($BJ63*($CI63+CB63)+$CN63*DD63)*Peak_Time_Mor/3600,"-")</f>
        <v>-</v>
      </c>
      <c r="AU63" s="413" t="str">
        <f aca="false">IF(AU$54&lt;Total_Lanes,($BJ63*($CI63+CC63)+$CN63*DE63)*Peak_Time_Mor/3600,"-")</f>
        <v>-</v>
      </c>
      <c r="AV63" s="413" t="str">
        <f aca="false">IF(AV$54&lt;Total_Lanes,($BJ63*($CI63+CD63)+$CN63*DF63)*Peak_Time_Mor/3600,"-")</f>
        <v>-</v>
      </c>
      <c r="AW63" s="413" t="str">
        <f aca="false">IF(AW$54&lt;Total_Lanes,($BJ63*($CI63+CE63)+$CN63*DG63)*Peak_Time_Mor/3600,"-")</f>
        <v>-</v>
      </c>
      <c r="AX63" s="413" t="str">
        <f aca="false">IF(AX$54&lt;Total_Lanes,($BJ63*($CI63+CF63)+$CN63*DH63)*Peak_Time_Mor/3600,"-")</f>
        <v>-</v>
      </c>
      <c r="AY63" s="413" t="str">
        <f aca="false">IF(AY$54&lt;Total_Lanes,($BJ63*($CI63+CG63)+$CN63*DI63)*Peak_Time_Mor/3600,"-")</f>
        <v>-</v>
      </c>
      <c r="AZ63" s="414" t="str">
        <f aca="false">IF(AZ$54&lt;Total_Lanes,($BJ63*($CI63+CH63)+$CN63*DJ63)*Peak_Time_Mor/3600,"-")</f>
        <v>-</v>
      </c>
      <c r="BA63" s="436" t="n">
        <f aca="false">SUMIF(AF63:AZ63,BB63,$AF$54:$AZ$54)</f>
        <v>3</v>
      </c>
      <c r="BB63" s="437" t="n">
        <f aca="false">MIN(AF63:AZ63)</f>
        <v>7.51602025242135</v>
      </c>
      <c r="BC63" s="436" t="n">
        <f aca="false">IF((SUMIF($BN61:$CH61,$BA63,$BN63:$CH63)+$CI63)&lt;(SUMIF($CP61:$DJ61,$BA63,$CP63:$DJ63)+$DK63),BA63+1,BA63)</f>
        <v>3</v>
      </c>
      <c r="BD63" s="437" t="n">
        <f aca="false">SUMIF($AF$54:$AZ$54,$BC63,$AF63:$AZ63)</f>
        <v>7.51602025242135</v>
      </c>
      <c r="BG63" s="400" t="n">
        <v>8</v>
      </c>
      <c r="BH63" s="402" t="n">
        <f aca="false">$Y63</f>
        <v>0.396</v>
      </c>
      <c r="BI63" s="411" t="n">
        <f aca="false">$AD63</f>
        <v>3028.36282295076</v>
      </c>
      <c r="BJ63" s="412" t="n">
        <f aca="false">BI63*(1-BH63)</f>
        <v>1829.13114506226</v>
      </c>
      <c r="BK63" s="420" t="n">
        <f aca="false">Peak_Arrival_Manual_Mor/K48</f>
        <v>3.34070479966232</v>
      </c>
      <c r="BL63" s="513" t="n">
        <f aca="false">900*Peak_Time_Mor*($BK63/Total_Lanes-1+SQRT(($BK63/Total_Lanes-1)^2+8*($BK63/Total_Lanes)/(Peak_Time_Mor*$K48*Total_Lanes)))</f>
        <v>0.211365807199715</v>
      </c>
      <c r="BM63" s="420" t="n">
        <f aca="false">Peak_Arrival_Manual_Mor/N48</f>
        <v>3.42708043706804</v>
      </c>
      <c r="BN63" s="514" t="n">
        <f aca="false">IF(BN$6&lt;Total_Lanes,900*Peak_Time_Mor*($BM63/(Total_Lanes-BN$6)-1+SQRT(($BM63/(Total_Lanes-BN$6)-1)^2+8*($BM63/(Total_Lanes-BN$6))/(Peak_Time_Mor*$N48*(Total_Lanes-BN$6)))),"-")</f>
        <v>0.277460781885064</v>
      </c>
      <c r="BO63" s="445" t="n">
        <f aca="false">IF(BO$6&lt;Total_Lanes,900*Peak_Time_Mor*($BM63/(Total_Lanes-BO$6)-1+SQRT(($BM63/(Total_Lanes-BO$6)-1)^2+8*($BM63/(Total_Lanes-BO$6))/(Peak_Time_Mor*$N48*(Total_Lanes-BO$6)))),"-")</f>
        <v>0.351627961068846</v>
      </c>
      <c r="BP63" s="445" t="n">
        <f aca="false">IF(BP$6&lt;Total_Lanes,900*Peak_Time_Mor*($BM63/(Total_Lanes-BP$6)-1+SQRT(($BM63/(Total_Lanes-BP$6)-1)^2+8*($BM63/(Total_Lanes-BP$6))/(Peak_Time_Mor*$N48*(Total_Lanes-BP$6)))),"-")</f>
        <v>0.460777439115301</v>
      </c>
      <c r="BQ63" s="445" t="n">
        <f aca="false">IF(BQ$6&lt;Total_Lanes,900*Peak_Time_Mor*($BM63/(Total_Lanes-BQ$6)-1+SQRT(($BM63/(Total_Lanes-BQ$6)-1)^2+8*($BM63/(Total_Lanes-BQ$6))/(Peak_Time_Mor*$N48*(Total_Lanes-BQ$6)))),"-")</f>
        <v>0.631668778552075</v>
      </c>
      <c r="BR63" s="445" t="n">
        <f aca="false">IF(BR$6&lt;Total_Lanes,900*Peak_Time_Mor*($BM63/(Total_Lanes-BR$6)-1+SQRT(($BM63/(Total_Lanes-BR$6)-1)^2+8*($BM63/(Total_Lanes-BR$6))/(Peak_Time_Mor*$N48*(Total_Lanes-BR$6)))),"-")</f>
        <v>0.923776037806867</v>
      </c>
      <c r="BS63" s="445" t="n">
        <f aca="false">IF(BS$6&lt;Total_Lanes,900*Peak_Time_Mor*($BM63/(Total_Lanes-BS$6)-1+SQRT(($BM63/(Total_Lanes-BS$6)-1)^2+8*($BM63/(Total_Lanes-BS$6))/(Peak_Time_Mor*$N48*(Total_Lanes-BS$6)))),"-")</f>
        <v>1.49591927499763</v>
      </c>
      <c r="BT63" s="445" t="n">
        <f aca="false">IF(BT$6&lt;Total_Lanes,900*Peak_Time_Mor*($BM63/(Total_Lanes-BT$6)-1+SQRT(($BM63/(Total_Lanes-BT$6)-1)^2+8*($BM63/(Total_Lanes-BT$6))/(Peak_Time_Mor*$N48*(Total_Lanes-BT$6)))),"-")</f>
        <v>2.93161519288905</v>
      </c>
      <c r="BU63" s="445" t="n">
        <f aca="false">IF(BU$6&lt;Total_Lanes,900*Peak_Time_Mor*($BM63/(Total_Lanes-BU$6)-1+SQRT(($BM63/(Total_Lanes-BU$6)-1)^2+8*($BM63/(Total_Lanes-BU$6))/(Peak_Time_Mor*$N48*(Total_Lanes-BU$6)))),"-")</f>
        <v>9.89682428122401</v>
      </c>
      <c r="BV63" s="445" t="n">
        <f aca="false">IF(BV$6&lt;Total_Lanes,900*Peak_Time_Mor*($BM63/(Total_Lanes-BV$6)-1+SQRT(($BM63/(Total_Lanes-BV$6)-1)^2+8*($BM63/(Total_Lanes-BV$6))/(Peak_Time_Mor*$N48*(Total_Lanes-BV$6)))),"-")</f>
        <v>529.944142590986</v>
      </c>
      <c r="BW63" s="445" t="n">
        <f aca="false">IF(BW$6&lt;Total_Lanes,900*Peak_Time_Mor*($BM63/(Total_Lanes-BW$6)-1+SQRT(($BM63/(Total_Lanes-BW$6)-1)^2+8*($BM63/(Total_Lanes-BW$6))/(Peak_Time_Mor*$N48*(Total_Lanes-BW$6)))),"-")</f>
        <v>2576.81834450259</v>
      </c>
      <c r="BX63" s="515" t="n">
        <f aca="false">IF(BX$6&lt;Total_Lanes,900*Peak_Time_Mor*($BM63/(Total_Lanes-BX$6)-1+SQRT(($BM63/(Total_Lanes-BX$6)-1)^2+8*($BM63/(Total_Lanes-BX$6))/(Peak_Time_Mor*$N48*(Total_Lanes-BX$6)))),"-")</f>
        <v>8747.00327368822</v>
      </c>
      <c r="BY63" s="445" t="str">
        <f aca="false">IF(BY$6&lt;Total_Lanes,900*Peak_Time_Mor*($BM63/(Total_Lanes-BY$6)-1+SQRT(($BM63/(Total_Lanes-BY$6)-1)^2+8*($BM63/(Total_Lanes-BY$6))/(Peak_Time_Mor*$N48*(Total_Lanes-BY$6)))),"-")</f>
        <v>-</v>
      </c>
      <c r="BZ63" s="445" t="str">
        <f aca="false">IF(BZ$6&lt;Total_Lanes,900*Peak_Time_Mor*($BM63/(Total_Lanes-BZ$6)-1+SQRT(($BM63/(Total_Lanes-BZ$6)-1)^2+8*($BM63/(Total_Lanes-BZ$6))/(Peak_Time_Mor*$N48*(Total_Lanes-BZ$6)))),"-")</f>
        <v>-</v>
      </c>
      <c r="CA63" s="445" t="str">
        <f aca="false">IF(CA$6&lt;Total_Lanes,900*Peak_Time_Mor*($BM63/(Total_Lanes-CA$6)-1+SQRT(($BM63/(Total_Lanes-CA$6)-1)^2+8*($BM63/(Total_Lanes-CA$6))/(Peak_Time_Mor*$N48*(Total_Lanes-CA$6)))),"-")</f>
        <v>-</v>
      </c>
      <c r="CB63" s="445" t="str">
        <f aca="false">IF(CB$6&lt;Total_Lanes,900*Peak_Time_Mor*($BM63/(Total_Lanes-CB$6)-1+SQRT(($BM63/(Total_Lanes-CB$6)-1)^2+8*($BM63/(Total_Lanes-CB$6))/(Peak_Time_Mor*$N48*(Total_Lanes-CB$6)))),"-")</f>
        <v>-</v>
      </c>
      <c r="CC63" s="445" t="str">
        <f aca="false">IF(CC$6&lt;Total_Lanes,900*Peak_Time_Mor*($BM63/(Total_Lanes-CC$6)-1+SQRT(($BM63/(Total_Lanes-CC$6)-1)^2+8*($BM63/(Total_Lanes-CC$6))/(Peak_Time_Mor*$N48*(Total_Lanes-CC$6)))),"-")</f>
        <v>-</v>
      </c>
      <c r="CD63" s="445" t="str">
        <f aca="false">IF(CD$6&lt;Total_Lanes,900*Peak_Time_Mor*($BM63/(Total_Lanes-CD$6)-1+SQRT(($BM63/(Total_Lanes-CD$6)-1)^2+8*($BM63/(Total_Lanes-CD$6))/(Peak_Time_Mor*$N48*(Total_Lanes-CD$6)))),"-")</f>
        <v>-</v>
      </c>
      <c r="CE63" s="445" t="str">
        <f aca="false">IF(CE$6&lt;Total_Lanes,900*Peak_Time_Mor*($BM63/(Total_Lanes-CE$6)-1+SQRT(($BM63/(Total_Lanes-CE$6)-1)^2+8*($BM63/(Total_Lanes-CE$6))/(Peak_Time_Mor*$N48*(Total_Lanes-CE$6)))),"-")</f>
        <v>-</v>
      </c>
      <c r="CF63" s="445" t="str">
        <f aca="false">IF(CF$6&lt;Total_Lanes,900*Peak_Time_Mor*($BM63/(Total_Lanes-CF$6)-1+SQRT(($BM63/(Total_Lanes-CF$6)-1)^2+8*($BM63/(Total_Lanes-CF$6))/(Peak_Time_Mor*$N48*(Total_Lanes-CF$6)))),"-")</f>
        <v>-</v>
      </c>
      <c r="CG63" s="445" t="str">
        <f aca="false">IF(CG$6&lt;Total_Lanes,900*Peak_Time_Mor*($BM63/(Total_Lanes-CG$6)-1+SQRT(($BM63/(Total_Lanes-CG$6)-1)^2+8*($BM63/(Total_Lanes-CG$6))/(Peak_Time_Mor*$N48*(Total_Lanes-CG$6)))),"-")</f>
        <v>-</v>
      </c>
      <c r="CH63" s="446" t="str">
        <f aca="false">IF(CH$6&lt;Total_Lanes,900*Peak_Time_Mor*($BM63/(Total_Lanes-CH$6)-1+SQRT(($BM63/(Total_Lanes-CH$6)-1)^2+8*($BM63/(Total_Lanes-CH$6))/(Peak_Time_Mor*$N48*(Total_Lanes-CH$6)))),"-")</f>
        <v>-</v>
      </c>
      <c r="CI63" s="519" t="n">
        <f aca="false">3600/N48</f>
        <v>6.745</v>
      </c>
      <c r="CK63" s="400" t="n">
        <v>8</v>
      </c>
      <c r="CL63" s="402" t="n">
        <f aca="false">$Y63</f>
        <v>0.396</v>
      </c>
      <c r="CM63" s="427" t="n">
        <f aca="false">$AD63</f>
        <v>3028.36282295076</v>
      </c>
      <c r="CN63" s="427" t="n">
        <f aca="false">CM63*CL63</f>
        <v>1199.2316778885</v>
      </c>
      <c r="CO63" s="440" t="n">
        <f aca="false">CN63/O48</f>
        <v>0.799487785259001</v>
      </c>
      <c r="CP63" s="445" t="n">
        <f aca="false">IF(CP$54&lt;Total_Lanes,900*Peak_Time_Mor*($CO63/CP$54-1+SQRT(($CO63/CP$54-1)^2+8*($CO63/CP$54)/(Peak_Time_Mor*$O48*CP$54))),"-")</f>
        <v>9.44574265995991</v>
      </c>
      <c r="CQ63" s="445" t="n">
        <f aca="false">IF(CQ$54&lt;Total_Lanes,900*Peak_Time_Mor*($CO63/CQ$54-1+SQRT(($CO63/CQ$54-1)^2+8*($CO63/CQ$54)/(Peak_Time_Mor*$O48*CQ$54))),"-")</f>
        <v>0.798851353002528</v>
      </c>
      <c r="CR63" s="445" t="n">
        <f aca="false">IF(CR$54&lt;Total_Lanes,900*Peak_Time_Mor*($CO63/CR$54-1+SQRT(($CO63/CR$54-1)^2+8*($CO63/CR$54)/(Peak_Time_Mor*$O48*CR$54))),"-")</f>
        <v>0.29062317358004</v>
      </c>
      <c r="CS63" s="445" t="n">
        <f aca="false">IF(CS$54&lt;Total_Lanes,900*Peak_Time_Mor*($CO63/CS$54-1+SQRT(($CO63/CS$54-1)^2+8*($CO63/CS$54)/(Peak_Time_Mor*$O48*CS$54))),"-")</f>
        <v>0.149872170941245</v>
      </c>
      <c r="CT63" s="445" t="n">
        <f aca="false">IF(CT$54&lt;Total_Lanes,900*Peak_Time_Mor*($CO63/CT$54-1+SQRT(($CO63/CT$54-1)^2+8*($CO63/CT$54)/(Peak_Time_Mor*$O48*CT$54))),"-")</f>
        <v>0.0913561312810618</v>
      </c>
      <c r="CU63" s="445" t="n">
        <f aca="false">IF(CU$54&lt;Total_Lanes,900*Peak_Time_Mor*($CO63/CU$54-1+SQRT(($CO63/CU$54-1)^2+8*($CO63/CU$54)/(Peak_Time_Mor*$O48*CU$54))),"-")</f>
        <v>0.0614917913528412</v>
      </c>
      <c r="CV63" s="445" t="n">
        <f aca="false">IF(CV$54&lt;Total_Lanes,900*Peak_Time_Mor*($CO63/CV$54-1+SQRT(($CO63/CV$54-1)^2+8*($CO63/CV$54)/(Peak_Time_Mor*$O48*CV$54))),"-")</f>
        <v>0.0442070410242135</v>
      </c>
      <c r="CW63" s="445" t="n">
        <f aca="false">IF(CW$54&lt;Total_Lanes,900*Peak_Time_Mor*($CO63/CW$54-1+SQRT(($CO63/CW$54-1)^2+8*($CO63/CW$54)/(Peak_Time_Mor*$O48*CW$54))),"-")</f>
        <v>0.0333092789584599</v>
      </c>
      <c r="CX63" s="445" t="n">
        <f aca="false">IF(CX$54&lt;Total_Lanes,900*Peak_Time_Mor*($CO63/CX$54-1+SQRT(($CO63/CX$54-1)^2+8*($CO63/CX$54)/(Peak_Time_Mor*$O48*CX$54))),"-")</f>
        <v>0.0259977727539829</v>
      </c>
      <c r="CY63" s="445" t="n">
        <f aca="false">IF(CY$54&lt;Total_Lanes,900*Peak_Time_Mor*($CO63/CY$54-1+SQRT(($CO63/CY$54-1)^2+8*($CO63/CY$54)/(Peak_Time_Mor*$O48*CY$54))),"-")</f>
        <v>0.0208549106671896</v>
      </c>
      <c r="CZ63" s="445" t="n">
        <f aca="false">IF(CZ$54&lt;Total_Lanes,900*Peak_Time_Mor*($CO63/CZ$54-1+SQRT(($CO63/CZ$54-1)^2+8*($CO63/CZ$54)/(Peak_Time_Mor*$O48*CZ$54))),"-")</f>
        <v>0.0171003966676908</v>
      </c>
      <c r="DA63" s="445" t="str">
        <f aca="false">IF(DA$54&lt;Total_Lanes,900*Peak_Time_Mor*($CO63/DA$54-1+SQRT(($CO63/DA$54-1)^2+8*($CO63/DA$54)/(Peak_Time_Mor*$O48*DA$54))),"-")</f>
        <v>-</v>
      </c>
      <c r="DB63" s="445" t="str">
        <f aca="false">IF(DB$54&lt;Total_Lanes,900*Peak_Time_Mor*($CO63/DB$54-1+SQRT(($CO63/DB$54-1)^2+8*($CO63/DB$54)/(Peak_Time_Mor*$O48*DB$54))),"-")</f>
        <v>-</v>
      </c>
      <c r="DC63" s="445" t="str">
        <f aca="false">IF(DC$54&lt;Total_Lanes,900*Peak_Time_Mor*($CO63/DC$54-1+SQRT(($CO63/DC$54-1)^2+8*($CO63/DC$54)/(Peak_Time_Mor*$O48*DC$54))),"-")</f>
        <v>-</v>
      </c>
      <c r="DD63" s="445" t="str">
        <f aca="false">IF(DD$54&lt;Total_Lanes,900*Peak_Time_Mor*($CO63/DD$54-1+SQRT(($CO63/DD$54-1)^2+8*($CO63/DD$54)/(Peak_Time_Mor*$O48*DD$54))),"-")</f>
        <v>-</v>
      </c>
      <c r="DE63" s="445" t="str">
        <f aca="false">IF(DE$54&lt;Total_Lanes,900*Peak_Time_Mor*($CO63/DE$54-1+SQRT(($CO63/DE$54-1)^2+8*($CO63/DE$54)/(Peak_Time_Mor*$O48*DE$54))),"-")</f>
        <v>-</v>
      </c>
      <c r="DF63" s="445" t="str">
        <f aca="false">IF(DF$54&lt;Total_Lanes,900*Peak_Time_Mor*($CO63/DF$54-1+SQRT(($CO63/DF$54-1)^2+8*($CO63/DF$54)/(Peak_Time_Mor*$O48*DF$54))),"-")</f>
        <v>-</v>
      </c>
      <c r="DG63" s="445" t="str">
        <f aca="false">IF(DG$54&lt;Total_Lanes,900*Peak_Time_Mor*($CO63/DG$54-1+SQRT(($CO63/DG$54-1)^2+8*($CO63/DG$54)/(Peak_Time_Mor*$O48*DG$54))),"-")</f>
        <v>-</v>
      </c>
      <c r="DH63" s="445" t="str">
        <f aca="false">IF(DH$54&lt;Total_Lanes,900*Peak_Time_Mor*($CO63/DH$54-1+SQRT(($CO63/DH$54-1)^2+8*($CO63/DH$54)/(Peak_Time_Mor*$O48*DH$54))),"-")</f>
        <v>-</v>
      </c>
      <c r="DI63" s="445" t="str">
        <f aca="false">IF(DI$54&lt;Total_Lanes,900*Peak_Time_Mor*($CO63/DI$54-1+SQRT(($CO63/DI$54-1)^2+8*($CO63/DI$54)/(Peak_Time_Mor*$O48*DI$54))),"-")</f>
        <v>-</v>
      </c>
      <c r="DJ63" s="446" t="str">
        <f aca="false">IF(DJ$54&lt;Total_Lanes,900*Peak_Time_Mor*($CO63/DJ$54-1+SQRT(($CO63/DJ$54-1)^2+8*($CO63/DJ$54)/(Peak_Time_Mor*$O48*DJ$54))),"-")</f>
        <v>-</v>
      </c>
      <c r="DK63" s="519" t="n">
        <f aca="false">3600/$O48</f>
        <v>2.4</v>
      </c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</row>
    <row r="64" customFormat="false" ht="13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400" t="n">
        <v>9</v>
      </c>
      <c r="X64" s="401" t="n">
        <f aca="false">X16</f>
        <v>23958895.15</v>
      </c>
      <c r="Y64" s="402" t="n">
        <f aca="false">Y16</f>
        <v>0.4455</v>
      </c>
      <c r="Z64" s="401" t="n">
        <f aca="false">Z16</f>
        <v>10331.3605860653</v>
      </c>
      <c r="AA64" s="409" t="n">
        <f aca="false">X64/Z64</f>
        <v>2319.04548780488</v>
      </c>
      <c r="AB64" s="518" t="n">
        <f aca="false">AB16</f>
        <v>2</v>
      </c>
      <c r="AC64" s="435" t="n">
        <f aca="false">1-AC16</f>
        <v>0.3</v>
      </c>
      <c r="AD64" s="405" t="n">
        <f aca="false">Z64*AC64</f>
        <v>3099.4081758196</v>
      </c>
      <c r="AE64" s="427" t="n">
        <f aca="false">Peak_Time_Mor*$BI64*(CI64+BL64)/3600</f>
        <v>11.9849361822266</v>
      </c>
      <c r="AF64" s="413" t="n">
        <f aca="false">IF(AF$54&lt;Total_Lanes,($BJ64*($CI64+BN64)+$CN64*CP64)*Peak_Time_Mor/3600,"-")</f>
        <v>26.2820148726546</v>
      </c>
      <c r="AG64" s="413" t="n">
        <f aca="false">IF(AG$54&lt;Total_Lanes,($BJ64*($CI64+BO64)+$CN64*CQ64)*Peak_Time_Mor/3600,"-")</f>
        <v>7.55312231740669</v>
      </c>
      <c r="AH64" s="413" t="n">
        <f aca="false">IF(AH$54&lt;Total_Lanes,($BJ64*($CI64+BP64)+$CN64*CR64)*Peak_Time_Mor/3600,"-")</f>
        <v>7.13375673890773</v>
      </c>
      <c r="AI64" s="413" t="n">
        <f aca="false">IF(AI$54&lt;Total_Lanes,($BJ64*($CI64+BQ64)+$CN64*CS64)*Peak_Time_Mor/3600,"-")</f>
        <v>7.14465147808579</v>
      </c>
      <c r="AJ64" s="413" t="n">
        <f aca="false">IF(AJ$54&lt;Total_Lanes,($BJ64*($CI64+BR64)+$CN64*CT64)*Peak_Time_Mor/3600,"-")</f>
        <v>7.33388439324889</v>
      </c>
      <c r="AK64" s="413" t="n">
        <f aca="false">IF(AK$54&lt;Total_Lanes,($BJ64*($CI64+BS64)+$CN64*CU64)*Peak_Time_Mor/3600,"-")</f>
        <v>7.77063784639783</v>
      </c>
      <c r="AL64" s="413" t="n">
        <f aca="false">IF(AL$54&lt;Total_Lanes,($BJ64*($CI64+BT64)+$CN64*CV64)*Peak_Time_Mor/3600,"-")</f>
        <v>8.8538188697147</v>
      </c>
      <c r="AM64" s="413" t="n">
        <f aca="false">IF(AM$54&lt;Total_Lanes,($BJ64*($CI64+BU64)+$CN64*CW64)*Peak_Time_Mor/3600,"-")</f>
        <v>13.199098910061</v>
      </c>
      <c r="AN64" s="413" t="n">
        <f aca="false">IF(AN$54&lt;Total_Lanes,($BJ64*($CI64+BV64)+$CN64*CX64)*Peak_Time_Mor/3600,"-")</f>
        <v>297.582992177525</v>
      </c>
      <c r="AO64" s="413" t="n">
        <f aca="false">IF(AO$54&lt;Total_Lanes,($BJ64*($CI64+BW64)+$CN64*CY64)*Peak_Time_Mor/3600,"-")</f>
        <v>2129.13022096103</v>
      </c>
      <c r="AP64" s="413" t="n">
        <f aca="false">IF(AP$54&lt;Total_Lanes,($BJ64*($CI64+BX64)+$CN64*CZ64)*Peak_Time_Mor/3600,"-")</f>
        <v>7681.47147938461</v>
      </c>
      <c r="AQ64" s="413" t="str">
        <f aca="false">IF(AQ$54&lt;Total_Lanes,($BJ64*($CI64+BY64)+$CN64*DA64)*Peak_Time_Mor/3600,"-")</f>
        <v>-</v>
      </c>
      <c r="AR64" s="413" t="str">
        <f aca="false">IF(AR$54&lt;Total_Lanes,($BJ64*($CI64+BZ64)+$CN64*DB64)*Peak_Time_Mor/3600,"-")</f>
        <v>-</v>
      </c>
      <c r="AS64" s="413" t="str">
        <f aca="false">IF(AS$54&lt;Total_Lanes,($BJ64*($CI64+CA64)+$CN64*DC64)*Peak_Time_Mor/3600,"-")</f>
        <v>-</v>
      </c>
      <c r="AT64" s="413" t="str">
        <f aca="false">IF(AT$54&lt;Total_Lanes,($BJ64*($CI64+CB64)+$CN64*DD64)*Peak_Time_Mor/3600,"-")</f>
        <v>-</v>
      </c>
      <c r="AU64" s="413" t="str">
        <f aca="false">IF(AU$54&lt;Total_Lanes,($BJ64*($CI64+CC64)+$CN64*DE64)*Peak_Time_Mor/3600,"-")</f>
        <v>-</v>
      </c>
      <c r="AV64" s="413" t="str">
        <f aca="false">IF(AV$54&lt;Total_Lanes,($BJ64*($CI64+CD64)+$CN64*DF64)*Peak_Time_Mor/3600,"-")</f>
        <v>-</v>
      </c>
      <c r="AW64" s="413" t="str">
        <f aca="false">IF(AW$54&lt;Total_Lanes,($BJ64*($CI64+CE64)+$CN64*DG64)*Peak_Time_Mor/3600,"-")</f>
        <v>-</v>
      </c>
      <c r="AX64" s="413" t="str">
        <f aca="false">IF(AX$54&lt;Total_Lanes,($BJ64*($CI64+CF64)+$CN64*DH64)*Peak_Time_Mor/3600,"-")</f>
        <v>-</v>
      </c>
      <c r="AY64" s="413" t="str">
        <f aca="false">IF(AY$54&lt;Total_Lanes,($BJ64*($CI64+CG64)+$CN64*DI64)*Peak_Time_Mor/3600,"-")</f>
        <v>-</v>
      </c>
      <c r="AZ64" s="414" t="str">
        <f aca="false">IF(AZ$54&lt;Total_Lanes,($BJ64*($CI64+CH64)+$CN64*DJ64)*Peak_Time_Mor/3600,"-")</f>
        <v>-</v>
      </c>
      <c r="BA64" s="436" t="n">
        <f aca="false">SUMIF(AF64:AZ64,BB64,$AF$54:$AZ$54)</f>
        <v>3</v>
      </c>
      <c r="BB64" s="437" t="n">
        <f aca="false">MIN(AF64:AZ64)</f>
        <v>7.13375673890773</v>
      </c>
      <c r="BC64" s="436" t="n">
        <f aca="false">IF((SUMIF($BN62:$CH62,$BA64,$BN64:$CH64)+$CI64)&lt;(SUMIF($CP62:$DJ62,$BA64,$CP64:$DJ64)+$DK64),BA64+1,BA64)</f>
        <v>3</v>
      </c>
      <c r="BD64" s="437" t="n">
        <f aca="false">SUMIF($AF$54:$AZ$54,$BC64,$AF64:$AZ64)</f>
        <v>7.13375673890773</v>
      </c>
      <c r="BG64" s="400" t="n">
        <v>9</v>
      </c>
      <c r="BH64" s="402" t="n">
        <f aca="false">$Y64</f>
        <v>0.4455</v>
      </c>
      <c r="BI64" s="411" t="n">
        <f aca="false">$AD64</f>
        <v>3099.4081758196</v>
      </c>
      <c r="BJ64" s="412" t="n">
        <f aca="false">BI64*(1-BH64)</f>
        <v>1718.62183349197</v>
      </c>
      <c r="BK64" s="420" t="n">
        <f aca="false">Peak_Arrival_Manual_Mor/K49</f>
        <v>3.13887182089158</v>
      </c>
      <c r="BL64" s="513" t="n">
        <f aca="false">900*Peak_Time_Mor*($BK64/Total_Lanes-1+SQRT(($BK64/Total_Lanes-1)^2+8*($BK64/Total_Lanes)/(Peak_Time_Mor*$K49*Total_Lanes)))</f>
        <v>0.194074005179856</v>
      </c>
      <c r="BM64" s="420" t="n">
        <f aca="false">Peak_Arrival_Manual_Mor/N49</f>
        <v>3.23017360579585</v>
      </c>
      <c r="BN64" s="514" t="n">
        <f aca="false">IF(BN$6&lt;Total_Lanes,900*Peak_Time_Mor*($BM64/(Total_Lanes-BN$6)-1+SQRT(($BM64/(Total_Lanes-BN$6)-1)^2+8*($BM64/(Total_Lanes-BN$6))/(Peak_Time_Mor*$N49*(Total_Lanes-BN$6)))),"-")</f>
        <v>0.255697354902495</v>
      </c>
      <c r="BO64" s="445" t="n">
        <f aca="false">IF(BO$6&lt;Total_Lanes,900*Peak_Time_Mor*($BM64/(Total_Lanes-BO$6)-1+SQRT(($BM64/(Total_Lanes-BO$6)-1)^2+8*($BM64/(Total_Lanes-BO$6))/(Peak_Time_Mor*$N49*(Total_Lanes-BO$6)))),"-")</f>
        <v>0.322803959462314</v>
      </c>
      <c r="BP64" s="445" t="n">
        <f aca="false">IF(BP$6&lt;Total_Lanes,900*Peak_Time_Mor*($BM64/(Total_Lanes-BP$6)-1+SQRT(($BM64/(Total_Lanes-BP$6)-1)^2+8*($BM64/(Total_Lanes-BP$6))/(Peak_Time_Mor*$N49*(Total_Lanes-BP$6)))),"-")</f>
        <v>0.420813311658175</v>
      </c>
      <c r="BQ64" s="445" t="n">
        <f aca="false">IF(BQ$6&lt;Total_Lanes,900*Peak_Time_Mor*($BM64/(Total_Lanes-BQ$6)-1+SQRT(($BM64/(Total_Lanes-BQ$6)-1)^2+8*($BM64/(Total_Lanes-BQ$6))/(Peak_Time_Mor*$N49*(Total_Lanes-BQ$6)))),"-")</f>
        <v>0.572618664728997</v>
      </c>
      <c r="BR64" s="445" t="n">
        <f aca="false">IF(BR$6&lt;Total_Lanes,900*Peak_Time_Mor*($BM64/(Total_Lanes-BR$6)-1+SQRT(($BM64/(Total_Lanes-BR$6)-1)^2+8*($BM64/(Total_Lanes-BR$6))/(Peak_Time_Mor*$N49*(Total_Lanes-BR$6)))),"-")</f>
        <v>0.827883262925822</v>
      </c>
      <c r="BS64" s="445" t="n">
        <f aca="false">IF(BS$6&lt;Total_Lanes,900*Peak_Time_Mor*($BM64/(Total_Lanes-BS$6)-1+SQRT(($BM64/(Total_Lanes-BS$6)-1)^2+8*($BM64/(Total_Lanes-BS$6))/(Peak_Time_Mor*$N49*(Total_Lanes-BS$6)))),"-")</f>
        <v>1.31409521691337</v>
      </c>
      <c r="BT64" s="445" t="n">
        <f aca="false">IF(BT$6&lt;Total_Lanes,900*Peak_Time_Mor*($BM64/(Total_Lanes-BT$6)-1+SQRT(($BM64/(Total_Lanes-BT$6)-1)^2+8*($BM64/(Total_Lanes-BT$6))/(Peak_Time_Mor*$N49*(Total_Lanes-BT$6)))),"-")</f>
        <v>2.46509634235945</v>
      </c>
      <c r="BU64" s="445" t="n">
        <f aca="false">IF(BU$6&lt;Total_Lanes,900*Peak_Time_Mor*($BM64/(Total_Lanes-BU$6)-1+SQRT(($BM64/(Total_Lanes-BU$6)-1)^2+8*($BM64/(Total_Lanes-BU$6))/(Peak_Time_Mor*$N49*(Total_Lanes-BU$6)))),"-")</f>
        <v>7.02649736992806</v>
      </c>
      <c r="BV64" s="445" t="n">
        <f aca="false">IF(BV$6&lt;Total_Lanes,900*Peak_Time_Mor*($BM64/(Total_Lanes-BV$6)-1+SQRT(($BM64/(Total_Lanes-BV$6)-1)^2+8*($BM64/(Total_Lanes-BV$6))/(Peak_Time_Mor*$N49*(Total_Lanes-BV$6)))),"-")</f>
        <v>304.883133476451</v>
      </c>
      <c r="BW64" s="445" t="n">
        <f aca="false">IF(BW$6&lt;Total_Lanes,900*Peak_Time_Mor*($BM64/(Total_Lanes-BW$6)-1+SQRT(($BM64/(Total_Lanes-BW$6)-1)^2+8*($BM64/(Total_Lanes-BW$6))/(Peak_Time_Mor*$N49*(Total_Lanes-BW$6)))),"-")</f>
        <v>2223.16050025545</v>
      </c>
      <c r="BX64" s="515" t="n">
        <f aca="false">IF(BX$6&lt;Total_Lanes,900*Peak_Time_Mor*($BM64/(Total_Lanes-BX$6)-1+SQRT(($BM64/(Total_Lanes-BX$6)-1)^2+8*($BM64/(Total_Lanes-BX$6))/(Peak_Time_Mor*$N49*(Total_Lanes-BX$6)))),"-")</f>
        <v>8038.41325390992</v>
      </c>
      <c r="BY64" s="445" t="str">
        <f aca="false">IF(BY$6&lt;Total_Lanes,900*Peak_Time_Mor*($BM64/(Total_Lanes-BY$6)-1+SQRT(($BM64/(Total_Lanes-BY$6)-1)^2+8*($BM64/(Total_Lanes-BY$6))/(Peak_Time_Mor*$N49*(Total_Lanes-BY$6)))),"-")</f>
        <v>-</v>
      </c>
      <c r="BZ64" s="445" t="str">
        <f aca="false">IF(BZ$6&lt;Total_Lanes,900*Peak_Time_Mor*($BM64/(Total_Lanes-BZ$6)-1+SQRT(($BM64/(Total_Lanes-BZ$6)-1)^2+8*($BM64/(Total_Lanes-BZ$6))/(Peak_Time_Mor*$N49*(Total_Lanes-BZ$6)))),"-")</f>
        <v>-</v>
      </c>
      <c r="CA64" s="445" t="str">
        <f aca="false">IF(CA$6&lt;Total_Lanes,900*Peak_Time_Mor*($BM64/(Total_Lanes-CA$6)-1+SQRT(($BM64/(Total_Lanes-CA$6)-1)^2+8*($BM64/(Total_Lanes-CA$6))/(Peak_Time_Mor*$N49*(Total_Lanes-CA$6)))),"-")</f>
        <v>-</v>
      </c>
      <c r="CB64" s="445" t="str">
        <f aca="false">IF(CB$6&lt;Total_Lanes,900*Peak_Time_Mor*($BM64/(Total_Lanes-CB$6)-1+SQRT(($BM64/(Total_Lanes-CB$6)-1)^2+8*($BM64/(Total_Lanes-CB$6))/(Peak_Time_Mor*$N49*(Total_Lanes-CB$6)))),"-")</f>
        <v>-</v>
      </c>
      <c r="CC64" s="445" t="str">
        <f aca="false">IF(CC$6&lt;Total_Lanes,900*Peak_Time_Mor*($BM64/(Total_Lanes-CC$6)-1+SQRT(($BM64/(Total_Lanes-CC$6)-1)^2+8*($BM64/(Total_Lanes-CC$6))/(Peak_Time_Mor*$N49*(Total_Lanes-CC$6)))),"-")</f>
        <v>-</v>
      </c>
      <c r="CD64" s="445" t="str">
        <f aca="false">IF(CD$6&lt;Total_Lanes,900*Peak_Time_Mor*($BM64/(Total_Lanes-CD$6)-1+SQRT(($BM64/(Total_Lanes-CD$6)-1)^2+8*($BM64/(Total_Lanes-CD$6))/(Peak_Time_Mor*$N49*(Total_Lanes-CD$6)))),"-")</f>
        <v>-</v>
      </c>
      <c r="CE64" s="445" t="str">
        <f aca="false">IF(CE$6&lt;Total_Lanes,900*Peak_Time_Mor*($BM64/(Total_Lanes-CE$6)-1+SQRT(($BM64/(Total_Lanes-CE$6)-1)^2+8*($BM64/(Total_Lanes-CE$6))/(Peak_Time_Mor*$N49*(Total_Lanes-CE$6)))),"-")</f>
        <v>-</v>
      </c>
      <c r="CF64" s="445" t="str">
        <f aca="false">IF(CF$6&lt;Total_Lanes,900*Peak_Time_Mor*($BM64/(Total_Lanes-CF$6)-1+SQRT(($BM64/(Total_Lanes-CF$6)-1)^2+8*($BM64/(Total_Lanes-CF$6))/(Peak_Time_Mor*$N49*(Total_Lanes-CF$6)))),"-")</f>
        <v>-</v>
      </c>
      <c r="CG64" s="445" t="str">
        <f aca="false">IF(CG$6&lt;Total_Lanes,900*Peak_Time_Mor*($BM64/(Total_Lanes-CG$6)-1+SQRT(($BM64/(Total_Lanes-CG$6)-1)^2+8*($BM64/(Total_Lanes-CG$6))/(Peak_Time_Mor*$N49*(Total_Lanes-CG$6)))),"-")</f>
        <v>-</v>
      </c>
      <c r="CH64" s="446" t="str">
        <f aca="false">IF(CH$6&lt;Total_Lanes,900*Peak_Time_Mor*($BM64/(Total_Lanes-CH$6)-1+SQRT(($BM64/(Total_Lanes-CH$6)-1)^2+8*($BM64/(Total_Lanes-CH$6))/(Peak_Time_Mor*$N49*(Total_Lanes-CH$6)))),"-")</f>
        <v>-</v>
      </c>
      <c r="CI64" s="519" t="n">
        <f aca="false">3600/N49</f>
        <v>6.76625</v>
      </c>
      <c r="CK64" s="400" t="n">
        <v>9</v>
      </c>
      <c r="CL64" s="402" t="n">
        <f aca="false">$Y64</f>
        <v>0.4455</v>
      </c>
      <c r="CM64" s="427" t="n">
        <f aca="false">$AD64</f>
        <v>3099.4081758196</v>
      </c>
      <c r="CN64" s="427" t="n">
        <f aca="false">CM64*CL64</f>
        <v>1380.78634232763</v>
      </c>
      <c r="CO64" s="440" t="n">
        <f aca="false">CN64/O49</f>
        <v>0.920524228218422</v>
      </c>
      <c r="CP64" s="445" t="n">
        <f aca="false">IF(CP$54&lt;Total_Lanes,900*Peak_Time_Mor*($CO64/CP$54-1+SQRT(($CO64/CP$54-1)^2+8*($CO64/CP$54)/(Peak_Time_Mor*$O49*CP$54))),"-")</f>
        <v>25.5213668130634</v>
      </c>
      <c r="CQ64" s="445" t="n">
        <f aca="false">IF(CQ$54&lt;Total_Lanes,900*Peak_Time_Mor*($CO64/CQ$54-1+SQRT(($CO64/CQ$54-1)^2+8*($CO64/CQ$54)/(Peak_Time_Mor*$O49*CQ$54))),"-")</f>
        <v>1.02276305501168</v>
      </c>
      <c r="CR64" s="445" t="n">
        <f aca="false">IF(CR$54&lt;Total_Lanes,900*Peak_Time_Mor*($CO64/CR$54-1+SQRT(($CO64/CR$54-1)^2+8*($CO64/CR$54)/(Peak_Time_Mor*$O49*CR$54))),"-")</f>
        <v>0.354086790216135</v>
      </c>
      <c r="CS64" s="445" t="n">
        <f aca="false">IF(CS$54&lt;Total_Lanes,900*Peak_Time_Mor*($CO64/CS$54-1+SQRT(($CO64/CS$54-1)^2+8*($CO64/CS$54)/(Peak_Time_Mor*$O49*CS$54))),"-")</f>
        <v>0.179341823300239</v>
      </c>
      <c r="CT64" s="445" t="n">
        <f aca="false">IF(CT$54&lt;Total_Lanes,900*Peak_Time_Mor*($CO64/CT$54-1+SQRT(($CO64/CT$54-1)^2+8*($CO64/CT$54)/(Peak_Time_Mor*$O49*CT$54))),"-")</f>
        <v>0.108306890901</v>
      </c>
      <c r="CU64" s="445" t="n">
        <f aca="false">IF(CU$54&lt;Total_Lanes,900*Peak_Time_Mor*($CO64/CU$54-1+SQRT(($CO64/CU$54-1)^2+8*($CO64/CU$54)/(Peak_Time_Mor*$O49*CU$54))),"-")</f>
        <v>0.0724879791377697</v>
      </c>
      <c r="CV64" s="445" t="n">
        <f aca="false">IF(CV$54&lt;Total_Lanes,900*Peak_Time_Mor*($CO64/CV$54-1+SQRT(($CO64/CV$54-1)^2+8*($CO64/CV$54)/(Peak_Time_Mor*$O49*CV$54))),"-")</f>
        <v>0.0519128751378162</v>
      </c>
      <c r="CW64" s="445" t="n">
        <f aca="false">IF(CW$54&lt;Total_Lanes,900*Peak_Time_Mor*($CO64/CW$54-1+SQRT(($CO64/CW$54-1)^2+8*($CO64/CW$54)/(Peak_Time_Mor*$O49*CW$54))),"-")</f>
        <v>0.0390076745846235</v>
      </c>
      <c r="CX64" s="445" t="n">
        <f aca="false">IF(CX$54&lt;Total_Lanes,900*Peak_Time_Mor*($CO64/CX$54-1+SQRT(($CO64/CX$54-1)^2+8*($CO64/CX$54)/(Peak_Time_Mor*$O49*CX$54))),"-")</f>
        <v>0.0303820231399188</v>
      </c>
      <c r="CY64" s="445" t="n">
        <f aca="false">IF(CY$54&lt;Total_Lanes,900*Peak_Time_Mor*($CO64/CY$54-1+SQRT(($CO64/CY$54-1)^2+8*($CO64/CY$54)/(Peak_Time_Mor*$O49*CY$54))),"-")</f>
        <v>0.0243322605530283</v>
      </c>
      <c r="CZ64" s="445" t="n">
        <f aca="false">IF(CZ$54&lt;Total_Lanes,900*Peak_Time_Mor*($CO64/CZ$54-1+SQRT(($CO64/CZ$54-1)^2+8*($CO64/CZ$54)/(Peak_Time_Mor*$O49*CZ$54))),"-")</f>
        <v>0.0199256827621674</v>
      </c>
      <c r="DA64" s="445" t="str">
        <f aca="false">IF(DA$54&lt;Total_Lanes,900*Peak_Time_Mor*($CO64/DA$54-1+SQRT(($CO64/DA$54-1)^2+8*($CO64/DA$54)/(Peak_Time_Mor*$O49*DA$54))),"-")</f>
        <v>-</v>
      </c>
      <c r="DB64" s="445" t="str">
        <f aca="false">IF(DB$54&lt;Total_Lanes,900*Peak_Time_Mor*($CO64/DB$54-1+SQRT(($CO64/DB$54-1)^2+8*($CO64/DB$54)/(Peak_Time_Mor*$O49*DB$54))),"-")</f>
        <v>-</v>
      </c>
      <c r="DC64" s="445" t="str">
        <f aca="false">IF(DC$54&lt;Total_Lanes,900*Peak_Time_Mor*($CO64/DC$54-1+SQRT(($CO64/DC$54-1)^2+8*($CO64/DC$54)/(Peak_Time_Mor*$O49*DC$54))),"-")</f>
        <v>-</v>
      </c>
      <c r="DD64" s="445" t="str">
        <f aca="false">IF(DD$54&lt;Total_Lanes,900*Peak_Time_Mor*($CO64/DD$54-1+SQRT(($CO64/DD$54-1)^2+8*($CO64/DD$54)/(Peak_Time_Mor*$O49*DD$54))),"-")</f>
        <v>-</v>
      </c>
      <c r="DE64" s="445" t="str">
        <f aca="false">IF(DE$54&lt;Total_Lanes,900*Peak_Time_Mor*($CO64/DE$54-1+SQRT(($CO64/DE$54-1)^2+8*($CO64/DE$54)/(Peak_Time_Mor*$O49*DE$54))),"-")</f>
        <v>-</v>
      </c>
      <c r="DF64" s="445" t="str">
        <f aca="false">IF(DF$54&lt;Total_Lanes,900*Peak_Time_Mor*($CO64/DF$54-1+SQRT(($CO64/DF$54-1)^2+8*($CO64/DF$54)/(Peak_Time_Mor*$O49*DF$54))),"-")</f>
        <v>-</v>
      </c>
      <c r="DG64" s="445" t="str">
        <f aca="false">IF(DG$54&lt;Total_Lanes,900*Peak_Time_Mor*($CO64/DG$54-1+SQRT(($CO64/DG$54-1)^2+8*($CO64/DG$54)/(Peak_Time_Mor*$O49*DG$54))),"-")</f>
        <v>-</v>
      </c>
      <c r="DH64" s="445" t="str">
        <f aca="false">IF(DH$54&lt;Total_Lanes,900*Peak_Time_Mor*($CO64/DH$54-1+SQRT(($CO64/DH$54-1)^2+8*($CO64/DH$54)/(Peak_Time_Mor*$O49*DH$54))),"-")</f>
        <v>-</v>
      </c>
      <c r="DI64" s="445" t="str">
        <f aca="false">IF(DI$54&lt;Total_Lanes,900*Peak_Time_Mor*($CO64/DI$54-1+SQRT(($CO64/DI$54-1)^2+8*($CO64/DI$54)/(Peak_Time_Mor*$O49*DI$54))),"-")</f>
        <v>-</v>
      </c>
      <c r="DJ64" s="446" t="str">
        <f aca="false">IF(DJ$54&lt;Total_Lanes,900*Peak_Time_Mor*($CO64/DJ$54-1+SQRT(($CO64/DJ$54-1)^2+8*($CO64/DJ$54)/(Peak_Time_Mor*$O49*DJ$54))),"-")</f>
        <v>-</v>
      </c>
      <c r="DK64" s="519" t="n">
        <f aca="false">3600/$O49</f>
        <v>2.4</v>
      </c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</row>
    <row r="65" customFormat="false" ht="13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400" t="n">
        <v>10</v>
      </c>
      <c r="X65" s="401" t="n">
        <f aca="false">X17</f>
        <v>24508086.5</v>
      </c>
      <c r="Y65" s="402" t="n">
        <f aca="false">Y17</f>
        <v>0.495</v>
      </c>
      <c r="Z65" s="401" t="n">
        <f aca="false">Z17</f>
        <v>10568.1784289615</v>
      </c>
      <c r="AA65" s="409" t="n">
        <f aca="false">X65/Z65</f>
        <v>2319.04548780488</v>
      </c>
      <c r="AB65" s="518" t="n">
        <f aca="false">AB17</f>
        <v>2</v>
      </c>
      <c r="AC65" s="435" t="n">
        <f aca="false">1-AC17</f>
        <v>0.3</v>
      </c>
      <c r="AD65" s="405" t="n">
        <f aca="false">Z65*AC65</f>
        <v>3170.45352868845</v>
      </c>
      <c r="AE65" s="427" t="n">
        <f aca="false">Peak_Time_Mor*$BI65*(CI65+BL65)/3600</f>
        <v>12.2661771134693</v>
      </c>
      <c r="AF65" s="413" t="n">
        <f aca="false">IF(AF$54&lt;Total_Lanes,($BJ65*($CI65+BN65)+$CN65*CP65)*Peak_Time_Mor/3600,"-")</f>
        <v>189.009177923473</v>
      </c>
      <c r="AG65" s="413" t="n">
        <f aca="false">IF(AG$54&lt;Total_Lanes,($BJ65*($CI65+BO65)+$CN65*CQ65)*Peak_Time_Mor/3600,"-")</f>
        <v>7.44526920649937</v>
      </c>
      <c r="AH65" s="413" t="n">
        <f aca="false">IF(AH$54&lt;Total_Lanes,($BJ65*($CI65+BP65)+$CN65*CR65)*Peak_Time_Mor/3600,"-")</f>
        <v>6.74935439985392</v>
      </c>
      <c r="AI65" s="413" t="n">
        <f aca="false">IF(AI$54&lt;Total_Lanes,($BJ65*($CI65+BQ65)+$CN65*CS65)*Peak_Time_Mor/3600,"-")</f>
        <v>6.67991723634205</v>
      </c>
      <c r="AJ65" s="413" t="n">
        <f aca="false">IF(AJ$54&lt;Total_Lanes,($BJ65*($CI65+BR65)+$CN65*CT65)*Peak_Time_Mor/3600,"-")</f>
        <v>6.80186119571268</v>
      </c>
      <c r="AK65" s="413" t="n">
        <f aca="false">IF(AK$54&lt;Total_Lanes,($BJ65*($CI65+BS65)+$CN65*CU65)*Peak_Time_Mor/3600,"-")</f>
        <v>7.1292632174677</v>
      </c>
      <c r="AL65" s="413" t="n">
        <f aca="false">IF(AL$54&lt;Total_Lanes,($BJ65*($CI65+BT65)+$CN65*CV65)*Peak_Time_Mor/3600,"-")</f>
        <v>7.92698565891687</v>
      </c>
      <c r="AM65" s="413" t="n">
        <f aca="false">IF(AM$54&lt;Total_Lanes,($BJ65*($CI65+BU65)+$CN65*CW65)*Peak_Time_Mor/3600,"-")</f>
        <v>10.6927417675045</v>
      </c>
      <c r="AN65" s="413" t="n">
        <f aca="false">IF(AN$54&lt;Total_Lanes,($BJ65*($CI65+BV65)+$CN65*CX65)*Peak_Time_Mor/3600,"-")</f>
        <v>97.1906220554097</v>
      </c>
      <c r="AO65" s="413" t="n">
        <f aca="false">IF(AO$54&lt;Total_Lanes,($BJ65*($CI65+BW65)+$CN65*CY65)*Peak_Time_Mor/3600,"-")</f>
        <v>1645.97955133289</v>
      </c>
      <c r="AP65" s="413" t="n">
        <f aca="false">IF(AP$54&lt;Total_Lanes,($BJ65*($CI65+BX65)+$CN65*CZ65)*Peak_Time_Mor/3600,"-")</f>
        <v>6479.27294045883</v>
      </c>
      <c r="AQ65" s="413" t="str">
        <f aca="false">IF(AQ$54&lt;Total_Lanes,($BJ65*($CI65+BY65)+$CN65*DA65)*Peak_Time_Mor/3600,"-")</f>
        <v>-</v>
      </c>
      <c r="AR65" s="413" t="str">
        <f aca="false">IF(AR$54&lt;Total_Lanes,($BJ65*($CI65+BZ65)+$CN65*DB65)*Peak_Time_Mor/3600,"-")</f>
        <v>-</v>
      </c>
      <c r="AS65" s="413" t="str">
        <f aca="false">IF(AS$54&lt;Total_Lanes,($BJ65*($CI65+CA65)+$CN65*DC65)*Peak_Time_Mor/3600,"-")</f>
        <v>-</v>
      </c>
      <c r="AT65" s="413" t="str">
        <f aca="false">IF(AT$54&lt;Total_Lanes,($BJ65*($CI65+CB65)+$CN65*DD65)*Peak_Time_Mor/3600,"-")</f>
        <v>-</v>
      </c>
      <c r="AU65" s="413" t="str">
        <f aca="false">IF(AU$54&lt;Total_Lanes,($BJ65*($CI65+CC65)+$CN65*DE65)*Peak_Time_Mor/3600,"-")</f>
        <v>-</v>
      </c>
      <c r="AV65" s="413" t="str">
        <f aca="false">IF(AV$54&lt;Total_Lanes,($BJ65*($CI65+CD65)+$CN65*DF65)*Peak_Time_Mor/3600,"-")</f>
        <v>-</v>
      </c>
      <c r="AW65" s="413" t="str">
        <f aca="false">IF(AW$54&lt;Total_Lanes,($BJ65*($CI65+CE65)+$CN65*DG65)*Peak_Time_Mor/3600,"-")</f>
        <v>-</v>
      </c>
      <c r="AX65" s="413" t="str">
        <f aca="false">IF(AX$54&lt;Total_Lanes,($BJ65*($CI65+CF65)+$CN65*DH65)*Peak_Time_Mor/3600,"-")</f>
        <v>-</v>
      </c>
      <c r="AY65" s="413" t="str">
        <f aca="false">IF(AY$54&lt;Total_Lanes,($BJ65*($CI65+CG65)+$CN65*DI65)*Peak_Time_Mor/3600,"-")</f>
        <v>-</v>
      </c>
      <c r="AZ65" s="414" t="str">
        <f aca="false">IF(AZ$54&lt;Total_Lanes,($BJ65*($CI65+CH65)+$CN65*DJ65)*Peak_Time_Mor/3600,"-")</f>
        <v>-</v>
      </c>
      <c r="BA65" s="436" t="n">
        <f aca="false">SUMIF(AF65:AZ65,BB65,$AF$54:$AZ$54)</f>
        <v>4</v>
      </c>
      <c r="BB65" s="437" t="n">
        <f aca="false">MIN(AF65:AZ65)</f>
        <v>6.67991723634205</v>
      </c>
      <c r="BC65" s="436" t="n">
        <f aca="false">IF((SUMIF($BN63:$CH63,$BA65,$BN65:$CH65)+$CI65)&lt;(SUMIF($CP63:$DJ63,$BA65,$CP65:$DJ65)+$DK65),BA65+1,BA65)</f>
        <v>4</v>
      </c>
      <c r="BD65" s="437" t="n">
        <f aca="false">SUMIF($AF$54:$AZ$54,$BC65,$AF65:$AZ65)</f>
        <v>6.67991723634205</v>
      </c>
      <c r="BG65" s="400" t="n">
        <v>10</v>
      </c>
      <c r="BH65" s="402" t="n">
        <f aca="false">$Y65</f>
        <v>0.495</v>
      </c>
      <c r="BI65" s="411" t="n">
        <f aca="false">$AD65</f>
        <v>3170.45352868845</v>
      </c>
      <c r="BJ65" s="412" t="n">
        <f aca="false">BI65*(1-BH65)</f>
        <v>1601.07903198767</v>
      </c>
      <c r="BK65" s="420" t="n">
        <f aca="false">Peak_Arrival_Manual_Mor/K50</f>
        <v>2.92419295425525</v>
      </c>
      <c r="BL65" s="513" t="n">
        <f aca="false">900*Peak_Time_Mor*($BK65/Total_Lanes-1+SQRT(($BK65/Total_Lanes-1)^2+8*($BK65/Total_Lanes)/(Peak_Time_Mor*$K50*Total_Lanes)))</f>
        <v>0.176525368754854</v>
      </c>
      <c r="BM65" s="420" t="n">
        <f aca="false">Peak_Arrival_Manual_Mor/N50</f>
        <v>3.01870109156008</v>
      </c>
      <c r="BN65" s="514" t="n">
        <f aca="false">IF(BN$6&lt;Total_Lanes,900*Peak_Time_Mor*($BM65/(Total_Lanes-BN$6)-1+SQRT(($BM65/(Total_Lanes-BN$6)-1)^2+8*($BM65/(Total_Lanes-BN$6))/(Peak_Time_Mor*$N50*(Total_Lanes-BN$6)))),"-")</f>
        <v>0.233359182967496</v>
      </c>
      <c r="BO65" s="445" t="n">
        <f aca="false">IF(BO$6&lt;Total_Lanes,900*Peak_Time_Mor*($BM65/(Total_Lanes-BO$6)-1+SQRT(($BM65/(Total_Lanes-BO$6)-1)^2+8*($BM65/(Total_Lanes-BO$6))/(Peak_Time_Mor*$N50*(Total_Lanes-BO$6)))),"-")</f>
        <v>0.293456014482896</v>
      </c>
      <c r="BP65" s="445" t="n">
        <f aca="false">IF(BP$6&lt;Total_Lanes,900*Peak_Time_Mor*($BM65/(Total_Lanes-BP$6)-1+SQRT(($BM65/(Total_Lanes-BP$6)-1)^2+8*($BM65/(Total_Lanes-BP$6))/(Peak_Time_Mor*$N50*(Total_Lanes-BP$6)))),"-")</f>
        <v>0.380559759744847</v>
      </c>
      <c r="BQ65" s="445" t="n">
        <f aca="false">IF(BQ$6&lt;Total_Lanes,900*Peak_Time_Mor*($BM65/(Total_Lanes-BQ$6)-1+SQRT(($BM65/(Total_Lanes-BQ$6)-1)^2+8*($BM65/(Total_Lanes-BQ$6))/(Peak_Time_Mor*$N50*(Total_Lanes-BQ$6)))),"-")</f>
        <v>0.514041027949608</v>
      </c>
      <c r="BR65" s="445" t="n">
        <f aca="false">IF(BR$6&lt;Total_Lanes,900*Peak_Time_Mor*($BM65/(Total_Lanes-BR$6)-1+SQRT(($BM65/(Total_Lanes-BR$6)-1)^2+8*($BM65/(Total_Lanes-BR$6))/(Peak_Time_Mor*$N50*(Total_Lanes-BR$6)))),"-")</f>
        <v>0.734938962265952</v>
      </c>
      <c r="BS65" s="445" t="n">
        <f aca="false">IF(BS$6&lt;Total_Lanes,900*Peak_Time_Mor*($BM65/(Total_Lanes-BS$6)-1+SQRT(($BM65/(Total_Lanes-BS$6)-1)^2+8*($BM65/(Total_Lanes-BS$6))/(Peak_Time_Mor*$N50*(Total_Lanes-BS$6)))),"-")</f>
        <v>1.14470966546459</v>
      </c>
      <c r="BT65" s="445" t="n">
        <f aca="false">IF(BT$6&lt;Total_Lanes,900*Peak_Time_Mor*($BM65/(Total_Lanes-BT$6)-1+SQRT(($BM65/(Total_Lanes-BT$6)-1)^2+8*($BM65/(Total_Lanes-BT$6))/(Peak_Time_Mor*$N50*(Total_Lanes-BT$6)))),"-")</f>
        <v>2.06529287406484</v>
      </c>
      <c r="BU65" s="445" t="n">
        <f aca="false">IF(BU$6&lt;Total_Lanes,900*Peak_Time_Mor*($BM65/(Total_Lanes-BU$6)-1+SQRT(($BM65/(Total_Lanes-BU$6)-1)^2+8*($BM65/(Total_Lanes-BU$6))/(Peak_Time_Mor*$N50*(Total_Lanes-BU$6)))),"-")</f>
        <v>5.18948438383037</v>
      </c>
      <c r="BV65" s="445" t="n">
        <f aca="false">IF(BV$6&lt;Total_Lanes,900*Peak_Time_Mor*($BM65/(Total_Lanes-BV$6)-1+SQRT(($BM65/(Total_Lanes-BV$6)-1)^2+8*($BM65/(Total_Lanes-BV$6))/(Peak_Time_Mor*$N50*(Total_Lanes-BV$6)))),"-")</f>
        <v>102.443878737772</v>
      </c>
      <c r="BW65" s="445" t="n">
        <f aca="false">IF(BW$6&lt;Total_Lanes,900*Peak_Time_Mor*($BM65/(Total_Lanes-BW$6)-1+SQRT(($BM65/(Total_Lanes-BW$6)-1)^2+8*($BM65/(Total_Lanes-BW$6))/(Peak_Time_Mor*$N50*(Total_Lanes-BW$6)))),"-")</f>
        <v>1843.66405291304</v>
      </c>
      <c r="BX65" s="515" t="n">
        <f aca="false">IF(BX$6&lt;Total_Lanes,900*Peak_Time_Mor*($BM65/(Total_Lanes-BX$6)-1+SQRT(($BM65/(Total_Lanes-BX$6)-1)^2+8*($BM65/(Total_Lanes-BX$6))/(Peak_Time_Mor*$N50*(Total_Lanes-BX$6)))),"-")</f>
        <v>7277.45960403918</v>
      </c>
      <c r="BY65" s="445" t="str">
        <f aca="false">IF(BY$6&lt;Total_Lanes,900*Peak_Time_Mor*($BM65/(Total_Lanes-BY$6)-1+SQRT(($BM65/(Total_Lanes-BY$6)-1)^2+8*($BM65/(Total_Lanes-BY$6))/(Peak_Time_Mor*$N50*(Total_Lanes-BY$6)))),"-")</f>
        <v>-</v>
      </c>
      <c r="BZ65" s="445" t="str">
        <f aca="false">IF(BZ$6&lt;Total_Lanes,900*Peak_Time_Mor*($BM65/(Total_Lanes-BZ$6)-1+SQRT(($BM65/(Total_Lanes-BZ$6)-1)^2+8*($BM65/(Total_Lanes-BZ$6))/(Peak_Time_Mor*$N50*(Total_Lanes-BZ$6)))),"-")</f>
        <v>-</v>
      </c>
      <c r="CA65" s="445" t="str">
        <f aca="false">IF(CA$6&lt;Total_Lanes,900*Peak_Time_Mor*($BM65/(Total_Lanes-CA$6)-1+SQRT(($BM65/(Total_Lanes-CA$6)-1)^2+8*($BM65/(Total_Lanes-CA$6))/(Peak_Time_Mor*$N50*(Total_Lanes-CA$6)))),"-")</f>
        <v>-</v>
      </c>
      <c r="CB65" s="445" t="str">
        <f aca="false">IF(CB$6&lt;Total_Lanes,900*Peak_Time_Mor*($BM65/(Total_Lanes-CB$6)-1+SQRT(($BM65/(Total_Lanes-CB$6)-1)^2+8*($BM65/(Total_Lanes-CB$6))/(Peak_Time_Mor*$N50*(Total_Lanes-CB$6)))),"-")</f>
        <v>-</v>
      </c>
      <c r="CC65" s="445" t="str">
        <f aca="false">IF(CC$6&lt;Total_Lanes,900*Peak_Time_Mor*($BM65/(Total_Lanes-CC$6)-1+SQRT(($BM65/(Total_Lanes-CC$6)-1)^2+8*($BM65/(Total_Lanes-CC$6))/(Peak_Time_Mor*$N50*(Total_Lanes-CC$6)))),"-")</f>
        <v>-</v>
      </c>
      <c r="CD65" s="445" t="str">
        <f aca="false">IF(CD$6&lt;Total_Lanes,900*Peak_Time_Mor*($BM65/(Total_Lanes-CD$6)-1+SQRT(($BM65/(Total_Lanes-CD$6)-1)^2+8*($BM65/(Total_Lanes-CD$6))/(Peak_Time_Mor*$N50*(Total_Lanes-CD$6)))),"-")</f>
        <v>-</v>
      </c>
      <c r="CE65" s="445" t="str">
        <f aca="false">IF(CE$6&lt;Total_Lanes,900*Peak_Time_Mor*($BM65/(Total_Lanes-CE$6)-1+SQRT(($BM65/(Total_Lanes-CE$6)-1)^2+8*($BM65/(Total_Lanes-CE$6))/(Peak_Time_Mor*$N50*(Total_Lanes-CE$6)))),"-")</f>
        <v>-</v>
      </c>
      <c r="CF65" s="445" t="str">
        <f aca="false">IF(CF$6&lt;Total_Lanes,900*Peak_Time_Mor*($BM65/(Total_Lanes-CF$6)-1+SQRT(($BM65/(Total_Lanes-CF$6)-1)^2+8*($BM65/(Total_Lanes-CF$6))/(Peak_Time_Mor*$N50*(Total_Lanes-CF$6)))),"-")</f>
        <v>-</v>
      </c>
      <c r="CG65" s="445" t="str">
        <f aca="false">IF(CG$6&lt;Total_Lanes,900*Peak_Time_Mor*($BM65/(Total_Lanes-CG$6)-1+SQRT(($BM65/(Total_Lanes-CG$6)-1)^2+8*($BM65/(Total_Lanes-CG$6))/(Peak_Time_Mor*$N50*(Total_Lanes-CG$6)))),"-")</f>
        <v>-</v>
      </c>
      <c r="CH65" s="446" t="str">
        <f aca="false">IF(CH$6&lt;Total_Lanes,900*Peak_Time_Mor*($BM65/(Total_Lanes-CH$6)-1+SQRT(($BM65/(Total_Lanes-CH$6)-1)^2+8*($BM65/(Total_Lanes-CH$6))/(Peak_Time_Mor*$N50*(Total_Lanes-CH$6)))),"-")</f>
        <v>-</v>
      </c>
      <c r="CI65" s="519" t="n">
        <f aca="false">3600/N50</f>
        <v>6.7875</v>
      </c>
      <c r="CK65" s="400" t="n">
        <v>10</v>
      </c>
      <c r="CL65" s="402" t="n">
        <f aca="false">$Y65</f>
        <v>0.495</v>
      </c>
      <c r="CM65" s="427" t="n">
        <f aca="false">$AD65</f>
        <v>3170.45352868845</v>
      </c>
      <c r="CN65" s="427" t="n">
        <f aca="false">CM65*CL65</f>
        <v>1569.37449670078</v>
      </c>
      <c r="CO65" s="440" t="n">
        <f aca="false">CN65/O50</f>
        <v>1.04624966446719</v>
      </c>
      <c r="CP65" s="445" t="n">
        <f aca="false">IF(CP$54&lt;Total_Lanes,900*Peak_Time_Mor*($CO65/CP$54-1+SQRT(($CO65/CP$54-1)^2+8*($CO65/CP$54)/(Peak_Time_Mor*$O50*CP$54))),"-")</f>
        <v>209.622094999921</v>
      </c>
      <c r="CQ65" s="445" t="n">
        <f aca="false">IF(CQ$54&lt;Total_Lanes,900*Peak_Time_Mor*($CO65/CQ$54-1+SQRT(($CO65/CQ$54-1)^2+8*($CO65/CQ$54)/(Peak_Time_Mor*$O50*CQ$54))),"-")</f>
        <v>1.31537397531504</v>
      </c>
      <c r="CR65" s="445" t="n">
        <f aca="false">IF(CR$54&lt;Total_Lanes,900*Peak_Time_Mor*($CO65/CR$54-1+SQRT(($CO65/CR$54-1)^2+8*($CO65/CR$54)/(Peak_Time_Mor*$O50*CR$54))),"-")</f>
        <v>0.428328445369908</v>
      </c>
      <c r="CS65" s="445" t="n">
        <f aca="false">IF(CS$54&lt;Total_Lanes,900*Peak_Time_Mor*($CO65/CS$54-1+SQRT(($CO65/CS$54-1)^2+8*($CO65/CS$54)/(Peak_Time_Mor*$O50*CS$54))),"-")</f>
        <v>0.212509369222591</v>
      </c>
      <c r="CT65" s="445" t="n">
        <f aca="false">IF(CT$54&lt;Total_Lanes,900*Peak_Time_Mor*($CO65/CT$54-1+SQRT(($CO65/CT$54-1)^2+8*($CO65/CT$54)/(Peak_Time_Mor*$O50*CT$54))),"-")</f>
        <v>0.127012934650583</v>
      </c>
      <c r="CU65" s="445" t="n">
        <f aca="false">IF(CU$54&lt;Total_Lanes,900*Peak_Time_Mor*($CO65/CU$54-1+SQRT(($CO65/CU$54-1)^2+8*($CO65/CU$54)/(Peak_Time_Mor*$O50*CU$54))),"-")</f>
        <v>0.0844790195172029</v>
      </c>
      <c r="CV65" s="445" t="n">
        <f aca="false">IF(CV$54&lt;Total_Lanes,900*Peak_Time_Mor*($CO65/CV$54-1+SQRT(($CO65/CV$54-1)^2+8*($CO65/CV$54)/(Peak_Time_Mor*$O50*CV$54))),"-")</f>
        <v>0.0602489342436119</v>
      </c>
      <c r="CW65" s="445" t="n">
        <f aca="false">IF(CW$54&lt;Total_Lanes,900*Peak_Time_Mor*($CO65/CW$54-1+SQRT(($CO65/CW$54-1)^2+8*($CO65/CW$54)/(Peak_Time_Mor*$O50*CW$54))),"-")</f>
        <v>0.0451368480006265</v>
      </c>
      <c r="CX65" s="445" t="n">
        <f aca="false">IF(CX$54&lt;Total_Lanes,900*Peak_Time_Mor*($CO65/CX$54-1+SQRT(($CO65/CX$54-1)^2+8*($CO65/CX$54)/(Peak_Time_Mor*$O50*CX$54))),"-")</f>
        <v>0.0350773940210214</v>
      </c>
      <c r="CY65" s="445" t="n">
        <f aca="false">IF(CY$54&lt;Total_Lanes,900*Peak_Time_Mor*($CO65/CY$54-1+SQRT(($CO65/CY$54-1)^2+8*($CO65/CY$54)/(Peak_Time_Mor*$O50*CY$54))),"-")</f>
        <v>0.0280438615615664</v>
      </c>
      <c r="CZ65" s="445" t="n">
        <f aca="false">IF(CZ$54&lt;Total_Lanes,900*Peak_Time_Mor*($CO65/CZ$54-1+SQRT(($CO65/CZ$54-1)^2+8*($CO65/CZ$54)/(Peak_Time_Mor*$O50*CZ$54))),"-")</f>
        <v>0.0229331698467394</v>
      </c>
      <c r="DA65" s="445" t="str">
        <f aca="false">IF(DA$54&lt;Total_Lanes,900*Peak_Time_Mor*($CO65/DA$54-1+SQRT(($CO65/DA$54-1)^2+8*($CO65/DA$54)/(Peak_Time_Mor*$O50*DA$54))),"-")</f>
        <v>-</v>
      </c>
      <c r="DB65" s="445" t="str">
        <f aca="false">IF(DB$54&lt;Total_Lanes,900*Peak_Time_Mor*($CO65/DB$54-1+SQRT(($CO65/DB$54-1)^2+8*($CO65/DB$54)/(Peak_Time_Mor*$O50*DB$54))),"-")</f>
        <v>-</v>
      </c>
      <c r="DC65" s="445" t="str">
        <f aca="false">IF(DC$54&lt;Total_Lanes,900*Peak_Time_Mor*($CO65/DC$54-1+SQRT(($CO65/DC$54-1)^2+8*($CO65/DC$54)/(Peak_Time_Mor*$O50*DC$54))),"-")</f>
        <v>-</v>
      </c>
      <c r="DD65" s="445" t="str">
        <f aca="false">IF(DD$54&lt;Total_Lanes,900*Peak_Time_Mor*($CO65/DD$54-1+SQRT(($CO65/DD$54-1)^2+8*($CO65/DD$54)/(Peak_Time_Mor*$O50*DD$54))),"-")</f>
        <v>-</v>
      </c>
      <c r="DE65" s="445" t="str">
        <f aca="false">IF(DE$54&lt;Total_Lanes,900*Peak_Time_Mor*($CO65/DE$54-1+SQRT(($CO65/DE$54-1)^2+8*($CO65/DE$54)/(Peak_Time_Mor*$O50*DE$54))),"-")</f>
        <v>-</v>
      </c>
      <c r="DF65" s="445" t="str">
        <f aca="false">IF(DF$54&lt;Total_Lanes,900*Peak_Time_Mor*($CO65/DF$54-1+SQRT(($CO65/DF$54-1)^2+8*($CO65/DF$54)/(Peak_Time_Mor*$O50*DF$54))),"-")</f>
        <v>-</v>
      </c>
      <c r="DG65" s="445" t="str">
        <f aca="false">IF(DG$54&lt;Total_Lanes,900*Peak_Time_Mor*($CO65/DG$54-1+SQRT(($CO65/DG$54-1)^2+8*($CO65/DG$54)/(Peak_Time_Mor*$O50*DG$54))),"-")</f>
        <v>-</v>
      </c>
      <c r="DH65" s="445" t="str">
        <f aca="false">IF(DH$54&lt;Total_Lanes,900*Peak_Time_Mor*($CO65/DH$54-1+SQRT(($CO65/DH$54-1)^2+8*($CO65/DH$54)/(Peak_Time_Mor*$O50*DH$54))),"-")</f>
        <v>-</v>
      </c>
      <c r="DI65" s="445" t="str">
        <f aca="false">IF(DI$54&lt;Total_Lanes,900*Peak_Time_Mor*($CO65/DI$54-1+SQRT(($CO65/DI$54-1)^2+8*($CO65/DI$54)/(Peak_Time_Mor*$O50*DI$54))),"-")</f>
        <v>-</v>
      </c>
      <c r="DJ65" s="446" t="str">
        <f aca="false">IF(DJ$54&lt;Total_Lanes,900*Peak_Time_Mor*($CO65/DJ$54-1+SQRT(($CO65/DJ$54-1)^2+8*($CO65/DJ$54)/(Peak_Time_Mor*$O50*DJ$54))),"-")</f>
        <v>-</v>
      </c>
      <c r="DK65" s="519" t="n">
        <f aca="false">3600/$O50</f>
        <v>2.4</v>
      </c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</row>
    <row r="66" customFormat="false" ht="13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400" t="n">
        <v>11</v>
      </c>
      <c r="X66" s="401" t="n">
        <f aca="false">X18</f>
        <v>25057277.85</v>
      </c>
      <c r="Y66" s="402" t="n">
        <f aca="false">Y18</f>
        <v>0.5445</v>
      </c>
      <c r="Z66" s="401" t="n">
        <f aca="false">Z18</f>
        <v>10804.9962718576</v>
      </c>
      <c r="AA66" s="409" t="n">
        <f aca="false">X66/Z66</f>
        <v>2319.04548780488</v>
      </c>
      <c r="AB66" s="518" t="n">
        <f aca="false">AB18</f>
        <v>2</v>
      </c>
      <c r="AC66" s="435" t="n">
        <f aca="false">1-AC18</f>
        <v>0.3</v>
      </c>
      <c r="AD66" s="405" t="n">
        <f aca="false">Z66*AC66</f>
        <v>3241.49888155729</v>
      </c>
      <c r="AE66" s="427" t="n">
        <f aca="false">Peak_Time_Mor*$BI66*(CI66+BL66)/3600</f>
        <v>12.5474106014637</v>
      </c>
      <c r="AF66" s="413" t="n">
        <f aca="false">IF(AF$54&lt;Total_Lanes,($BJ66*($CI66+BN66)+$CN66*CP66)*Peak_Time_Mor/3600,"-")</f>
        <v>644.679634162369</v>
      </c>
      <c r="AG66" s="413" t="n">
        <f aca="false">IF(AG$54&lt;Total_Lanes,($BJ66*($CI66+BO66)+$CN66*CQ66)*Peak_Time_Mor/3600,"-")</f>
        <v>7.48112789902152</v>
      </c>
      <c r="AH66" s="413" t="n">
        <f aca="false">IF(AH$54&lt;Total_Lanes,($BJ66*($CI66+BP66)+$CN66*CR66)*Peak_Time_Mor/3600,"-")</f>
        <v>6.37032000285763</v>
      </c>
      <c r="AI66" s="413" t="n">
        <f aca="false">IF(AI$54&lt;Total_Lanes,($BJ66*($CI66+BQ66)+$CN66*CS66)*Peak_Time_Mor/3600,"-")</f>
        <v>6.20455478659399</v>
      </c>
      <c r="AJ66" s="413" t="n">
        <f aca="false">IF(AJ$54&lt;Total_Lanes,($BJ66*($CI66+BR66)+$CN66*CT66)*Peak_Time_Mor/3600,"-")</f>
        <v>6.25931615080657</v>
      </c>
      <c r="AK66" s="413" t="n">
        <f aca="false">IF(AK$54&lt;Total_Lanes,($BJ66*($CI66+BS66)+$CN66*CU66)*Peak_Time_Mor/3600,"-")</f>
        <v>6.49077124485613</v>
      </c>
      <c r="AL66" s="413" t="n">
        <f aca="false">IF(AL$54&lt;Total_Lanes,($BJ66*($CI66+BT66)+$CN66*CV66)*Peak_Time_Mor/3600,"-")</f>
        <v>7.06455205523521</v>
      </c>
      <c r="AM66" s="413" t="n">
        <f aca="false">IF(AM$54&lt;Total_Lanes,($BJ66*($CI66+BU66)+$CN66*CW66)*Peak_Time_Mor/3600,"-")</f>
        <v>8.85338988099622</v>
      </c>
      <c r="AN66" s="413" t="n">
        <f aca="false">IF(AN$54&lt;Total_Lanes,($BJ66*($CI66+BV66)+$CN66*CX66)*Peak_Time_Mor/3600,"-")</f>
        <v>28.1901630890174</v>
      </c>
      <c r="AO66" s="413" t="n">
        <f aca="false">IF(AO$54&lt;Total_Lanes,($BJ66*($CI66+BW66)+$CN66*CY66)*Peak_Time_Mor/3600,"-")</f>
        <v>1185.55973359609</v>
      </c>
      <c r="AP66" s="413" t="n">
        <f aca="false">IF(AP$54&lt;Total_Lanes,($BJ66*($CI66+BX66)+$CN66*CZ66)*Peak_Time_Mor/3600,"-")</f>
        <v>5307.67281259197</v>
      </c>
      <c r="AQ66" s="413" t="str">
        <f aca="false">IF(AQ$54&lt;Total_Lanes,($BJ66*($CI66+BY66)+$CN66*DA66)*Peak_Time_Mor/3600,"-")</f>
        <v>-</v>
      </c>
      <c r="AR66" s="413" t="str">
        <f aca="false">IF(AR$54&lt;Total_Lanes,($BJ66*($CI66+BZ66)+$CN66*DB66)*Peak_Time_Mor/3600,"-")</f>
        <v>-</v>
      </c>
      <c r="AS66" s="413" t="str">
        <f aca="false">IF(AS$54&lt;Total_Lanes,($BJ66*($CI66+CA66)+$CN66*DC66)*Peak_Time_Mor/3600,"-")</f>
        <v>-</v>
      </c>
      <c r="AT66" s="413" t="str">
        <f aca="false">IF(AT$54&lt;Total_Lanes,($BJ66*($CI66+CB66)+$CN66*DD66)*Peak_Time_Mor/3600,"-")</f>
        <v>-</v>
      </c>
      <c r="AU66" s="413" t="str">
        <f aca="false">IF(AU$54&lt;Total_Lanes,($BJ66*($CI66+CC66)+$CN66*DE66)*Peak_Time_Mor/3600,"-")</f>
        <v>-</v>
      </c>
      <c r="AV66" s="413" t="str">
        <f aca="false">IF(AV$54&lt;Total_Lanes,($BJ66*($CI66+CD66)+$CN66*DF66)*Peak_Time_Mor/3600,"-")</f>
        <v>-</v>
      </c>
      <c r="AW66" s="413" t="str">
        <f aca="false">IF(AW$54&lt;Total_Lanes,($BJ66*($CI66+CE66)+$CN66*DG66)*Peak_Time_Mor/3600,"-")</f>
        <v>-</v>
      </c>
      <c r="AX66" s="413" t="str">
        <f aca="false">IF(AX$54&lt;Total_Lanes,($BJ66*($CI66+CF66)+$CN66*DH66)*Peak_Time_Mor/3600,"-")</f>
        <v>-</v>
      </c>
      <c r="AY66" s="413" t="str">
        <f aca="false">IF(AY$54&lt;Total_Lanes,($BJ66*($CI66+CG66)+$CN66*DI66)*Peak_Time_Mor/3600,"-")</f>
        <v>-</v>
      </c>
      <c r="AZ66" s="414" t="str">
        <f aca="false">IF(AZ$54&lt;Total_Lanes,($BJ66*($CI66+CH66)+$CN66*DJ66)*Peak_Time_Mor/3600,"-")</f>
        <v>-</v>
      </c>
      <c r="BA66" s="436" t="n">
        <f aca="false">SUMIF(AF66:AZ66,BB66,$AF$54:$AZ$54)</f>
        <v>4</v>
      </c>
      <c r="BB66" s="437" t="n">
        <f aca="false">MIN(AF66:AZ66)</f>
        <v>6.20455478659399</v>
      </c>
      <c r="BC66" s="436" t="n">
        <f aca="false">IF((SUMIF($BN64:$CH64,$BA66,$BN66:$CH66)+$CI66)&lt;(SUMIF($CP64:$DJ64,$BA66,$CP66:$DJ66)+$DK66),BA66+1,BA66)</f>
        <v>4</v>
      </c>
      <c r="BD66" s="437" t="n">
        <f aca="false">SUMIF($AF$54:$AZ$54,$BC66,$AF66:$AZ66)</f>
        <v>6.20455478659399</v>
      </c>
      <c r="BG66" s="400" t="n">
        <v>11</v>
      </c>
      <c r="BH66" s="402" t="n">
        <f aca="false">$Y66</f>
        <v>0.5445</v>
      </c>
      <c r="BI66" s="411" t="n">
        <f aca="false">$AD66</f>
        <v>3241.49888155729</v>
      </c>
      <c r="BJ66" s="412" t="n">
        <f aca="false">BI66*(1-BH66)</f>
        <v>1476.50274054935</v>
      </c>
      <c r="BK66" s="420" t="n">
        <f aca="false">Peak_Arrival_Manual_Mor/K51</f>
        <v>2.69666819975332</v>
      </c>
      <c r="BL66" s="513" t="n">
        <f aca="false">900*Peak_Time_Mor*($BK66/Total_Lanes-1+SQRT(($BK66/Total_Lanes-1)^2+8*($BK66/Total_Lanes)/(Peak_Time_Mor*$K51*Total_Lanes)))</f>
        <v>0.15881035028591</v>
      </c>
      <c r="BM66" s="420" t="n">
        <f aca="false">Peak_Arrival_Manual_Mor/N51</f>
        <v>2.79253834297649</v>
      </c>
      <c r="BN66" s="514" t="n">
        <f aca="false">IF(BN$6&lt;Total_Lanes,900*Peak_Time_Mor*($BM66/(Total_Lanes-BN$6)-1+SQRT(($BM66/(Total_Lanes-BN$6)-1)^2+8*($BM66/(Total_Lanes-BN$6))/(Peak_Time_Mor*$N51*(Total_Lanes-BN$6)))),"-")</f>
        <v>0.210586699733173</v>
      </c>
      <c r="BO66" s="445" t="n">
        <f aca="false">IF(BO$6&lt;Total_Lanes,900*Peak_Time_Mor*($BM66/(Total_Lanes-BO$6)-1+SQRT(($BM66/(Total_Lanes-BO$6)-1)^2+8*($BM66/(Total_Lanes-BO$6))/(Peak_Time_Mor*$N51*(Total_Lanes-BO$6)))),"-")</f>
        <v>0.263778894553579</v>
      </c>
      <c r="BP66" s="445" t="n">
        <f aca="false">IF(BP$6&lt;Total_Lanes,900*Peak_Time_Mor*($BM66/(Total_Lanes-BP$6)-1+SQRT(($BM66/(Total_Lanes-BP$6)-1)^2+8*($BM66/(Total_Lanes-BP$6))/(Peak_Time_Mor*$N51*(Total_Lanes-BP$6)))),"-")</f>
        <v>0.34029099956987</v>
      </c>
      <c r="BQ66" s="445" t="n">
        <f aca="false">IF(BQ$6&lt;Total_Lanes,900*Peak_Time_Mor*($BM66/(Total_Lanes-BQ$6)-1+SQRT(($BM66/(Total_Lanes-BQ$6)-1)^2+8*($BM66/(Total_Lanes-BQ$6))/(Peak_Time_Mor*$N51*(Total_Lanes-BQ$6)))),"-")</f>
        <v>0.456316218103492</v>
      </c>
      <c r="BR66" s="445" t="n">
        <f aca="false">IF(BR$6&lt;Total_Lanes,900*Peak_Time_Mor*($BM66/(Total_Lanes-BR$6)-1+SQRT(($BM66/(Total_Lanes-BR$6)-1)^2+8*($BM66/(Total_Lanes-BR$6))/(Peak_Time_Mor*$N51*(Total_Lanes-BR$6)))),"-")</f>
        <v>0.645384919498504</v>
      </c>
      <c r="BS66" s="445" t="n">
        <f aca="false">IF(BS$6&lt;Total_Lanes,900*Peak_Time_Mor*($BM66/(Total_Lanes-BS$6)-1+SQRT(($BM66/(Total_Lanes-BS$6)-1)^2+8*($BM66/(Total_Lanes-BS$6))/(Peak_Time_Mor*$N51*(Total_Lanes-BS$6)))),"-")</f>
        <v>0.987486169516516</v>
      </c>
      <c r="BT66" s="445" t="n">
        <f aca="false">IF(BT$6&lt;Total_Lanes,900*Peak_Time_Mor*($BM66/(Total_Lanes-BT$6)-1+SQRT(($BM66/(Total_Lanes-BT$6)-1)^2+8*($BM66/(Total_Lanes-BT$6))/(Peak_Time_Mor*$N51*(Total_Lanes-BT$6)))),"-")</f>
        <v>1.72081191422373</v>
      </c>
      <c r="BU66" s="445" t="n">
        <f aca="false">IF(BU$6&lt;Total_Lanes,900*Peak_Time_Mor*($BM66/(Total_Lanes-BU$6)-1+SQRT(($BM66/(Total_Lanes-BU$6)-1)^2+8*($BM66/(Total_Lanes-BU$6))/(Peak_Time_Mor*$N51*(Total_Lanes-BU$6)))),"-")</f>
        <v>3.92254929253117</v>
      </c>
      <c r="BV66" s="445" t="n">
        <f aca="false">IF(BV$6&lt;Total_Lanes,900*Peak_Time_Mor*($BM66/(Total_Lanes-BV$6)-1+SQRT(($BM66/(Total_Lanes-BV$6)-1)^2+8*($BM66/(Total_Lanes-BV$6))/(Peak_Time_Mor*$N51*(Total_Lanes-BV$6)))),"-")</f>
        <v>27.5098481956075</v>
      </c>
      <c r="BW66" s="445" t="n">
        <f aca="false">IF(BW$6&lt;Total_Lanes,900*Peak_Time_Mor*($BM66/(Total_Lanes-BW$6)-1+SQRT(($BM66/(Total_Lanes-BW$6)-1)^2+8*($BM66/(Total_Lanes-BW$6))/(Peak_Time_Mor*$N51*(Total_Lanes-BW$6)))),"-")</f>
        <v>1438.46525595478</v>
      </c>
      <c r="BX66" s="515" t="n">
        <f aca="false">IF(BX$6&lt;Total_Lanes,900*Peak_Time_Mor*($BM66/(Total_Lanes-BX$6)-1+SQRT(($BM66/(Total_Lanes-BX$6)-1)^2+8*($BM66/(Total_Lanes-BX$6))/(Peak_Time_Mor*$N51*(Total_Lanes-BX$6)))),"-")</f>
        <v>6463.72779124666</v>
      </c>
      <c r="BY66" s="445" t="str">
        <f aca="false">IF(BY$6&lt;Total_Lanes,900*Peak_Time_Mor*($BM66/(Total_Lanes-BY$6)-1+SQRT(($BM66/(Total_Lanes-BY$6)-1)^2+8*($BM66/(Total_Lanes-BY$6))/(Peak_Time_Mor*$N51*(Total_Lanes-BY$6)))),"-")</f>
        <v>-</v>
      </c>
      <c r="BZ66" s="445" t="str">
        <f aca="false">IF(BZ$6&lt;Total_Lanes,900*Peak_Time_Mor*($BM66/(Total_Lanes-BZ$6)-1+SQRT(($BM66/(Total_Lanes-BZ$6)-1)^2+8*($BM66/(Total_Lanes-BZ$6))/(Peak_Time_Mor*$N51*(Total_Lanes-BZ$6)))),"-")</f>
        <v>-</v>
      </c>
      <c r="CA66" s="445" t="str">
        <f aca="false">IF(CA$6&lt;Total_Lanes,900*Peak_Time_Mor*($BM66/(Total_Lanes-CA$6)-1+SQRT(($BM66/(Total_Lanes-CA$6)-1)^2+8*($BM66/(Total_Lanes-CA$6))/(Peak_Time_Mor*$N51*(Total_Lanes-CA$6)))),"-")</f>
        <v>-</v>
      </c>
      <c r="CB66" s="445" t="str">
        <f aca="false">IF(CB$6&lt;Total_Lanes,900*Peak_Time_Mor*($BM66/(Total_Lanes-CB$6)-1+SQRT(($BM66/(Total_Lanes-CB$6)-1)^2+8*($BM66/(Total_Lanes-CB$6))/(Peak_Time_Mor*$N51*(Total_Lanes-CB$6)))),"-")</f>
        <v>-</v>
      </c>
      <c r="CC66" s="445" t="str">
        <f aca="false">IF(CC$6&lt;Total_Lanes,900*Peak_Time_Mor*($BM66/(Total_Lanes-CC$6)-1+SQRT(($BM66/(Total_Lanes-CC$6)-1)^2+8*($BM66/(Total_Lanes-CC$6))/(Peak_Time_Mor*$N51*(Total_Lanes-CC$6)))),"-")</f>
        <v>-</v>
      </c>
      <c r="CD66" s="445" t="str">
        <f aca="false">IF(CD$6&lt;Total_Lanes,900*Peak_Time_Mor*($BM66/(Total_Lanes-CD$6)-1+SQRT(($BM66/(Total_Lanes-CD$6)-1)^2+8*($BM66/(Total_Lanes-CD$6))/(Peak_Time_Mor*$N51*(Total_Lanes-CD$6)))),"-")</f>
        <v>-</v>
      </c>
      <c r="CE66" s="445" t="str">
        <f aca="false">IF(CE$6&lt;Total_Lanes,900*Peak_Time_Mor*($BM66/(Total_Lanes-CE$6)-1+SQRT(($BM66/(Total_Lanes-CE$6)-1)^2+8*($BM66/(Total_Lanes-CE$6))/(Peak_Time_Mor*$N51*(Total_Lanes-CE$6)))),"-")</f>
        <v>-</v>
      </c>
      <c r="CF66" s="445" t="str">
        <f aca="false">IF(CF$6&lt;Total_Lanes,900*Peak_Time_Mor*($BM66/(Total_Lanes-CF$6)-1+SQRT(($BM66/(Total_Lanes-CF$6)-1)^2+8*($BM66/(Total_Lanes-CF$6))/(Peak_Time_Mor*$N51*(Total_Lanes-CF$6)))),"-")</f>
        <v>-</v>
      </c>
      <c r="CG66" s="445" t="str">
        <f aca="false">IF(CG$6&lt;Total_Lanes,900*Peak_Time_Mor*($BM66/(Total_Lanes-CG$6)-1+SQRT(($BM66/(Total_Lanes-CG$6)-1)^2+8*($BM66/(Total_Lanes-CG$6))/(Peak_Time_Mor*$N51*(Total_Lanes-CG$6)))),"-")</f>
        <v>-</v>
      </c>
      <c r="CH66" s="446" t="str">
        <f aca="false">IF(CH$6&lt;Total_Lanes,900*Peak_Time_Mor*($BM66/(Total_Lanes-CH$6)-1+SQRT(($BM66/(Total_Lanes-CH$6)-1)^2+8*($BM66/(Total_Lanes-CH$6))/(Peak_Time_Mor*$N51*(Total_Lanes-CH$6)))),"-")</f>
        <v>-</v>
      </c>
      <c r="CI66" s="519" t="n">
        <f aca="false">3600/N51</f>
        <v>6.80875</v>
      </c>
      <c r="CK66" s="400" t="n">
        <v>11</v>
      </c>
      <c r="CL66" s="402" t="n">
        <f aca="false">$Y66</f>
        <v>0.5445</v>
      </c>
      <c r="CM66" s="427" t="n">
        <f aca="false">$AD66</f>
        <v>3241.49888155729</v>
      </c>
      <c r="CN66" s="427" t="n">
        <f aca="false">CM66*CL66</f>
        <v>1764.99614100795</v>
      </c>
      <c r="CO66" s="440" t="n">
        <f aca="false">CN66/O51</f>
        <v>1.1766640940053</v>
      </c>
      <c r="CP66" s="445" t="n">
        <f aca="false">IF(CP$54&lt;Total_Lanes,900*Peak_Time_Mor*($CO66/CP$54-1+SQRT(($CO66/CP$54-1)^2+8*($CO66/CP$54)/(Peak_Time_Mor*$O51*CP$54))),"-")</f>
        <v>651.593079949454</v>
      </c>
      <c r="CQ66" s="445" t="n">
        <f aca="false">IF(CQ$54&lt;Total_Lanes,900*Peak_Time_Mor*($CO66/CQ$54-1+SQRT(($CO66/CQ$54-1)^2+8*($CO66/CQ$54)/(Peak_Time_Mor*$O51*CQ$54))),"-")</f>
        <v>1.71299067038715</v>
      </c>
      <c r="CR66" s="445" t="n">
        <f aca="false">IF(CR$54&lt;Total_Lanes,900*Peak_Time_Mor*($CO66/CR$54-1+SQRT(($CO66/CR$54-1)^2+8*($CO66/CR$54)/(Peak_Time_Mor*$O51*CR$54))),"-")</f>
        <v>0.516146951153629</v>
      </c>
      <c r="CS66" s="445" t="n">
        <f aca="false">IF(CS$54&lt;Total_Lanes,900*Peak_Time_Mor*($CO66/CS$54-1+SQRT(($CO66/CS$54-1)^2+8*($CO66/CS$54)/(Peak_Time_Mor*$O51*CS$54))),"-")</f>
        <v>0.250033654076365</v>
      </c>
      <c r="CT66" s="445" t="n">
        <f aca="false">IF(CT$54&lt;Total_Lanes,900*Peak_Time_Mor*($CO66/CT$54-1+SQRT(($CO66/CT$54-1)^2+8*($CO66/CT$54)/(Peak_Time_Mor*$O51*CT$54))),"-")</f>
        <v>0.147716149814814</v>
      </c>
      <c r="CU66" s="445" t="n">
        <f aca="false">IF(CU$54&lt;Total_Lanes,900*Peak_Time_Mor*($CO66/CU$54-1+SQRT(($CO66/CU$54-1)^2+8*($CO66/CU$54)/(Peak_Time_Mor*$O51*CU$54))),"-")</f>
        <v>0.0975776470432344</v>
      </c>
      <c r="CV66" s="445" t="n">
        <f aca="false">IF(CV$54&lt;Total_Lanes,900*Peak_Time_Mor*($CO66/CV$54-1+SQRT(($CO66/CV$54-1)^2+8*($CO66/CV$54)/(Peak_Time_Mor*$O51*CV$54))),"-")</f>
        <v>0.0692761613160675</v>
      </c>
      <c r="CW66" s="445" t="n">
        <f aca="false">IF(CW$54&lt;Total_Lanes,900*Peak_Time_Mor*($CO66/CW$54-1+SQRT(($CO66/CW$54-1)^2+8*($CO66/CW$54)/(Peak_Time_Mor*$O51*CW$54))),"-")</f>
        <v>0.0517332409936566</v>
      </c>
      <c r="CX66" s="445" t="n">
        <f aca="false">IF(CX$54&lt;Total_Lanes,900*Peak_Time_Mor*($CO66/CX$54-1+SQRT(($CO66/CX$54-1)^2+8*($CO66/CX$54)/(Peak_Time_Mor*$O51*CX$54))),"-")</f>
        <v>0.0401073242939143</v>
      </c>
      <c r="CY66" s="445" t="n">
        <f aca="false">IF(CY$54&lt;Total_Lanes,900*Peak_Time_Mor*($CO66/CY$54-1+SQRT(($CO66/CY$54-1)^2+8*($CO66/CY$54)/(Peak_Time_Mor*$O51*CY$54))),"-")</f>
        <v>0.0320056427774551</v>
      </c>
      <c r="CZ66" s="445" t="n">
        <f aca="false">IF(CZ$54&lt;Total_Lanes,900*Peak_Time_Mor*($CO66/CZ$54-1+SQRT(($CO66/CZ$54-1)^2+8*($CO66/CZ$54)/(Peak_Time_Mor*$O51*CZ$54))),"-")</f>
        <v>0.0261341592051156</v>
      </c>
      <c r="DA66" s="445" t="str">
        <f aca="false">IF(DA$54&lt;Total_Lanes,900*Peak_Time_Mor*($CO66/DA$54-1+SQRT(($CO66/DA$54-1)^2+8*($CO66/DA$54)/(Peak_Time_Mor*$O51*DA$54))),"-")</f>
        <v>-</v>
      </c>
      <c r="DB66" s="445" t="str">
        <f aca="false">IF(DB$54&lt;Total_Lanes,900*Peak_Time_Mor*($CO66/DB$54-1+SQRT(($CO66/DB$54-1)^2+8*($CO66/DB$54)/(Peak_Time_Mor*$O51*DB$54))),"-")</f>
        <v>-</v>
      </c>
      <c r="DC66" s="445" t="str">
        <f aca="false">IF(DC$54&lt;Total_Lanes,900*Peak_Time_Mor*($CO66/DC$54-1+SQRT(($CO66/DC$54-1)^2+8*($CO66/DC$54)/(Peak_Time_Mor*$O51*DC$54))),"-")</f>
        <v>-</v>
      </c>
      <c r="DD66" s="445" t="str">
        <f aca="false">IF(DD$54&lt;Total_Lanes,900*Peak_Time_Mor*($CO66/DD$54-1+SQRT(($CO66/DD$54-1)^2+8*($CO66/DD$54)/(Peak_Time_Mor*$O51*DD$54))),"-")</f>
        <v>-</v>
      </c>
      <c r="DE66" s="445" t="str">
        <f aca="false">IF(DE$54&lt;Total_Lanes,900*Peak_Time_Mor*($CO66/DE$54-1+SQRT(($CO66/DE$54-1)^2+8*($CO66/DE$54)/(Peak_Time_Mor*$O51*DE$54))),"-")</f>
        <v>-</v>
      </c>
      <c r="DF66" s="445" t="str">
        <f aca="false">IF(DF$54&lt;Total_Lanes,900*Peak_Time_Mor*($CO66/DF$54-1+SQRT(($CO66/DF$54-1)^2+8*($CO66/DF$54)/(Peak_Time_Mor*$O51*DF$54))),"-")</f>
        <v>-</v>
      </c>
      <c r="DG66" s="445" t="str">
        <f aca="false">IF(DG$54&lt;Total_Lanes,900*Peak_Time_Mor*($CO66/DG$54-1+SQRT(($CO66/DG$54-1)^2+8*($CO66/DG$54)/(Peak_Time_Mor*$O51*DG$54))),"-")</f>
        <v>-</v>
      </c>
      <c r="DH66" s="445" t="str">
        <f aca="false">IF(DH$54&lt;Total_Lanes,900*Peak_Time_Mor*($CO66/DH$54-1+SQRT(($CO66/DH$54-1)^2+8*($CO66/DH$54)/(Peak_Time_Mor*$O51*DH$54))),"-")</f>
        <v>-</v>
      </c>
      <c r="DI66" s="445" t="str">
        <f aca="false">IF(DI$54&lt;Total_Lanes,900*Peak_Time_Mor*($CO66/DI$54-1+SQRT(($CO66/DI$54-1)^2+8*($CO66/DI$54)/(Peak_Time_Mor*$O51*DI$54))),"-")</f>
        <v>-</v>
      </c>
      <c r="DJ66" s="446" t="str">
        <f aca="false">IF(DJ$54&lt;Total_Lanes,900*Peak_Time_Mor*($CO66/DJ$54-1+SQRT(($CO66/DJ$54-1)^2+8*($CO66/DJ$54)/(Peak_Time_Mor*$O51*DJ$54))),"-")</f>
        <v>-</v>
      </c>
      <c r="DK66" s="519" t="n">
        <f aca="false">3600/$O51</f>
        <v>2.4</v>
      </c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</row>
    <row r="67" customFormat="false" ht="13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400" t="n">
        <v>12</v>
      </c>
      <c r="X67" s="401" t="n">
        <f aca="false">X19</f>
        <v>25606469.2</v>
      </c>
      <c r="Y67" s="402" t="n">
        <f aca="false">Y19</f>
        <v>0.594</v>
      </c>
      <c r="Z67" s="401" t="n">
        <f aca="false">Z19</f>
        <v>11041.8141147538</v>
      </c>
      <c r="AA67" s="409" t="n">
        <f aca="false">X67/Z67</f>
        <v>2319.04548780488</v>
      </c>
      <c r="AB67" s="518" t="n">
        <f aca="false">AB19</f>
        <v>2</v>
      </c>
      <c r="AC67" s="435" t="n">
        <f aca="false">1-AC19</f>
        <v>0.3</v>
      </c>
      <c r="AD67" s="405" t="n">
        <f aca="false">Z67*AC67</f>
        <v>3312.54423442614</v>
      </c>
      <c r="AE67" s="427" t="n">
        <f aca="false">Peak_Time_Mor*$BI67*(CI67+BL67)/3600</f>
        <v>12.8287704612848</v>
      </c>
      <c r="AF67" s="413" t="n">
        <f aca="false">IF(AF$54&lt;Total_Lanes,($BJ67*($CI67+BN67)+$CN67*CP67)*Peak_Time_Mor/3600,"-")</f>
        <v>1243.0837314048</v>
      </c>
      <c r="AG67" s="413" t="n">
        <f aca="false">IF(AG$54&lt;Total_Lanes,($BJ67*($CI67+BO67)+$CN67*CQ67)*Peak_Time_Mor/3600,"-")</f>
        <v>7.77354342334309</v>
      </c>
      <c r="AH67" s="413" t="n">
        <f aca="false">IF(AH$54&lt;Total_Lanes,($BJ67*($CI67+BP67)+$CN67*CR67)*Peak_Time_Mor/3600,"-")</f>
        <v>6.00674798154872</v>
      </c>
      <c r="AI67" s="413" t="n">
        <f aca="false">IF(AI$54&lt;Total_Lanes,($BJ67*($CI67+BQ67)+$CN67*CS67)*Peak_Time_Mor/3600,"-")</f>
        <v>5.72181415338877</v>
      </c>
      <c r="AJ67" s="413" t="n">
        <f aca="false">IF(AJ$54&lt;Total_Lanes,($BJ67*($CI67+BR67)+$CN67*CT67)*Peak_Time_Mor/3600,"-")</f>
        <v>5.7077800941653</v>
      </c>
      <c r="AK67" s="413" t="n">
        <f aca="false">IF(AK$54&lt;Total_Lanes,($BJ67*($CI67+BS67)+$CN67*CU67)*Peak_Time_Mor/3600,"-")</f>
        <v>5.85451987367893</v>
      </c>
      <c r="AL67" s="413" t="n">
        <f aca="false">IF(AL$54&lt;Total_Lanes,($BJ67*($CI67+BT67)+$CN67*CV67)*Peak_Time_Mor/3600,"-")</f>
        <v>6.25230281214555</v>
      </c>
      <c r="AM67" s="413" t="n">
        <f aca="false">IF(AM$54&lt;Total_Lanes,($BJ67*($CI67+BU67)+$CN67*CW67)*Peak_Time_Mor/3600,"-")</f>
        <v>7.40968418279448</v>
      </c>
      <c r="AN67" s="413" t="n">
        <f aca="false">IF(AN$54&lt;Total_Lanes,($BJ67*($CI67+BV67)+$CN67*CX67)*Peak_Time_Mor/3600,"-")</f>
        <v>14.6091535099589</v>
      </c>
      <c r="AO67" s="413" t="n">
        <f aca="false">IF(AO$54&lt;Total_Lanes,($BJ67*($CI67+BW67)+$CN67*CY67)*Peak_Time_Mor/3600,"-")</f>
        <v>758.554611498621</v>
      </c>
      <c r="AP67" s="413" t="n">
        <f aca="false">IF(AP$54&lt;Total_Lanes,($BJ67*($CI67+BX67)+$CN67*CZ67)*Peak_Time_Mor/3600,"-")</f>
        <v>4186.87716688365</v>
      </c>
      <c r="AQ67" s="413" t="str">
        <f aca="false">IF(AQ$54&lt;Total_Lanes,($BJ67*($CI67+BY67)+$CN67*DA67)*Peak_Time_Mor/3600,"-")</f>
        <v>-</v>
      </c>
      <c r="AR67" s="413" t="str">
        <f aca="false">IF(AR$54&lt;Total_Lanes,($BJ67*($CI67+BZ67)+$CN67*DB67)*Peak_Time_Mor/3600,"-")</f>
        <v>-</v>
      </c>
      <c r="AS67" s="413" t="str">
        <f aca="false">IF(AS$54&lt;Total_Lanes,($BJ67*($CI67+CA67)+$CN67*DC67)*Peak_Time_Mor/3600,"-")</f>
        <v>-</v>
      </c>
      <c r="AT67" s="413" t="str">
        <f aca="false">IF(AT$54&lt;Total_Lanes,($BJ67*($CI67+CB67)+$CN67*DD67)*Peak_Time_Mor/3600,"-")</f>
        <v>-</v>
      </c>
      <c r="AU67" s="413" t="str">
        <f aca="false">IF(AU$54&lt;Total_Lanes,($BJ67*($CI67+CC67)+$CN67*DE67)*Peak_Time_Mor/3600,"-")</f>
        <v>-</v>
      </c>
      <c r="AV67" s="413" t="str">
        <f aca="false">IF(AV$54&lt;Total_Lanes,($BJ67*($CI67+CD67)+$CN67*DF67)*Peak_Time_Mor/3600,"-")</f>
        <v>-</v>
      </c>
      <c r="AW67" s="413" t="str">
        <f aca="false">IF(AW$54&lt;Total_Lanes,($BJ67*($CI67+CE67)+$CN67*DG67)*Peak_Time_Mor/3600,"-")</f>
        <v>-</v>
      </c>
      <c r="AX67" s="413" t="str">
        <f aca="false">IF(AX$54&lt;Total_Lanes,($BJ67*($CI67+CF67)+$CN67*DH67)*Peak_Time_Mor/3600,"-")</f>
        <v>-</v>
      </c>
      <c r="AY67" s="413" t="str">
        <f aca="false">IF(AY$54&lt;Total_Lanes,($BJ67*($CI67+CG67)+$CN67*DI67)*Peak_Time_Mor/3600,"-")</f>
        <v>-</v>
      </c>
      <c r="AZ67" s="414" t="str">
        <f aca="false">IF(AZ$54&lt;Total_Lanes,($BJ67*($CI67+CH67)+$CN67*DJ67)*Peak_Time_Mor/3600,"-")</f>
        <v>-</v>
      </c>
      <c r="BA67" s="436" t="n">
        <f aca="false">SUMIF(AF67:AZ67,BB67,$AF$54:$AZ$54)</f>
        <v>5</v>
      </c>
      <c r="BB67" s="437" t="n">
        <f aca="false">MIN(AF67:AZ67)</f>
        <v>5.7077800941653</v>
      </c>
      <c r="BC67" s="436" t="n">
        <f aca="false">IF((SUMIF($BN65:$CH65,$BA67,$BN67:$CH67)+$CI67)&lt;(SUMIF($CP65:$DJ65,$BA67,$CP67:$DJ67)+$DK67),BA67+1,BA67)</f>
        <v>5</v>
      </c>
      <c r="BD67" s="437" t="n">
        <f aca="false">SUMIF($AF$54:$AZ$54,$BC67,$AF67:$AZ67)</f>
        <v>5.7077800941653</v>
      </c>
      <c r="BG67" s="400" t="n">
        <v>12</v>
      </c>
      <c r="BH67" s="402" t="n">
        <f aca="false">$Y67</f>
        <v>0.594</v>
      </c>
      <c r="BI67" s="411" t="n">
        <f aca="false">$AD67</f>
        <v>3312.54423442614</v>
      </c>
      <c r="BJ67" s="412" t="n">
        <f aca="false">BI67*(1-BH67)</f>
        <v>1344.89295917701</v>
      </c>
      <c r="BK67" s="420" t="n">
        <f aca="false">Peak_Arrival_Manual_Mor/K52</f>
        <v>2.45629755738579</v>
      </c>
      <c r="BL67" s="513" t="n">
        <f aca="false">900*Peak_Time_Mor*($BK67/Total_Lanes-1+SQRT(($BK67/Total_Lanes-1)^2+8*($BK67/Total_Lanes)/(Peak_Time_Mor*$K52*Total_Lanes)))</f>
        <v>0.141012368779125</v>
      </c>
      <c r="BM67" s="420" t="n">
        <f aca="false">Peak_Arrival_Manual_Mor/N52</f>
        <v>2.55156080866083</v>
      </c>
      <c r="BN67" s="514" t="n">
        <f aca="false">IF(BN$6&lt;Total_Lanes,900*Peak_Time_Mor*($BM67/(Total_Lanes-BN$6)-1+SQRT(($BM67/(Total_Lanes-BN$6)-1)^2+8*($BM67/(Total_Lanes-BN$6))/(Peak_Time_Mor*$N52*(Total_Lanes-BN$6)))),"-")</f>
        <v>0.187511542798147</v>
      </c>
      <c r="BO67" s="445" t="n">
        <f aca="false">IF(BO$6&lt;Total_Lanes,900*Peak_Time_Mor*($BM67/(Total_Lanes-BO$6)-1+SQRT(($BM67/(Total_Lanes-BO$6)-1)^2+8*($BM67/(Total_Lanes-BO$6))/(Peak_Time_Mor*$N52*(Total_Lanes-BO$6)))),"-")</f>
        <v>0.233950221282186</v>
      </c>
      <c r="BP67" s="445" t="n">
        <f aca="false">IF(BP$6&lt;Total_Lanes,900*Peak_Time_Mor*($BM67/(Total_Lanes-BP$6)-1+SQRT(($BM67/(Total_Lanes-BP$6)-1)^2+8*($BM67/(Total_Lanes-BP$6))/(Peak_Time_Mor*$N52*(Total_Lanes-BP$6)))),"-")</f>
        <v>0.30024719449524</v>
      </c>
      <c r="BQ67" s="445" t="n">
        <f aca="false">IF(BQ$6&lt;Total_Lanes,900*Peak_Time_Mor*($BM67/(Total_Lanes-BQ$6)-1+SQRT(($BM67/(Total_Lanes-BQ$6)-1)^2+8*($BM67/(Total_Lanes-BQ$6))/(Peak_Time_Mor*$N52*(Total_Lanes-BQ$6)))),"-")</f>
        <v>0.399754836947164</v>
      </c>
      <c r="BR67" s="445" t="n">
        <f aca="false">IF(BR$6&lt;Total_Lanes,900*Peak_Time_Mor*($BM67/(Total_Lanes-BR$6)-1+SQRT(($BM67/(Total_Lanes-BR$6)-1)^2+8*($BM67/(Total_Lanes-BR$6))/(Peak_Time_Mor*$N52*(Total_Lanes-BR$6)))),"-")</f>
        <v>0.559518854686081</v>
      </c>
      <c r="BS67" s="445" t="n">
        <f aca="false">IF(BS$6&lt;Total_Lanes,900*Peak_Time_Mor*($BM67/(Total_Lanes-BS$6)-1+SQRT(($BM67/(Total_Lanes-BS$6)-1)^2+8*($BM67/(Total_Lanes-BS$6))/(Peak_Time_Mor*$N52*(Total_Lanes-BS$6)))),"-")</f>
        <v>0.841930261341273</v>
      </c>
      <c r="BT67" s="445" t="n">
        <f aca="false">IF(BT$6&lt;Total_Lanes,900*Peak_Time_Mor*($BM67/(Total_Lanes-BT$6)-1+SQRT(($BM67/(Total_Lanes-BT$6)-1)^2+8*($BM67/(Total_Lanes-BT$6))/(Peak_Time_Mor*$N52*(Total_Lanes-BT$6)))),"-")</f>
        <v>1.42238455737137</v>
      </c>
      <c r="BU67" s="445" t="n">
        <f aca="false">IF(BU$6&lt;Total_Lanes,900*Peak_Time_Mor*($BM67/(Total_Lanes-BU$6)-1+SQRT(($BM67/(Total_Lanes-BU$6)-1)^2+8*($BM67/(Total_Lanes-BU$6))/(Peak_Time_Mor*$N52*(Total_Lanes-BU$6)))),"-")</f>
        <v>3.00101195773828</v>
      </c>
      <c r="BV67" s="445" t="n">
        <f aca="false">IF(BV$6&lt;Total_Lanes,900*Peak_Time_Mor*($BM67/(Total_Lanes-BV$6)-1+SQRT(($BM67/(Total_Lanes-BV$6)-1)^2+8*($BM67/(Total_Lanes-BV$6))/(Peak_Time_Mor*$N52*(Total_Lanes-BV$6)))),"-")</f>
        <v>12.6562735104816</v>
      </c>
      <c r="BW67" s="445" t="n">
        <f aca="false">IF(BW$6&lt;Total_Lanes,900*Peak_Time_Mor*($BM67/(Total_Lanes-BW$6)-1+SQRT(($BM67/(Total_Lanes-BW$6)-1)^2+8*($BM67/(Total_Lanes-BW$6))/(Peak_Time_Mor*$N52*(Total_Lanes-BW$6)))),"-")</f>
        <v>1008.36380630378</v>
      </c>
      <c r="BX67" s="515" t="n">
        <f aca="false">IF(BX$6&lt;Total_Lanes,900*Peak_Time_Mor*($BM67/(Total_Lanes-BX$6)-1+SQRT(($BM67/(Total_Lanes-BX$6)-1)^2+8*($BM67/(Total_Lanes-BX$6))/(Peak_Time_Mor*$N52*(Total_Lanes-BX$6)))),"-")</f>
        <v>5596.82843419743</v>
      </c>
      <c r="BY67" s="445" t="str">
        <f aca="false">IF(BY$6&lt;Total_Lanes,900*Peak_Time_Mor*($BM67/(Total_Lanes-BY$6)-1+SQRT(($BM67/(Total_Lanes-BY$6)-1)^2+8*($BM67/(Total_Lanes-BY$6))/(Peak_Time_Mor*$N52*(Total_Lanes-BY$6)))),"-")</f>
        <v>-</v>
      </c>
      <c r="BZ67" s="445" t="str">
        <f aca="false">IF(BZ$6&lt;Total_Lanes,900*Peak_Time_Mor*($BM67/(Total_Lanes-BZ$6)-1+SQRT(($BM67/(Total_Lanes-BZ$6)-1)^2+8*($BM67/(Total_Lanes-BZ$6))/(Peak_Time_Mor*$N52*(Total_Lanes-BZ$6)))),"-")</f>
        <v>-</v>
      </c>
      <c r="CA67" s="445" t="str">
        <f aca="false">IF(CA$6&lt;Total_Lanes,900*Peak_Time_Mor*($BM67/(Total_Lanes-CA$6)-1+SQRT(($BM67/(Total_Lanes-CA$6)-1)^2+8*($BM67/(Total_Lanes-CA$6))/(Peak_Time_Mor*$N52*(Total_Lanes-CA$6)))),"-")</f>
        <v>-</v>
      </c>
      <c r="CB67" s="445" t="str">
        <f aca="false">IF(CB$6&lt;Total_Lanes,900*Peak_Time_Mor*($BM67/(Total_Lanes-CB$6)-1+SQRT(($BM67/(Total_Lanes-CB$6)-1)^2+8*($BM67/(Total_Lanes-CB$6))/(Peak_Time_Mor*$N52*(Total_Lanes-CB$6)))),"-")</f>
        <v>-</v>
      </c>
      <c r="CC67" s="445" t="str">
        <f aca="false">IF(CC$6&lt;Total_Lanes,900*Peak_Time_Mor*($BM67/(Total_Lanes-CC$6)-1+SQRT(($BM67/(Total_Lanes-CC$6)-1)^2+8*($BM67/(Total_Lanes-CC$6))/(Peak_Time_Mor*$N52*(Total_Lanes-CC$6)))),"-")</f>
        <v>-</v>
      </c>
      <c r="CD67" s="445" t="str">
        <f aca="false">IF(CD$6&lt;Total_Lanes,900*Peak_Time_Mor*($BM67/(Total_Lanes-CD$6)-1+SQRT(($BM67/(Total_Lanes-CD$6)-1)^2+8*($BM67/(Total_Lanes-CD$6))/(Peak_Time_Mor*$N52*(Total_Lanes-CD$6)))),"-")</f>
        <v>-</v>
      </c>
      <c r="CE67" s="445" t="str">
        <f aca="false">IF(CE$6&lt;Total_Lanes,900*Peak_Time_Mor*($BM67/(Total_Lanes-CE$6)-1+SQRT(($BM67/(Total_Lanes-CE$6)-1)^2+8*($BM67/(Total_Lanes-CE$6))/(Peak_Time_Mor*$N52*(Total_Lanes-CE$6)))),"-")</f>
        <v>-</v>
      </c>
      <c r="CF67" s="445" t="str">
        <f aca="false">IF(CF$6&lt;Total_Lanes,900*Peak_Time_Mor*($BM67/(Total_Lanes-CF$6)-1+SQRT(($BM67/(Total_Lanes-CF$6)-1)^2+8*($BM67/(Total_Lanes-CF$6))/(Peak_Time_Mor*$N52*(Total_Lanes-CF$6)))),"-")</f>
        <v>-</v>
      </c>
      <c r="CG67" s="445" t="str">
        <f aca="false">IF(CG$6&lt;Total_Lanes,900*Peak_Time_Mor*($BM67/(Total_Lanes-CG$6)-1+SQRT(($BM67/(Total_Lanes-CG$6)-1)^2+8*($BM67/(Total_Lanes-CG$6))/(Peak_Time_Mor*$N52*(Total_Lanes-CG$6)))),"-")</f>
        <v>-</v>
      </c>
      <c r="CH67" s="446" t="str">
        <f aca="false">IF(CH$6&lt;Total_Lanes,900*Peak_Time_Mor*($BM67/(Total_Lanes-CH$6)-1+SQRT(($BM67/(Total_Lanes-CH$6)-1)^2+8*($BM67/(Total_Lanes-CH$6))/(Peak_Time_Mor*$N52*(Total_Lanes-CH$6)))),"-")</f>
        <v>-</v>
      </c>
      <c r="CI67" s="519" t="n">
        <f aca="false">3600/N52</f>
        <v>6.83</v>
      </c>
      <c r="CK67" s="400" t="n">
        <v>12</v>
      </c>
      <c r="CL67" s="402" t="n">
        <f aca="false">$Y67</f>
        <v>0.594</v>
      </c>
      <c r="CM67" s="427" t="n">
        <f aca="false">$AD67</f>
        <v>3312.54423442614</v>
      </c>
      <c r="CN67" s="427" t="n">
        <f aca="false">CM67*CL67</f>
        <v>1967.65127524913</v>
      </c>
      <c r="CO67" s="440" t="n">
        <f aca="false">CN67/O52</f>
        <v>1.31176751683275</v>
      </c>
      <c r="CP67" s="445" t="n">
        <f aca="false">IF(CP$54&lt;Total_Lanes,900*Peak_Time_Mor*($CO67/CP$54-1+SQRT(($CO67/CP$54-1)^2+8*($CO67/CP$54)/(Peak_Time_Mor*$O52*CP$54))),"-")</f>
        <v>1132.37184997717</v>
      </c>
      <c r="CQ67" s="445" t="n">
        <f aca="false">IF(CQ$54&lt;Total_Lanes,900*Peak_Time_Mor*($CO67/CQ$54-1+SQRT(($CO67/CQ$54-1)^2+8*($CO67/CQ$54)/(Peak_Time_Mor*$O52*CQ$54))),"-")</f>
        <v>2.28298647323546</v>
      </c>
      <c r="CR67" s="445" t="n">
        <f aca="false">IF(CR$54&lt;Total_Lanes,900*Peak_Time_Mor*($CO67/CR$54-1+SQRT(($CO67/CR$54-1)^2+8*($CO67/CR$54)/(Peak_Time_Mor*$O52*CR$54))),"-")</f>
        <v>0.621414542861309</v>
      </c>
      <c r="CS67" s="445" t="n">
        <f aca="false">IF(CS$54&lt;Total_Lanes,900*Peak_Time_Mor*($CO67/CS$54-1+SQRT(($CO67/CS$54-1)^2+8*($CO67/CS$54)/(Peak_Time_Mor*$O52*CS$54))),"-")</f>
        <v>0.292744505370068</v>
      </c>
      <c r="CT67" s="445" t="n">
        <f aca="false">IF(CT$54&lt;Total_Lanes,900*Peak_Time_Mor*($CO67/CT$54-1+SQRT(($CO67/CT$54-1)^2+8*($CO67/CT$54)/(Peak_Time_Mor*$O52*CT$54))),"-")</f>
        <v>0.170707225589006</v>
      </c>
      <c r="CU67" s="445" t="n">
        <f aca="false">IF(CU$54&lt;Total_Lanes,900*Peak_Time_Mor*($CO67/CU$54-1+SQRT(($CO67/CU$54-1)^2+8*($CO67/CU$54)/(Peak_Time_Mor*$O52*CU$54))),"-")</f>
        <v>0.111915553135433</v>
      </c>
      <c r="CV67" s="445" t="n">
        <f aca="false">IF(CV$54&lt;Total_Lanes,900*Peak_Time_Mor*($CO67/CV$54-1+SQRT(($CO67/CV$54-1)^2+8*($CO67/CV$54)/(Peak_Time_Mor*$O52*CV$54))),"-")</f>
        <v>0.0790644034281085</v>
      </c>
      <c r="CW67" s="445" t="n">
        <f aca="false">IF(CW$54&lt;Total_Lanes,900*Peak_Time_Mor*($CO67/CW$54-1+SQRT(($CO67/CW$54-1)^2+8*($CO67/CW$54)/(Peak_Time_Mor*$O52*CW$54))),"-")</f>
        <v>0.0588380506948205</v>
      </c>
      <c r="CX67" s="445" t="n">
        <f aca="false">IF(CX$54&lt;Total_Lanes,900*Peak_Time_Mor*($CO67/CX$54-1+SQRT(($CO67/CX$54-1)^2+8*($CO67/CX$54)/(Peak_Time_Mor*$O52*CX$54))),"-")</f>
        <v>0.0454980382996961</v>
      </c>
      <c r="CY67" s="445" t="n">
        <f aca="false">IF(CY$54&lt;Total_Lanes,900*Peak_Time_Mor*($CO67/CY$54-1+SQRT(($CO67/CY$54-1)^2+8*($CO67/CY$54)/(Peak_Time_Mor*$O52*CY$54))),"-")</f>
        <v>0.0362352823132683</v>
      </c>
      <c r="CZ67" s="445" t="n">
        <f aca="false">IF(CZ$54&lt;Total_Lanes,900*Peak_Time_Mor*($CO67/CZ$54-1+SQRT(($CO67/CZ$54-1)^2+8*($CO67/CZ$54)/(Peak_Time_Mor*$O52*CZ$54))),"-")</f>
        <v>0.029541111429654</v>
      </c>
      <c r="DA67" s="445" t="str">
        <f aca="false">IF(DA$54&lt;Total_Lanes,900*Peak_Time_Mor*($CO67/DA$54-1+SQRT(($CO67/DA$54-1)^2+8*($CO67/DA$54)/(Peak_Time_Mor*$O52*DA$54))),"-")</f>
        <v>-</v>
      </c>
      <c r="DB67" s="445" t="str">
        <f aca="false">IF(DB$54&lt;Total_Lanes,900*Peak_Time_Mor*($CO67/DB$54-1+SQRT(($CO67/DB$54-1)^2+8*($CO67/DB$54)/(Peak_Time_Mor*$O52*DB$54))),"-")</f>
        <v>-</v>
      </c>
      <c r="DC67" s="445" t="str">
        <f aca="false">IF(DC$54&lt;Total_Lanes,900*Peak_Time_Mor*($CO67/DC$54-1+SQRT(($CO67/DC$54-1)^2+8*($CO67/DC$54)/(Peak_Time_Mor*$O52*DC$54))),"-")</f>
        <v>-</v>
      </c>
      <c r="DD67" s="445" t="str">
        <f aca="false">IF(DD$54&lt;Total_Lanes,900*Peak_Time_Mor*($CO67/DD$54-1+SQRT(($CO67/DD$54-1)^2+8*($CO67/DD$54)/(Peak_Time_Mor*$O52*DD$54))),"-")</f>
        <v>-</v>
      </c>
      <c r="DE67" s="445" t="str">
        <f aca="false">IF(DE$54&lt;Total_Lanes,900*Peak_Time_Mor*($CO67/DE$54-1+SQRT(($CO67/DE$54-1)^2+8*($CO67/DE$54)/(Peak_Time_Mor*$O52*DE$54))),"-")</f>
        <v>-</v>
      </c>
      <c r="DF67" s="445" t="str">
        <f aca="false">IF(DF$54&lt;Total_Lanes,900*Peak_Time_Mor*($CO67/DF$54-1+SQRT(($CO67/DF$54-1)^2+8*($CO67/DF$54)/(Peak_Time_Mor*$O52*DF$54))),"-")</f>
        <v>-</v>
      </c>
      <c r="DG67" s="445" t="str">
        <f aca="false">IF(DG$54&lt;Total_Lanes,900*Peak_Time_Mor*($CO67/DG$54-1+SQRT(($CO67/DG$54-1)^2+8*($CO67/DG$54)/(Peak_Time_Mor*$O52*DG$54))),"-")</f>
        <v>-</v>
      </c>
      <c r="DH67" s="445" t="str">
        <f aca="false">IF(DH$54&lt;Total_Lanes,900*Peak_Time_Mor*($CO67/DH$54-1+SQRT(($CO67/DH$54-1)^2+8*($CO67/DH$54)/(Peak_Time_Mor*$O52*DH$54))),"-")</f>
        <v>-</v>
      </c>
      <c r="DI67" s="445" t="str">
        <f aca="false">IF(DI$54&lt;Total_Lanes,900*Peak_Time_Mor*($CO67/DI$54-1+SQRT(($CO67/DI$54-1)^2+8*($CO67/DI$54)/(Peak_Time_Mor*$O52*DI$54))),"-")</f>
        <v>-</v>
      </c>
      <c r="DJ67" s="446" t="str">
        <f aca="false">IF(DJ$54&lt;Total_Lanes,900*Peak_Time_Mor*($CO67/DJ$54-1+SQRT(($CO67/DJ$54-1)^2+8*($CO67/DJ$54)/(Peak_Time_Mor*$O52*DJ$54))),"-")</f>
        <v>-</v>
      </c>
      <c r="DK67" s="519" t="n">
        <f aca="false">3600/$O52</f>
        <v>2.4</v>
      </c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</row>
    <row r="68" customFormat="false" ht="13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400" t="n">
        <v>13</v>
      </c>
      <c r="X68" s="401" t="n">
        <f aca="false">X20</f>
        <v>26155660.55</v>
      </c>
      <c r="Y68" s="402" t="n">
        <f aca="false">Y20</f>
        <v>0.6435</v>
      </c>
      <c r="Z68" s="401" t="n">
        <f aca="false">Z20</f>
        <v>11278.6319576499</v>
      </c>
      <c r="AA68" s="409" t="n">
        <f aca="false">X68/Z68</f>
        <v>2319.04548780488</v>
      </c>
      <c r="AB68" s="518" t="n">
        <f aca="false">AB20</f>
        <v>2</v>
      </c>
      <c r="AC68" s="435" t="n">
        <f aca="false">1-AC20</f>
        <v>0.3</v>
      </c>
      <c r="AD68" s="405" t="n">
        <f aca="false">Z68*AC68</f>
        <v>3383.58958729498</v>
      </c>
      <c r="AE68" s="427" t="n">
        <f aca="false">Peak_Time_Mor*$BI68*(CI68+BL68)/3600</f>
        <v>13.1103899355019</v>
      </c>
      <c r="AF68" s="413" t="n">
        <f aca="false">IF(AF$54&lt;Total_Lanes,($BJ68*($CI68+BN68)+$CN68*CP68)*Peak_Time_Mor/3600,"-")</f>
        <v>1980.38861692503</v>
      </c>
      <c r="AG68" s="413" t="n">
        <f aca="false">IF(AG$54&lt;Total_Lanes,($BJ68*($CI68+BO68)+$CN68*CQ68)*Peak_Time_Mor/3600,"-")</f>
        <v>8.5576549408438</v>
      </c>
      <c r="AH68" s="413" t="n">
        <f aca="false">IF(AH$54&lt;Total_Lanes,($BJ68*($CI68+BP68)+$CN68*CR68)*Peak_Time_Mor/3600,"-")</f>
        <v>5.67274438735285</v>
      </c>
      <c r="AI68" s="413" t="n">
        <f aca="false">IF(AI$54&lt;Total_Lanes,($BJ68*($CI68+BQ68)+$CN68*CS68)*Peak_Time_Mor/3600,"-")</f>
        <v>5.23555359806671</v>
      </c>
      <c r="AJ68" s="413" t="n">
        <f aca="false">IF(AJ$54&lt;Total_Lanes,($BJ68*($CI68+BR68)+$CN68*CT68)*Peak_Time_Mor/3600,"-")</f>
        <v>5.14878918600007</v>
      </c>
      <c r="AK68" s="413" t="n">
        <f aca="false">IF(AK$54&lt;Total_Lanes,($BJ68*($CI68+BS68)+$CN68*CU68)*Peak_Time_Mor/3600,"-")</f>
        <v>5.21975837497572</v>
      </c>
      <c r="AL68" s="413" t="n">
        <f aca="false">IF(AL$54&lt;Total_Lanes,($BJ68*($CI68+BT68)+$CN68*CV68)*Peak_Time_Mor/3600,"-")</f>
        <v>5.47880005492547</v>
      </c>
      <c r="AM68" s="413" t="n">
        <f aca="false">IF(AM$54&lt;Total_Lanes,($BJ68*($CI68+BU68)+$CN68*CW68)*Peak_Time_Mor/3600,"-")</f>
        <v>6.21544068050639</v>
      </c>
      <c r="AN68" s="413" t="n">
        <f aca="false">IF(AN$54&lt;Total_Lanes,($BJ68*($CI68+BV68)+$CN68*CX68)*Peak_Time_Mor/3600,"-")</f>
        <v>9.59813810086529</v>
      </c>
      <c r="AO68" s="413" t="n">
        <f aca="false">IF(AO$54&lt;Total_Lanes,($BJ68*($CI68+BW68)+$CN68*CY68)*Peak_Time_Mor/3600,"-")</f>
        <v>378.274727332211</v>
      </c>
      <c r="AP68" s="413" t="n">
        <f aca="false">IF(AP$54&lt;Total_Lanes,($BJ68*($CI68+BX68)+$CN68*CZ68)*Peak_Time_Mor/3600,"-")</f>
        <v>3138.48545820786</v>
      </c>
      <c r="AQ68" s="413" t="str">
        <f aca="false">IF(AQ$54&lt;Total_Lanes,($BJ68*($CI68+BY68)+$CN68*DA68)*Peak_Time_Mor/3600,"-")</f>
        <v>-</v>
      </c>
      <c r="AR68" s="413" t="str">
        <f aca="false">IF(AR$54&lt;Total_Lanes,($BJ68*($CI68+BZ68)+$CN68*DB68)*Peak_Time_Mor/3600,"-")</f>
        <v>-</v>
      </c>
      <c r="AS68" s="413" t="str">
        <f aca="false">IF(AS$54&lt;Total_Lanes,($BJ68*($CI68+CA68)+$CN68*DC68)*Peak_Time_Mor/3600,"-")</f>
        <v>-</v>
      </c>
      <c r="AT68" s="413" t="str">
        <f aca="false">IF(AT$54&lt;Total_Lanes,($BJ68*($CI68+CB68)+$CN68*DD68)*Peak_Time_Mor/3600,"-")</f>
        <v>-</v>
      </c>
      <c r="AU68" s="413" t="str">
        <f aca="false">IF(AU$54&lt;Total_Lanes,($BJ68*($CI68+CC68)+$CN68*DE68)*Peak_Time_Mor/3600,"-")</f>
        <v>-</v>
      </c>
      <c r="AV68" s="413" t="str">
        <f aca="false">IF(AV$54&lt;Total_Lanes,($BJ68*($CI68+CD68)+$CN68*DF68)*Peak_Time_Mor/3600,"-")</f>
        <v>-</v>
      </c>
      <c r="AW68" s="413" t="str">
        <f aca="false">IF(AW$54&lt;Total_Lanes,($BJ68*($CI68+CE68)+$CN68*DG68)*Peak_Time_Mor/3600,"-")</f>
        <v>-</v>
      </c>
      <c r="AX68" s="413" t="str">
        <f aca="false">IF(AX$54&lt;Total_Lanes,($BJ68*($CI68+CF68)+$CN68*DH68)*Peak_Time_Mor/3600,"-")</f>
        <v>-</v>
      </c>
      <c r="AY68" s="413" t="str">
        <f aca="false">IF(AY$54&lt;Total_Lanes,($BJ68*($CI68+CG68)+$CN68*DI68)*Peak_Time_Mor/3600,"-")</f>
        <v>-</v>
      </c>
      <c r="AZ68" s="414" t="str">
        <f aca="false">IF(AZ$54&lt;Total_Lanes,($BJ68*($CI68+CH68)+$CN68*DJ68)*Peak_Time_Mor/3600,"-")</f>
        <v>-</v>
      </c>
      <c r="BA68" s="436" t="n">
        <f aca="false">SUMIF(AF68:AZ68,BB68,$AF$54:$AZ$54)</f>
        <v>5</v>
      </c>
      <c r="BB68" s="437" t="n">
        <f aca="false">MIN(AF68:AZ68)</f>
        <v>5.14878918600007</v>
      </c>
      <c r="BC68" s="436" t="n">
        <f aca="false">IF((SUMIF($BN66:$CH66,$BA68,$BN68:$CH68)+$CI68)&lt;(SUMIF($CP66:$DJ66,$BA68,$CP68:$DJ68)+$DK68),BA68+1,BA68)</f>
        <v>5</v>
      </c>
      <c r="BD68" s="437" t="n">
        <f aca="false">SUMIF($AF$54:$AZ$54,$BC68,$AF68:$AZ68)</f>
        <v>5.14878918600007</v>
      </c>
      <c r="BG68" s="400" t="n">
        <v>13</v>
      </c>
      <c r="BH68" s="402" t="n">
        <f aca="false">$Y68</f>
        <v>0.6435</v>
      </c>
      <c r="BI68" s="411" t="n">
        <f aca="false">$AD68</f>
        <v>3383.58958729498</v>
      </c>
      <c r="BJ68" s="412" t="n">
        <f aca="false">BI68*(1-BH68)</f>
        <v>1206.24968787066</v>
      </c>
      <c r="BK68" s="420" t="n">
        <f aca="false">Peak_Arrival_Manual_Mor/K53</f>
        <v>2.20308102715267</v>
      </c>
      <c r="BL68" s="513" t="n">
        <f aca="false">900*Peak_Time_Mor*($BK68/Total_Lanes-1+SQRT(($BK68/Total_Lanes-1)^2+8*($BK68/Total_Lanes)/(Peak_Time_Mor*$K53*Total_Lanes)))</f>
        <v>0.123207532472014</v>
      </c>
      <c r="BM68" s="420" t="n">
        <f aca="false">Peak_Arrival_Manual_Mor/N53</f>
        <v>2.29564393722885</v>
      </c>
      <c r="BN68" s="514" t="n">
        <f aca="false">IF(BN$6&lt;Total_Lanes,900*Peak_Time_Mor*($BM68/(Total_Lanes-BN$6)-1+SQRT(($BM68/(Total_Lanes-BN$6)-1)^2+8*($BM68/(Total_Lanes-BN$6))/(Peak_Time_Mor*$N53*(Total_Lanes-BN$6)))),"-")</f>
        <v>0.164255518500633</v>
      </c>
      <c r="BO68" s="445" t="n">
        <f aca="false">IF(BO$6&lt;Total_Lanes,900*Peak_Time_Mor*($BM68/(Total_Lanes-BO$6)-1+SQRT(($BM68/(Total_Lanes-BO$6)-1)^2+8*($BM68/(Total_Lanes-BO$6))/(Peak_Time_Mor*$N53*(Total_Lanes-BO$6)))),"-")</f>
        <v>0.204129623907146</v>
      </c>
      <c r="BP68" s="445" t="n">
        <f aca="false">IF(BP$6&lt;Total_Lanes,900*Peak_Time_Mor*($BM68/(Total_Lanes-BP$6)-1+SQRT(($BM68/(Total_Lanes-BP$6)-1)^2+8*($BM68/(Total_Lanes-BP$6))/(Peak_Time_Mor*$N53*(Total_Lanes-BP$6)))),"-")</f>
        <v>0.26063489237258</v>
      </c>
      <c r="BQ68" s="445" t="n">
        <f aca="false">IF(BQ$6&lt;Total_Lanes,900*Peak_Time_Mor*($BM68/(Total_Lanes-BQ$6)-1+SQRT(($BM68/(Total_Lanes-BQ$6)-1)^2+8*($BM68/(Total_Lanes-BQ$6))/(Peak_Time_Mor*$N53*(Total_Lanes-BQ$6)))),"-")</f>
        <v>0.344603299988622</v>
      </c>
      <c r="BR68" s="445" t="n">
        <f aca="false">IF(BR$6&lt;Total_Lanes,900*Peak_Time_Mor*($BM68/(Total_Lanes-BR$6)-1+SQRT(($BM68/(Total_Lanes-BR$6)-1)^2+8*($BM68/(Total_Lanes-BR$6))/(Peak_Time_Mor*$N53*(Total_Lanes-BR$6)))),"-")</f>
        <v>0.477518728030857</v>
      </c>
      <c r="BS68" s="445" t="n">
        <f aca="false">IF(BS$6&lt;Total_Lanes,900*Peak_Time_Mor*($BM68/(Total_Lanes-BS$6)-1+SQRT(($BM68/(Total_Lanes-BS$6)-1)^2+8*($BM68/(Total_Lanes-BS$6))/(Peak_Time_Mor*$N53*(Total_Lanes-BS$6)))),"-")</f>
        <v>0.707411578292283</v>
      </c>
      <c r="BT68" s="445" t="n">
        <f aca="false">IF(BT$6&lt;Total_Lanes,900*Peak_Time_Mor*($BM68/(Total_Lanes-BT$6)-1+SQRT(($BM68/(Total_Lanes-BT$6)-1)^2+8*($BM68/(Total_Lanes-BT$6))/(Peak_Time_Mor*$N53*(Total_Lanes-BT$6)))),"-")</f>
        <v>1.16246869124963</v>
      </c>
      <c r="BU68" s="445" t="n">
        <f aca="false">IF(BU$6&lt;Total_Lanes,900*Peak_Time_Mor*($BM68/(Total_Lanes-BU$6)-1+SQRT(($BM68/(Total_Lanes-BU$6)-1)^2+8*($BM68/(Total_Lanes-BU$6))/(Peak_Time_Mor*$N53*(Total_Lanes-BU$6)))),"-")</f>
        <v>2.30357473660691</v>
      </c>
      <c r="BV68" s="445" t="n">
        <f aca="false">IF(BV$6&lt;Total_Lanes,900*Peak_Time_Mor*($BM68/(Total_Lanes-BV$6)-1+SQRT(($BM68/(Total_Lanes-BV$6)-1)^2+8*($BM68/(Total_Lanes-BV$6))/(Peak_Time_Mor*$N53*(Total_Lanes-BV$6)))),"-")</f>
        <v>7.37880290861487</v>
      </c>
      <c r="BW68" s="445" t="n">
        <f aca="false">IF(BW$6&lt;Total_Lanes,900*Peak_Time_Mor*($BM68/(Total_Lanes-BW$6)-1+SQRT(($BM68/(Total_Lanes-BW$6)-1)^2+8*($BM68/(Total_Lanes-BW$6))/(Peak_Time_Mor*$N53*(Total_Lanes-BW$6)))),"-")</f>
        <v>557.547467890091</v>
      </c>
      <c r="BX68" s="515" t="n">
        <f aca="false">IF(BX$6&lt;Total_Lanes,900*Peak_Time_Mor*($BM68/(Total_Lanes-BX$6)-1+SQRT(($BM68/(Total_Lanes-BX$6)-1)^2+8*($BM68/(Total_Lanes-BX$6))/(Peak_Time_Mor*$N53*(Total_Lanes-BX$6)))),"-")</f>
        <v>4676.42590566167</v>
      </c>
      <c r="BY68" s="445" t="str">
        <f aca="false">IF(BY$6&lt;Total_Lanes,900*Peak_Time_Mor*($BM68/(Total_Lanes-BY$6)-1+SQRT(($BM68/(Total_Lanes-BY$6)-1)^2+8*($BM68/(Total_Lanes-BY$6))/(Peak_Time_Mor*$N53*(Total_Lanes-BY$6)))),"-")</f>
        <v>-</v>
      </c>
      <c r="BZ68" s="445" t="str">
        <f aca="false">IF(BZ$6&lt;Total_Lanes,900*Peak_Time_Mor*($BM68/(Total_Lanes-BZ$6)-1+SQRT(($BM68/(Total_Lanes-BZ$6)-1)^2+8*($BM68/(Total_Lanes-BZ$6))/(Peak_Time_Mor*$N53*(Total_Lanes-BZ$6)))),"-")</f>
        <v>-</v>
      </c>
      <c r="CA68" s="445" t="str">
        <f aca="false">IF(CA$6&lt;Total_Lanes,900*Peak_Time_Mor*($BM68/(Total_Lanes-CA$6)-1+SQRT(($BM68/(Total_Lanes-CA$6)-1)^2+8*($BM68/(Total_Lanes-CA$6))/(Peak_Time_Mor*$N53*(Total_Lanes-CA$6)))),"-")</f>
        <v>-</v>
      </c>
      <c r="CB68" s="445" t="str">
        <f aca="false">IF(CB$6&lt;Total_Lanes,900*Peak_Time_Mor*($BM68/(Total_Lanes-CB$6)-1+SQRT(($BM68/(Total_Lanes-CB$6)-1)^2+8*($BM68/(Total_Lanes-CB$6))/(Peak_Time_Mor*$N53*(Total_Lanes-CB$6)))),"-")</f>
        <v>-</v>
      </c>
      <c r="CC68" s="445" t="str">
        <f aca="false">IF(CC$6&lt;Total_Lanes,900*Peak_Time_Mor*($BM68/(Total_Lanes-CC$6)-1+SQRT(($BM68/(Total_Lanes-CC$6)-1)^2+8*($BM68/(Total_Lanes-CC$6))/(Peak_Time_Mor*$N53*(Total_Lanes-CC$6)))),"-")</f>
        <v>-</v>
      </c>
      <c r="CD68" s="445" t="str">
        <f aca="false">IF(CD$6&lt;Total_Lanes,900*Peak_Time_Mor*($BM68/(Total_Lanes-CD$6)-1+SQRT(($BM68/(Total_Lanes-CD$6)-1)^2+8*($BM68/(Total_Lanes-CD$6))/(Peak_Time_Mor*$N53*(Total_Lanes-CD$6)))),"-")</f>
        <v>-</v>
      </c>
      <c r="CE68" s="445" t="str">
        <f aca="false">IF(CE$6&lt;Total_Lanes,900*Peak_Time_Mor*($BM68/(Total_Lanes-CE$6)-1+SQRT(($BM68/(Total_Lanes-CE$6)-1)^2+8*($BM68/(Total_Lanes-CE$6))/(Peak_Time_Mor*$N53*(Total_Lanes-CE$6)))),"-")</f>
        <v>-</v>
      </c>
      <c r="CF68" s="445" t="str">
        <f aca="false">IF(CF$6&lt;Total_Lanes,900*Peak_Time_Mor*($BM68/(Total_Lanes-CF$6)-1+SQRT(($BM68/(Total_Lanes-CF$6)-1)^2+8*($BM68/(Total_Lanes-CF$6))/(Peak_Time_Mor*$N53*(Total_Lanes-CF$6)))),"-")</f>
        <v>-</v>
      </c>
      <c r="CG68" s="445" t="str">
        <f aca="false">IF(CG$6&lt;Total_Lanes,900*Peak_Time_Mor*($BM68/(Total_Lanes-CG$6)-1+SQRT(($BM68/(Total_Lanes-CG$6)-1)^2+8*($BM68/(Total_Lanes-CG$6))/(Peak_Time_Mor*$N53*(Total_Lanes-CG$6)))),"-")</f>
        <v>-</v>
      </c>
      <c r="CH68" s="446" t="str">
        <f aca="false">IF(CH$6&lt;Total_Lanes,900*Peak_Time_Mor*($BM68/(Total_Lanes-CH$6)-1+SQRT(($BM68/(Total_Lanes-CH$6)-1)^2+8*($BM68/(Total_Lanes-CH$6))/(Peak_Time_Mor*$N53*(Total_Lanes-CH$6)))),"-")</f>
        <v>-</v>
      </c>
      <c r="CI68" s="519" t="n">
        <f aca="false">3600/N53</f>
        <v>6.85125</v>
      </c>
      <c r="CK68" s="400" t="n">
        <v>13</v>
      </c>
      <c r="CL68" s="402" t="n">
        <f aca="false">$Y68</f>
        <v>0.6435</v>
      </c>
      <c r="CM68" s="427" t="n">
        <f aca="false">$AD68</f>
        <v>3383.58958729498</v>
      </c>
      <c r="CN68" s="427" t="n">
        <f aca="false">CM68*CL68</f>
        <v>2177.33989942432</v>
      </c>
      <c r="CO68" s="440" t="n">
        <f aca="false">CN68/O53</f>
        <v>1.45155993294955</v>
      </c>
      <c r="CP68" s="445" t="n">
        <f aca="false">IF(CP$54&lt;Total_Lanes,900*Peak_Time_Mor*($CO68/CP$54-1+SQRT(($CO68/CP$54-1)^2+8*($CO68/CP$54)/(Peak_Time_Mor*$O53*CP$54))),"-")</f>
        <v>1633.29439747251</v>
      </c>
      <c r="CQ68" s="445" t="n">
        <f aca="false">IF(CQ$54&lt;Total_Lanes,900*Peak_Time_Mor*($CO68/CQ$54-1+SQRT(($CO68/CQ$54-1)^2+8*($CO68/CQ$54)/(Peak_Time_Mor*$O53*CQ$54))),"-")</f>
        <v>3.16589496485797</v>
      </c>
      <c r="CR68" s="445" t="n">
        <f aca="false">IF(CR$54&lt;Total_Lanes,900*Peak_Time_Mor*($CO68/CR$54-1+SQRT(($CO68/CR$54-1)^2+8*($CO68/CR$54)/(Peak_Time_Mor*$O53*CR$54))),"-")</f>
        <v>0.749644539224303</v>
      </c>
      <c r="CS68" s="445" t="n">
        <f aca="false">IF(CS$54&lt;Total_Lanes,900*Peak_Time_Mor*($CO68/CS$54-1+SQRT(($CO68/CS$54-1)^2+8*($CO68/CS$54)/(Peak_Time_Mor*$O53*CS$54))),"-")</f>
        <v>0.341701669841465</v>
      </c>
      <c r="CT68" s="445" t="n">
        <f aca="false">IF(CT$54&lt;Total_Lanes,900*Peak_Time_Mor*($CO68/CT$54-1+SQRT(($CO68/CT$54-1)^2+8*($CO68/CT$54)/(Peak_Time_Mor*$O53*CT$54))),"-")</f>
        <v>0.19633845145155</v>
      </c>
      <c r="CU68" s="445" t="n">
        <f aca="false">IF(CU$54&lt;Total_Lanes,900*Peak_Time_Mor*($CO68/CU$54-1+SQRT(($CO68/CU$54-1)^2+8*($CO68/CU$54)/(Peak_Time_Mor*$O53*CU$54))),"-")</f>
        <v>0.12764745894509</v>
      </c>
      <c r="CV68" s="445" t="n">
        <f aca="false">IF(CV$54&lt;Total_Lanes,900*Peak_Time_Mor*($CO68/CV$54-1+SQRT(($CO68/CV$54-1)^2+8*($CO68/CV$54)/(Peak_Time_Mor*$O53*CV$54))),"-")</f>
        <v>0.0896940477296715</v>
      </c>
      <c r="CW68" s="445" t="n">
        <f aca="false">IF(CW$54&lt;Total_Lanes,900*Peak_Time_Mor*($CO68/CW$54-1+SQRT(($CO68/CW$54-1)^2+8*($CO68/CW$54)/(Peak_Time_Mor*$O53*CW$54))),"-")</f>
        <v>0.0664979978124203</v>
      </c>
      <c r="CX68" s="445" t="n">
        <f aca="false">IF(CX$54&lt;Total_Lanes,900*Peak_Time_Mor*($CO68/CX$54-1+SQRT(($CO68/CX$54-1)^2+8*($CO68/CX$54)/(Peak_Time_Mor*$O53*CX$54))),"-")</f>
        <v>0.0512789492294496</v>
      </c>
      <c r="CY68" s="445" t="n">
        <f aca="false">IF(CY$54&lt;Total_Lanes,900*Peak_Time_Mor*($CO68/CY$54-1+SQRT(($CO68/CY$54-1)^2+8*($CO68/CY$54)/(Peak_Time_Mor*$O53*CY$54))),"-")</f>
        <v>0.0407524376318635</v>
      </c>
      <c r="CZ68" s="445" t="n">
        <f aca="false">IF(CZ$54&lt;Total_Lanes,900*Peak_Time_Mor*($CO68/CZ$54-1+SQRT(($CO68/CZ$54-1)^2+8*($CO68/CZ$54)/(Peak_Time_Mor*$O53*CZ$54))),"-")</f>
        <v>0.0331677867509095</v>
      </c>
      <c r="DA68" s="445" t="str">
        <f aca="false">IF(DA$54&lt;Total_Lanes,900*Peak_Time_Mor*($CO68/DA$54-1+SQRT(($CO68/DA$54-1)^2+8*($CO68/DA$54)/(Peak_Time_Mor*$O53*DA$54))),"-")</f>
        <v>-</v>
      </c>
      <c r="DB68" s="445" t="str">
        <f aca="false">IF(DB$54&lt;Total_Lanes,900*Peak_Time_Mor*($CO68/DB$54-1+SQRT(($CO68/DB$54-1)^2+8*($CO68/DB$54)/(Peak_Time_Mor*$O53*DB$54))),"-")</f>
        <v>-</v>
      </c>
      <c r="DC68" s="445" t="str">
        <f aca="false">IF(DC$54&lt;Total_Lanes,900*Peak_Time_Mor*($CO68/DC$54-1+SQRT(($CO68/DC$54-1)^2+8*($CO68/DC$54)/(Peak_Time_Mor*$O53*DC$54))),"-")</f>
        <v>-</v>
      </c>
      <c r="DD68" s="445" t="str">
        <f aca="false">IF(DD$54&lt;Total_Lanes,900*Peak_Time_Mor*($CO68/DD$54-1+SQRT(($CO68/DD$54-1)^2+8*($CO68/DD$54)/(Peak_Time_Mor*$O53*DD$54))),"-")</f>
        <v>-</v>
      </c>
      <c r="DE68" s="445" t="str">
        <f aca="false">IF(DE$54&lt;Total_Lanes,900*Peak_Time_Mor*($CO68/DE$54-1+SQRT(($CO68/DE$54-1)^2+8*($CO68/DE$54)/(Peak_Time_Mor*$O53*DE$54))),"-")</f>
        <v>-</v>
      </c>
      <c r="DF68" s="445" t="str">
        <f aca="false">IF(DF$54&lt;Total_Lanes,900*Peak_Time_Mor*($CO68/DF$54-1+SQRT(($CO68/DF$54-1)^2+8*($CO68/DF$54)/(Peak_Time_Mor*$O53*DF$54))),"-")</f>
        <v>-</v>
      </c>
      <c r="DG68" s="445" t="str">
        <f aca="false">IF(DG$54&lt;Total_Lanes,900*Peak_Time_Mor*($CO68/DG$54-1+SQRT(($CO68/DG$54-1)^2+8*($CO68/DG$54)/(Peak_Time_Mor*$O53*DG$54))),"-")</f>
        <v>-</v>
      </c>
      <c r="DH68" s="445" t="str">
        <f aca="false">IF(DH$54&lt;Total_Lanes,900*Peak_Time_Mor*($CO68/DH$54-1+SQRT(($CO68/DH$54-1)^2+8*($CO68/DH$54)/(Peak_Time_Mor*$O53*DH$54))),"-")</f>
        <v>-</v>
      </c>
      <c r="DI68" s="445" t="str">
        <f aca="false">IF(DI$54&lt;Total_Lanes,900*Peak_Time_Mor*($CO68/DI$54-1+SQRT(($CO68/DI$54-1)^2+8*($CO68/DI$54)/(Peak_Time_Mor*$O53*DI$54))),"-")</f>
        <v>-</v>
      </c>
      <c r="DJ68" s="446" t="str">
        <f aca="false">IF(DJ$54&lt;Total_Lanes,900*Peak_Time_Mor*($CO68/DJ$54-1+SQRT(($CO68/DJ$54-1)^2+8*($CO68/DJ$54)/(Peak_Time_Mor*$O53*DJ$54))),"-")</f>
        <v>-</v>
      </c>
      <c r="DK68" s="519" t="n">
        <f aca="false">3600/$O53</f>
        <v>2.4</v>
      </c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</row>
    <row r="69" customFormat="false" ht="13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400" t="n">
        <v>14</v>
      </c>
      <c r="X69" s="401" t="n">
        <f aca="false">X21</f>
        <v>26704851.9</v>
      </c>
      <c r="Y69" s="402" t="n">
        <f aca="false">Y21</f>
        <v>0.693</v>
      </c>
      <c r="Z69" s="401" t="n">
        <f aca="false">Z21</f>
        <v>11515.4498005461</v>
      </c>
      <c r="AA69" s="409" t="n">
        <f aca="false">X69/Z69</f>
        <v>2319.04548780488</v>
      </c>
      <c r="AB69" s="518" t="n">
        <f aca="false">AB21</f>
        <v>2</v>
      </c>
      <c r="AC69" s="435" t="n">
        <f aca="false">1-AC21</f>
        <v>0.3</v>
      </c>
      <c r="AD69" s="405" t="n">
        <f aca="false">Z69*AC69</f>
        <v>3454.63494016383</v>
      </c>
      <c r="AE69" s="427" t="n">
        <f aca="false">Peak_Time_Mor*$BI69*(CI69+BL69)/3600</f>
        <v>13.3924000617693</v>
      </c>
      <c r="AF69" s="413" t="n">
        <f aca="false">IF(AF$54&lt;Total_Lanes,($BJ69*($CI69+BN69)+$CN69*CP69)*Peak_Time_Mor/3600,"-")</f>
        <v>2866.57434245722</v>
      </c>
      <c r="AG69" s="413" t="n">
        <f aca="false">IF(AG$54&lt;Total_Lanes,($BJ69*($CI69+BO69)+$CN69*CQ69)*Peak_Time_Mor/3600,"-")</f>
        <v>10.4174903861185</v>
      </c>
      <c r="AH69" s="413" t="n">
        <f aca="false">IF(AH$54&lt;Total_Lanes,($BJ69*($CI69+BP69)+$CN69*CR69)*Peak_Time_Mor/3600,"-")</f>
        <v>5.38886167654851</v>
      </c>
      <c r="AI69" s="413" t="n">
        <f aca="false">IF(AI$54&lt;Total_Lanes,($BJ69*($CI69+BQ69)+$CN69*CS69)*Peak_Time_Mor/3600,"-")</f>
        <v>4.75054138575738</v>
      </c>
      <c r="AJ69" s="413" t="n">
        <f aca="false">IF(AJ$54&lt;Total_Lanes,($BJ69*($CI69+BR69)+$CN69*CT69)*Peak_Time_Mor/3600,"-")</f>
        <v>4.58400624798637</v>
      </c>
      <c r="AK69" s="413" t="n">
        <f aca="false">IF(AK$54&lt;Total_Lanes,($BJ69*($CI69+BS69)+$CN69*CU69)*Peak_Time_Mor/3600,"-")</f>
        <v>4.58576360631236</v>
      </c>
      <c r="AL69" s="413" t="n">
        <f aca="false">IF(AL$54&lt;Total_Lanes,($BJ69*($CI69+BT69)+$CN69*CV69)*Peak_Time_Mor/3600,"-")</f>
        <v>4.73486137178229</v>
      </c>
      <c r="AM69" s="413" t="n">
        <f aca="false">IF(AM$54&lt;Total_Lanes,($BJ69*($CI69+BU69)+$CN69*CW69)*Peak_Time_Mor/3600,"-")</f>
        <v>5.18535288823441</v>
      </c>
      <c r="AN69" s="413" t="n">
        <f aca="false">IF(AN$54&lt;Total_Lanes,($BJ69*($CI69+BV69)+$CN69*CX69)*Peak_Time_Mor/3600,"-")</f>
        <v>6.91643348367145</v>
      </c>
      <c r="AO69" s="413" t="n">
        <f aca="false">IF(AO$54&lt;Total_Lanes,($BJ69*($CI69+BW69)+$CN69*CY69)*Peak_Time_Mor/3600,"-")</f>
        <v>84.4091312727134</v>
      </c>
      <c r="AP69" s="413" t="n">
        <f aca="false">IF(AP$54&lt;Total_Lanes,($BJ69*($CI69+BX69)+$CN69*CZ69)*Peak_Time_Mor/3600,"-")</f>
        <v>2185.53057352853</v>
      </c>
      <c r="AQ69" s="413" t="str">
        <f aca="false">IF(AQ$54&lt;Total_Lanes,($BJ69*($CI69+BY69)+$CN69*DA69)*Peak_Time_Mor/3600,"-")</f>
        <v>-</v>
      </c>
      <c r="AR69" s="413" t="str">
        <f aca="false">IF(AR$54&lt;Total_Lanes,($BJ69*($CI69+BZ69)+$CN69*DB69)*Peak_Time_Mor/3600,"-")</f>
        <v>-</v>
      </c>
      <c r="AS69" s="413" t="str">
        <f aca="false">IF(AS$54&lt;Total_Lanes,($BJ69*($CI69+CA69)+$CN69*DC69)*Peak_Time_Mor/3600,"-")</f>
        <v>-</v>
      </c>
      <c r="AT69" s="413" t="str">
        <f aca="false">IF(AT$54&lt;Total_Lanes,($BJ69*($CI69+CB69)+$CN69*DD69)*Peak_Time_Mor/3600,"-")</f>
        <v>-</v>
      </c>
      <c r="AU69" s="413" t="str">
        <f aca="false">IF(AU$54&lt;Total_Lanes,($BJ69*($CI69+CC69)+$CN69*DE69)*Peak_Time_Mor/3600,"-")</f>
        <v>-</v>
      </c>
      <c r="AV69" s="413" t="str">
        <f aca="false">IF(AV$54&lt;Total_Lanes,($BJ69*($CI69+CD69)+$CN69*DF69)*Peak_Time_Mor/3600,"-")</f>
        <v>-</v>
      </c>
      <c r="AW69" s="413" t="str">
        <f aca="false">IF(AW$54&lt;Total_Lanes,($BJ69*($CI69+CE69)+$CN69*DG69)*Peak_Time_Mor/3600,"-")</f>
        <v>-</v>
      </c>
      <c r="AX69" s="413" t="str">
        <f aca="false">IF(AX$54&lt;Total_Lanes,($BJ69*($CI69+CF69)+$CN69*DH69)*Peak_Time_Mor/3600,"-")</f>
        <v>-</v>
      </c>
      <c r="AY69" s="413" t="str">
        <f aca="false">IF(AY$54&lt;Total_Lanes,($BJ69*($CI69+CG69)+$CN69*DI69)*Peak_Time_Mor/3600,"-")</f>
        <v>-</v>
      </c>
      <c r="AZ69" s="414" t="str">
        <f aca="false">IF(AZ$54&lt;Total_Lanes,($BJ69*($CI69+CH69)+$CN69*DJ69)*Peak_Time_Mor/3600,"-")</f>
        <v>-</v>
      </c>
      <c r="BA69" s="436" t="n">
        <f aca="false">SUMIF(AF69:AZ69,BB69,$AF$54:$AZ$54)</f>
        <v>5</v>
      </c>
      <c r="BB69" s="437" t="n">
        <f aca="false">MIN(AF69:AZ69)</f>
        <v>4.58400624798637</v>
      </c>
      <c r="BC69" s="436" t="n">
        <f aca="false">IF((SUMIF($BN67:$CH67,$BA69,$BN69:$CH69)+$CI69)&lt;(SUMIF($CP67:$DJ67,$BA69,$CP69:$DJ69)+$DK69),BA69+1,BA69)</f>
        <v>5</v>
      </c>
      <c r="BD69" s="437" t="n">
        <f aca="false">SUMIF($AF$54:$AZ$54,$BC69,$AF69:$AZ69)</f>
        <v>4.58400624798637</v>
      </c>
      <c r="BG69" s="400" t="n">
        <v>14</v>
      </c>
      <c r="BH69" s="402" t="n">
        <f aca="false">$Y69</f>
        <v>0.693</v>
      </c>
      <c r="BI69" s="411" t="n">
        <f aca="false">$AD69</f>
        <v>3454.63494016383</v>
      </c>
      <c r="BJ69" s="412" t="n">
        <f aca="false">BI69*(1-BH69)</f>
        <v>1060.5729266303</v>
      </c>
      <c r="BK69" s="420" t="n">
        <f aca="false">Peak_Arrival_Manual_Mor/K54</f>
        <v>1.93701860905394</v>
      </c>
      <c r="BL69" s="513" t="n">
        <f aca="false">900*Peak_Time_Mor*($BK69/Total_Lanes-1+SQRT(($BK69/Total_Lanes-1)^2+8*($BK69/Total_Lanes)/(Peak_Time_Mor*$K54*Total_Lanes)))</f>
        <v>0.105464540022138</v>
      </c>
      <c r="BM69" s="420" t="n">
        <f aca="false">Peak_Arrival_Manual_Mor/N54</f>
        <v>2.02466317729631</v>
      </c>
      <c r="BN69" s="514" t="n">
        <f aca="false">IF(BN$6&lt;Total_Lanes,900*Peak_Time_Mor*($BM69/(Total_Lanes-BN$6)-1+SQRT(($BM69/(Total_Lanes-BN$6)-1)^2+8*($BM69/(Total_Lanes-BN$6))/(Peak_Time_Mor*$N54*(Total_Lanes-BN$6)))),"-")</f>
        <v>0.140929936439171</v>
      </c>
      <c r="BO69" s="445" t="n">
        <f aca="false">IF(BO$6&lt;Total_Lanes,900*Peak_Time_Mor*($BM69/(Total_Lanes-BO$6)-1+SQRT(($BM69/(Total_Lanes-BO$6)-1)^2+8*($BM69/(Total_Lanes-BO$6))/(Peak_Time_Mor*$N54*(Total_Lanes-BO$6)))),"-")</f>
        <v>0.174458490686558</v>
      </c>
      <c r="BP69" s="445" t="n">
        <f aca="false">IF(BP$6&lt;Total_Lanes,900*Peak_Time_Mor*($BM69/(Total_Lanes-BP$6)-1+SQRT(($BM69/(Total_Lanes-BP$6)-1)^2+8*($BM69/(Total_Lanes-BP$6))/(Peak_Time_Mor*$N54*(Total_Lanes-BP$6)))),"-")</f>
        <v>0.221628365755477</v>
      </c>
      <c r="BQ69" s="445" t="n">
        <f aca="false">IF(BQ$6&lt;Total_Lanes,900*Peak_Time_Mor*($BM69/(Total_Lanes-BQ$6)-1+SQRT(($BM69/(Total_Lanes-BQ$6)-1)^2+8*($BM69/(Total_Lanes-BQ$6))/(Peak_Time_Mor*$N54*(Total_Lanes-BQ$6)))),"-")</f>
        <v>0.291050365394163</v>
      </c>
      <c r="BR69" s="445" t="n">
        <f aca="false">IF(BR$6&lt;Total_Lanes,900*Peak_Time_Mor*($BM69/(Total_Lanes-BR$6)-1+SQRT(($BM69/(Total_Lanes-BR$6)-1)^2+8*($BM69/(Total_Lanes-BR$6))/(Peak_Time_Mor*$N54*(Total_Lanes-BR$6)))),"-")</f>
        <v>0.399465438101676</v>
      </c>
      <c r="BS69" s="445" t="n">
        <f aca="false">IF(BS$6&lt;Total_Lanes,900*Peak_Time_Mor*($BM69/(Total_Lanes-BS$6)-1+SQRT(($BM69/(Total_Lanes-BS$6)-1)^2+8*($BM69/(Total_Lanes-BS$6))/(Peak_Time_Mor*$N54*(Total_Lanes-BS$6)))),"-")</f>
        <v>0.58322505285997</v>
      </c>
      <c r="BT69" s="445" t="n">
        <f aca="false">IF(BT$6&lt;Total_Lanes,900*Peak_Time_Mor*($BM69/(Total_Lanes-BT$6)-1+SQRT(($BM69/(Total_Lanes-BT$6)-1)^2+8*($BM69/(Total_Lanes-BT$6))/(Peak_Time_Mor*$N54*(Total_Lanes-BT$6)))),"-")</f>
        <v>0.934914506691698</v>
      </c>
      <c r="BU69" s="445" t="n">
        <f aca="false">IF(BU$6&lt;Total_Lanes,900*Peak_Time_Mor*($BM69/(Total_Lanes-BU$6)-1+SQRT(($BM69/(Total_Lanes-BU$6)-1)^2+8*($BM69/(Total_Lanes-BU$6))/(Peak_Time_Mor*$N54*(Total_Lanes-BU$6)))),"-")</f>
        <v>1.7592875249311</v>
      </c>
      <c r="BV69" s="445" t="n">
        <f aca="false">IF(BV$6&lt;Total_Lanes,900*Peak_Time_Mor*($BM69/(Total_Lanes-BV$6)-1+SQRT(($BM69/(Total_Lanes-BV$6)-1)^2+8*($BM69/(Total_Lanes-BV$6))/(Peak_Time_Mor*$N54*(Total_Lanes-BV$6)))),"-")</f>
        <v>4.73628405312427</v>
      </c>
      <c r="BW69" s="445" t="n">
        <f aca="false">IF(BW$6&lt;Total_Lanes,900*Peak_Time_Mor*($BM69/(Total_Lanes-BW$6)-1+SQRT(($BM69/(Total_Lanes-BW$6)-1)^2+8*($BM69/(Total_Lanes-BW$6))/(Peak_Time_Mor*$N54*(Total_Lanes-BW$6)))),"-")</f>
        <v>136.283442879504</v>
      </c>
      <c r="BX69" s="515" t="n">
        <f aca="false">IF(BX$6&lt;Total_Lanes,900*Peak_Time_Mor*($BM69/(Total_Lanes-BX$6)-1+SQRT(($BM69/(Total_Lanes-BX$6)-1)^2+8*($BM69/(Total_Lanes-BX$6))/(Peak_Time_Mor*$N54*(Total_Lanes-BX$6)))),"-")</f>
        <v>3702.3173943278</v>
      </c>
      <c r="BY69" s="445" t="str">
        <f aca="false">IF(BY$6&lt;Total_Lanes,900*Peak_Time_Mor*($BM69/(Total_Lanes-BY$6)-1+SQRT(($BM69/(Total_Lanes-BY$6)-1)^2+8*($BM69/(Total_Lanes-BY$6))/(Peak_Time_Mor*$N54*(Total_Lanes-BY$6)))),"-")</f>
        <v>-</v>
      </c>
      <c r="BZ69" s="445" t="str">
        <f aca="false">IF(BZ$6&lt;Total_Lanes,900*Peak_Time_Mor*($BM69/(Total_Lanes-BZ$6)-1+SQRT(($BM69/(Total_Lanes-BZ$6)-1)^2+8*($BM69/(Total_Lanes-BZ$6))/(Peak_Time_Mor*$N54*(Total_Lanes-BZ$6)))),"-")</f>
        <v>-</v>
      </c>
      <c r="CA69" s="445" t="str">
        <f aca="false">IF(CA$6&lt;Total_Lanes,900*Peak_Time_Mor*($BM69/(Total_Lanes-CA$6)-1+SQRT(($BM69/(Total_Lanes-CA$6)-1)^2+8*($BM69/(Total_Lanes-CA$6))/(Peak_Time_Mor*$N54*(Total_Lanes-CA$6)))),"-")</f>
        <v>-</v>
      </c>
      <c r="CB69" s="445" t="str">
        <f aca="false">IF(CB$6&lt;Total_Lanes,900*Peak_Time_Mor*($BM69/(Total_Lanes-CB$6)-1+SQRT(($BM69/(Total_Lanes-CB$6)-1)^2+8*($BM69/(Total_Lanes-CB$6))/(Peak_Time_Mor*$N54*(Total_Lanes-CB$6)))),"-")</f>
        <v>-</v>
      </c>
      <c r="CC69" s="445" t="str">
        <f aca="false">IF(CC$6&lt;Total_Lanes,900*Peak_Time_Mor*($BM69/(Total_Lanes-CC$6)-1+SQRT(($BM69/(Total_Lanes-CC$6)-1)^2+8*($BM69/(Total_Lanes-CC$6))/(Peak_Time_Mor*$N54*(Total_Lanes-CC$6)))),"-")</f>
        <v>-</v>
      </c>
      <c r="CD69" s="445" t="str">
        <f aca="false">IF(CD$6&lt;Total_Lanes,900*Peak_Time_Mor*($BM69/(Total_Lanes-CD$6)-1+SQRT(($BM69/(Total_Lanes-CD$6)-1)^2+8*($BM69/(Total_Lanes-CD$6))/(Peak_Time_Mor*$N54*(Total_Lanes-CD$6)))),"-")</f>
        <v>-</v>
      </c>
      <c r="CE69" s="445" t="str">
        <f aca="false">IF(CE$6&lt;Total_Lanes,900*Peak_Time_Mor*($BM69/(Total_Lanes-CE$6)-1+SQRT(($BM69/(Total_Lanes-CE$6)-1)^2+8*($BM69/(Total_Lanes-CE$6))/(Peak_Time_Mor*$N54*(Total_Lanes-CE$6)))),"-")</f>
        <v>-</v>
      </c>
      <c r="CF69" s="445" t="str">
        <f aca="false">IF(CF$6&lt;Total_Lanes,900*Peak_Time_Mor*($BM69/(Total_Lanes-CF$6)-1+SQRT(($BM69/(Total_Lanes-CF$6)-1)^2+8*($BM69/(Total_Lanes-CF$6))/(Peak_Time_Mor*$N54*(Total_Lanes-CF$6)))),"-")</f>
        <v>-</v>
      </c>
      <c r="CG69" s="445" t="str">
        <f aca="false">IF(CG$6&lt;Total_Lanes,900*Peak_Time_Mor*($BM69/(Total_Lanes-CG$6)-1+SQRT(($BM69/(Total_Lanes-CG$6)-1)^2+8*($BM69/(Total_Lanes-CG$6))/(Peak_Time_Mor*$N54*(Total_Lanes-CG$6)))),"-")</f>
        <v>-</v>
      </c>
      <c r="CH69" s="446" t="str">
        <f aca="false">IF(CH$6&lt;Total_Lanes,900*Peak_Time_Mor*($BM69/(Total_Lanes-CH$6)-1+SQRT(($BM69/(Total_Lanes-CH$6)-1)^2+8*($BM69/(Total_Lanes-CH$6))/(Peak_Time_Mor*$N54*(Total_Lanes-CH$6)))),"-")</f>
        <v>-</v>
      </c>
      <c r="CI69" s="519" t="n">
        <f aca="false">3600/N54</f>
        <v>6.8725</v>
      </c>
      <c r="CK69" s="400" t="n">
        <v>14</v>
      </c>
      <c r="CL69" s="402" t="n">
        <f aca="false">$Y69</f>
        <v>0.693</v>
      </c>
      <c r="CM69" s="427" t="n">
        <f aca="false">$AD69</f>
        <v>3454.63494016383</v>
      </c>
      <c r="CN69" s="427" t="n">
        <f aca="false">CM69*CL69</f>
        <v>2394.06201353353</v>
      </c>
      <c r="CO69" s="440" t="n">
        <f aca="false">CN69/O54</f>
        <v>1.59604134235569</v>
      </c>
      <c r="CP69" s="445" t="n">
        <f aca="false">IF(CP$54&lt;Total_Lanes,900*Peak_Time_Mor*($CO69/CP$54-1+SQRT(($CO69/CP$54-1)^2+8*($CO69/CP$54)/(Peak_Time_Mor*$O54*CP$54))),"-")</f>
        <v>2152.1562655367</v>
      </c>
      <c r="CQ69" s="445" t="n">
        <f aca="false">IF(CQ$54&lt;Total_Lanes,900*Peak_Time_Mor*($CO69/CQ$54-1+SQRT(($CO69/CQ$54-1)^2+8*($CO69/CQ$54)/(Peak_Time_Mor*$O54*CQ$54))),"-")</f>
        <v>4.71068386739834</v>
      </c>
      <c r="CR69" s="445" t="n">
        <f aca="false">IF(CR$54&lt;Total_Lanes,900*Peak_Time_Mor*($CO69/CR$54-1+SQRT(($CO69/CR$54-1)^2+8*($CO69/CR$54)/(Peak_Time_Mor*$O54*CR$54))),"-")</f>
        <v>0.908961640394268</v>
      </c>
      <c r="CS69" s="445" t="n">
        <f aca="false">IF(CS$54&lt;Total_Lanes,900*Peak_Time_Mor*($CO69/CS$54-1+SQRT(($CO69/CS$54-1)^2+8*($CO69/CS$54)/(Peak_Time_Mor*$O54*CS$54))),"-")</f>
        <v>0.398279958030967</v>
      </c>
      <c r="CT69" s="445" t="n">
        <f aca="false">IF(CT$54&lt;Total_Lanes,900*Peak_Time_Mor*($CO69/CT$54-1+SQRT(($CO69/CT$54-1)^2+8*($CO69/CT$54)/(Peak_Time_Mor*$O54*CT$54))),"-")</f>
        <v>0.225040778512842</v>
      </c>
      <c r="CU69" s="445" t="n">
        <f aca="false">IF(CU$54&lt;Total_Lanes,900*Peak_Time_Mor*($CO69/CU$54-1+SQRT(($CO69/CU$54-1)^2+8*($CO69/CU$54)/(Peak_Time_Mor*$O54*CU$54))),"-")</f>
        <v>0.144956291832865</v>
      </c>
      <c r="CV69" s="445" t="n">
        <f aca="false">IF(CV$54&lt;Total_Lanes,900*Peak_Time_Mor*($CO69/CV$54-1+SQRT(($CO69/CV$54-1)^2+8*($CO69/CV$54)/(Peak_Time_Mor*$O54*CV$54))),"-")</f>
        <v>0.101258035531204</v>
      </c>
      <c r="CW69" s="445" t="n">
        <f aca="false">IF(CW$54&lt;Total_Lanes,900*Peak_Time_Mor*($CO69/CW$54-1+SQRT(($CO69/CW$54-1)^2+8*($CO69/CW$54)/(Peak_Time_Mor*$O54*CW$54))),"-")</f>
        <v>0.0747662510173219</v>
      </c>
      <c r="CX69" s="445" t="n">
        <f aca="false">IF(CX$54&lt;Total_Lanes,900*Peak_Time_Mor*($CO69/CX$54-1+SQRT(($CO69/CX$54-1)^2+8*($CO69/CX$54)/(Peak_Time_Mor*$O54*CX$54))),"-")</f>
        <v>0.0574831361884298</v>
      </c>
      <c r="CY69" s="445" t="n">
        <f aca="false">IF(CY$54&lt;Total_Lanes,900*Peak_Time_Mor*($CO69/CY$54-1+SQRT(($CO69/CY$54-1)^2+8*($CO69/CY$54)/(Peak_Time_Mor*$O54*CY$54))),"-")</f>
        <v>0.0455790142580348</v>
      </c>
      <c r="CZ69" s="445" t="n">
        <f aca="false">IF(CZ$54&lt;Total_Lanes,900*Peak_Time_Mor*($CO69/CZ$54-1+SQRT(($CO69/CZ$54-1)^2+8*($CO69/CZ$54)/(Peak_Time_Mor*$O54*CZ$54))),"-")</f>
        <v>0.0370294069697019</v>
      </c>
      <c r="DA69" s="445" t="str">
        <f aca="false">IF(DA$54&lt;Total_Lanes,900*Peak_Time_Mor*($CO69/DA$54-1+SQRT(($CO69/DA$54-1)^2+8*($CO69/DA$54)/(Peak_Time_Mor*$O54*DA$54))),"-")</f>
        <v>-</v>
      </c>
      <c r="DB69" s="445" t="str">
        <f aca="false">IF(DB$54&lt;Total_Lanes,900*Peak_Time_Mor*($CO69/DB$54-1+SQRT(($CO69/DB$54-1)^2+8*($CO69/DB$54)/(Peak_Time_Mor*$O54*DB$54))),"-")</f>
        <v>-</v>
      </c>
      <c r="DC69" s="445" t="str">
        <f aca="false">IF(DC$54&lt;Total_Lanes,900*Peak_Time_Mor*($CO69/DC$54-1+SQRT(($CO69/DC$54-1)^2+8*($CO69/DC$54)/(Peak_Time_Mor*$O54*DC$54))),"-")</f>
        <v>-</v>
      </c>
      <c r="DD69" s="445" t="str">
        <f aca="false">IF(DD$54&lt;Total_Lanes,900*Peak_Time_Mor*($CO69/DD$54-1+SQRT(($CO69/DD$54-1)^2+8*($CO69/DD$54)/(Peak_Time_Mor*$O54*DD$54))),"-")</f>
        <v>-</v>
      </c>
      <c r="DE69" s="445" t="str">
        <f aca="false">IF(DE$54&lt;Total_Lanes,900*Peak_Time_Mor*($CO69/DE$54-1+SQRT(($CO69/DE$54-1)^2+8*($CO69/DE$54)/(Peak_Time_Mor*$O54*DE$54))),"-")</f>
        <v>-</v>
      </c>
      <c r="DF69" s="445" t="str">
        <f aca="false">IF(DF$54&lt;Total_Lanes,900*Peak_Time_Mor*($CO69/DF$54-1+SQRT(($CO69/DF$54-1)^2+8*($CO69/DF$54)/(Peak_Time_Mor*$O54*DF$54))),"-")</f>
        <v>-</v>
      </c>
      <c r="DG69" s="445" t="str">
        <f aca="false">IF(DG$54&lt;Total_Lanes,900*Peak_Time_Mor*($CO69/DG$54-1+SQRT(($CO69/DG$54-1)^2+8*($CO69/DG$54)/(Peak_Time_Mor*$O54*DG$54))),"-")</f>
        <v>-</v>
      </c>
      <c r="DH69" s="445" t="str">
        <f aca="false">IF(DH$54&lt;Total_Lanes,900*Peak_Time_Mor*($CO69/DH$54-1+SQRT(($CO69/DH$54-1)^2+8*($CO69/DH$54)/(Peak_Time_Mor*$O54*DH$54))),"-")</f>
        <v>-</v>
      </c>
      <c r="DI69" s="445" t="str">
        <f aca="false">IF(DI$54&lt;Total_Lanes,900*Peak_Time_Mor*($CO69/DI$54-1+SQRT(($CO69/DI$54-1)^2+8*($CO69/DI$54)/(Peak_Time_Mor*$O54*DI$54))),"-")</f>
        <v>-</v>
      </c>
      <c r="DJ69" s="446" t="str">
        <f aca="false">IF(DJ$54&lt;Total_Lanes,900*Peak_Time_Mor*($CO69/DJ$54-1+SQRT(($CO69/DJ$54-1)^2+8*($CO69/DJ$54)/(Peak_Time_Mor*$O54*DJ$54))),"-")</f>
        <v>-</v>
      </c>
      <c r="DK69" s="519" t="n">
        <f aca="false">3600/$O54</f>
        <v>2.4</v>
      </c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</row>
    <row r="70" customFormat="false" ht="13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400" t="n">
        <v>15</v>
      </c>
      <c r="X70" s="401" t="n">
        <f aca="false">X22</f>
        <v>27254043.25</v>
      </c>
      <c r="Y70" s="402" t="n">
        <f aca="false">Y22</f>
        <v>0.7425</v>
      </c>
      <c r="Z70" s="401" t="n">
        <f aca="false">Z22</f>
        <v>11752.2676434422</v>
      </c>
      <c r="AA70" s="409" t="n">
        <f aca="false">X70/Z70</f>
        <v>2319.04548780488</v>
      </c>
      <c r="AB70" s="518" t="n">
        <f aca="false">AB22</f>
        <v>2</v>
      </c>
      <c r="AC70" s="435" t="n">
        <f aca="false">1-AC22</f>
        <v>0.3</v>
      </c>
      <c r="AD70" s="405" t="n">
        <f aca="false">Z70*AC70</f>
        <v>3525.68029303267</v>
      </c>
      <c r="AE70" s="427" t="n">
        <f aca="false">Peak_Time_Mor*$BI70*(CI70+BL70)/3600</f>
        <v>13.6749283150382</v>
      </c>
      <c r="AF70" s="413" t="n">
        <f aca="false">IF(AF$54&lt;Total_Lanes,($BJ70*($CI70+BN70)+$CN70*CP70)*Peak_Time_Mor/3600,"-")</f>
        <v>3913.35035978885</v>
      </c>
      <c r="AG70" s="413" t="n">
        <f aca="false">IF(AG$54&lt;Total_Lanes,($BJ70*($CI70+BO70)+$CN70*CQ70)*Peak_Time_Mor/3600,"-")</f>
        <v>15.2973556419841</v>
      </c>
      <c r="AH70" s="413" t="n">
        <f aca="false">IF(AH$54&lt;Total_Lanes,($BJ70*($CI70+BP70)+$CN70*CR70)*Peak_Time_Mor/3600,"-")</f>
        <v>5.18648950848567</v>
      </c>
      <c r="AI70" s="413" t="n">
        <f aca="false">IF(AI$54&lt;Total_Lanes,($BJ70*($CI70+BQ70)+$CN70*CS70)*Peak_Time_Mor/3600,"-")</f>
        <v>4.27289464322338</v>
      </c>
      <c r="AJ70" s="413" t="n">
        <f aca="false">IF(AJ$54&lt;Total_Lanes,($BJ70*($CI70+BR70)+$CN70*CT70)*Peak_Time_Mor/3600,"-")</f>
        <v>4.01536146446143</v>
      </c>
      <c r="AK70" s="413" t="n">
        <f aca="false">IF(AK$54&lt;Total_Lanes,($BJ70*($CI70+BS70)+$CN70*CU70)*Peak_Time_Mor/3600,"-")</f>
        <v>3.95195183782468</v>
      </c>
      <c r="AL70" s="413" t="n">
        <f aca="false">IF(AL$54&lt;Total_Lanes,($BJ70*($CI70+BT70)+$CN70*CV70)*Peak_Time_Mor/3600,"-")</f>
        <v>4.01314051088296</v>
      </c>
      <c r="AM70" s="413" t="n">
        <f aca="false">IF(AM$54&lt;Total_Lanes,($BJ70*($CI70+BU70)+$CN70*CW70)*Peak_Time_Mor/3600,"-")</f>
        <v>4.26650595389429</v>
      </c>
      <c r="AN70" s="413" t="n">
        <f aca="false">IF(AN$54&lt;Total_Lanes,($BJ70*($CI70+BV70)+$CN70*CX70)*Peak_Time_Mor/3600,"-")</f>
        <v>5.16417752783101</v>
      </c>
      <c r="AO70" s="413" t="n">
        <f aca="false">IF(AO$54&lt;Total_Lanes,($BJ70*($CI70+BW70)+$CN70*CY70)*Peak_Time_Mor/3600,"-")</f>
        <v>14.5945719003542</v>
      </c>
      <c r="AP70" s="413" t="n">
        <f aca="false">IF(AP$54&lt;Total_Lanes,($BJ70*($CI70+BX70)+$CN70*CZ70)*Peak_Time_Mor/3600,"-")</f>
        <v>1352.57489881094</v>
      </c>
      <c r="AQ70" s="413" t="str">
        <f aca="false">IF(AQ$54&lt;Total_Lanes,($BJ70*($CI70+BY70)+$CN70*DA70)*Peak_Time_Mor/3600,"-")</f>
        <v>-</v>
      </c>
      <c r="AR70" s="413" t="str">
        <f aca="false">IF(AR$54&lt;Total_Lanes,($BJ70*($CI70+BZ70)+$CN70*DB70)*Peak_Time_Mor/3600,"-")</f>
        <v>-</v>
      </c>
      <c r="AS70" s="413" t="str">
        <f aca="false">IF(AS$54&lt;Total_Lanes,($BJ70*($CI70+CA70)+$CN70*DC70)*Peak_Time_Mor/3600,"-")</f>
        <v>-</v>
      </c>
      <c r="AT70" s="413" t="str">
        <f aca="false">IF(AT$54&lt;Total_Lanes,($BJ70*($CI70+CB70)+$CN70*DD70)*Peak_Time_Mor/3600,"-")</f>
        <v>-</v>
      </c>
      <c r="AU70" s="413" t="str">
        <f aca="false">IF(AU$54&lt;Total_Lanes,($BJ70*($CI70+CC70)+$CN70*DE70)*Peak_Time_Mor/3600,"-")</f>
        <v>-</v>
      </c>
      <c r="AV70" s="413" t="str">
        <f aca="false">IF(AV$54&lt;Total_Lanes,($BJ70*($CI70+CD70)+$CN70*DF70)*Peak_Time_Mor/3600,"-")</f>
        <v>-</v>
      </c>
      <c r="AW70" s="413" t="str">
        <f aca="false">IF(AW$54&lt;Total_Lanes,($BJ70*($CI70+CE70)+$CN70*DG70)*Peak_Time_Mor/3600,"-")</f>
        <v>-</v>
      </c>
      <c r="AX70" s="413" t="str">
        <f aca="false">IF(AX$54&lt;Total_Lanes,($BJ70*($CI70+CF70)+$CN70*DH70)*Peak_Time_Mor/3600,"-")</f>
        <v>-</v>
      </c>
      <c r="AY70" s="413" t="str">
        <f aca="false">IF(AY$54&lt;Total_Lanes,($BJ70*($CI70+CG70)+$CN70*DI70)*Peak_Time_Mor/3600,"-")</f>
        <v>-</v>
      </c>
      <c r="AZ70" s="414" t="str">
        <f aca="false">IF(AZ$54&lt;Total_Lanes,($BJ70*($CI70+CH70)+$CN70*DJ70)*Peak_Time_Mor/3600,"-")</f>
        <v>-</v>
      </c>
      <c r="BA70" s="436" t="n">
        <f aca="false">SUMIF(AF70:AZ70,BB70,$AF$54:$AZ$54)</f>
        <v>6</v>
      </c>
      <c r="BB70" s="437" t="n">
        <f aca="false">MIN(AF70:AZ70)</f>
        <v>3.95195183782468</v>
      </c>
      <c r="BC70" s="436" t="n">
        <f aca="false">IF((SUMIF($BN68:$CH68,$BA70,$BN70:$CH70)+$CI70)&lt;(SUMIF($CP68:$DJ68,$BA70,$CP70:$DJ70)+$DK70),BA70+1,BA70)</f>
        <v>6</v>
      </c>
      <c r="BD70" s="437" t="n">
        <f aca="false">SUMIF($AF$54:$AZ$54,$BC70,$AF70:$AZ70)</f>
        <v>3.95195183782468</v>
      </c>
      <c r="BG70" s="400" t="n">
        <v>15</v>
      </c>
      <c r="BH70" s="402" t="n">
        <f aca="false">$Y70</f>
        <v>0.7425</v>
      </c>
      <c r="BI70" s="411" t="n">
        <f aca="false">$AD70</f>
        <v>3525.68029303267</v>
      </c>
      <c r="BJ70" s="412" t="n">
        <f aca="false">BI70*(1-BH70)</f>
        <v>907.862675455914</v>
      </c>
      <c r="BK70" s="420" t="n">
        <f aca="false">Peak_Arrival_Manual_Mor/K55</f>
        <v>1.65811030308962</v>
      </c>
      <c r="BL70" s="513" t="n">
        <f aca="false">900*Peak_Time_Mor*($BK70/Total_Lanes-1+SQRT(($BK70/Total_Lanes-1)^2+8*($BK70/Total_Lanes)/(Peak_Time_Mor*$K55*Total_Lanes)))</f>
        <v>0.0878447338480415</v>
      </c>
      <c r="BM70" s="420" t="n">
        <f aca="false">Peak_Arrival_Manual_Mor/N55</f>
        <v>1.73849397747895</v>
      </c>
      <c r="BN70" s="514" t="n">
        <f aca="false">IF(BN$6&lt;Total_Lanes,900*Peak_Time_Mor*($BM70/(Total_Lanes-BN$6)-1+SQRT(($BM70/(Total_Lanes-BN$6)-1)^2+8*($BM70/(Total_Lanes-BN$6))/(Peak_Time_Mor*$N55*(Total_Lanes-BN$6)))),"-")</f>
        <v>0.117635273607686</v>
      </c>
      <c r="BO70" s="445" t="n">
        <f aca="false">IF(BO$6&lt;Total_Lanes,900*Peak_Time_Mor*($BM70/(Total_Lanes-BO$6)-1+SQRT(($BM70/(Total_Lanes-BO$6)-1)^2+8*($BM70/(Total_Lanes-BO$6))/(Peak_Time_Mor*$N55*(Total_Lanes-BO$6)))),"-")</f>
        <v>0.145060214343862</v>
      </c>
      <c r="BP70" s="445" t="n">
        <f aca="false">IF(BP$6&lt;Total_Lanes,900*Peak_Time_Mor*($BM70/(Total_Lanes-BP$6)-1+SQRT(($BM70/(Total_Lanes-BP$6)-1)^2+8*($BM70/(Total_Lanes-BP$6))/(Peak_Time_Mor*$N55*(Total_Lanes-BP$6)))),"-")</f>
        <v>0.183371607522353</v>
      </c>
      <c r="BQ70" s="445" t="n">
        <f aca="false">IF(BQ$6&lt;Total_Lanes,900*Peak_Time_Mor*($BM70/(Total_Lanes-BQ$6)-1+SQRT(($BM70/(Total_Lanes-BQ$6)-1)^2+8*($BM70/(Total_Lanes-BQ$6))/(Peak_Time_Mor*$N55*(Total_Lanes-BQ$6)))),"-")</f>
        <v>0.239234086406426</v>
      </c>
      <c r="BR70" s="445" t="n">
        <f aca="false">IF(BR$6&lt;Total_Lanes,900*Peak_Time_Mor*($BM70/(Total_Lanes-BR$6)-1+SQRT(($BM70/(Total_Lanes-BR$6)-1)^2+8*($BM70/(Total_Lanes-BR$6))/(Peak_Time_Mor*$N55*(Total_Lanes-BR$6)))),"-")</f>
        <v>0.325363170530979</v>
      </c>
      <c r="BS70" s="445" t="n">
        <f aca="false">IF(BS$6&lt;Total_Lanes,900*Peak_Time_Mor*($BM70/(Total_Lanes-BS$6)-1+SQRT(($BM70/(Total_Lanes-BS$6)-1)^2+8*($BM70/(Total_Lanes-BS$6))/(Peak_Time_Mor*$N55*(Total_Lanes-BS$6)))),"-")</f>
        <v>0.468635055532229</v>
      </c>
      <c r="BT70" s="445" t="n">
        <f aca="false">IF(BT$6&lt;Total_Lanes,900*Peak_Time_Mor*($BM70/(Total_Lanes-BT$6)-1+SQRT(($BM70/(Total_Lanes-BT$6)-1)^2+8*($BM70/(Total_Lanes-BT$6))/(Peak_Time_Mor*$N55*(Total_Lanes-BT$6)))),"-")</f>
        <v>0.734690929064774</v>
      </c>
      <c r="BU70" s="445" t="n">
        <f aca="false">IF(BU$6&lt;Total_Lanes,900*Peak_Time_Mor*($BM70/(Total_Lanes-BU$6)-1+SQRT(($BM70/(Total_Lanes-BU$6)-1)^2+8*($BM70/(Total_Lanes-BU$6))/(Peak_Time_Mor*$N55*(Total_Lanes-BU$6)))),"-")</f>
        <v>1.32400176174583</v>
      </c>
      <c r="BV70" s="445" t="n">
        <f aca="false">IF(BV$6&lt;Total_Lanes,900*Peak_Time_Mor*($BM70/(Total_Lanes-BV$6)-1+SQRT(($BM70/(Total_Lanes-BV$6)-1)^2+8*($BM70/(Total_Lanes-BV$6))/(Peak_Time_Mor*$N55*(Total_Lanes-BV$6)))),"-")</f>
        <v>3.16018465919116</v>
      </c>
      <c r="BW70" s="445" t="n">
        <f aca="false">IF(BW$6&lt;Total_Lanes,900*Peak_Time_Mor*($BM70/(Total_Lanes-BW$6)-1+SQRT(($BM70/(Total_Lanes-BW$6)-1)^2+8*($BM70/(Total_Lanes-BW$6))/(Peak_Time_Mor*$N55*(Total_Lanes-BW$6)))),"-")</f>
        <v>21.8962899712252</v>
      </c>
      <c r="BX70" s="515" t="n">
        <f aca="false">IF(BX$6&lt;Total_Lanes,900*Peak_Time_Mor*($BM70/(Total_Lanes-BX$6)-1+SQRT(($BM70/(Total_Lanes-BX$6)-1)^2+8*($BM70/(Total_Lanes-BX$6))/(Peak_Time_Mor*$N55*(Total_Lanes-BX$6)))),"-")</f>
        <v>2674.70907300194</v>
      </c>
      <c r="BY70" s="445" t="str">
        <f aca="false">IF(BY$6&lt;Total_Lanes,900*Peak_Time_Mor*($BM70/(Total_Lanes-BY$6)-1+SQRT(($BM70/(Total_Lanes-BY$6)-1)^2+8*($BM70/(Total_Lanes-BY$6))/(Peak_Time_Mor*$N55*(Total_Lanes-BY$6)))),"-")</f>
        <v>-</v>
      </c>
      <c r="BZ70" s="445" t="str">
        <f aca="false">IF(BZ$6&lt;Total_Lanes,900*Peak_Time_Mor*($BM70/(Total_Lanes-BZ$6)-1+SQRT(($BM70/(Total_Lanes-BZ$6)-1)^2+8*($BM70/(Total_Lanes-BZ$6))/(Peak_Time_Mor*$N55*(Total_Lanes-BZ$6)))),"-")</f>
        <v>-</v>
      </c>
      <c r="CA70" s="445" t="str">
        <f aca="false">IF(CA$6&lt;Total_Lanes,900*Peak_Time_Mor*($BM70/(Total_Lanes-CA$6)-1+SQRT(($BM70/(Total_Lanes-CA$6)-1)^2+8*($BM70/(Total_Lanes-CA$6))/(Peak_Time_Mor*$N55*(Total_Lanes-CA$6)))),"-")</f>
        <v>-</v>
      </c>
      <c r="CB70" s="445" t="str">
        <f aca="false">IF(CB$6&lt;Total_Lanes,900*Peak_Time_Mor*($BM70/(Total_Lanes-CB$6)-1+SQRT(($BM70/(Total_Lanes-CB$6)-1)^2+8*($BM70/(Total_Lanes-CB$6))/(Peak_Time_Mor*$N55*(Total_Lanes-CB$6)))),"-")</f>
        <v>-</v>
      </c>
      <c r="CC70" s="445" t="str">
        <f aca="false">IF(CC$6&lt;Total_Lanes,900*Peak_Time_Mor*($BM70/(Total_Lanes-CC$6)-1+SQRT(($BM70/(Total_Lanes-CC$6)-1)^2+8*($BM70/(Total_Lanes-CC$6))/(Peak_Time_Mor*$N55*(Total_Lanes-CC$6)))),"-")</f>
        <v>-</v>
      </c>
      <c r="CD70" s="445" t="str">
        <f aca="false">IF(CD$6&lt;Total_Lanes,900*Peak_Time_Mor*($BM70/(Total_Lanes-CD$6)-1+SQRT(($BM70/(Total_Lanes-CD$6)-1)^2+8*($BM70/(Total_Lanes-CD$6))/(Peak_Time_Mor*$N55*(Total_Lanes-CD$6)))),"-")</f>
        <v>-</v>
      </c>
      <c r="CE70" s="445" t="str">
        <f aca="false">IF(CE$6&lt;Total_Lanes,900*Peak_Time_Mor*($BM70/(Total_Lanes-CE$6)-1+SQRT(($BM70/(Total_Lanes-CE$6)-1)^2+8*($BM70/(Total_Lanes-CE$6))/(Peak_Time_Mor*$N55*(Total_Lanes-CE$6)))),"-")</f>
        <v>-</v>
      </c>
      <c r="CF70" s="445" t="str">
        <f aca="false">IF(CF$6&lt;Total_Lanes,900*Peak_Time_Mor*($BM70/(Total_Lanes-CF$6)-1+SQRT(($BM70/(Total_Lanes-CF$6)-1)^2+8*($BM70/(Total_Lanes-CF$6))/(Peak_Time_Mor*$N55*(Total_Lanes-CF$6)))),"-")</f>
        <v>-</v>
      </c>
      <c r="CG70" s="445" t="str">
        <f aca="false">IF(CG$6&lt;Total_Lanes,900*Peak_Time_Mor*($BM70/(Total_Lanes-CG$6)-1+SQRT(($BM70/(Total_Lanes-CG$6)-1)^2+8*($BM70/(Total_Lanes-CG$6))/(Peak_Time_Mor*$N55*(Total_Lanes-CG$6)))),"-")</f>
        <v>-</v>
      </c>
      <c r="CH70" s="446" t="str">
        <f aca="false">IF(CH$6&lt;Total_Lanes,900*Peak_Time_Mor*($BM70/(Total_Lanes-CH$6)-1+SQRT(($BM70/(Total_Lanes-CH$6)-1)^2+8*($BM70/(Total_Lanes-CH$6))/(Peak_Time_Mor*$N55*(Total_Lanes-CH$6)))),"-")</f>
        <v>-</v>
      </c>
      <c r="CI70" s="519" t="n">
        <f aca="false">3600/N55</f>
        <v>6.89375</v>
      </c>
      <c r="CK70" s="400" t="n">
        <v>15</v>
      </c>
      <c r="CL70" s="402" t="n">
        <f aca="false">$Y70</f>
        <v>0.7425</v>
      </c>
      <c r="CM70" s="427" t="n">
        <f aca="false">$AD70</f>
        <v>3525.68029303267</v>
      </c>
      <c r="CN70" s="427" t="n">
        <f aca="false">CM70*CL70</f>
        <v>2617.81761757676</v>
      </c>
      <c r="CO70" s="440" t="n">
        <f aca="false">CN70/O55</f>
        <v>1.74521174505117</v>
      </c>
      <c r="CP70" s="445" t="n">
        <f aca="false">IF(CP$54&lt;Total_Lanes,900*Peak_Time_Mor*($CO70/CP$54-1+SQRT(($CO70/CP$54-1)^2+8*($CO70/CP$54)/(Peak_Time_Mor*$O55*CP$54))),"-")</f>
        <v>2688.37111698459</v>
      </c>
      <c r="CQ70" s="445" t="n">
        <f aca="false">IF(CQ$54&lt;Total_Lanes,900*Peak_Time_Mor*($CO70/CQ$54-1+SQRT(($CO70/CQ$54-1)^2+8*($CO70/CQ$54)/(Peak_Time_Mor*$O55*CQ$54))),"-")</f>
        <v>8.07732629667459</v>
      </c>
      <c r="CR70" s="445" t="n">
        <f aca="false">IF(CR$54&lt;Total_Lanes,900*Peak_Time_Mor*($CO70/CR$54-1+SQRT(($CO70/CR$54-1)^2+8*($CO70/CR$54)/(Peak_Time_Mor*$O55*CR$54))),"-")</f>
        <v>1.11185230728044</v>
      </c>
      <c r="CS70" s="445" t="n">
        <f aca="false">IF(CS$54&lt;Total_Lanes,900*Peak_Time_Mor*($CO70/CS$54-1+SQRT(($CO70/CS$54-1)^2+8*($CO70/CS$54)/(Peak_Time_Mor*$O55*CS$54))),"-")</f>
        <v>0.464295271363402</v>
      </c>
      <c r="CT70" s="445" t="n">
        <f aca="false">IF(CT$54&lt;Total_Lanes,900*Peak_Time_Mor*($CO70/CT$54-1+SQRT(($CO70/CT$54-1)^2+8*($CO70/CT$54)/(Peak_Time_Mor*$O55*CT$54))),"-")</f>
        <v>0.257346896166477</v>
      </c>
      <c r="CU70" s="445" t="n">
        <f aca="false">IF(CU$54&lt;Total_Lanes,900*Peak_Time_Mor*($CO70/CU$54-1+SQRT(($CO70/CU$54-1)^2+8*($CO70/CU$54)/(Peak_Time_Mor*$O55*CU$54))),"-")</f>
        <v>0.16405983019927</v>
      </c>
      <c r="CV70" s="445" t="n">
        <f aca="false">IF(CV$54&lt;Total_Lanes,900*Peak_Time_Mor*($CO70/CV$54-1+SQRT(($CO70/CV$54-1)^2+8*($CO70/CV$54)/(Peak_Time_Mor*$O55*CV$54))),"-")</f>
        <v>0.113864360209748</v>
      </c>
      <c r="CW70" s="445" t="n">
        <f aca="false">IF(CW$54&lt;Total_Lanes,900*Peak_Time_Mor*($CO70/CW$54-1+SQRT(($CO70/CW$54-1)^2+8*($CO70/CW$54)/(Peak_Time_Mor*$O55*CW$54))),"-")</f>
        <v>0.0837035456127122</v>
      </c>
      <c r="CX70" s="445" t="n">
        <f aca="false">IF(CX$54&lt;Total_Lanes,900*Peak_Time_Mor*($CO70/CX$54-1+SQRT(($CO70/CX$54-1)^2+8*($CO70/CX$54)/(Peak_Time_Mor*$O55*CX$54))),"-")</f>
        <v>0.0641479109988685</v>
      </c>
      <c r="CY70" s="445" t="n">
        <f aca="false">IF(CY$54&lt;Total_Lanes,900*Peak_Time_Mor*($CO70/CY$54-1+SQRT(($CO70/CY$54-1)^2+8*($CO70/CY$54)/(Peak_Time_Mor*$O55*CY$54))),"-")</f>
        <v>0.0507394804689865</v>
      </c>
      <c r="CZ70" s="445" t="n">
        <f aca="false">IF(CZ$54&lt;Total_Lanes,900*Peak_Time_Mor*($CO70/CZ$54-1+SQRT(($CO70/CZ$54-1)^2+8*($CO70/CZ$54)/(Peak_Time_Mor*$O55*CZ$54))),"-")</f>
        <v>0.0411428429173633</v>
      </c>
      <c r="DA70" s="445" t="str">
        <f aca="false">IF(DA$54&lt;Total_Lanes,900*Peak_Time_Mor*($CO70/DA$54-1+SQRT(($CO70/DA$54-1)^2+8*($CO70/DA$54)/(Peak_Time_Mor*$O55*DA$54))),"-")</f>
        <v>-</v>
      </c>
      <c r="DB70" s="445" t="str">
        <f aca="false">IF(DB$54&lt;Total_Lanes,900*Peak_Time_Mor*($CO70/DB$54-1+SQRT(($CO70/DB$54-1)^2+8*($CO70/DB$54)/(Peak_Time_Mor*$O55*DB$54))),"-")</f>
        <v>-</v>
      </c>
      <c r="DC70" s="445" t="str">
        <f aca="false">IF(DC$54&lt;Total_Lanes,900*Peak_Time_Mor*($CO70/DC$54-1+SQRT(($CO70/DC$54-1)^2+8*($CO70/DC$54)/(Peak_Time_Mor*$O55*DC$54))),"-")</f>
        <v>-</v>
      </c>
      <c r="DD70" s="445" t="str">
        <f aca="false">IF(DD$54&lt;Total_Lanes,900*Peak_Time_Mor*($CO70/DD$54-1+SQRT(($CO70/DD$54-1)^2+8*($CO70/DD$54)/(Peak_Time_Mor*$O55*DD$54))),"-")</f>
        <v>-</v>
      </c>
      <c r="DE70" s="445" t="str">
        <f aca="false">IF(DE$54&lt;Total_Lanes,900*Peak_Time_Mor*($CO70/DE$54-1+SQRT(($CO70/DE$54-1)^2+8*($CO70/DE$54)/(Peak_Time_Mor*$O55*DE$54))),"-")</f>
        <v>-</v>
      </c>
      <c r="DF70" s="445" t="str">
        <f aca="false">IF(DF$54&lt;Total_Lanes,900*Peak_Time_Mor*($CO70/DF$54-1+SQRT(($CO70/DF$54-1)^2+8*($CO70/DF$54)/(Peak_Time_Mor*$O55*DF$54))),"-")</f>
        <v>-</v>
      </c>
      <c r="DG70" s="445" t="str">
        <f aca="false">IF(DG$54&lt;Total_Lanes,900*Peak_Time_Mor*($CO70/DG$54-1+SQRT(($CO70/DG$54-1)^2+8*($CO70/DG$54)/(Peak_Time_Mor*$O55*DG$54))),"-")</f>
        <v>-</v>
      </c>
      <c r="DH70" s="445" t="str">
        <f aca="false">IF(DH$54&lt;Total_Lanes,900*Peak_Time_Mor*($CO70/DH$54-1+SQRT(($CO70/DH$54-1)^2+8*($CO70/DH$54)/(Peak_Time_Mor*$O55*DH$54))),"-")</f>
        <v>-</v>
      </c>
      <c r="DI70" s="445" t="str">
        <f aca="false">IF(DI$54&lt;Total_Lanes,900*Peak_Time_Mor*($CO70/DI$54-1+SQRT(($CO70/DI$54-1)^2+8*($CO70/DI$54)/(Peak_Time_Mor*$O55*DI$54))),"-")</f>
        <v>-</v>
      </c>
      <c r="DJ70" s="446" t="str">
        <f aca="false">IF(DJ$54&lt;Total_Lanes,900*Peak_Time_Mor*($CO70/DJ$54-1+SQRT(($CO70/DJ$54-1)^2+8*($CO70/DJ$54)/(Peak_Time_Mor*$O55*DJ$54))),"-")</f>
        <v>-</v>
      </c>
      <c r="DK70" s="519" t="n">
        <f aca="false">3600/$O55</f>
        <v>2.4</v>
      </c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</row>
    <row r="71" customFormat="false" ht="13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400" t="n">
        <v>16</v>
      </c>
      <c r="X71" s="401" t="n">
        <f aca="false">X23</f>
        <v>27803234.6</v>
      </c>
      <c r="Y71" s="402" t="n">
        <f aca="false">Y23</f>
        <v>0.792</v>
      </c>
      <c r="Z71" s="401" t="n">
        <f aca="false">Z23</f>
        <v>11989.0854863384</v>
      </c>
      <c r="AA71" s="409" t="n">
        <f aca="false">X71/Z71</f>
        <v>2319.04548780488</v>
      </c>
      <c r="AB71" s="518" t="n">
        <f aca="false">AB23</f>
        <v>2</v>
      </c>
      <c r="AC71" s="435" t="n">
        <f aca="false">1-AC23</f>
        <v>0.3</v>
      </c>
      <c r="AD71" s="405" t="n">
        <f aca="false">Z71*AC71</f>
        <v>3596.72564590152</v>
      </c>
      <c r="AE71" s="427" t="n">
        <f aca="false">Peak_Time_Mor*$BI71*(CI71+BL71)/3600</f>
        <v>13.9580975130969</v>
      </c>
      <c r="AF71" s="413" t="n">
        <f aca="false">IF(AF$54&lt;Total_Lanes,($BJ71*($CI71+BN71)+$CN71*CP71)*Peak_Time_Mor/3600,"-")</f>
        <v>5133.12359074433</v>
      </c>
      <c r="AG71" s="413" t="n">
        <f aca="false">IF(AG$54&lt;Total_Lanes,($BJ71*($CI71+BO71)+$CN71*CQ71)*Peak_Time_Mor/3600,"-")</f>
        <v>35.0621831006122</v>
      </c>
      <c r="AH71" s="413" t="n">
        <f aca="false">IF(AH$54&lt;Total_Lanes,($BJ71*($CI71+BP71)+$CN71*CR71)*Peak_Time_Mor/3600,"-")</f>
        <v>5.11631588892068</v>
      </c>
      <c r="AI71" s="413" t="n">
        <f aca="false">IF(AI$54&lt;Total_Lanes,($BJ71*($CI71+BQ71)+$CN71*CS71)*Peak_Time_Mor/3600,"-")</f>
        <v>3.81073738809842</v>
      </c>
      <c r="AJ71" s="413" t="n">
        <f aca="false">IF(AJ$54&lt;Total_Lanes,($BJ71*($CI71+BR71)+$CN71*CT71)*Peak_Time_Mor/3600,"-")</f>
        <v>3.44522286422917</v>
      </c>
      <c r="AK71" s="413" t="n">
        <f aca="false">IF(AK$54&lt;Total_Lanes,($BJ71*($CI71+BS71)+$CN71*CU71)*Peak_Time_Mor/3600,"-")</f>
        <v>3.31797579135764</v>
      </c>
      <c r="AL71" s="413" t="n">
        <f aca="false">IF(AL$54&lt;Total_Lanes,($BJ71*($CI71+BT71)+$CN71*CV71)*Peak_Time_Mor/3600,"-")</f>
        <v>3.30779797456131</v>
      </c>
      <c r="AM71" s="413" t="n">
        <f aca="false">IF(AM$54&lt;Total_Lanes,($BJ71*($CI71+BU71)+$CN71*CW71)*Peak_Time_Mor/3600,"-")</f>
        <v>3.42448374177716</v>
      </c>
      <c r="AN71" s="413" t="n">
        <f aca="false">IF(AN$54&lt;Total_Lanes,($BJ71*($CI71+BV71)+$CN71*CX71)*Peak_Time_Mor/3600,"-")</f>
        <v>3.86668429303018</v>
      </c>
      <c r="AO71" s="413" t="n">
        <f aca="false">IF(AO$54&lt;Total_Lanes,($BJ71*($CI71+BW71)+$CN71*CY71)*Peak_Time_Mor/3600,"-")</f>
        <v>6.59959475759411</v>
      </c>
      <c r="AP71" s="413" t="n">
        <f aca="false">IF(AP$54&lt;Total_Lanes,($BJ71*($CI71+BX71)+$CN71*CZ71)*Peak_Time_Mor/3600,"-")</f>
        <v>666.137436011861</v>
      </c>
      <c r="AQ71" s="413" t="str">
        <f aca="false">IF(AQ$54&lt;Total_Lanes,($BJ71*($CI71+BY71)+$CN71*DA71)*Peak_Time_Mor/3600,"-")</f>
        <v>-</v>
      </c>
      <c r="AR71" s="413" t="str">
        <f aca="false">IF(AR$54&lt;Total_Lanes,($BJ71*($CI71+BZ71)+$CN71*DB71)*Peak_Time_Mor/3600,"-")</f>
        <v>-</v>
      </c>
      <c r="AS71" s="413" t="str">
        <f aca="false">IF(AS$54&lt;Total_Lanes,($BJ71*($CI71+CA71)+$CN71*DC71)*Peak_Time_Mor/3600,"-")</f>
        <v>-</v>
      </c>
      <c r="AT71" s="413" t="str">
        <f aca="false">IF(AT$54&lt;Total_Lanes,($BJ71*($CI71+CB71)+$CN71*DD71)*Peak_Time_Mor/3600,"-")</f>
        <v>-</v>
      </c>
      <c r="AU71" s="413" t="str">
        <f aca="false">IF(AU$54&lt;Total_Lanes,($BJ71*($CI71+CC71)+$CN71*DE71)*Peak_Time_Mor/3600,"-")</f>
        <v>-</v>
      </c>
      <c r="AV71" s="413" t="str">
        <f aca="false">IF(AV$54&lt;Total_Lanes,($BJ71*($CI71+CD71)+$CN71*DF71)*Peak_Time_Mor/3600,"-")</f>
        <v>-</v>
      </c>
      <c r="AW71" s="413" t="str">
        <f aca="false">IF(AW$54&lt;Total_Lanes,($BJ71*($CI71+CE71)+$CN71*DG71)*Peak_Time_Mor/3600,"-")</f>
        <v>-</v>
      </c>
      <c r="AX71" s="413" t="str">
        <f aca="false">IF(AX$54&lt;Total_Lanes,($BJ71*($CI71+CF71)+$CN71*DH71)*Peak_Time_Mor/3600,"-")</f>
        <v>-</v>
      </c>
      <c r="AY71" s="413" t="str">
        <f aca="false">IF(AY$54&lt;Total_Lanes,($BJ71*($CI71+CG71)+$CN71*DI71)*Peak_Time_Mor/3600,"-")</f>
        <v>-</v>
      </c>
      <c r="AZ71" s="414" t="str">
        <f aca="false">IF(AZ$54&lt;Total_Lanes,($BJ71*($CI71+CH71)+$CN71*DJ71)*Peak_Time_Mor/3600,"-")</f>
        <v>-</v>
      </c>
      <c r="BA71" s="436" t="n">
        <f aca="false">SUMIF(AF71:AZ71,BB71,$AF$54:$AZ$54)</f>
        <v>7</v>
      </c>
      <c r="BB71" s="437" t="n">
        <f aca="false">MIN(AF71:AZ71)</f>
        <v>3.30779797456131</v>
      </c>
      <c r="BC71" s="436" t="n">
        <f aca="false">IF((SUMIF($BN69:$CH69,$BA71,$BN71:$CH71)+$CI71)&lt;(SUMIF($CP69:$DJ69,$BA71,$CP71:$DJ71)+$DK71),BA71+1,BA71)</f>
        <v>7</v>
      </c>
      <c r="BD71" s="437" t="n">
        <f aca="false">SUMIF($AF$54:$AZ$54,$BC71,$AF71:$AZ71)</f>
        <v>3.30779797456131</v>
      </c>
      <c r="BG71" s="400" t="n">
        <v>16</v>
      </c>
      <c r="BH71" s="402" t="n">
        <f aca="false">$Y71</f>
        <v>0.792</v>
      </c>
      <c r="BI71" s="411" t="n">
        <f aca="false">$AD71</f>
        <v>3596.72564590152</v>
      </c>
      <c r="BJ71" s="412" t="n">
        <f aca="false">BI71*(1-BH71)</f>
        <v>748.118934347516</v>
      </c>
      <c r="BK71" s="420" t="n">
        <f aca="false">Peak_Arrival_Manual_Mor/K56</f>
        <v>1.3663561092597</v>
      </c>
      <c r="BL71" s="513" t="n">
        <f aca="false">900*Peak_Time_Mor*($BK71/Total_Lanes-1+SQRT(($BK71/Total_Lanes-1)^2+8*($BK71/Total_Lanes)/(Peak_Time_Mor*$K56*Total_Lanes)))</f>
        <v>0.0704022789322245</v>
      </c>
      <c r="BM71" s="420" t="n">
        <f aca="false">Peak_Arrival_Manual_Mor/N56</f>
        <v>1.43701178639252</v>
      </c>
      <c r="BN71" s="514" t="n">
        <f aca="false">IF(BN$6&lt;Total_Lanes,900*Peak_Time_Mor*($BM71/(Total_Lanes-BN$6)-1+SQRT(($BM71/(Total_Lanes-BN$6)-1)^2+8*($BM71/(Total_Lanes-BN$6))/(Peak_Time_Mor*$N56*(Total_Lanes-BN$6)))),"-")</f>
        <v>0.0944611223285374</v>
      </c>
      <c r="BO71" s="445" t="n">
        <f aca="false">IF(BO$6&lt;Total_Lanes,900*Peak_Time_Mor*($BM71/(Total_Lanes-BO$6)-1+SQRT(($BM71/(Total_Lanes-BO$6)-1)^2+8*($BM71/(Total_Lanes-BO$6))/(Peak_Time_Mor*$N56*(Total_Lanes-BO$6)))),"-")</f>
        <v>0.116040828436192</v>
      </c>
      <c r="BP71" s="445" t="n">
        <f aca="false">IF(BP$6&lt;Total_Lanes,900*Peak_Time_Mor*($BM71/(Total_Lanes-BP$6)-1+SQRT(($BM71/(Total_Lanes-BP$6)-1)^2+8*($BM71/(Total_Lanes-BP$6))/(Peak_Time_Mor*$N56*(Total_Lanes-BP$6)))),"-")</f>
        <v>0.145980761669828</v>
      </c>
      <c r="BQ71" s="445" t="n">
        <f aca="false">IF(BQ$6&lt;Total_Lanes,900*Peak_Time_Mor*($BM71/(Total_Lanes-BQ$6)-1+SQRT(($BM71/(Total_Lanes-BQ$6)-1)^2+8*($BM71/(Total_Lanes-BQ$6))/(Peak_Time_Mor*$N56*(Total_Lanes-BQ$6)))),"-")</f>
        <v>0.189248774084372</v>
      </c>
      <c r="BR71" s="445" t="n">
        <f aca="false">IF(BR$6&lt;Total_Lanes,900*Peak_Time_Mor*($BM71/(Total_Lanes-BR$6)-1+SQRT(($BM71/(Total_Lanes-BR$6)-1)^2+8*($BM71/(Total_Lanes-BR$6))/(Peak_Time_Mor*$N56*(Total_Lanes-BR$6)))),"-")</f>
        <v>0.255157068421941</v>
      </c>
      <c r="BS71" s="445" t="n">
        <f aca="false">IF(BS$6&lt;Total_Lanes,900*Peak_Time_Mor*($BM71/(Total_Lanes-BS$6)-1+SQRT(($BM71/(Total_Lanes-BS$6)-1)^2+8*($BM71/(Total_Lanes-BS$6))/(Peak_Time_Mor*$N56*(Total_Lanes-BS$6)))),"-")</f>
        <v>0.362906171310562</v>
      </c>
      <c r="BT71" s="445" t="n">
        <f aca="false">IF(BT$6&lt;Total_Lanes,900*Peak_Time_Mor*($BM71/(Total_Lanes-BT$6)-1+SQRT(($BM71/(Total_Lanes-BT$6)-1)^2+8*($BM71/(Total_Lanes-BT$6))/(Peak_Time_Mor*$N56*(Total_Lanes-BT$6)))),"-")</f>
        <v>0.557665434147037</v>
      </c>
      <c r="BU71" s="445" t="n">
        <f aca="false">IF(BU$6&lt;Total_Lanes,900*Peak_Time_Mor*($BM71/(Total_Lanes-BU$6)-1+SQRT(($BM71/(Total_Lanes-BU$6)-1)^2+8*($BM71/(Total_Lanes-BU$6))/(Peak_Time_Mor*$N56*(Total_Lanes-BU$6)))),"-")</f>
        <v>0.968865604578362</v>
      </c>
      <c r="BV71" s="445" t="n">
        <f aca="false">IF(BV$6&lt;Total_Lanes,900*Peak_Time_Mor*($BM71/(Total_Lanes-BV$6)-1+SQRT(($BM71/(Total_Lanes-BV$6)-1)^2+8*($BM71/(Total_Lanes-BV$6))/(Peak_Time_Mor*$N56*(Total_Lanes-BV$6)))),"-")</f>
        <v>2.11682852308162</v>
      </c>
      <c r="BW71" s="445" t="n">
        <f aca="false">IF(BW$6&lt;Total_Lanes,900*Peak_Time_Mor*($BM71/(Total_Lanes-BW$6)-1+SQRT(($BM71/(Total_Lanes-BW$6)-1)^2+8*($BM71/(Total_Lanes-BW$6))/(Peak_Time_Mor*$N56*(Total_Lanes-BW$6)))),"-")</f>
        <v>8.74962749078889</v>
      </c>
      <c r="BX71" s="515" t="n">
        <f aca="false">IF(BX$6&lt;Total_Lanes,900*Peak_Time_Mor*($BM71/(Total_Lanes-BX$6)-1+SQRT(($BM71/(Total_Lanes-BX$6)-1)^2+8*($BM71/(Total_Lanes-BX$6))/(Peak_Time_Mor*$N56*(Total_Lanes-BX$6)))),"-")</f>
        <v>1595.66133076377</v>
      </c>
      <c r="BY71" s="445" t="str">
        <f aca="false">IF(BY$6&lt;Total_Lanes,900*Peak_Time_Mor*($BM71/(Total_Lanes-BY$6)-1+SQRT(($BM71/(Total_Lanes-BY$6)-1)^2+8*($BM71/(Total_Lanes-BY$6))/(Peak_Time_Mor*$N56*(Total_Lanes-BY$6)))),"-")</f>
        <v>-</v>
      </c>
      <c r="BZ71" s="445" t="str">
        <f aca="false">IF(BZ$6&lt;Total_Lanes,900*Peak_Time_Mor*($BM71/(Total_Lanes-BZ$6)-1+SQRT(($BM71/(Total_Lanes-BZ$6)-1)^2+8*($BM71/(Total_Lanes-BZ$6))/(Peak_Time_Mor*$N56*(Total_Lanes-BZ$6)))),"-")</f>
        <v>-</v>
      </c>
      <c r="CA71" s="445" t="str">
        <f aca="false">IF(CA$6&lt;Total_Lanes,900*Peak_Time_Mor*($BM71/(Total_Lanes-CA$6)-1+SQRT(($BM71/(Total_Lanes-CA$6)-1)^2+8*($BM71/(Total_Lanes-CA$6))/(Peak_Time_Mor*$N56*(Total_Lanes-CA$6)))),"-")</f>
        <v>-</v>
      </c>
      <c r="CB71" s="445" t="str">
        <f aca="false">IF(CB$6&lt;Total_Lanes,900*Peak_Time_Mor*($BM71/(Total_Lanes-CB$6)-1+SQRT(($BM71/(Total_Lanes-CB$6)-1)^2+8*($BM71/(Total_Lanes-CB$6))/(Peak_Time_Mor*$N56*(Total_Lanes-CB$6)))),"-")</f>
        <v>-</v>
      </c>
      <c r="CC71" s="445" t="str">
        <f aca="false">IF(CC$6&lt;Total_Lanes,900*Peak_Time_Mor*($BM71/(Total_Lanes-CC$6)-1+SQRT(($BM71/(Total_Lanes-CC$6)-1)^2+8*($BM71/(Total_Lanes-CC$6))/(Peak_Time_Mor*$N56*(Total_Lanes-CC$6)))),"-")</f>
        <v>-</v>
      </c>
      <c r="CD71" s="445" t="str">
        <f aca="false">IF(CD$6&lt;Total_Lanes,900*Peak_Time_Mor*($BM71/(Total_Lanes-CD$6)-1+SQRT(($BM71/(Total_Lanes-CD$6)-1)^2+8*($BM71/(Total_Lanes-CD$6))/(Peak_Time_Mor*$N56*(Total_Lanes-CD$6)))),"-")</f>
        <v>-</v>
      </c>
      <c r="CE71" s="445" t="str">
        <f aca="false">IF(CE$6&lt;Total_Lanes,900*Peak_Time_Mor*($BM71/(Total_Lanes-CE$6)-1+SQRT(($BM71/(Total_Lanes-CE$6)-1)^2+8*($BM71/(Total_Lanes-CE$6))/(Peak_Time_Mor*$N56*(Total_Lanes-CE$6)))),"-")</f>
        <v>-</v>
      </c>
      <c r="CF71" s="445" t="str">
        <f aca="false">IF(CF$6&lt;Total_Lanes,900*Peak_Time_Mor*($BM71/(Total_Lanes-CF$6)-1+SQRT(($BM71/(Total_Lanes-CF$6)-1)^2+8*($BM71/(Total_Lanes-CF$6))/(Peak_Time_Mor*$N56*(Total_Lanes-CF$6)))),"-")</f>
        <v>-</v>
      </c>
      <c r="CG71" s="445" t="str">
        <f aca="false">IF(CG$6&lt;Total_Lanes,900*Peak_Time_Mor*($BM71/(Total_Lanes-CG$6)-1+SQRT(($BM71/(Total_Lanes-CG$6)-1)^2+8*($BM71/(Total_Lanes-CG$6))/(Peak_Time_Mor*$N56*(Total_Lanes-CG$6)))),"-")</f>
        <v>-</v>
      </c>
      <c r="CH71" s="446" t="str">
        <f aca="false">IF(CH$6&lt;Total_Lanes,900*Peak_Time_Mor*($BM71/(Total_Lanes-CH$6)-1+SQRT(($BM71/(Total_Lanes-CH$6)-1)^2+8*($BM71/(Total_Lanes-CH$6))/(Peak_Time_Mor*$N56*(Total_Lanes-CH$6)))),"-")</f>
        <v>-</v>
      </c>
      <c r="CI71" s="519" t="n">
        <f aca="false">3600/N56</f>
        <v>6.915</v>
      </c>
      <c r="CK71" s="400" t="n">
        <v>16</v>
      </c>
      <c r="CL71" s="402" t="n">
        <f aca="false">$Y71</f>
        <v>0.792</v>
      </c>
      <c r="CM71" s="427" t="n">
        <f aca="false">$AD71</f>
        <v>3596.72564590152</v>
      </c>
      <c r="CN71" s="427" t="n">
        <f aca="false">CM71*CL71</f>
        <v>2848.606711554</v>
      </c>
      <c r="CO71" s="440" t="n">
        <f aca="false">CN71/O56</f>
        <v>1.899071141036</v>
      </c>
      <c r="CP71" s="445" t="n">
        <f aca="false">IF(CP$54&lt;Total_Lanes,900*Peak_Time_Mor*($CO71/CP$54-1+SQRT(($CO71/CP$54-1)^2+8*($CO71/CP$54)/(Peak_Time_Mor*$O56*CP$54))),"-")</f>
        <v>3241.71761419356</v>
      </c>
      <c r="CQ71" s="445" t="n">
        <f aca="false">IF(CQ$54&lt;Total_Lanes,900*Peak_Time_Mor*($CO71/CQ$54-1+SQRT(($CO71/CQ$54-1)^2+8*($CO71/CQ$54)/(Peak_Time_Mor*$O56*CQ$54))),"-")</f>
        <v>20.3088318842086</v>
      </c>
      <c r="CR71" s="445" t="n">
        <f aca="false">IF(CR$54&lt;Total_Lanes,900*Peak_Time_Mor*($CO71/CR$54-1+SQRT(($CO71/CR$54-1)^2+8*($CO71/CR$54)/(Peak_Time_Mor*$O56*CR$54))),"-")</f>
        <v>1.37853891211477</v>
      </c>
      <c r="CS71" s="445" t="n">
        <f aca="false">IF(CS$54&lt;Total_Lanes,900*Peak_Time_Mor*($CO71/CS$54-1+SQRT(($CO71/CS$54-1)^2+8*($CO71/CS$54)/(Peak_Time_Mor*$O56*CS$54))),"-")</f>
        <v>0.542196390293182</v>
      </c>
      <c r="CT71" s="445" t="n">
        <f aca="false">IF(CT$54&lt;Total_Lanes,900*Peak_Time_Mor*($CO71/CT$54-1+SQRT(($CO71/CT$54-1)^2+8*($CO71/CT$54)/(Peak_Time_Mor*$O56*CT$54))),"-")</f>
        <v>0.293922950853265</v>
      </c>
      <c r="CU71" s="445" t="n">
        <f aca="false">IF(CU$54&lt;Total_Lanes,900*Peak_Time_Mor*($CO71/CU$54-1+SQRT(($CO71/CU$54-1)^2+8*($CO71/CU$54)/(Peak_Time_Mor*$O56*CU$54))),"-")</f>
        <v>0.185219326045138</v>
      </c>
      <c r="CV71" s="445" t="n">
        <f aca="false">IF(CV$54&lt;Total_Lanes,900*Peak_Time_Mor*($CO71/CV$54-1+SQRT(($CO71/CV$54-1)^2+8*($CO71/CV$54)/(Peak_Time_Mor*$O56*CV$54))),"-")</f>
        <v>0.127639189855877</v>
      </c>
      <c r="CW71" s="445" t="n">
        <f aca="false">IF(CW$54&lt;Total_Lanes,900*Peak_Time_Mor*($CO71/CW$54-1+SQRT(($CO71/CW$54-1)^2+8*($CO71/CW$54)/(Peak_Time_Mor*$O56*CW$54))),"-")</f>
        <v>0.0933795456858899</v>
      </c>
      <c r="CX71" s="445" t="n">
        <f aca="false">IF(CX$54&lt;Total_Lanes,900*Peak_Time_Mor*($CO71/CX$54-1+SQRT(($CO71/CX$54-1)^2+8*($CO71/CX$54)/(Peak_Time_Mor*$O56*CX$54))),"-")</f>
        <v>0.0713154949516293</v>
      </c>
      <c r="CY71" s="445" t="n">
        <f aca="false">IF(CY$54&lt;Total_Lanes,900*Peak_Time_Mor*($CO71/CY$54-1+SQRT(($CO71/CY$54-1)^2+8*($CO71/CY$54)/(Peak_Time_Mor*$O56*CY$54))),"-")</f>
        <v>0.056261237347921</v>
      </c>
      <c r="CZ71" s="445" t="n">
        <f aca="false">IF(CZ$54&lt;Total_Lanes,900*Peak_Time_Mor*($CO71/CZ$54-1+SQRT(($CO71/CZ$54-1)^2+8*($CO71/CZ$54)/(Peak_Time_Mor*$O56*CZ$54))),"-")</f>
        <v>0.0455268322169466</v>
      </c>
      <c r="DA71" s="445" t="str">
        <f aca="false">IF(DA$54&lt;Total_Lanes,900*Peak_Time_Mor*($CO71/DA$54-1+SQRT(($CO71/DA$54-1)^2+8*($CO71/DA$54)/(Peak_Time_Mor*$O56*DA$54))),"-")</f>
        <v>-</v>
      </c>
      <c r="DB71" s="445" t="str">
        <f aca="false">IF(DB$54&lt;Total_Lanes,900*Peak_Time_Mor*($CO71/DB$54-1+SQRT(($CO71/DB$54-1)^2+8*($CO71/DB$54)/(Peak_Time_Mor*$O56*DB$54))),"-")</f>
        <v>-</v>
      </c>
      <c r="DC71" s="445" t="str">
        <f aca="false">IF(DC$54&lt;Total_Lanes,900*Peak_Time_Mor*($CO71/DC$54-1+SQRT(($CO71/DC$54-1)^2+8*($CO71/DC$54)/(Peak_Time_Mor*$O56*DC$54))),"-")</f>
        <v>-</v>
      </c>
      <c r="DD71" s="445" t="str">
        <f aca="false">IF(DD$54&lt;Total_Lanes,900*Peak_Time_Mor*($CO71/DD$54-1+SQRT(($CO71/DD$54-1)^2+8*($CO71/DD$54)/(Peak_Time_Mor*$O56*DD$54))),"-")</f>
        <v>-</v>
      </c>
      <c r="DE71" s="445" t="str">
        <f aca="false">IF(DE$54&lt;Total_Lanes,900*Peak_Time_Mor*($CO71/DE$54-1+SQRT(($CO71/DE$54-1)^2+8*($CO71/DE$54)/(Peak_Time_Mor*$O56*DE$54))),"-")</f>
        <v>-</v>
      </c>
      <c r="DF71" s="445" t="str">
        <f aca="false">IF(DF$54&lt;Total_Lanes,900*Peak_Time_Mor*($CO71/DF$54-1+SQRT(($CO71/DF$54-1)^2+8*($CO71/DF$54)/(Peak_Time_Mor*$O56*DF$54))),"-")</f>
        <v>-</v>
      </c>
      <c r="DG71" s="445" t="str">
        <f aca="false">IF(DG$54&lt;Total_Lanes,900*Peak_Time_Mor*($CO71/DG$54-1+SQRT(($CO71/DG$54-1)^2+8*($CO71/DG$54)/(Peak_Time_Mor*$O56*DG$54))),"-")</f>
        <v>-</v>
      </c>
      <c r="DH71" s="445" t="str">
        <f aca="false">IF(DH$54&lt;Total_Lanes,900*Peak_Time_Mor*($CO71/DH$54-1+SQRT(($CO71/DH$54-1)^2+8*($CO71/DH$54)/(Peak_Time_Mor*$O56*DH$54))),"-")</f>
        <v>-</v>
      </c>
      <c r="DI71" s="445" t="str">
        <f aca="false">IF(DI$54&lt;Total_Lanes,900*Peak_Time_Mor*($CO71/DI$54-1+SQRT(($CO71/DI$54-1)^2+8*($CO71/DI$54)/(Peak_Time_Mor*$O56*DI$54))),"-")</f>
        <v>-</v>
      </c>
      <c r="DJ71" s="446" t="str">
        <f aca="false">IF(DJ$54&lt;Total_Lanes,900*Peak_Time_Mor*($CO71/DJ$54-1+SQRT(($CO71/DJ$54-1)^2+8*($CO71/DJ$54)/(Peak_Time_Mor*$O56*DJ$54))),"-")</f>
        <v>-</v>
      </c>
      <c r="DK71" s="519" t="n">
        <f aca="false">3600/$O56</f>
        <v>2.4</v>
      </c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</row>
    <row r="72" customFormat="false" ht="13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400" t="n">
        <v>17</v>
      </c>
      <c r="X72" s="401" t="n">
        <f aca="false">X24</f>
        <v>28352425.95</v>
      </c>
      <c r="Y72" s="402" t="n">
        <f aca="false">Y24</f>
        <v>0.8415</v>
      </c>
      <c r="Z72" s="401" t="n">
        <f aca="false">Z24</f>
        <v>12225.9033292345</v>
      </c>
      <c r="AA72" s="409" t="n">
        <f aca="false">X72/Z72</f>
        <v>2319.04548780488</v>
      </c>
      <c r="AB72" s="518" t="n">
        <f aca="false">AB24</f>
        <v>2</v>
      </c>
      <c r="AC72" s="435" t="n">
        <f aca="false">1-AC24</f>
        <v>0.3</v>
      </c>
      <c r="AD72" s="405" t="n">
        <f aca="false">Z72*AC72</f>
        <v>3667.77099877036</v>
      </c>
      <c r="AE72" s="427" t="n">
        <f aca="false">Peak_Time_Mor*$BI72*(CI72+BL72)/3600</f>
        <v>14.2420249676237</v>
      </c>
      <c r="AF72" s="413" t="n">
        <f aca="false">IF(AF$54&lt;Total_Lanes,($BJ72*($CI72+BN72)+$CN72*CP72)*Peak_Time_Mor/3600,"-")</f>
        <v>6538.79555926818</v>
      </c>
      <c r="AG72" s="413" t="n">
        <f aca="false">IF(AG$54&lt;Total_Lanes,($BJ72*($CI72+BO72)+$CN72*CQ72)*Peak_Time_Mor/3600,"-")</f>
        <v>236.011640409114</v>
      </c>
      <c r="AH72" s="413" t="n">
        <f aca="false">IF(AH$54&lt;Total_Lanes,($BJ72*($CI72+BP72)+$CN72*CR72)*Peak_Time_Mor/3600,"-")</f>
        <v>5.26606096363074</v>
      </c>
      <c r="AI72" s="413" t="n">
        <f aca="false">IF(AI$54&lt;Total_Lanes,($BJ72*($CI72+BQ72)+$CN72*CS72)*Peak_Time_Mor/3600,"-")</f>
        <v>3.37522335323289</v>
      </c>
      <c r="AJ72" s="413" t="n">
        <f aca="false">IF(AJ$54&lt;Total_Lanes,($BJ72*($CI72+BR72)+$CN72*CT72)*Peak_Time_Mor/3600,"-")</f>
        <v>2.87661342451788</v>
      </c>
      <c r="AK72" s="413" t="n">
        <f aca="false">IF(AK$54&lt;Total_Lanes,($BJ72*($CI72+BS72)+$CN72*CU72)*Peak_Time_Mor/3600,"-")</f>
        <v>2.68381658439115</v>
      </c>
      <c r="AL72" s="413" t="n">
        <f aca="false">IF(AL$54&lt;Total_Lanes,($BJ72*($CI72+BT72)+$CN72*CV72)*Peak_Time_Mor/3600,"-")</f>
        <v>2.61424755821487</v>
      </c>
      <c r="AM72" s="413" t="n">
        <f aca="false">IF(AM$54&lt;Total_Lanes,($BJ72*($CI72+BU72)+$CN72*CW72)*Peak_Time_Mor/3600,"-")</f>
        <v>2.63605985276598</v>
      </c>
      <c r="AN72" s="413" t="n">
        <f aca="false">IF(AN$54&lt;Total_Lanes,($BJ72*($CI72+BV72)+$CN72*CX72)*Peak_Time_Mor/3600,"-")</f>
        <v>2.82034830611755</v>
      </c>
      <c r="AO72" s="413" t="n">
        <f aca="false">IF(AO$54&lt;Total_Lanes,($BJ72*($CI72+BW72)+$CN72*CY72)*Peak_Time_Mor/3600,"-")</f>
        <v>3.7686802366485</v>
      </c>
      <c r="AP72" s="413" t="n">
        <f aca="false">IF(AP$54&lt;Total_Lanes,($BJ72*($CI72+BX72)+$CN72*CZ72)*Peak_Time_Mor/3600,"-")</f>
        <v>160.410181450244</v>
      </c>
      <c r="AQ72" s="413" t="str">
        <f aca="false">IF(AQ$54&lt;Total_Lanes,($BJ72*($CI72+BY72)+$CN72*DA72)*Peak_Time_Mor/3600,"-")</f>
        <v>-</v>
      </c>
      <c r="AR72" s="413" t="str">
        <f aca="false">IF(AR$54&lt;Total_Lanes,($BJ72*($CI72+BZ72)+$CN72*DB72)*Peak_Time_Mor/3600,"-")</f>
        <v>-</v>
      </c>
      <c r="AS72" s="413" t="str">
        <f aca="false">IF(AS$54&lt;Total_Lanes,($BJ72*($CI72+CA72)+$CN72*DC72)*Peak_Time_Mor/3600,"-")</f>
        <v>-</v>
      </c>
      <c r="AT72" s="413" t="str">
        <f aca="false">IF(AT$54&lt;Total_Lanes,($BJ72*($CI72+CB72)+$CN72*DD72)*Peak_Time_Mor/3600,"-")</f>
        <v>-</v>
      </c>
      <c r="AU72" s="413" t="str">
        <f aca="false">IF(AU$54&lt;Total_Lanes,($BJ72*($CI72+CC72)+$CN72*DE72)*Peak_Time_Mor/3600,"-")</f>
        <v>-</v>
      </c>
      <c r="AV72" s="413" t="str">
        <f aca="false">IF(AV$54&lt;Total_Lanes,($BJ72*($CI72+CD72)+$CN72*DF72)*Peak_Time_Mor/3600,"-")</f>
        <v>-</v>
      </c>
      <c r="AW72" s="413" t="str">
        <f aca="false">IF(AW$54&lt;Total_Lanes,($BJ72*($CI72+CE72)+$CN72*DG72)*Peak_Time_Mor/3600,"-")</f>
        <v>-</v>
      </c>
      <c r="AX72" s="413" t="str">
        <f aca="false">IF(AX$54&lt;Total_Lanes,($BJ72*($CI72+CF72)+$CN72*DH72)*Peak_Time_Mor/3600,"-")</f>
        <v>-</v>
      </c>
      <c r="AY72" s="413" t="str">
        <f aca="false">IF(AY$54&lt;Total_Lanes,($BJ72*($CI72+CG72)+$CN72*DI72)*Peak_Time_Mor/3600,"-")</f>
        <v>-</v>
      </c>
      <c r="AZ72" s="414" t="str">
        <f aca="false">IF(AZ$54&lt;Total_Lanes,($BJ72*($CI72+CH72)+$CN72*DJ72)*Peak_Time_Mor/3600,"-")</f>
        <v>-</v>
      </c>
      <c r="BA72" s="436" t="n">
        <f aca="false">SUMIF(AF72:AZ72,BB72,$AF$54:$AZ$54)</f>
        <v>7</v>
      </c>
      <c r="BB72" s="437" t="n">
        <f aca="false">MIN(AF72:AZ72)</f>
        <v>2.61424755821487</v>
      </c>
      <c r="BC72" s="436" t="n">
        <f aca="false">IF((SUMIF($BN70:$CH70,$BA72,$BN72:$CH72)+$CI72)&lt;(SUMIF($CP70:$DJ70,$BA72,$CP72:$DJ72)+$DK72),BA72+1,BA72)</f>
        <v>7</v>
      </c>
      <c r="BD72" s="437" t="n">
        <f aca="false">SUMIF($AF$54:$AZ$54,$BC72,$AF72:$AZ72)</f>
        <v>2.61424755821487</v>
      </c>
      <c r="BG72" s="400" t="n">
        <v>17</v>
      </c>
      <c r="BH72" s="402" t="n">
        <f aca="false">$Y72</f>
        <v>0.8415</v>
      </c>
      <c r="BI72" s="411" t="n">
        <f aca="false">$AD72</f>
        <v>3667.77099877036</v>
      </c>
      <c r="BJ72" s="412" t="n">
        <f aca="false">BI72*(1-BH72)</f>
        <v>581.341703305103</v>
      </c>
      <c r="BK72" s="420" t="n">
        <f aca="false">Peak_Arrival_Manual_Mor/K57</f>
        <v>1.06175602756418</v>
      </c>
      <c r="BL72" s="513" t="n">
        <f aca="false">900*Peak_Time_Mor*($BK72/Total_Lanes-1+SQRT(($BK72/Total_Lanes-1)^2+8*($BK72/Total_Lanes)/(Peak_Time_Mor*$K57*Total_Lanes)))</f>
        <v>0.0531844413315552</v>
      </c>
      <c r="BM72" s="420" t="n">
        <f aca="false">Peak_Arrival_Manual_Mor/N57</f>
        <v>1.12009205265278</v>
      </c>
      <c r="BN72" s="514" t="n">
        <f aca="false">IF(BN$6&lt;Total_Lanes,900*Peak_Time_Mor*($BM72/(Total_Lanes-BN$6)-1+SQRT(($BM72/(Total_Lanes-BN$6)-1)^2+8*($BM72/(Total_Lanes-BN$6))/(Peak_Time_Mor*$N57*(Total_Lanes-BN$6)))),"-")</f>
        <v>0.0714863739685656</v>
      </c>
      <c r="BO72" s="445" t="n">
        <f aca="false">IF(BO$6&lt;Total_Lanes,900*Peak_Time_Mor*($BM72/(Total_Lanes-BO$6)-1+SQRT(($BM72/(Total_Lanes-BO$6)-1)^2+8*($BM72/(Total_Lanes-BO$6))/(Peak_Time_Mor*$N57*(Total_Lanes-BO$6)))),"-")</f>
        <v>0.0874899370758797</v>
      </c>
      <c r="BP72" s="445" t="n">
        <f aca="false">IF(BP$6&lt;Total_Lanes,900*Peak_Time_Mor*($BM72/(Total_Lanes-BP$6)-1+SQRT(($BM72/(Total_Lanes-BP$6)-1)^2+8*($BM72/(Total_Lanes-BP$6))/(Peak_Time_Mor*$N57*(Total_Lanes-BP$6)))),"-")</f>
        <v>0.109546802673255</v>
      </c>
      <c r="BQ72" s="445" t="n">
        <f aca="false">IF(BQ$6&lt;Total_Lanes,900*Peak_Time_Mor*($BM72/(Total_Lanes-BQ$6)-1+SQRT(($BM72/(Total_Lanes-BQ$6)-1)^2+8*($BM72/(Total_Lanes-BQ$6))/(Peak_Time_Mor*$N57*(Total_Lanes-BQ$6)))),"-")</f>
        <v>0.141151675989892</v>
      </c>
      <c r="BR72" s="445" t="n">
        <f aca="false">IF(BR$6&lt;Total_Lanes,900*Peak_Time_Mor*($BM72/(Total_Lanes-BR$6)-1+SQRT(($BM72/(Total_Lanes-BR$6)-1)^2+8*($BM72/(Total_Lanes-BR$6))/(Peak_Time_Mor*$N57*(Total_Lanes-BR$6)))),"-")</f>
        <v>0.188748183086518</v>
      </c>
      <c r="BS72" s="445" t="n">
        <f aca="false">IF(BS$6&lt;Total_Lanes,900*Peak_Time_Mor*($BM72/(Total_Lanes-BS$6)-1+SQRT(($BM72/(Total_Lanes-BS$6)-1)^2+8*($BM72/(Total_Lanes-BS$6))/(Peak_Time_Mor*$N57*(Total_Lanes-BS$6)))),"-")</f>
        <v>0.265323807224971</v>
      </c>
      <c r="BT72" s="445" t="n">
        <f aca="false">IF(BT$6&lt;Total_Lanes,900*Peak_Time_Mor*($BM72/(Total_Lanes-BT$6)-1+SQRT(($BM72/(Total_Lanes-BT$6)-1)^2+8*($BM72/(Total_Lanes-BT$6))/(Peak_Time_Mor*$N57*(Total_Lanes-BT$6)))),"-")</f>
        <v>0.4004283149869</v>
      </c>
      <c r="BU72" s="445" t="n">
        <f aca="false">IF(BU$6&lt;Total_Lanes,900*Peak_Time_Mor*($BM72/(Total_Lanes-BU$6)-1+SQRT(($BM72/(Total_Lanes-BU$6)-1)^2+8*($BM72/(Total_Lanes-BU$6))/(Peak_Time_Mor*$N57*(Total_Lanes-BU$6)))),"-")</f>
        <v>0.674259219779061</v>
      </c>
      <c r="BV72" s="445" t="n">
        <f aca="false">IF(BV$6&lt;Total_Lanes,900*Peak_Time_Mor*($BM72/(Total_Lanes-BV$6)-1+SQRT(($BM72/(Total_Lanes-BV$6)-1)^2+8*($BM72/(Total_Lanes-BV$6))/(Peak_Time_Mor*$N57*(Total_Lanes-BV$6)))),"-")</f>
        <v>1.37675178855623</v>
      </c>
      <c r="BW72" s="445" t="n">
        <f aca="false">IF(BW$6&lt;Total_Lanes,900*Peak_Time_Mor*($BM72/(Total_Lanes-BW$6)-1+SQRT(($BM72/(Total_Lanes-BW$6)-1)^2+8*($BM72/(Total_Lanes-BW$6))/(Peak_Time_Mor*$N57*(Total_Lanes-BW$6)))),"-")</f>
        <v>4.40256411695611</v>
      </c>
      <c r="BX72" s="515" t="n">
        <f aca="false">IF(BX$6&lt;Total_Lanes,900*Peak_Time_Mor*($BM72/(Total_Lanes-BX$6)-1+SQRT(($BM72/(Total_Lanes-BX$6)-1)^2+8*($BM72/(Total_Lanes-BX$6))/(Peak_Time_Mor*$N57*(Total_Lanes-BX$6)))),"-")</f>
        <v>489.472969098854</v>
      </c>
      <c r="BY72" s="445" t="str">
        <f aca="false">IF(BY$6&lt;Total_Lanes,900*Peak_Time_Mor*($BM72/(Total_Lanes-BY$6)-1+SQRT(($BM72/(Total_Lanes-BY$6)-1)^2+8*($BM72/(Total_Lanes-BY$6))/(Peak_Time_Mor*$N57*(Total_Lanes-BY$6)))),"-")</f>
        <v>-</v>
      </c>
      <c r="BZ72" s="445" t="str">
        <f aca="false">IF(BZ$6&lt;Total_Lanes,900*Peak_Time_Mor*($BM72/(Total_Lanes-BZ$6)-1+SQRT(($BM72/(Total_Lanes-BZ$6)-1)^2+8*($BM72/(Total_Lanes-BZ$6))/(Peak_Time_Mor*$N57*(Total_Lanes-BZ$6)))),"-")</f>
        <v>-</v>
      </c>
      <c r="CA72" s="445" t="str">
        <f aca="false">IF(CA$6&lt;Total_Lanes,900*Peak_Time_Mor*($BM72/(Total_Lanes-CA$6)-1+SQRT(($BM72/(Total_Lanes-CA$6)-1)^2+8*($BM72/(Total_Lanes-CA$6))/(Peak_Time_Mor*$N57*(Total_Lanes-CA$6)))),"-")</f>
        <v>-</v>
      </c>
      <c r="CB72" s="445" t="str">
        <f aca="false">IF(CB$6&lt;Total_Lanes,900*Peak_Time_Mor*($BM72/(Total_Lanes-CB$6)-1+SQRT(($BM72/(Total_Lanes-CB$6)-1)^2+8*($BM72/(Total_Lanes-CB$6))/(Peak_Time_Mor*$N57*(Total_Lanes-CB$6)))),"-")</f>
        <v>-</v>
      </c>
      <c r="CC72" s="445" t="str">
        <f aca="false">IF(CC$6&lt;Total_Lanes,900*Peak_Time_Mor*($BM72/(Total_Lanes-CC$6)-1+SQRT(($BM72/(Total_Lanes-CC$6)-1)^2+8*($BM72/(Total_Lanes-CC$6))/(Peak_Time_Mor*$N57*(Total_Lanes-CC$6)))),"-")</f>
        <v>-</v>
      </c>
      <c r="CD72" s="445" t="str">
        <f aca="false">IF(CD$6&lt;Total_Lanes,900*Peak_Time_Mor*($BM72/(Total_Lanes-CD$6)-1+SQRT(($BM72/(Total_Lanes-CD$6)-1)^2+8*($BM72/(Total_Lanes-CD$6))/(Peak_Time_Mor*$N57*(Total_Lanes-CD$6)))),"-")</f>
        <v>-</v>
      </c>
      <c r="CE72" s="445" t="str">
        <f aca="false">IF(CE$6&lt;Total_Lanes,900*Peak_Time_Mor*($BM72/(Total_Lanes-CE$6)-1+SQRT(($BM72/(Total_Lanes-CE$6)-1)^2+8*($BM72/(Total_Lanes-CE$6))/(Peak_Time_Mor*$N57*(Total_Lanes-CE$6)))),"-")</f>
        <v>-</v>
      </c>
      <c r="CF72" s="445" t="str">
        <f aca="false">IF(CF$6&lt;Total_Lanes,900*Peak_Time_Mor*($BM72/(Total_Lanes-CF$6)-1+SQRT(($BM72/(Total_Lanes-CF$6)-1)^2+8*($BM72/(Total_Lanes-CF$6))/(Peak_Time_Mor*$N57*(Total_Lanes-CF$6)))),"-")</f>
        <v>-</v>
      </c>
      <c r="CG72" s="445" t="str">
        <f aca="false">IF(CG$6&lt;Total_Lanes,900*Peak_Time_Mor*($BM72/(Total_Lanes-CG$6)-1+SQRT(($BM72/(Total_Lanes-CG$6)-1)^2+8*($BM72/(Total_Lanes-CG$6))/(Peak_Time_Mor*$N57*(Total_Lanes-CG$6)))),"-")</f>
        <v>-</v>
      </c>
      <c r="CH72" s="446" t="str">
        <f aca="false">IF(CH$6&lt;Total_Lanes,900*Peak_Time_Mor*($BM72/(Total_Lanes-CH$6)-1+SQRT(($BM72/(Total_Lanes-CH$6)-1)^2+8*($BM72/(Total_Lanes-CH$6))/(Peak_Time_Mor*$N57*(Total_Lanes-CH$6)))),"-")</f>
        <v>-</v>
      </c>
      <c r="CI72" s="519" t="n">
        <f aca="false">3600/N57</f>
        <v>6.93625</v>
      </c>
      <c r="CK72" s="400" t="n">
        <v>17</v>
      </c>
      <c r="CL72" s="402" t="n">
        <f aca="false">$Y72</f>
        <v>0.8415</v>
      </c>
      <c r="CM72" s="427" t="n">
        <f aca="false">$AD72</f>
        <v>3667.77099877036</v>
      </c>
      <c r="CN72" s="427" t="n">
        <f aca="false">CM72*CL72</f>
        <v>3086.42929546526</v>
      </c>
      <c r="CO72" s="440" t="n">
        <f aca="false">CN72/O57</f>
        <v>2.05761953031017</v>
      </c>
      <c r="CP72" s="445" t="n">
        <f aca="false">IF(CP$54&lt;Total_Lanes,900*Peak_Time_Mor*($CO72/CP$54-1+SQRT(($CO72/CP$54-1)^2+8*($CO72/CP$54)/(Peak_Time_Mor*$O57*CP$54))),"-")</f>
        <v>3812.09384403188</v>
      </c>
      <c r="CQ72" s="445" t="n">
        <f aca="false">IF(CQ$54&lt;Total_Lanes,900*Peak_Time_Mor*($CO72/CQ$54-1+SQRT(($CO72/CQ$54-1)^2+8*($CO72/CQ$54)/(Peak_Time_Mor*$O57*CQ$54))),"-")</f>
        <v>136.318612714045</v>
      </c>
      <c r="CR72" s="445" t="n">
        <f aca="false">IF(CR$54&lt;Total_Lanes,900*Peak_Time_Mor*($CO72/CR$54-1+SQRT(($CO72/CR$54-1)^2+8*($CO72/CR$54)/(Peak_Time_Mor*$O57*CR$54))),"-")</f>
        <v>1.74405233518112</v>
      </c>
      <c r="CS72" s="445" t="n">
        <f aca="false">IF(CS$54&lt;Total_Lanes,900*Peak_Time_Mor*($CO72/CS$54-1+SQRT(($CO72/CS$54-1)^2+8*($CO72/CS$54)/(Peak_Time_Mor*$O57*CS$54))),"-")</f>
        <v>0.6353663417484</v>
      </c>
      <c r="CT72" s="445" t="n">
        <f aca="false">IF(CT$54&lt;Total_Lanes,900*Peak_Time_Mor*($CO72/CT$54-1+SQRT(($CO72/CT$54-1)^2+8*($CO72/CT$54)/(Peak_Time_Mor*$O57*CT$54))),"-")</f>
        <v>0.335612931698392</v>
      </c>
      <c r="CU72" s="445" t="n">
        <f aca="false">IF(CU$54&lt;Total_Lanes,900*Peak_Time_Mor*($CO72/CU$54-1+SQRT(($CO72/CU$54-1)^2+8*($CO72/CU$54)/(Peak_Time_Mor*$O57*CU$54))),"-")</f>
        <v>0.208750827139026</v>
      </c>
      <c r="CV72" s="445" t="n">
        <f aca="false">IF(CV$54&lt;Total_Lanes,900*Peak_Time_Mor*($CO72/CV$54-1+SQRT(($CO72/CV$54-1)^2+8*($CO72/CV$54)/(Peak_Time_Mor*$O57*CV$54))),"-")</f>
        <v>0.142730804557201</v>
      </c>
      <c r="CW72" s="445" t="n">
        <f aca="false">IF(CW$54&lt;Total_Lanes,900*Peak_Time_Mor*($CO72/CW$54-1+SQRT(($CO72/CW$54-1)^2+8*($CO72/CW$54)/(Peak_Time_Mor*$O57*CW$54))),"-")</f>
        <v>0.103874513699131</v>
      </c>
      <c r="CX72" s="445" t="n">
        <f aca="false">IF(CX$54&lt;Total_Lanes,900*Peak_Time_Mor*($CO72/CX$54-1+SQRT(($CO72/CX$54-1)^2+8*($CO72/CX$54)/(Peak_Time_Mor*$O57*CX$54))),"-")</f>
        <v>0.0790338311110306</v>
      </c>
      <c r="CY72" s="445" t="n">
        <f aca="false">IF(CY$54&lt;Total_Lanes,900*Peak_Time_Mor*($CO72/CY$54-1+SQRT(($CO72/CY$54-1)^2+8*($CO72/CY$54)/(Peak_Time_Mor*$O57*CY$54))),"-")</f>
        <v>0.0621750558284395</v>
      </c>
      <c r="CZ72" s="445" t="n">
        <f aca="false">IF(CZ$54&lt;Total_Lanes,900*Peak_Time_Mor*($CO72/CZ$54-1+SQRT(($CO72/CZ$54-1)^2+8*($CO72/CZ$54)/(Peak_Time_Mor*$O57*CZ$54))),"-")</f>
        <v>0.0502022331709373</v>
      </c>
      <c r="DA72" s="445" t="str">
        <f aca="false">IF(DA$54&lt;Total_Lanes,900*Peak_Time_Mor*($CO72/DA$54-1+SQRT(($CO72/DA$54-1)^2+8*($CO72/DA$54)/(Peak_Time_Mor*$O57*DA$54))),"-")</f>
        <v>-</v>
      </c>
      <c r="DB72" s="445" t="str">
        <f aca="false">IF(DB$54&lt;Total_Lanes,900*Peak_Time_Mor*($CO72/DB$54-1+SQRT(($CO72/DB$54-1)^2+8*($CO72/DB$54)/(Peak_Time_Mor*$O57*DB$54))),"-")</f>
        <v>-</v>
      </c>
      <c r="DC72" s="445" t="str">
        <f aca="false">IF(DC$54&lt;Total_Lanes,900*Peak_Time_Mor*($CO72/DC$54-1+SQRT(($CO72/DC$54-1)^2+8*($CO72/DC$54)/(Peak_Time_Mor*$O57*DC$54))),"-")</f>
        <v>-</v>
      </c>
      <c r="DD72" s="445" t="str">
        <f aca="false">IF(DD$54&lt;Total_Lanes,900*Peak_Time_Mor*($CO72/DD$54-1+SQRT(($CO72/DD$54-1)^2+8*($CO72/DD$54)/(Peak_Time_Mor*$O57*DD$54))),"-")</f>
        <v>-</v>
      </c>
      <c r="DE72" s="445" t="str">
        <f aca="false">IF(DE$54&lt;Total_Lanes,900*Peak_Time_Mor*($CO72/DE$54-1+SQRT(($CO72/DE$54-1)^2+8*($CO72/DE$54)/(Peak_Time_Mor*$O57*DE$54))),"-")</f>
        <v>-</v>
      </c>
      <c r="DF72" s="445" t="str">
        <f aca="false">IF(DF$54&lt;Total_Lanes,900*Peak_Time_Mor*($CO72/DF$54-1+SQRT(($CO72/DF$54-1)^2+8*($CO72/DF$54)/(Peak_Time_Mor*$O57*DF$54))),"-")</f>
        <v>-</v>
      </c>
      <c r="DG72" s="445" t="str">
        <f aca="false">IF(DG$54&lt;Total_Lanes,900*Peak_Time_Mor*($CO72/DG$54-1+SQRT(($CO72/DG$54-1)^2+8*($CO72/DG$54)/(Peak_Time_Mor*$O57*DG$54))),"-")</f>
        <v>-</v>
      </c>
      <c r="DH72" s="445" t="str">
        <f aca="false">IF(DH$54&lt;Total_Lanes,900*Peak_Time_Mor*($CO72/DH$54-1+SQRT(($CO72/DH$54-1)^2+8*($CO72/DH$54)/(Peak_Time_Mor*$O57*DH$54))),"-")</f>
        <v>-</v>
      </c>
      <c r="DI72" s="445" t="str">
        <f aca="false">IF(DI$54&lt;Total_Lanes,900*Peak_Time_Mor*($CO72/DI$54-1+SQRT(($CO72/DI$54-1)^2+8*($CO72/DI$54)/(Peak_Time_Mor*$O57*DI$54))),"-")</f>
        <v>-</v>
      </c>
      <c r="DJ72" s="446" t="str">
        <f aca="false">IF(DJ$54&lt;Total_Lanes,900*Peak_Time_Mor*($CO72/DJ$54-1+SQRT(($CO72/DJ$54-1)^2+8*($CO72/DJ$54)/(Peak_Time_Mor*$O57*DJ$54))),"-")</f>
        <v>-</v>
      </c>
      <c r="DK72" s="519" t="n">
        <f aca="false">3600/$O57</f>
        <v>2.4</v>
      </c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</row>
    <row r="73" customFormat="false" ht="13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400" t="n">
        <v>18</v>
      </c>
      <c r="X73" s="401" t="n">
        <f aca="false">X25</f>
        <v>28901617.3</v>
      </c>
      <c r="Y73" s="402" t="n">
        <f aca="false">Y25</f>
        <v>0.891</v>
      </c>
      <c r="Z73" s="401" t="n">
        <f aca="false">Z25</f>
        <v>12462.7211721307</v>
      </c>
      <c r="AA73" s="409" t="n">
        <f aca="false">X73/Z73</f>
        <v>2319.04548780488</v>
      </c>
      <c r="AB73" s="518" t="n">
        <f aca="false">AB25</f>
        <v>2</v>
      </c>
      <c r="AC73" s="435" t="n">
        <f aca="false">1-AC25</f>
        <v>0.3</v>
      </c>
      <c r="AD73" s="405" t="n">
        <f aca="false">Z73*AC73</f>
        <v>3738.81635163921</v>
      </c>
      <c r="AE73" s="427" t="n">
        <f aca="false">Peak_Time_Mor*$BI73*(CI73+BL73)/3600</f>
        <v>14.5268218585425</v>
      </c>
      <c r="AF73" s="413" t="n">
        <f aca="false">IF(AF$54&lt;Total_Lanes,($BJ73*($CI73+BN73)+$CN73*CP73)*Peak_Time_Mor/3600,"-")</f>
        <v>8143.7037054197</v>
      </c>
      <c r="AG73" s="413" t="n">
        <f aca="false">IF(AG$54&lt;Total_Lanes,($BJ73*($CI73+BO73)+$CN73*CQ73)*Peak_Time_Mor/3600,"-")</f>
        <v>759.018635785579</v>
      </c>
      <c r="AH73" s="413" t="n">
        <f aca="false">IF(AH$54&lt;Total_Lanes,($BJ73*($CI73+BP73)+$CN73*CR73)*Peak_Time_Mor/3600,"-")</f>
        <v>5.80195958807388</v>
      </c>
      <c r="AI73" s="413" t="n">
        <f aca="false">IF(AI$54&lt;Total_Lanes,($BJ73*($CI73+BQ73)+$CN73*CS73)*Peak_Time_Mor/3600,"-")</f>
        <v>2.98219256563037</v>
      </c>
      <c r="AJ73" s="413" t="n">
        <f aca="false">IF(AJ$54&lt;Total_Lanes,($BJ73*($CI73+BR73)+$CN73*CT73)*Peak_Time_Mor/3600,"-")</f>
        <v>2.31350157648657</v>
      </c>
      <c r="AK73" s="413" t="n">
        <f aca="false">IF(AK$54&lt;Total_Lanes,($BJ73*($CI73+BS73)+$CN73*CU73)*Peak_Time_Mor/3600,"-")</f>
        <v>2.04988072405156</v>
      </c>
      <c r="AL73" s="413" t="n">
        <f aca="false">IF(AL$54&lt;Total_Lanes,($BJ73*($CI73+BT73)+$CN73*CV73)*Peak_Time_Mor/3600,"-")</f>
        <v>1.92896645391841</v>
      </c>
      <c r="AM73" s="413" t="n">
        <f aca="false">IF(AM$54&lt;Total_Lanes,($BJ73*($CI73+BU73)+$CN73*CW73)*Peak_Time_Mor/3600,"-")</f>
        <v>1.88511177931836</v>
      </c>
      <c r="AN73" s="413" t="n">
        <f aca="false">IF(AN$54&lt;Total_Lanes,($BJ73*($CI73+BV73)+$CN73*CX73)*Peak_Time_Mor/3600,"-")</f>
        <v>1.92376226428078</v>
      </c>
      <c r="AO73" s="413" t="n">
        <f aca="false">IF(AO$54&lt;Total_Lanes,($BJ73*($CI73+BW73)+$CN73*CY73)*Peak_Time_Mor/3600,"-")</f>
        <v>2.21315324029695</v>
      </c>
      <c r="AP73" s="413" t="n">
        <f aca="false">IF(AP$54&lt;Total_Lanes,($BJ73*($CI73+BX73)+$CN73*CZ73)*Peak_Time_Mor/3600,"-")</f>
        <v>7.33395876833509</v>
      </c>
      <c r="AQ73" s="413" t="str">
        <f aca="false">IF(AQ$54&lt;Total_Lanes,($BJ73*($CI73+BY73)+$CN73*DA73)*Peak_Time_Mor/3600,"-")</f>
        <v>-</v>
      </c>
      <c r="AR73" s="413" t="str">
        <f aca="false">IF(AR$54&lt;Total_Lanes,($BJ73*($CI73+BZ73)+$CN73*DB73)*Peak_Time_Mor/3600,"-")</f>
        <v>-</v>
      </c>
      <c r="AS73" s="413" t="str">
        <f aca="false">IF(AS$54&lt;Total_Lanes,($BJ73*($CI73+CA73)+$CN73*DC73)*Peak_Time_Mor/3600,"-")</f>
        <v>-</v>
      </c>
      <c r="AT73" s="413" t="str">
        <f aca="false">IF(AT$54&lt;Total_Lanes,($BJ73*($CI73+CB73)+$CN73*DD73)*Peak_Time_Mor/3600,"-")</f>
        <v>-</v>
      </c>
      <c r="AU73" s="413" t="str">
        <f aca="false">IF(AU$54&lt;Total_Lanes,($BJ73*($CI73+CC73)+$CN73*DE73)*Peak_Time_Mor/3600,"-")</f>
        <v>-</v>
      </c>
      <c r="AV73" s="413" t="str">
        <f aca="false">IF(AV$54&lt;Total_Lanes,($BJ73*($CI73+CD73)+$CN73*DF73)*Peak_Time_Mor/3600,"-")</f>
        <v>-</v>
      </c>
      <c r="AW73" s="413" t="str">
        <f aca="false">IF(AW$54&lt;Total_Lanes,($BJ73*($CI73+CE73)+$CN73*DG73)*Peak_Time_Mor/3600,"-")</f>
        <v>-</v>
      </c>
      <c r="AX73" s="413" t="str">
        <f aca="false">IF(AX$54&lt;Total_Lanes,($BJ73*($CI73+CF73)+$CN73*DH73)*Peak_Time_Mor/3600,"-")</f>
        <v>-</v>
      </c>
      <c r="AY73" s="413" t="str">
        <f aca="false">IF(AY$54&lt;Total_Lanes,($BJ73*($CI73+CG73)+$CN73*DI73)*Peak_Time_Mor/3600,"-")</f>
        <v>-</v>
      </c>
      <c r="AZ73" s="414" t="str">
        <f aca="false">IF(AZ$54&lt;Total_Lanes,($BJ73*($CI73+CH73)+$CN73*DJ73)*Peak_Time_Mor/3600,"-")</f>
        <v>-</v>
      </c>
      <c r="BA73" s="436" t="n">
        <f aca="false">SUMIF(AF73:AZ73,BB73,$AF$54:$AZ$54)</f>
        <v>8</v>
      </c>
      <c r="BB73" s="437" t="n">
        <f aca="false">MIN(AF73:AZ73)</f>
        <v>1.88511177931836</v>
      </c>
      <c r="BC73" s="436" t="n">
        <f aca="false">IF((SUMIF($BN71:$CH71,$BA73,$BN73:$CH73)+$CI73)&lt;(SUMIF($CP71:$DJ71,$BA73,$CP73:$DJ73)+$DK73),BA73+1,BA73)</f>
        <v>8</v>
      </c>
      <c r="BD73" s="437" t="n">
        <f aca="false">SUMIF($AF$54:$AZ$54,$BC73,$AF73:$AZ73)</f>
        <v>1.88511177931836</v>
      </c>
      <c r="BG73" s="400" t="n">
        <v>18</v>
      </c>
      <c r="BH73" s="402" t="n">
        <f aca="false">$Y73</f>
        <v>0.891</v>
      </c>
      <c r="BI73" s="411" t="n">
        <f aca="false">$AD73</f>
        <v>3738.81635163921</v>
      </c>
      <c r="BJ73" s="412" t="n">
        <f aca="false">BI73*(1-BH73)</f>
        <v>407.530982328674</v>
      </c>
      <c r="BK73" s="420" t="n">
        <f aca="false">Peak_Arrival_Manual_Mor/K58</f>
        <v>0.744310058003064</v>
      </c>
      <c r="BL73" s="513" t="n">
        <f aca="false">900*Peak_Time_Mor*($BK73/Total_Lanes-1+SQRT(($BK73/Total_Lanes-1)^2+8*($BK73/Total_Lanes)/(Peak_Time_Mor*$K58*Total_Lanes)))</f>
        <v>0.0362319424400903</v>
      </c>
      <c r="BM73" s="420" t="n">
        <f aca="false">Peak_Arrival_Manual_Mor/N58</f>
        <v>0.787610224875485</v>
      </c>
      <c r="BN73" s="514" t="n">
        <f aca="false">IF(BN$6&lt;Total_Lanes,900*Peak_Time_Mor*($BM73/(Total_Lanes-BN$6)-1+SQRT(($BM73/(Total_Lanes-BN$6)-1)^2+8*($BM73/(Total_Lanes-BN$6))/(Peak_Time_Mor*$N58*(Total_Lanes-BN$6)))),"-")</f>
        <v>0.0487795910326438</v>
      </c>
      <c r="BO73" s="445" t="n">
        <f aca="false">IF(BO$6&lt;Total_Lanes,900*Peak_Time_Mor*($BM73/(Total_Lanes-BO$6)-1+SQRT(($BM73/(Total_Lanes-BO$6)-1)^2+8*($BM73/(Total_Lanes-BO$6))/(Peak_Time_Mor*$N58*(Total_Lanes-BO$6)))),"-")</f>
        <v>0.0594818499113581</v>
      </c>
      <c r="BP73" s="445" t="n">
        <f aca="false">IF(BP$6&lt;Total_Lanes,900*Peak_Time_Mor*($BM73/(Total_Lanes-BP$6)-1+SQRT(($BM73/(Total_Lanes-BP$6)-1)^2+8*($BM73/(Total_Lanes-BP$6))/(Peak_Time_Mor*$N58*(Total_Lanes-BP$6)))),"-")</f>
        <v>0.0741383124038153</v>
      </c>
      <c r="BQ73" s="445" t="n">
        <f aca="false">IF(BQ$6&lt;Total_Lanes,900*Peak_Time_Mor*($BM73/(Total_Lanes-BQ$6)-1+SQRT(($BM73/(Total_Lanes-BQ$6)-1)^2+8*($BM73/(Total_Lanes-BQ$6))/(Peak_Time_Mor*$N58*(Total_Lanes-BQ$6)))),"-")</f>
        <v>0.094969177520654</v>
      </c>
      <c r="BR73" s="445" t="n">
        <f aca="false">IF(BR$6&lt;Total_Lanes,900*Peak_Time_Mor*($BM73/(Total_Lanes-BR$6)-1+SQRT(($BM73/(Total_Lanes-BR$6)-1)^2+8*($BM73/(Total_Lanes-BR$6))/(Peak_Time_Mor*$N58*(Total_Lanes-BR$6)))),"-")</f>
        <v>0.126005846562061</v>
      </c>
      <c r="BS73" s="445" t="n">
        <f aca="false">IF(BS$6&lt;Total_Lanes,900*Peak_Time_Mor*($BM73/(Total_Lanes-BS$6)-1+SQRT(($BM73/(Total_Lanes-BS$6)-1)^2+8*($BM73/(Total_Lanes-BS$6))/(Peak_Time_Mor*$N58*(Total_Lanes-BS$6)))),"-")</f>
        <v>0.175207259374011</v>
      </c>
      <c r="BT73" s="445" t="n">
        <f aca="false">IF(BT$6&lt;Total_Lanes,900*Peak_Time_Mor*($BM73/(Total_Lanes-BT$6)-1+SQRT(($BM73/(Total_Lanes-BT$6)-1)^2+8*($BM73/(Total_Lanes-BT$6))/(Peak_Time_Mor*$N58*(Total_Lanes-BT$6)))),"-")</f>
        <v>0.260152950469994</v>
      </c>
      <c r="BU73" s="445" t="n">
        <f aca="false">IF(BU$6&lt;Total_Lanes,900*Peak_Time_Mor*($BM73/(Total_Lanes-BU$6)-1+SQRT(($BM73/(Total_Lanes-BU$6)-1)^2+8*($BM73/(Total_Lanes-BU$6))/(Peak_Time_Mor*$N58*(Total_Lanes-BU$6)))),"-")</f>
        <v>0.426395181313666</v>
      </c>
      <c r="BV73" s="445" t="n">
        <f aca="false">IF(BV$6&lt;Total_Lanes,900*Peak_Time_Mor*($BM73/(Total_Lanes-BV$6)-1+SQRT(($BM73/(Total_Lanes-BV$6)-1)^2+8*($BM73/(Total_Lanes-BV$6))/(Peak_Time_Mor*$N58*(Total_Lanes-BV$6)))),"-")</f>
        <v>0.825366176107245</v>
      </c>
      <c r="BW73" s="445" t="n">
        <f aca="false">IF(BW$6&lt;Total_Lanes,900*Peak_Time_Mor*($BM73/(Total_Lanes-BW$6)-1+SQRT(($BM73/(Total_Lanes-BW$6)-1)^2+8*($BM73/(Total_Lanes-BW$6))/(Peak_Time_Mor*$N58*(Total_Lanes-BW$6)))),"-")</f>
        <v>2.25758055917413</v>
      </c>
      <c r="BX73" s="515" t="n">
        <f aca="false">IF(BX$6&lt;Total_Lanes,900*Peak_Time_Mor*($BM73/(Total_Lanes-BX$6)-1+SQRT(($BM73/(Total_Lanes-BX$6)-1)^2+8*($BM73/(Total_Lanes-BX$6))/(Peak_Time_Mor*$N58*(Total_Lanes-BX$6)))),"-")</f>
        <v>24.9842785959314</v>
      </c>
      <c r="BY73" s="445" t="str">
        <f aca="false">IF(BY$6&lt;Total_Lanes,900*Peak_Time_Mor*($BM73/(Total_Lanes-BY$6)-1+SQRT(($BM73/(Total_Lanes-BY$6)-1)^2+8*($BM73/(Total_Lanes-BY$6))/(Peak_Time_Mor*$N58*(Total_Lanes-BY$6)))),"-")</f>
        <v>-</v>
      </c>
      <c r="BZ73" s="445" t="str">
        <f aca="false">IF(BZ$6&lt;Total_Lanes,900*Peak_Time_Mor*($BM73/(Total_Lanes-BZ$6)-1+SQRT(($BM73/(Total_Lanes-BZ$6)-1)^2+8*($BM73/(Total_Lanes-BZ$6))/(Peak_Time_Mor*$N58*(Total_Lanes-BZ$6)))),"-")</f>
        <v>-</v>
      </c>
      <c r="CA73" s="445" t="str">
        <f aca="false">IF(CA$6&lt;Total_Lanes,900*Peak_Time_Mor*($BM73/(Total_Lanes-CA$6)-1+SQRT(($BM73/(Total_Lanes-CA$6)-1)^2+8*($BM73/(Total_Lanes-CA$6))/(Peak_Time_Mor*$N58*(Total_Lanes-CA$6)))),"-")</f>
        <v>-</v>
      </c>
      <c r="CB73" s="445" t="str">
        <f aca="false">IF(CB$6&lt;Total_Lanes,900*Peak_Time_Mor*($BM73/(Total_Lanes-CB$6)-1+SQRT(($BM73/(Total_Lanes-CB$6)-1)^2+8*($BM73/(Total_Lanes-CB$6))/(Peak_Time_Mor*$N58*(Total_Lanes-CB$6)))),"-")</f>
        <v>-</v>
      </c>
      <c r="CC73" s="445" t="str">
        <f aca="false">IF(CC$6&lt;Total_Lanes,900*Peak_Time_Mor*($BM73/(Total_Lanes-CC$6)-1+SQRT(($BM73/(Total_Lanes-CC$6)-1)^2+8*($BM73/(Total_Lanes-CC$6))/(Peak_Time_Mor*$N58*(Total_Lanes-CC$6)))),"-")</f>
        <v>-</v>
      </c>
      <c r="CD73" s="445" t="str">
        <f aca="false">IF(CD$6&lt;Total_Lanes,900*Peak_Time_Mor*($BM73/(Total_Lanes-CD$6)-1+SQRT(($BM73/(Total_Lanes-CD$6)-1)^2+8*($BM73/(Total_Lanes-CD$6))/(Peak_Time_Mor*$N58*(Total_Lanes-CD$6)))),"-")</f>
        <v>-</v>
      </c>
      <c r="CE73" s="445" t="str">
        <f aca="false">IF(CE$6&lt;Total_Lanes,900*Peak_Time_Mor*($BM73/(Total_Lanes-CE$6)-1+SQRT(($BM73/(Total_Lanes-CE$6)-1)^2+8*($BM73/(Total_Lanes-CE$6))/(Peak_Time_Mor*$N58*(Total_Lanes-CE$6)))),"-")</f>
        <v>-</v>
      </c>
      <c r="CF73" s="445" t="str">
        <f aca="false">IF(CF$6&lt;Total_Lanes,900*Peak_Time_Mor*($BM73/(Total_Lanes-CF$6)-1+SQRT(($BM73/(Total_Lanes-CF$6)-1)^2+8*($BM73/(Total_Lanes-CF$6))/(Peak_Time_Mor*$N58*(Total_Lanes-CF$6)))),"-")</f>
        <v>-</v>
      </c>
      <c r="CG73" s="445" t="str">
        <f aca="false">IF(CG$6&lt;Total_Lanes,900*Peak_Time_Mor*($BM73/(Total_Lanes-CG$6)-1+SQRT(($BM73/(Total_Lanes-CG$6)-1)^2+8*($BM73/(Total_Lanes-CG$6))/(Peak_Time_Mor*$N58*(Total_Lanes-CG$6)))),"-")</f>
        <v>-</v>
      </c>
      <c r="CH73" s="446" t="str">
        <f aca="false">IF(CH$6&lt;Total_Lanes,900*Peak_Time_Mor*($BM73/(Total_Lanes-CH$6)-1+SQRT(($BM73/(Total_Lanes-CH$6)-1)^2+8*($BM73/(Total_Lanes-CH$6))/(Peak_Time_Mor*$N58*(Total_Lanes-CH$6)))),"-")</f>
        <v>-</v>
      </c>
      <c r="CI73" s="519" t="n">
        <f aca="false">3600/N58</f>
        <v>6.9575</v>
      </c>
      <c r="CK73" s="400" t="n">
        <v>18</v>
      </c>
      <c r="CL73" s="402" t="n">
        <f aca="false">$Y73</f>
        <v>0.891</v>
      </c>
      <c r="CM73" s="427" t="n">
        <f aca="false">$AD73</f>
        <v>3738.81635163921</v>
      </c>
      <c r="CN73" s="427" t="n">
        <f aca="false">CM73*CL73</f>
        <v>3331.28536931053</v>
      </c>
      <c r="CO73" s="440" t="n">
        <f aca="false">CN73/O58</f>
        <v>2.22085691287369</v>
      </c>
      <c r="CP73" s="445" t="n">
        <f aca="false">IF(CP$54&lt;Total_Lanes,900*Peak_Time_Mor*($CO73/CP$54-1+SQRT(($CO73/CP$54-1)^2+8*($CO73/CP$54)/(Peak_Time_Mor*$O58*CP$54))),"-")</f>
        <v>4399.44639050377</v>
      </c>
      <c r="CQ73" s="445" t="n">
        <f aca="false">IF(CQ$54&lt;Total_Lanes,900*Peak_Time_Mor*($CO73/CQ$54-1+SQRT(($CO73/CQ$54-1)^2+8*($CO73/CQ$54)/(Peak_Time_Mor*$O58*CQ$54))),"-")</f>
        <v>409.263619222732</v>
      </c>
      <c r="CR73" s="445" t="n">
        <f aca="false">IF(CR$54&lt;Total_Lanes,900*Peak_Time_Mor*($CO73/CR$54-1+SQRT(($CO73/CR$54-1)^2+8*($CO73/CR$54)/(Peak_Time_Mor*$O58*CR$54))),"-")</f>
        <v>2.27477263266326</v>
      </c>
      <c r="CS73" s="445" t="n">
        <f aca="false">IF(CS$54&lt;Total_Lanes,900*Peak_Time_Mor*($CO73/CS$54-1+SQRT(($CO73/CS$54-1)^2+8*($CO73/CS$54)/(Peak_Time_Mor*$O58*CS$54))),"-")</f>
        <v>0.74861401828602</v>
      </c>
      <c r="CT73" s="445" t="n">
        <f aca="false">IF(CT$54&lt;Total_Lanes,900*Peak_Time_Mor*($CO73/CT$54-1+SQRT(($CO73/CT$54-1)^2+8*($CO73/CT$54)/(Peak_Time_Mor*$O58*CT$54))),"-")</f>
        <v>0.383502042024064</v>
      </c>
      <c r="CU73" s="445" t="n">
        <f aca="false">IF(CU$54&lt;Total_Lanes,900*Peak_Time_Mor*($CO73/CU$54-1+SQRT(($CO73/CU$54-1)^2+8*($CO73/CU$54)/(Peak_Time_Mor*$O58*CU$54))),"-")</f>
        <v>0.235040238350792</v>
      </c>
      <c r="CV73" s="445" t="n">
        <f aca="false">IF(CV$54&lt;Total_Lanes,900*Peak_Time_Mor*($CO73/CV$54-1+SQRT(($CO73/CV$54-1)^2+8*($CO73/CV$54)/(Peak_Time_Mor*$O58*CV$54))),"-")</f>
        <v>0.159314607187344</v>
      </c>
      <c r="CW73" s="445" t="n">
        <f aca="false">IF(CW$54&lt;Total_Lanes,900*Peak_Time_Mor*($CO73/CW$54-1+SQRT(($CO73/CW$54-1)^2+8*($CO73/CW$54)/(Peak_Time_Mor*$O58*CW$54))),"-")</f>
        <v>0.11528137146648</v>
      </c>
      <c r="CX73" s="445" t="n">
        <f aca="false">IF(CX$54&lt;Total_Lanes,900*Peak_Time_Mor*($CO73/CX$54-1+SQRT(($CO73/CX$54-1)^2+8*($CO73/CX$54)/(Peak_Time_Mor*$O58*CX$54))),"-")</f>
        <v>0.0873575648321134</v>
      </c>
      <c r="CY73" s="445" t="n">
        <f aca="false">IF(CY$54&lt;Total_Lanes,900*Peak_Time_Mor*($CO73/CY$54-1+SQRT(($CO73/CY$54-1)^2+8*($CO73/CY$54)/(Peak_Time_Mor*$O58*CY$54))),"-")</f>
        <v>0.0685155952471428</v>
      </c>
      <c r="CZ73" s="445" t="n">
        <f aca="false">IF(CZ$54&lt;Total_Lanes,900*Peak_Time_Mor*($CO73/CZ$54-1+SQRT(($CO73/CZ$54-1)^2+8*($CO73/CZ$54)/(Peak_Time_Mor*$O58*CZ$54))),"-")</f>
        <v>0.0551923219103578</v>
      </c>
      <c r="DA73" s="445" t="str">
        <f aca="false">IF(DA$54&lt;Total_Lanes,900*Peak_Time_Mor*($CO73/DA$54-1+SQRT(($CO73/DA$54-1)^2+8*($CO73/DA$54)/(Peak_Time_Mor*$O58*DA$54))),"-")</f>
        <v>-</v>
      </c>
      <c r="DB73" s="445" t="str">
        <f aca="false">IF(DB$54&lt;Total_Lanes,900*Peak_Time_Mor*($CO73/DB$54-1+SQRT(($CO73/DB$54-1)^2+8*($CO73/DB$54)/(Peak_Time_Mor*$O58*DB$54))),"-")</f>
        <v>-</v>
      </c>
      <c r="DC73" s="445" t="str">
        <f aca="false">IF(DC$54&lt;Total_Lanes,900*Peak_Time_Mor*($CO73/DC$54-1+SQRT(($CO73/DC$54-1)^2+8*($CO73/DC$54)/(Peak_Time_Mor*$O58*DC$54))),"-")</f>
        <v>-</v>
      </c>
      <c r="DD73" s="445" t="str">
        <f aca="false">IF(DD$54&lt;Total_Lanes,900*Peak_Time_Mor*($CO73/DD$54-1+SQRT(($CO73/DD$54-1)^2+8*($CO73/DD$54)/(Peak_Time_Mor*$O58*DD$54))),"-")</f>
        <v>-</v>
      </c>
      <c r="DE73" s="445" t="str">
        <f aca="false">IF(DE$54&lt;Total_Lanes,900*Peak_Time_Mor*($CO73/DE$54-1+SQRT(($CO73/DE$54-1)^2+8*($CO73/DE$54)/(Peak_Time_Mor*$O58*DE$54))),"-")</f>
        <v>-</v>
      </c>
      <c r="DF73" s="445" t="str">
        <f aca="false">IF(DF$54&lt;Total_Lanes,900*Peak_Time_Mor*($CO73/DF$54-1+SQRT(($CO73/DF$54-1)^2+8*($CO73/DF$54)/(Peak_Time_Mor*$O58*DF$54))),"-")</f>
        <v>-</v>
      </c>
      <c r="DG73" s="445" t="str">
        <f aca="false">IF(DG$54&lt;Total_Lanes,900*Peak_Time_Mor*($CO73/DG$54-1+SQRT(($CO73/DG$54-1)^2+8*($CO73/DG$54)/(Peak_Time_Mor*$O58*DG$54))),"-")</f>
        <v>-</v>
      </c>
      <c r="DH73" s="445" t="str">
        <f aca="false">IF(DH$54&lt;Total_Lanes,900*Peak_Time_Mor*($CO73/DH$54-1+SQRT(($CO73/DH$54-1)^2+8*($CO73/DH$54)/(Peak_Time_Mor*$O58*DH$54))),"-")</f>
        <v>-</v>
      </c>
      <c r="DI73" s="445" t="str">
        <f aca="false">IF(DI$54&lt;Total_Lanes,900*Peak_Time_Mor*($CO73/DI$54-1+SQRT(($CO73/DI$54-1)^2+8*($CO73/DI$54)/(Peak_Time_Mor*$O58*DI$54))),"-")</f>
        <v>-</v>
      </c>
      <c r="DJ73" s="446" t="str">
        <f aca="false">IF(DJ$54&lt;Total_Lanes,900*Peak_Time_Mor*($CO73/DJ$54-1+SQRT(($CO73/DJ$54-1)^2+8*($CO73/DJ$54)/(Peak_Time_Mor*$O58*DJ$54))),"-")</f>
        <v>-</v>
      </c>
      <c r="DK73" s="519" t="n">
        <f aca="false">3600/$O58</f>
        <v>2.4</v>
      </c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</row>
    <row r="74" customFormat="false" ht="13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400" t="n">
        <v>19</v>
      </c>
      <c r="X74" s="401" t="n">
        <f aca="false">X26</f>
        <v>29450808.65</v>
      </c>
      <c r="Y74" s="402" t="n">
        <f aca="false">Y26</f>
        <v>0.9405</v>
      </c>
      <c r="Z74" s="401" t="n">
        <f aca="false">Z26</f>
        <v>12699.5390150268</v>
      </c>
      <c r="AA74" s="409" t="n">
        <f aca="false">X74/Z74</f>
        <v>2319.04548780488</v>
      </c>
      <c r="AB74" s="518" t="n">
        <f aca="false">AB26</f>
        <v>2</v>
      </c>
      <c r="AC74" s="435" t="n">
        <f aca="false">1-AC26</f>
        <v>0.3</v>
      </c>
      <c r="AD74" s="405" t="n">
        <f aca="false">Z74*AC74</f>
        <v>3809.86170450805</v>
      </c>
      <c r="AE74" s="427" t="n">
        <f aca="false">Peak_Time_Mor*$BI74*(CI74+BL74)/3600</f>
        <v>14.8125928069242</v>
      </c>
      <c r="AF74" s="413" t="n">
        <f aca="false">IF(AF$54&lt;Total_Lanes,($BJ74*($CI74+BN74)+$CN74*CP74)*Peak_Time_Mor/3600,"-")</f>
        <v>9961.60004550936</v>
      </c>
      <c r="AG74" s="413" t="n">
        <f aca="false">IF(AG$54&lt;Total_Lanes,($BJ74*($CI74+BO74)+$CN74*CQ74)*Peak_Time_Mor/3600,"-")</f>
        <v>1408.48728620287</v>
      </c>
      <c r="AH74" s="413" t="n">
        <f aca="false">IF(AH$54&lt;Total_Lanes,($BJ74*($CI74+BP74)+$CN74*CR74)*Peak_Time_Mor/3600,"-")</f>
        <v>7.08155196602613</v>
      </c>
      <c r="AI74" s="413" t="n">
        <f aca="false">IF(AI$54&lt;Total_Lanes,($BJ74*($CI74+BQ74)+$CN74*CS74)*Peak_Time_Mor/3600,"-")</f>
        <v>2.65498400930069</v>
      </c>
      <c r="AJ74" s="413" t="n">
        <f aca="false">IF(AJ$54&lt;Total_Lanes,($BJ74*($CI74+BR74)+$CN74*CT74)*Peak_Time_Mor/3600,"-")</f>
        <v>1.76120826798686</v>
      </c>
      <c r="AK74" s="413" t="n">
        <f aca="false">IF(AK$54&lt;Total_Lanes,($BJ74*($CI74+BS74)+$CN74*CU74)*Peak_Time_Mor/3600,"-")</f>
        <v>1.41711365010481</v>
      </c>
      <c r="AL74" s="413" t="n">
        <f aca="false">IF(AL$54&lt;Total_Lanes,($BJ74*($CI74+BT74)+$CN74*CV74)*Peak_Time_Mor/3600,"-")</f>
        <v>1.24935918773978</v>
      </c>
      <c r="AM74" s="413" t="n">
        <f aca="false">IF(AM$54&lt;Total_Lanes,($BJ74*($CI74+BU74)+$CN74*CW74)*Peak_Time_Mor/3600,"-")</f>
        <v>1.16022229220094</v>
      </c>
      <c r="AN74" s="413" t="n">
        <f aca="false">IF(AN$54&lt;Total_Lanes,($BJ74*($CI74+BV74)+$CN74*CX74)*Peak_Time_Mor/3600,"-")</f>
        <v>1.12095269217727</v>
      </c>
      <c r="AO74" s="413" t="n">
        <f aca="false">IF(AO$54&lt;Total_Lanes,($BJ74*($CI74+BW74)+$CN74*CY74)*Peak_Time_Mor/3600,"-")</f>
        <v>1.15252380998191</v>
      </c>
      <c r="AP74" s="413" t="n">
        <f aca="false">IF(AP$54&lt;Total_Lanes,($BJ74*($CI74+BX74)+$CN74*CZ74)*Peak_Time_Mor/3600,"-")</f>
        <v>1.68649460632662</v>
      </c>
      <c r="AQ74" s="413" t="str">
        <f aca="false">IF(AQ$54&lt;Total_Lanes,($BJ74*($CI74+BY74)+$CN74*DA74)*Peak_Time_Mor/3600,"-")</f>
        <v>-</v>
      </c>
      <c r="AR74" s="413" t="str">
        <f aca="false">IF(AR$54&lt;Total_Lanes,($BJ74*($CI74+BZ74)+$CN74*DB74)*Peak_Time_Mor/3600,"-")</f>
        <v>-</v>
      </c>
      <c r="AS74" s="413" t="str">
        <f aca="false">IF(AS$54&lt;Total_Lanes,($BJ74*($CI74+CA74)+$CN74*DC74)*Peak_Time_Mor/3600,"-")</f>
        <v>-</v>
      </c>
      <c r="AT74" s="413" t="str">
        <f aca="false">IF(AT$54&lt;Total_Lanes,($BJ74*($CI74+CB74)+$CN74*DD74)*Peak_Time_Mor/3600,"-")</f>
        <v>-</v>
      </c>
      <c r="AU74" s="413" t="str">
        <f aca="false">IF(AU$54&lt;Total_Lanes,($BJ74*($CI74+CC74)+$CN74*DE74)*Peak_Time_Mor/3600,"-")</f>
        <v>-</v>
      </c>
      <c r="AV74" s="413" t="str">
        <f aca="false">IF(AV$54&lt;Total_Lanes,($BJ74*($CI74+CD74)+$CN74*DF74)*Peak_Time_Mor/3600,"-")</f>
        <v>-</v>
      </c>
      <c r="AW74" s="413" t="str">
        <f aca="false">IF(AW$54&lt;Total_Lanes,($BJ74*($CI74+CE74)+$CN74*DG74)*Peak_Time_Mor/3600,"-")</f>
        <v>-</v>
      </c>
      <c r="AX74" s="413" t="str">
        <f aca="false">IF(AX$54&lt;Total_Lanes,($BJ74*($CI74+CF74)+$CN74*DH74)*Peak_Time_Mor/3600,"-")</f>
        <v>-</v>
      </c>
      <c r="AY74" s="413" t="str">
        <f aca="false">IF(AY$54&lt;Total_Lanes,($BJ74*($CI74+CG74)+$CN74*DI74)*Peak_Time_Mor/3600,"-")</f>
        <v>-</v>
      </c>
      <c r="AZ74" s="414" t="str">
        <f aca="false">IF(AZ$54&lt;Total_Lanes,($BJ74*($CI74+CH74)+$CN74*DJ74)*Peak_Time_Mor/3600,"-")</f>
        <v>-</v>
      </c>
      <c r="BA74" s="436" t="n">
        <f aca="false">SUMIF(AF74:AZ74,BB74,$AF$54:$AZ$54)</f>
        <v>9</v>
      </c>
      <c r="BB74" s="437" t="n">
        <f aca="false">MIN(AF74:AZ74)</f>
        <v>1.12095269217727</v>
      </c>
      <c r="BC74" s="436" t="n">
        <f aca="false">IF((SUMIF($BN72:$CH72,$BA74,$BN74:$CH74)+$CI74)&lt;(SUMIF($CP72:$DJ72,$BA74,$CP74:$DJ74)+$DK74),BA74+1,BA74)</f>
        <v>9</v>
      </c>
      <c r="BD74" s="437" t="n">
        <f aca="false">SUMIF($AF$54:$AZ$54,$BC74,$AF74:$AZ74)</f>
        <v>1.12095269217727</v>
      </c>
      <c r="BG74" s="400" t="n">
        <v>19</v>
      </c>
      <c r="BH74" s="402" t="n">
        <f aca="false">$Y74</f>
        <v>0.9405</v>
      </c>
      <c r="BI74" s="411" t="n">
        <f aca="false">$AD74</f>
        <v>3809.86170450805</v>
      </c>
      <c r="BJ74" s="412" t="n">
        <f aca="false">BI74*(1-BH74)</f>
        <v>226.68677141823</v>
      </c>
      <c r="BK74" s="420" t="n">
        <f aca="false">Peak_Arrival_Manual_Mor/K59</f>
        <v>0.41401820057635</v>
      </c>
      <c r="BL74" s="513" t="n">
        <f aca="false">900*Peak_Time_Mor*($BK74/Total_Lanes-1+SQRT(($BK74/Total_Lanes-1)^2+8*($BK74/Total_Lanes)/(Peak_Time_Mor*$K59*Total_Lanes)))</f>
        <v>0.0195793674189648</v>
      </c>
      <c r="BM74" s="420" t="n">
        <f aca="false">Peak_Arrival_Manual_Mor/N59</f>
        <v>0.43944175167638</v>
      </c>
      <c r="BN74" s="514" t="n">
        <f aca="false">IF(BN$6&lt;Total_Lanes,900*Peak_Time_Mor*($BM74/(Total_Lanes-BN$6)-1+SQRT(($BM74/(Total_Lanes-BN$6)-1)^2+8*($BM74/(Total_Lanes-BN$6))/(Peak_Time_Mor*$N59*(Total_Lanes-BN$6)))),"-")</f>
        <v>0.0263995229628833</v>
      </c>
      <c r="BO74" s="445" t="n">
        <f aca="false">IF(BO$6&lt;Total_Lanes,900*Peak_Time_Mor*($BM74/(Total_Lanes-BO$6)-1+SQRT(($BM74/(Total_Lanes-BO$6)-1)^2+8*($BM74/(Total_Lanes-BO$6))/(Peak_Time_Mor*$N59*(Total_Lanes-BO$6)))),"-")</f>
        <v>0.0320768459709964</v>
      </c>
      <c r="BP74" s="445" t="n">
        <f aca="false">IF(BP$6&lt;Total_Lanes,900*Peak_Time_Mor*($BM74/(Total_Lanes-BP$6)-1+SQRT(($BM74/(Total_Lanes-BP$6)-1)^2+8*($BM74/(Total_Lanes-BP$6))/(Peak_Time_Mor*$N59*(Total_Lanes-BP$6)))),"-")</f>
        <v>0.0398042379307073</v>
      </c>
      <c r="BQ74" s="445" t="n">
        <f aca="false">IF(BQ$6&lt;Total_Lanes,900*Peak_Time_Mor*($BM74/(Total_Lanes-BQ$6)-1+SQRT(($BM74/(Total_Lanes-BQ$6)-1)^2+8*($BM74/(Total_Lanes-BQ$6))/(Peak_Time_Mor*$N59*(Total_Lanes-BQ$6)))),"-")</f>
        <v>0.050702413794057</v>
      </c>
      <c r="BR74" s="445" t="n">
        <f aca="false">IF(BR$6&lt;Total_Lanes,900*Peak_Time_Mor*($BM74/(Total_Lanes-BR$6)-1+SQRT(($BM74/(Total_Lanes-BR$6)-1)^2+8*($BM74/(Total_Lanes-BR$6))/(Peak_Time_Mor*$N59*(Total_Lanes-BR$6)))),"-")</f>
        <v>0.0667777107834056</v>
      </c>
      <c r="BS74" s="445" t="n">
        <f aca="false">IF(BS$6&lt;Total_Lanes,900*Peak_Time_Mor*($BM74/(Total_Lanes-BS$6)-1+SQRT(($BM74/(Total_Lanes-BS$6)-1)^2+8*($BM74/(Total_Lanes-BS$6))/(Peak_Time_Mor*$N59*(Total_Lanes-BS$6)))),"-")</f>
        <v>0.0919173189579903</v>
      </c>
      <c r="BT74" s="445" t="n">
        <f aca="false">IF(BT$6&lt;Total_Lanes,900*Peak_Time_Mor*($BM74/(Total_Lanes-BT$6)-1+SQRT(($BM74/(Total_Lanes-BT$6)-1)^2+8*($BM74/(Total_Lanes-BT$6))/(Peak_Time_Mor*$N59*(Total_Lanes-BT$6)))),"-")</f>
        <v>0.134484787134115</v>
      </c>
      <c r="BU74" s="445" t="n">
        <f aca="false">IF(BU$6&lt;Total_Lanes,900*Peak_Time_Mor*($BM74/(Total_Lanes-BU$6)-1+SQRT(($BM74/(Total_Lanes-BU$6)-1)^2+8*($BM74/(Total_Lanes-BU$6))/(Peak_Time_Mor*$N59*(Total_Lanes-BU$6)))),"-")</f>
        <v>0.215313713905063</v>
      </c>
      <c r="BV74" s="445" t="n">
        <f aca="false">IF(BV$6&lt;Total_Lanes,900*Peak_Time_Mor*($BM74/(Total_Lanes-BV$6)-1+SQRT(($BM74/(Total_Lanes-BV$6)-1)^2+8*($BM74/(Total_Lanes-BV$6))/(Peak_Time_Mor*$N59*(Total_Lanes-BV$6)))),"-")</f>
        <v>0.399178026741764</v>
      </c>
      <c r="BW74" s="445" t="n">
        <f aca="false">IF(BW$6&lt;Total_Lanes,900*Peak_Time_Mor*($BM74/(Total_Lanes-BW$6)-1+SQRT(($BM74/(Total_Lanes-BW$6)-1)^2+8*($BM74/(Total_Lanes-BW$6))/(Peak_Time_Mor*$N59*(Total_Lanes-BW$6)))),"-")</f>
        <v>0.982238931238033</v>
      </c>
      <c r="BX74" s="515" t="n">
        <f aca="false">IF(BX$6&lt;Total_Lanes,900*Peak_Time_Mor*($BM74/(Total_Lanes-BX$6)-1+SQRT(($BM74/(Total_Lanes-BX$6)-1)^2+8*($BM74/(Total_Lanes-BX$6))/(Peak_Time_Mor*$N59*(Total_Lanes-BX$6)))),"-")</f>
        <v>5.45614097239393</v>
      </c>
      <c r="BY74" s="445" t="str">
        <f aca="false">IF(BY$6&lt;Total_Lanes,900*Peak_Time_Mor*($BM74/(Total_Lanes-BY$6)-1+SQRT(($BM74/(Total_Lanes-BY$6)-1)^2+8*($BM74/(Total_Lanes-BY$6))/(Peak_Time_Mor*$N59*(Total_Lanes-BY$6)))),"-")</f>
        <v>-</v>
      </c>
      <c r="BZ74" s="445" t="str">
        <f aca="false">IF(BZ$6&lt;Total_Lanes,900*Peak_Time_Mor*($BM74/(Total_Lanes-BZ$6)-1+SQRT(($BM74/(Total_Lanes-BZ$6)-1)^2+8*($BM74/(Total_Lanes-BZ$6))/(Peak_Time_Mor*$N59*(Total_Lanes-BZ$6)))),"-")</f>
        <v>-</v>
      </c>
      <c r="CA74" s="445" t="str">
        <f aca="false">IF(CA$6&lt;Total_Lanes,900*Peak_Time_Mor*($BM74/(Total_Lanes-CA$6)-1+SQRT(($BM74/(Total_Lanes-CA$6)-1)^2+8*($BM74/(Total_Lanes-CA$6))/(Peak_Time_Mor*$N59*(Total_Lanes-CA$6)))),"-")</f>
        <v>-</v>
      </c>
      <c r="CB74" s="445" t="str">
        <f aca="false">IF(CB$6&lt;Total_Lanes,900*Peak_Time_Mor*($BM74/(Total_Lanes-CB$6)-1+SQRT(($BM74/(Total_Lanes-CB$6)-1)^2+8*($BM74/(Total_Lanes-CB$6))/(Peak_Time_Mor*$N59*(Total_Lanes-CB$6)))),"-")</f>
        <v>-</v>
      </c>
      <c r="CC74" s="445" t="str">
        <f aca="false">IF(CC$6&lt;Total_Lanes,900*Peak_Time_Mor*($BM74/(Total_Lanes-CC$6)-1+SQRT(($BM74/(Total_Lanes-CC$6)-1)^2+8*($BM74/(Total_Lanes-CC$6))/(Peak_Time_Mor*$N59*(Total_Lanes-CC$6)))),"-")</f>
        <v>-</v>
      </c>
      <c r="CD74" s="445" t="str">
        <f aca="false">IF(CD$6&lt;Total_Lanes,900*Peak_Time_Mor*($BM74/(Total_Lanes-CD$6)-1+SQRT(($BM74/(Total_Lanes-CD$6)-1)^2+8*($BM74/(Total_Lanes-CD$6))/(Peak_Time_Mor*$N59*(Total_Lanes-CD$6)))),"-")</f>
        <v>-</v>
      </c>
      <c r="CE74" s="445" t="str">
        <f aca="false">IF(CE$6&lt;Total_Lanes,900*Peak_Time_Mor*($BM74/(Total_Lanes-CE$6)-1+SQRT(($BM74/(Total_Lanes-CE$6)-1)^2+8*($BM74/(Total_Lanes-CE$6))/(Peak_Time_Mor*$N59*(Total_Lanes-CE$6)))),"-")</f>
        <v>-</v>
      </c>
      <c r="CF74" s="445" t="str">
        <f aca="false">IF(CF$6&lt;Total_Lanes,900*Peak_Time_Mor*($BM74/(Total_Lanes-CF$6)-1+SQRT(($BM74/(Total_Lanes-CF$6)-1)^2+8*($BM74/(Total_Lanes-CF$6))/(Peak_Time_Mor*$N59*(Total_Lanes-CF$6)))),"-")</f>
        <v>-</v>
      </c>
      <c r="CG74" s="445" t="str">
        <f aca="false">IF(CG$6&lt;Total_Lanes,900*Peak_Time_Mor*($BM74/(Total_Lanes-CG$6)-1+SQRT(($BM74/(Total_Lanes-CG$6)-1)^2+8*($BM74/(Total_Lanes-CG$6))/(Peak_Time_Mor*$N59*(Total_Lanes-CG$6)))),"-")</f>
        <v>-</v>
      </c>
      <c r="CH74" s="446" t="str">
        <f aca="false">IF(CH$6&lt;Total_Lanes,900*Peak_Time_Mor*($BM74/(Total_Lanes-CH$6)-1+SQRT(($BM74/(Total_Lanes-CH$6)-1)^2+8*($BM74/(Total_Lanes-CH$6))/(Peak_Time_Mor*$N59*(Total_Lanes-CH$6)))),"-")</f>
        <v>-</v>
      </c>
      <c r="CI74" s="519" t="n">
        <f aca="false">3600/N59</f>
        <v>6.97875</v>
      </c>
      <c r="CK74" s="400" t="n">
        <v>19</v>
      </c>
      <c r="CL74" s="402" t="n">
        <f aca="false">$Y74</f>
        <v>0.9405</v>
      </c>
      <c r="CM74" s="427" t="n">
        <f aca="false">$AD74</f>
        <v>3809.86170450805</v>
      </c>
      <c r="CN74" s="427" t="n">
        <f aca="false">CM74*CL74</f>
        <v>3583.17493308982</v>
      </c>
      <c r="CO74" s="440" t="n">
        <f aca="false">CN74/O59</f>
        <v>2.38878328872655</v>
      </c>
      <c r="CP74" s="445" t="n">
        <f aca="false">IF(CP$54&lt;Total_Lanes,900*Peak_Time_Mor*($CO74/CP$54-1+SQRT(($CO74/CP$54-1)^2+8*($CO74/CP$54)/(Peak_Time_Mor*$O59*CP$54))),"-")</f>
        <v>5003.74456787336</v>
      </c>
      <c r="CQ74" s="445" t="n">
        <f aca="false">IF(CQ$54&lt;Total_Lanes,900*Peak_Time_Mor*($CO74/CQ$54-1+SQRT(($CO74/CQ$54-1)^2+8*($CO74/CQ$54)/(Peak_Time_Mor*$O59*CQ$54))),"-")</f>
        <v>707.106937499601</v>
      </c>
      <c r="CR74" s="445" t="n">
        <f aca="false">IF(CR$54&lt;Total_Lanes,900*Peak_Time_Mor*($CO74/CR$54-1+SQRT(($CO74/CR$54-1)^2+8*($CO74/CR$54)/(Peak_Time_Mor*$O59*CR$54))),"-")</f>
        <v>3.1133785949454</v>
      </c>
      <c r="CS74" s="445" t="n">
        <f aca="false">IF(CS$54&lt;Total_Lanes,900*Peak_Time_Mor*($CO74/CS$54-1+SQRT(($CO74/CS$54-1)^2+8*($CO74/CS$54)/(Peak_Time_Mor*$O59*CS$54))),"-")</f>
        <v>0.889012510888854</v>
      </c>
      <c r="CT74" s="445" t="n">
        <f aca="false">IF(CT$54&lt;Total_Lanes,900*Peak_Time_Mor*($CO74/CT$54-1+SQRT(($CO74/CT$54-1)^2+8*($CO74/CT$54)/(Peak_Time_Mor*$O59*CT$54))),"-")</f>
        <v>0.439009253540612</v>
      </c>
      <c r="CU74" s="445" t="n">
        <f aca="false">IF(CU$54&lt;Total_Lanes,900*Peak_Time_Mor*($CO74/CU$54-1+SQRT(($CO74/CU$54-1)^2+8*($CO74/CU$54)/(Peak_Time_Mor*$O59*CU$54))),"-")</f>
        <v>0.264563645812355</v>
      </c>
      <c r="CV74" s="445" t="n">
        <f aca="false">IF(CV$54&lt;Total_Lanes,900*Peak_Time_Mor*($CO74/CV$54-1+SQRT(($CO74/CV$54-1)^2+8*($CO74/CV$54)/(Peak_Time_Mor*$O59*CV$54))),"-")</f>
        <v>0.17759956507275</v>
      </c>
      <c r="CW74" s="445" t="n">
        <f aca="false">IF(CW$54&lt;Total_Lanes,900*Peak_Time_Mor*($CO74/CW$54-1+SQRT(($CO74/CW$54-1)^2+8*($CO74/CW$54)/(Peak_Time_Mor*$O59*CW$54))),"-")</f>
        <v>0.127708263711512</v>
      </c>
      <c r="CX74" s="445" t="n">
        <f aca="false">IF(CX$54&lt;Total_Lanes,900*Peak_Time_Mor*($CO74/CX$54-1+SQRT(($CO74/CX$54-1)^2+8*($CO74/CX$54)/(Peak_Time_Mor*$O59*CX$54))),"-")</f>
        <v>0.0963492344715711</v>
      </c>
      <c r="CY74" s="445" t="n">
        <f aca="false">IF(CY$54&lt;Total_Lanes,900*Peak_Time_Mor*($CO74/CY$54-1+SQRT(($CO74/CY$54-1)^2+8*($CO74/CY$54)/(Peak_Time_Mor*$O59*CY$54))),"-")</f>
        <v>0.0753220216396455</v>
      </c>
      <c r="CZ74" s="445" t="n">
        <f aca="false">IF(CZ$54&lt;Total_Lanes,900*Peak_Time_Mor*($CO74/CZ$54-1+SQRT(($CO74/CZ$54-1)^2+8*($CO74/CZ$54)/(Peak_Time_Mor*$O59*CZ$54))),"-")</f>
        <v>0.0605231416182184</v>
      </c>
      <c r="DA74" s="445" t="str">
        <f aca="false">IF(DA$54&lt;Total_Lanes,900*Peak_Time_Mor*($CO74/DA$54-1+SQRT(($CO74/DA$54-1)^2+8*($CO74/DA$54)/(Peak_Time_Mor*$O59*DA$54))),"-")</f>
        <v>-</v>
      </c>
      <c r="DB74" s="445" t="str">
        <f aca="false">IF(DB$54&lt;Total_Lanes,900*Peak_Time_Mor*($CO74/DB$54-1+SQRT(($CO74/DB$54-1)^2+8*($CO74/DB$54)/(Peak_Time_Mor*$O59*DB$54))),"-")</f>
        <v>-</v>
      </c>
      <c r="DC74" s="445" t="str">
        <f aca="false">IF(DC$54&lt;Total_Lanes,900*Peak_Time_Mor*($CO74/DC$54-1+SQRT(($CO74/DC$54-1)^2+8*($CO74/DC$54)/(Peak_Time_Mor*$O59*DC$54))),"-")</f>
        <v>-</v>
      </c>
      <c r="DD74" s="445" t="str">
        <f aca="false">IF(DD$54&lt;Total_Lanes,900*Peak_Time_Mor*($CO74/DD$54-1+SQRT(($CO74/DD$54-1)^2+8*($CO74/DD$54)/(Peak_Time_Mor*$O59*DD$54))),"-")</f>
        <v>-</v>
      </c>
      <c r="DE74" s="445" t="str">
        <f aca="false">IF(DE$54&lt;Total_Lanes,900*Peak_Time_Mor*($CO74/DE$54-1+SQRT(($CO74/DE$54-1)^2+8*($CO74/DE$54)/(Peak_Time_Mor*$O59*DE$54))),"-")</f>
        <v>-</v>
      </c>
      <c r="DF74" s="445" t="str">
        <f aca="false">IF(DF$54&lt;Total_Lanes,900*Peak_Time_Mor*($CO74/DF$54-1+SQRT(($CO74/DF$54-1)^2+8*($CO74/DF$54)/(Peak_Time_Mor*$O59*DF$54))),"-")</f>
        <v>-</v>
      </c>
      <c r="DG74" s="445" t="str">
        <f aca="false">IF(DG$54&lt;Total_Lanes,900*Peak_Time_Mor*($CO74/DG$54-1+SQRT(($CO74/DG$54-1)^2+8*($CO74/DG$54)/(Peak_Time_Mor*$O59*DG$54))),"-")</f>
        <v>-</v>
      </c>
      <c r="DH74" s="445" t="str">
        <f aca="false">IF(DH$54&lt;Total_Lanes,900*Peak_Time_Mor*($CO74/DH$54-1+SQRT(($CO74/DH$54-1)^2+8*($CO74/DH$54)/(Peak_Time_Mor*$O59*DH$54))),"-")</f>
        <v>-</v>
      </c>
      <c r="DI74" s="445" t="str">
        <f aca="false">IF(DI$54&lt;Total_Lanes,900*Peak_Time_Mor*($CO74/DI$54-1+SQRT(($CO74/DI$54-1)^2+8*($CO74/DI$54)/(Peak_Time_Mor*$O59*DI$54))),"-")</f>
        <v>-</v>
      </c>
      <c r="DJ74" s="446" t="str">
        <f aca="false">IF(DJ$54&lt;Total_Lanes,900*Peak_Time_Mor*($CO74/DJ$54-1+SQRT(($CO74/DJ$54-1)^2+8*($CO74/DJ$54)/(Peak_Time_Mor*$O59*DJ$54))),"-")</f>
        <v>-</v>
      </c>
      <c r="DK74" s="519" t="n">
        <f aca="false">3600/$O59</f>
        <v>2.4</v>
      </c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</row>
    <row r="75" customFormat="false" ht="13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452" t="n">
        <v>20</v>
      </c>
      <c r="X75" s="462" t="n">
        <f aca="false">X27</f>
        <v>30000000</v>
      </c>
      <c r="Y75" s="463" t="n">
        <f aca="false">Y27</f>
        <v>0.99</v>
      </c>
      <c r="Z75" s="462" t="n">
        <f aca="false">Z27</f>
        <v>12936.356857923</v>
      </c>
      <c r="AA75" s="464" t="n">
        <f aca="false">X75/Z75</f>
        <v>2319.04548780488</v>
      </c>
      <c r="AB75" s="462" t="n">
        <f aca="false">AB27</f>
        <v>2</v>
      </c>
      <c r="AC75" s="466" t="n">
        <f aca="false">1-AC27</f>
        <v>0.3</v>
      </c>
      <c r="AD75" s="523" t="n">
        <f aca="false">Z75*AC75</f>
        <v>3880.9070573769</v>
      </c>
      <c r="AE75" s="458" t="n">
        <f aca="false">Peak_Time_Mor*$BI75*(CI75+BL75)/3600</f>
        <v>15.0994356206098</v>
      </c>
      <c r="AF75" s="468" t="n">
        <f aca="false">IF(AF$54&lt;Total_Lanes,($BJ75*($CI75+BN75)+$CN75*CP75)*Peak_Time_Mor/3600,"-")</f>
        <v>12006.6421212131</v>
      </c>
      <c r="AG75" s="468" t="n">
        <f aca="false">IF(AG$54&lt;Total_Lanes,($BJ75*($CI75+BO75)+$CN75*CQ75)*Peak_Time_Mor/3600,"-")</f>
        <v>2168.72351144777</v>
      </c>
      <c r="AH75" s="468" t="n">
        <f aca="false">IF(AH$54&lt;Total_Lanes,($BJ75*($CI75+BP75)+$CN75*CR75)*Peak_Time_Mor/3600,"-")</f>
        <v>10.036333486013</v>
      </c>
      <c r="AI75" s="468" t="n">
        <f aca="false">IF(AI$54&lt;Total_Lanes,($BJ75*($CI75+BQ75)+$CN75*CS75)*Peak_Time_Mor/3600,"-")</f>
        <v>2.42948300562532</v>
      </c>
      <c r="AJ75" s="468" t="n">
        <f aca="false">IF(AJ$54&lt;Total_Lanes,($BJ75*($CI75+BR75)+$CN75*CT75)*Peak_Time_Mor/3600,"-")</f>
        <v>1.22700209287473</v>
      </c>
      <c r="AK75" s="468" t="n">
        <f aca="false">IF(AK$54&lt;Total_Lanes,($BJ75*($CI75+BS75)+$CN75*CU75)*Peak_Time_Mor/3600,"-")</f>
        <v>0.787144174451682</v>
      </c>
      <c r="AL75" s="468" t="n">
        <f aca="false">IF(AL$54&lt;Total_Lanes,($BJ75*($CI75+BT75)+$CN75*CV75)*Peak_Time_Mor/3600,"-")</f>
        <v>0.573668667923334</v>
      </c>
      <c r="AM75" s="468" t="n">
        <f aca="false">IF(AM$54&lt;Total_Lanes,($BJ75*($CI75+BU75)+$CN75*CW75)*Peak_Time_Mor/3600,"-")</f>
        <v>0.453215445728656</v>
      </c>
      <c r="AN75" s="468" t="n">
        <f aca="false">IF(AN$54&lt;Total_Lanes,($BJ75*($CI75+BV75)+$CN75*CX75)*Peak_Time_Mor/3600,"-")</f>
        <v>0.378651436248016</v>
      </c>
      <c r="AO75" s="468" t="n">
        <f aca="false">IF(AO$54&lt;Total_Lanes,($BJ75*($CI75+BW75)+$CN75*CY75)*Peak_Time_Mor/3600,"-")</f>
        <v>0.330275268559884</v>
      </c>
      <c r="AP75" s="468" t="n">
        <f aca="false">IF(AP$54&lt;Total_Lanes,($BJ75*($CI75+BX75)+$CN75*CZ75)*Peak_Time_Mor/3600,"-")</f>
        <v>0.304595563265872</v>
      </c>
      <c r="AQ75" s="468" t="str">
        <f aca="false">IF(AQ$54&lt;Total_Lanes,($BJ75*($CI75+BY75)+$CN75*DA75)*Peak_Time_Mor/3600,"-")</f>
        <v>-</v>
      </c>
      <c r="AR75" s="468" t="str">
        <f aca="false">IF(AR$54&lt;Total_Lanes,($BJ75*($CI75+BZ75)+$CN75*DB75)*Peak_Time_Mor/3600,"-")</f>
        <v>-</v>
      </c>
      <c r="AS75" s="468" t="str">
        <f aca="false">IF(AS$54&lt;Total_Lanes,($BJ75*($CI75+CA75)+$CN75*DC75)*Peak_Time_Mor/3600,"-")</f>
        <v>-</v>
      </c>
      <c r="AT75" s="468" t="str">
        <f aca="false">IF(AT$54&lt;Total_Lanes,($BJ75*($CI75+CB75)+$CN75*DD75)*Peak_Time_Mor/3600,"-")</f>
        <v>-</v>
      </c>
      <c r="AU75" s="468" t="str">
        <f aca="false">IF(AU$54&lt;Total_Lanes,($BJ75*($CI75+CC75)+$CN75*DE75)*Peak_Time_Mor/3600,"-")</f>
        <v>-</v>
      </c>
      <c r="AV75" s="468" t="str">
        <f aca="false">IF(AV$54&lt;Total_Lanes,($BJ75*($CI75+CD75)+$CN75*DF75)*Peak_Time_Mor/3600,"-")</f>
        <v>-</v>
      </c>
      <c r="AW75" s="468" t="str">
        <f aca="false">IF(AW$54&lt;Total_Lanes,($BJ75*($CI75+CE75)+$CN75*DG75)*Peak_Time_Mor/3600,"-")</f>
        <v>-</v>
      </c>
      <c r="AX75" s="468" t="str">
        <f aca="false">IF(AX$54&lt;Total_Lanes,($BJ75*($CI75+CF75)+$CN75*DH75)*Peak_Time_Mor/3600,"-")</f>
        <v>-</v>
      </c>
      <c r="AY75" s="468" t="str">
        <f aca="false">IF(AY$54&lt;Total_Lanes,($BJ75*($CI75+CG75)+$CN75*DI75)*Peak_Time_Mor/3600,"-")</f>
        <v>-</v>
      </c>
      <c r="AZ75" s="469" t="str">
        <f aca="false">IF(AZ$54&lt;Total_Lanes,($BJ75*($CI75+CH75)+$CN75*DJ75)*Peak_Time_Mor/3600,"-")</f>
        <v>-</v>
      </c>
      <c r="BA75" s="470" t="n">
        <f aca="false">SUMIF(AF75:AZ75,BB75,$AF$54:$AZ$54)</f>
        <v>11</v>
      </c>
      <c r="BB75" s="471" t="n">
        <f aca="false">MIN(AF75:AZ75)</f>
        <v>0.304595563265872</v>
      </c>
      <c r="BC75" s="470" t="n">
        <f aca="false">IF((SUMIF($BN73:$CH73,$BA75,$BN75:$CH75)+$CI75)&lt;(SUMIF($CP73:$DJ73,$BA75,$CP75:$DJ75)+$DK75),BA75+1,BA75)</f>
        <v>11</v>
      </c>
      <c r="BD75" s="471" t="n">
        <f aca="false">SUMIF($AF$54:$AZ$54,$BC75,$AF75:$AZ75)</f>
        <v>0.304595563265872</v>
      </c>
      <c r="BG75" s="452" t="n">
        <v>20</v>
      </c>
      <c r="BH75" s="463" t="n">
        <f aca="false">$Y75</f>
        <v>0.99</v>
      </c>
      <c r="BI75" s="467" t="n">
        <f aca="false">$AD75</f>
        <v>3880.9070573769</v>
      </c>
      <c r="BJ75" s="460" t="n">
        <f aca="false">BI75*(1-BH75)</f>
        <v>38.809070573769</v>
      </c>
      <c r="BK75" s="473" t="n">
        <f aca="false">Peak_Arrival_Manual_Mor/K60</f>
        <v>0.0708804552840365</v>
      </c>
      <c r="BL75" s="524" t="n">
        <f aca="false">900*Peak_Time_Mor*($BK75/Total_Lanes-1+SQRT(($BK75/Total_Lanes-1)^2+8*($BK75/Total_Lanes)/(Peak_Time_Mor*$K60*Total_Lanes)))</f>
        <v>0.00325560887508569</v>
      </c>
      <c r="BM75" s="473" t="n">
        <f aca="false">Peak_Arrival_Manual_Mor/N60</f>
        <v>0.0754620816712175</v>
      </c>
      <c r="BN75" s="525" t="n">
        <f aca="false">IF(BN$6&lt;Total_Lanes,900*Peak_Time_Mor*($BM75/(Total_Lanes-BN$6)-1+SQRT(($BM75/(Total_Lanes-BN$6)-1)^2+8*($BM75/(Total_Lanes-BN$6))/(Peak_Time_Mor*$N60*(Total_Lanes-BN$6)))),"-")</f>
        <v>0.00439572511150566</v>
      </c>
      <c r="BO75" s="481" t="n">
        <f aca="false">IF(BO$6&lt;Total_Lanes,900*Peak_Time_Mor*($BM75/(Total_Lanes-BO$6)-1+SQRT(($BM75/(Total_Lanes-BO$6)-1)^2+8*($BM75/(Total_Lanes-BO$6))/(Peak_Time_Mor*$N60*(Total_Lanes-BO$6)))),"-")</f>
        <v>0.00532250256009004</v>
      </c>
      <c r="BP75" s="481" t="n">
        <f aca="false">IF(BP$6&lt;Total_Lanes,900*Peak_Time_Mor*($BM75/(Total_Lanes-BP$6)-1+SQRT(($BM75/(Total_Lanes-BP$6)-1)^2+8*($BM75/(Total_Lanes-BP$6))/(Peak_Time_Mor*$N60*(Total_Lanes-BP$6)))),"-")</f>
        <v>0.00657654464566448</v>
      </c>
      <c r="BQ75" s="481" t="n">
        <f aca="false">IF(BQ$6&lt;Total_Lanes,900*Peak_Time_Mor*($BM75/(Total_Lanes-BQ$6)-1+SQRT(($BM75/(Total_Lanes-BQ$6)-1)^2+8*($BM75/(Total_Lanes-BQ$6))/(Peak_Time_Mor*$N60*(Total_Lanes-BQ$6)))),"-")</f>
        <v>0.00833224193801385</v>
      </c>
      <c r="BR75" s="481" t="n">
        <f aca="false">IF(BR$6&lt;Total_Lanes,900*Peak_Time_Mor*($BM75/(Total_Lanes-BR$6)-1+SQRT(($BM75/(Total_Lanes-BR$6)-1)^2+8*($BM75/(Total_Lanes-BR$6))/(Peak_Time_Mor*$N60*(Total_Lanes-BR$6)))),"-")</f>
        <v>0.0108977453279424</v>
      </c>
      <c r="BS75" s="481" t="n">
        <f aca="false">IF(BS$6&lt;Total_Lanes,900*Peak_Time_Mor*($BM75/(Total_Lanes-BS$6)-1+SQRT(($BM75/(Total_Lanes-BS$6)-1)^2+8*($BM75/(Total_Lanes-BS$6))/(Peak_Time_Mor*$N60*(Total_Lanes-BS$6)))),"-")</f>
        <v>0.014860015829643</v>
      </c>
      <c r="BT75" s="481" t="n">
        <f aca="false">IF(BT$6&lt;Total_Lanes,900*Peak_Time_Mor*($BM75/(Total_Lanes-BT$6)-1+SQRT(($BM75/(Total_Lanes-BT$6)-1)^2+8*($BM75/(Total_Lanes-BT$6))/(Peak_Time_Mor*$N60*(Total_Lanes-BT$6)))),"-")</f>
        <v>0.0214530331331453</v>
      </c>
      <c r="BU75" s="481" t="n">
        <f aca="false">IF(BU$6&lt;Total_Lanes,900*Peak_Time_Mor*($BM75/(Total_Lanes-BU$6)-1+SQRT(($BM75/(Total_Lanes-BU$6)-1)^2+8*($BM75/(Total_Lanes-BU$6))/(Peak_Time_Mor*$N60*(Total_Lanes-BU$6)))),"-")</f>
        <v>0.0336491550341433</v>
      </c>
      <c r="BV75" s="481" t="n">
        <f aca="false">IF(BV$6&lt;Total_Lanes,900*Peak_Time_Mor*($BM75/(Total_Lanes-BV$6)-1+SQRT(($BM75/(Total_Lanes-BV$6)-1)^2+8*($BM75/(Total_Lanes-BV$6))/(Peak_Time_Mor*$N60*(Total_Lanes-BV$6)))),"-")</f>
        <v>0.0602061504527018</v>
      </c>
      <c r="BW75" s="481" t="n">
        <f aca="false">IF(BW$6&lt;Total_Lanes,900*Peak_Time_Mor*($BM75/(Total_Lanes-BW$6)-1+SQRT(($BM75/(Total_Lanes-BW$6)-1)^2+8*($BM75/(Total_Lanes-BW$6))/(Peak_Time_Mor*$N60*(Total_Lanes-BW$6)))),"-")</f>
        <v>0.137231291144935</v>
      </c>
      <c r="BX75" s="526" t="n">
        <f aca="false">IF(BX$6&lt;Total_Lanes,900*Peak_Time_Mor*($BM75/(Total_Lanes-BX$6)-1+SQRT(($BM75/(Total_Lanes-BX$6)-1)^2+8*($BM75/(Total_Lanes-BX$6))/(Peak_Time_Mor*$N60*(Total_Lanes-BX$6)))),"-")</f>
        <v>0.57125177280255</v>
      </c>
      <c r="BY75" s="481" t="str">
        <f aca="false">IF(BY$6&lt;Total_Lanes,900*Peak_Time_Mor*($BM75/(Total_Lanes-BY$6)-1+SQRT(($BM75/(Total_Lanes-BY$6)-1)^2+8*($BM75/(Total_Lanes-BY$6))/(Peak_Time_Mor*$N60*(Total_Lanes-BY$6)))),"-")</f>
        <v>-</v>
      </c>
      <c r="BZ75" s="481" t="str">
        <f aca="false">IF(BZ$6&lt;Total_Lanes,900*Peak_Time_Mor*($BM75/(Total_Lanes-BZ$6)-1+SQRT(($BM75/(Total_Lanes-BZ$6)-1)^2+8*($BM75/(Total_Lanes-BZ$6))/(Peak_Time_Mor*$N60*(Total_Lanes-BZ$6)))),"-")</f>
        <v>-</v>
      </c>
      <c r="CA75" s="481" t="str">
        <f aca="false">IF(CA$6&lt;Total_Lanes,900*Peak_Time_Mor*($BM75/(Total_Lanes-CA$6)-1+SQRT(($BM75/(Total_Lanes-CA$6)-1)^2+8*($BM75/(Total_Lanes-CA$6))/(Peak_Time_Mor*$N60*(Total_Lanes-CA$6)))),"-")</f>
        <v>-</v>
      </c>
      <c r="CB75" s="481" t="str">
        <f aca="false">IF(CB$6&lt;Total_Lanes,900*Peak_Time_Mor*($BM75/(Total_Lanes-CB$6)-1+SQRT(($BM75/(Total_Lanes-CB$6)-1)^2+8*($BM75/(Total_Lanes-CB$6))/(Peak_Time_Mor*$N60*(Total_Lanes-CB$6)))),"-")</f>
        <v>-</v>
      </c>
      <c r="CC75" s="481" t="str">
        <f aca="false">IF(CC$6&lt;Total_Lanes,900*Peak_Time_Mor*($BM75/(Total_Lanes-CC$6)-1+SQRT(($BM75/(Total_Lanes-CC$6)-1)^2+8*($BM75/(Total_Lanes-CC$6))/(Peak_Time_Mor*$N60*(Total_Lanes-CC$6)))),"-")</f>
        <v>-</v>
      </c>
      <c r="CD75" s="481" t="str">
        <f aca="false">IF(CD$6&lt;Total_Lanes,900*Peak_Time_Mor*($BM75/(Total_Lanes-CD$6)-1+SQRT(($BM75/(Total_Lanes-CD$6)-1)^2+8*($BM75/(Total_Lanes-CD$6))/(Peak_Time_Mor*$N60*(Total_Lanes-CD$6)))),"-")</f>
        <v>-</v>
      </c>
      <c r="CE75" s="481" t="str">
        <f aca="false">IF(CE$6&lt;Total_Lanes,900*Peak_Time_Mor*($BM75/(Total_Lanes-CE$6)-1+SQRT(($BM75/(Total_Lanes-CE$6)-1)^2+8*($BM75/(Total_Lanes-CE$6))/(Peak_Time_Mor*$N60*(Total_Lanes-CE$6)))),"-")</f>
        <v>-</v>
      </c>
      <c r="CF75" s="481" t="str">
        <f aca="false">IF(CF$6&lt;Total_Lanes,900*Peak_Time_Mor*($BM75/(Total_Lanes-CF$6)-1+SQRT(($BM75/(Total_Lanes-CF$6)-1)^2+8*($BM75/(Total_Lanes-CF$6))/(Peak_Time_Mor*$N60*(Total_Lanes-CF$6)))),"-")</f>
        <v>-</v>
      </c>
      <c r="CG75" s="481" t="str">
        <f aca="false">IF(CG$6&lt;Total_Lanes,900*Peak_Time_Mor*($BM75/(Total_Lanes-CG$6)-1+SQRT(($BM75/(Total_Lanes-CG$6)-1)^2+8*($BM75/(Total_Lanes-CG$6))/(Peak_Time_Mor*$N60*(Total_Lanes-CG$6)))),"-")</f>
        <v>-</v>
      </c>
      <c r="CH75" s="482" t="str">
        <f aca="false">IF(CH$6&lt;Total_Lanes,900*Peak_Time_Mor*($BM75/(Total_Lanes-CH$6)-1+SQRT(($BM75/(Total_Lanes-CH$6)-1)^2+8*($BM75/(Total_Lanes-CH$6))/(Peak_Time_Mor*$N60*(Total_Lanes-CH$6)))),"-")</f>
        <v>-</v>
      </c>
      <c r="CI75" s="527" t="n">
        <f aca="false">3600/N60</f>
        <v>7</v>
      </c>
      <c r="CK75" s="452" t="n">
        <v>20</v>
      </c>
      <c r="CL75" s="463" t="n">
        <f aca="false">$Y75</f>
        <v>0.99</v>
      </c>
      <c r="CM75" s="458" t="n">
        <f aca="false">$AD75</f>
        <v>3880.9070573769</v>
      </c>
      <c r="CN75" s="458" t="n">
        <f aca="false">CM75*CL75</f>
        <v>3842.09798680313</v>
      </c>
      <c r="CO75" s="479" t="n">
        <f aca="false">CN75/O60</f>
        <v>2.56139865786875</v>
      </c>
      <c r="CP75" s="481" t="n">
        <f aca="false">IF(CP$54&lt;Total_Lanes,900*Peak_Time_Mor*($CO75/CP$54-1+SQRT(($CO75/CP$54-1)^2+8*($CO75/CP$54)/(Peak_Time_Mor*$O60*CP$54))),"-")</f>
        <v>5624.9694980002</v>
      </c>
      <c r="CQ75" s="481" t="n">
        <f aca="false">IF(CQ$54&lt;Total_Lanes,900*Peak_Time_Mor*($CO75/CQ$54-1+SQRT(($CO75/CQ$54-1)^2+8*($CO75/CQ$54)/(Peak_Time_Mor*$O60*CQ$54))),"-")</f>
        <v>1015.96327422104</v>
      </c>
      <c r="CR75" s="481" t="n">
        <f aca="false">IF(CR$54&lt;Total_Lanes,900*Peak_Time_Mor*($CO75/CR$54-1+SQRT(($CO75/CR$54-1)^2+8*($CO75/CR$54)/(Peak_Time_Mor*$O60*CR$54))),"-")</f>
        <v>4.63118890052748</v>
      </c>
      <c r="CS75" s="481" t="n">
        <f aca="false">IF(CS$54&lt;Total_Lanes,900*Peak_Time_Mor*($CO75/CS$54-1+SQRT(($CO75/CS$54-1)^2+8*($CO75/CS$54)/(Peak_Time_Mor*$O60*CS$54))),"-")</f>
        <v>1.06740706864589</v>
      </c>
      <c r="CT75" s="481" t="n">
        <f aca="false">IF(CT$54&lt;Total_Lanes,900*Peak_Time_Mor*($CO75/CT$54-1+SQRT(($CO75/CT$54-1)^2+8*($CO75/CT$54)/(Peak_Time_Mor*$O60*CT$54))),"-")</f>
        <v>0.504026016109471</v>
      </c>
      <c r="CU75" s="481" t="n">
        <f aca="false">IF(CU$54&lt;Total_Lanes,900*Peak_Time_Mor*($CO75/CU$54-1+SQRT(($CO75/CU$54-1)^2+8*($CO75/CU$54)/(Peak_Time_Mor*$O60*CU$54))),"-")</f>
        <v>0.297915180853048</v>
      </c>
      <c r="CV75" s="481" t="n">
        <f aca="false">IF(CV$54&lt;Total_Lanes,900*Peak_Time_Mor*($CO75/CV$54-1+SQRT(($CO75/CV$54-1)^2+8*($CO75/CV$54)/(Peak_Time_Mor*$O60*CV$54))),"-")</f>
        <v>0.197836582663835</v>
      </c>
      <c r="CW75" s="481" t="n">
        <f aca="false">IF(CW$54&lt;Total_Lanes,900*Peak_Time_Mor*($CO75/CW$54-1+SQRT(($CO75/CW$54-1)^2+8*($CO75/CW$54)/(Peak_Time_Mor*$O60*CW$54))),"-")</f>
        <v>0.141281773064406</v>
      </c>
      <c r="CX75" s="481" t="n">
        <f aca="false">IF(CX$54&lt;Total_Lanes,900*Peak_Time_Mor*($CO75/CX$54-1+SQRT(($CO75/CX$54-1)^2+8*($CO75/CX$54)/(Peak_Time_Mor*$O60*CX$54))),"-")</f>
        <v>0.106080726698821</v>
      </c>
      <c r="CY75" s="481" t="n">
        <f aca="false">IF(CY$54&lt;Total_Lanes,900*Peak_Time_Mor*($CO75/CY$54-1+SQRT(($CO75/CY$54-1)^2+8*($CO75/CY$54)/(Peak_Time_Mor*$O60*CY$54))),"-")</f>
        <v>0.0826387488343627</v>
      </c>
      <c r="CZ75" s="481" t="n">
        <f aca="false">IF(CZ$54&lt;Total_Lanes,900*Peak_Time_Mor*($CO75/CZ$54-1+SQRT(($CO75/CZ$54-1)^2+8*($CO75/CZ$54)/(Peak_Time_Mor*$O60*CZ$54))),"-")</f>
        <v>0.0662239147387833</v>
      </c>
      <c r="DA75" s="481" t="str">
        <f aca="false">IF(DA$54&lt;Total_Lanes,900*Peak_Time_Mor*($CO75/DA$54-1+SQRT(($CO75/DA$54-1)^2+8*($CO75/DA$54)/(Peak_Time_Mor*$O60*DA$54))),"-")</f>
        <v>-</v>
      </c>
      <c r="DB75" s="481" t="str">
        <f aca="false">IF(DB$54&lt;Total_Lanes,900*Peak_Time_Mor*($CO75/DB$54-1+SQRT(($CO75/DB$54-1)^2+8*($CO75/DB$54)/(Peak_Time_Mor*$O60*DB$54))),"-")</f>
        <v>-</v>
      </c>
      <c r="DC75" s="481" t="str">
        <f aca="false">IF(DC$54&lt;Total_Lanes,900*Peak_Time_Mor*($CO75/DC$54-1+SQRT(($CO75/DC$54-1)^2+8*($CO75/DC$54)/(Peak_Time_Mor*$O60*DC$54))),"-")</f>
        <v>-</v>
      </c>
      <c r="DD75" s="481" t="str">
        <f aca="false">IF(DD$54&lt;Total_Lanes,900*Peak_Time_Mor*($CO75/DD$54-1+SQRT(($CO75/DD$54-1)^2+8*($CO75/DD$54)/(Peak_Time_Mor*$O60*DD$54))),"-")</f>
        <v>-</v>
      </c>
      <c r="DE75" s="481" t="str">
        <f aca="false">IF(DE$54&lt;Total_Lanes,900*Peak_Time_Mor*($CO75/DE$54-1+SQRT(($CO75/DE$54-1)^2+8*($CO75/DE$54)/(Peak_Time_Mor*$O60*DE$54))),"-")</f>
        <v>-</v>
      </c>
      <c r="DF75" s="481" t="str">
        <f aca="false">IF(DF$54&lt;Total_Lanes,900*Peak_Time_Mor*($CO75/DF$54-1+SQRT(($CO75/DF$54-1)^2+8*($CO75/DF$54)/(Peak_Time_Mor*$O60*DF$54))),"-")</f>
        <v>-</v>
      </c>
      <c r="DG75" s="481" t="str">
        <f aca="false">IF(DG$54&lt;Total_Lanes,900*Peak_Time_Mor*($CO75/DG$54-1+SQRT(($CO75/DG$54-1)^2+8*($CO75/DG$54)/(Peak_Time_Mor*$O60*DG$54))),"-")</f>
        <v>-</v>
      </c>
      <c r="DH75" s="481" t="str">
        <f aca="false">IF(DH$54&lt;Total_Lanes,900*Peak_Time_Mor*($CO75/DH$54-1+SQRT(($CO75/DH$54-1)^2+8*($CO75/DH$54)/(Peak_Time_Mor*$O60*DH$54))),"-")</f>
        <v>-</v>
      </c>
      <c r="DI75" s="481" t="str">
        <f aca="false">IF(DI$54&lt;Total_Lanes,900*Peak_Time_Mor*($CO75/DI$54-1+SQRT(($CO75/DI$54-1)^2+8*($CO75/DI$54)/(Peak_Time_Mor*$O60*DI$54))),"-")</f>
        <v>-</v>
      </c>
      <c r="DJ75" s="482" t="str">
        <f aca="false">IF(DJ$54&lt;Total_Lanes,900*Peak_Time_Mor*($CO75/DJ$54-1+SQRT(($CO75/DJ$54-1)^2+8*($CO75/DJ$54)/(Peak_Time_Mor*$O60*DJ$54))),"-")</f>
        <v>-</v>
      </c>
      <c r="DK75" s="527" t="n">
        <f aca="false">3600/$O60</f>
        <v>2.4</v>
      </c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</row>
    <row r="76" customFormat="false" ht="13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CF76" s="7"/>
      <c r="CG76" s="1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</row>
    <row r="77" customFormat="false" ht="14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CF77" s="7"/>
      <c r="CG77" s="1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</row>
    <row r="78" customFormat="false" ht="14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528" t="s">
        <v>367</v>
      </c>
      <c r="X78" s="529"/>
      <c r="Y78" s="529"/>
      <c r="Z78" s="529"/>
      <c r="AA78" s="529"/>
      <c r="AB78" s="529"/>
      <c r="AC78" s="529"/>
      <c r="AD78" s="529"/>
      <c r="AE78" s="529"/>
      <c r="AF78" s="529"/>
      <c r="AG78" s="529"/>
      <c r="AH78" s="529"/>
      <c r="AI78" s="529"/>
      <c r="AJ78" s="529"/>
      <c r="AK78" s="529"/>
      <c r="AL78" s="529"/>
      <c r="AM78" s="529"/>
      <c r="AN78" s="529"/>
      <c r="AO78" s="529"/>
      <c r="AP78" s="529"/>
      <c r="AQ78" s="529"/>
      <c r="AR78" s="529"/>
      <c r="AS78" s="529"/>
      <c r="AT78" s="529"/>
      <c r="AU78" s="529"/>
      <c r="AV78" s="529"/>
      <c r="AW78" s="529"/>
      <c r="AX78" s="529"/>
      <c r="AY78" s="529"/>
      <c r="AZ78" s="529"/>
      <c r="BA78" s="530"/>
      <c r="BB78" s="530"/>
      <c r="BC78" s="529"/>
      <c r="BD78" s="531"/>
      <c r="CF78" s="7"/>
      <c r="CG78" s="1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</row>
    <row r="79" customFormat="false" ht="14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W79" s="532" t="s">
        <v>368</v>
      </c>
      <c r="X79" s="533"/>
      <c r="Y79" s="533"/>
      <c r="Z79" s="533"/>
      <c r="AA79" s="533"/>
      <c r="AB79" s="533"/>
      <c r="AC79" s="533"/>
      <c r="AD79" s="533"/>
      <c r="AE79" s="533"/>
      <c r="AF79" s="533"/>
      <c r="AG79" s="533"/>
      <c r="AH79" s="533"/>
      <c r="AI79" s="533"/>
      <c r="AJ79" s="533"/>
      <c r="AK79" s="533"/>
      <c r="AL79" s="533"/>
      <c r="AM79" s="533"/>
      <c r="AN79" s="533"/>
      <c r="AO79" s="533"/>
      <c r="AP79" s="533"/>
      <c r="AQ79" s="533"/>
      <c r="AR79" s="533"/>
      <c r="AS79" s="533"/>
      <c r="AT79" s="533"/>
      <c r="AU79" s="533"/>
      <c r="AV79" s="533"/>
      <c r="AW79" s="533"/>
      <c r="AX79" s="533"/>
      <c r="AY79" s="533"/>
      <c r="AZ79" s="533"/>
      <c r="BA79" s="534"/>
      <c r="BB79" s="534"/>
      <c r="BC79" s="533"/>
      <c r="BD79" s="535"/>
      <c r="CF79" s="7"/>
      <c r="CG79" s="1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</row>
    <row r="80" customFormat="false" ht="14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CF80" s="7"/>
      <c r="CG80" s="1"/>
      <c r="CS80" s="7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</row>
    <row r="81" customFormat="false" ht="13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CF81" s="7"/>
      <c r="CG81" s="1"/>
      <c r="CS81" s="7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</row>
    <row r="82" customFormat="false" ht="13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CF82" s="7"/>
      <c r="CG82" s="1"/>
      <c r="CS82" s="7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</row>
    <row r="83" customFormat="false" ht="13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CF83" s="7"/>
      <c r="CG83" s="1"/>
      <c r="CS83" s="7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</row>
    <row r="84" customFormat="false" ht="13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CF84" s="7"/>
      <c r="CG84" s="1"/>
      <c r="CS84" s="7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</row>
    <row r="85" customFormat="false" ht="13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CF85" s="7"/>
      <c r="CG85" s="1"/>
      <c r="CS85" s="7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</row>
    <row r="86" customFormat="false" ht="13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CF86" s="7"/>
      <c r="CG86" s="1"/>
      <c r="CS86" s="7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</row>
    <row r="87" customFormat="false" ht="13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CF87" s="7"/>
      <c r="CG87" s="1"/>
      <c r="CS87" s="7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</row>
    <row r="88" customFormat="false" ht="13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CF88" s="7"/>
      <c r="CG88" s="1"/>
      <c r="CS88" s="7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</row>
    <row r="89" customFormat="false" ht="13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CF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</row>
    <row r="90" customFormat="false" ht="13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CF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</row>
    <row r="91" customFormat="false" ht="13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CF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</row>
    <row r="92" customFormat="false" ht="13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CF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</row>
    <row r="93" customFormat="false" ht="13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CF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</row>
    <row r="94" customFormat="false" ht="13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CF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</row>
    <row r="95" customFormat="false" ht="13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CF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</row>
    <row r="96" customFormat="false" ht="13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CF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</row>
    <row r="97" customFormat="false" ht="13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CF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</row>
    <row r="98" customFormat="false" ht="13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CF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</row>
    <row r="99" customFormat="false" ht="13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CF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</row>
    <row r="100" customFormat="false" ht="13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CF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</row>
    <row r="101" customFormat="false" ht="13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CF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</row>
    <row r="102" customFormat="false" ht="13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CF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</row>
    <row r="103" customFormat="false" ht="13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CF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</row>
    <row r="104" customFormat="false" ht="13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CF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</row>
    <row r="105" customFormat="false" ht="13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CF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</row>
    <row r="106" customFormat="false" ht="13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CF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</row>
    <row r="107" customFormat="false" ht="13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CF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</row>
    <row r="108" customFormat="false" ht="13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CF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</row>
    <row r="109" customFormat="false" ht="13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CF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</row>
    <row r="110" customFormat="false" ht="13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CF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</row>
    <row r="111" customFormat="false" ht="13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CF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</row>
    <row r="112" customFormat="false" ht="13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CF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</row>
    <row r="113" customFormat="false" ht="13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CF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</row>
    <row r="114" customFormat="false" ht="13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CF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</row>
    <row r="115" customFormat="false" ht="13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CF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</row>
    <row r="116" customFormat="false" ht="13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CF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</row>
    <row r="117" customFormat="false" ht="13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CF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</row>
    <row r="118" customFormat="false" ht="13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CF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</row>
    <row r="119" customFormat="false" ht="13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CF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</row>
    <row r="120" customFormat="false" ht="13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CF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</row>
    <row r="121" customFormat="false" ht="13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CF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</row>
    <row r="122" customFormat="false" ht="13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CF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</row>
    <row r="123" customFormat="false" ht="13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CF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</row>
    <row r="124" customFormat="false" ht="13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CF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</row>
    <row r="125" customFormat="false" ht="13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CF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</row>
    <row r="126" customFormat="false" ht="13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CF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</row>
    <row r="127" customFormat="false" ht="13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CF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</row>
    <row r="128" customFormat="false" ht="13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CF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</row>
    <row r="129" customFormat="false" ht="13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CF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</row>
    <row r="130" customFormat="false" ht="13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CF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</row>
    <row r="131" customFormat="false" ht="13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CF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</row>
    <row r="132" customFormat="false" ht="13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CF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</row>
    <row r="133" customFormat="false" ht="13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CF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</row>
    <row r="134" customFormat="false" ht="13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CF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</row>
    <row r="135" customFormat="false" ht="13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CF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</row>
    <row r="136" customFormat="false" ht="13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CF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</row>
    <row r="137" customFormat="false" ht="13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CF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</row>
    <row r="138" customFormat="false" ht="13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CF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</row>
    <row r="139" customFormat="false" ht="13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CF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</row>
    <row r="140" customFormat="false" ht="13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CF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</row>
    <row r="141" customFormat="false" ht="13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CF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</row>
    <row r="142" customFormat="false" ht="13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CF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</row>
    <row r="143" customFormat="false" ht="13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CF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</row>
    <row r="144" customFormat="false" ht="13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CF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</row>
    <row r="145" customFormat="false" ht="13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CF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</row>
    <row r="146" customFormat="false" ht="13" hidden="false" customHeight="false" outlineLevel="0" collapsed="false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CF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</row>
    <row r="147" customFormat="false" ht="13" hidden="false" customHeight="false" outlineLevel="0" collapsed="false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CF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</row>
    <row r="148" customFormat="false" ht="13" hidden="false" customHeight="false" outlineLevel="0" collapsed="false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CF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</row>
    <row r="149" customFormat="false" ht="13" hidden="false" customHeight="false" outlineLevel="0" collapsed="false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CF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</row>
    <row r="150" customFormat="false" ht="13" hidden="false" customHeight="false" outlineLevel="0" collapsed="false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CF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</row>
    <row r="151" customFormat="false" ht="13" hidden="false" customHeight="false" outlineLevel="0" collapsed="false">
      <c r="A151" s="1"/>
      <c r="F151" s="1"/>
      <c r="G151" s="1"/>
      <c r="H151" s="1"/>
      <c r="I151" s="1"/>
      <c r="J151" s="1"/>
      <c r="K151" s="1"/>
      <c r="L151" s="1"/>
      <c r="M151" s="1"/>
      <c r="O151" s="1"/>
      <c r="P151" s="1"/>
      <c r="Q151" s="1"/>
      <c r="CF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</row>
    <row r="152" customFormat="false" ht="13" hidden="false" customHeight="false" outlineLevel="0" collapsed="false">
      <c r="CF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</row>
  </sheetData>
  <mergeCells count="63">
    <mergeCell ref="H5:H6"/>
    <mergeCell ref="I5:I6"/>
    <mergeCell ref="J5:J6"/>
    <mergeCell ref="K5:K6"/>
    <mergeCell ref="L5:L6"/>
    <mergeCell ref="M5:O5"/>
    <mergeCell ref="P5:P6"/>
    <mergeCell ref="Q5:S5"/>
    <mergeCell ref="T5:T6"/>
    <mergeCell ref="W5:W6"/>
    <mergeCell ref="X5:X6"/>
    <mergeCell ref="Y5:Y6"/>
    <mergeCell ref="Z5:Z6"/>
    <mergeCell ref="AA5:AA6"/>
    <mergeCell ref="AB5:AB6"/>
    <mergeCell ref="AC5:AC6"/>
    <mergeCell ref="AD5:AD6"/>
    <mergeCell ref="AE5:AZ5"/>
    <mergeCell ref="BA5:BA6"/>
    <mergeCell ref="BB5:BB6"/>
    <mergeCell ref="BC5:BC6"/>
    <mergeCell ref="BD5:BD6"/>
    <mergeCell ref="BG5:BG6"/>
    <mergeCell ref="BH5:BH6"/>
    <mergeCell ref="BI5:BI6"/>
    <mergeCell ref="BJ5:BJ6"/>
    <mergeCell ref="BK5:CH5"/>
    <mergeCell ref="CI5:CI6"/>
    <mergeCell ref="CK5:CK6"/>
    <mergeCell ref="CL5:CL6"/>
    <mergeCell ref="CM5:CM6"/>
    <mergeCell ref="CN5:CN6"/>
    <mergeCell ref="CO5:DJ5"/>
    <mergeCell ref="DK5:DK6"/>
    <mergeCell ref="H38:H39"/>
    <mergeCell ref="I38:K38"/>
    <mergeCell ref="L38:N38"/>
    <mergeCell ref="O38:O39"/>
    <mergeCell ref="W53:W54"/>
    <mergeCell ref="X53:X54"/>
    <mergeCell ref="Y53:Y54"/>
    <mergeCell ref="Z53:Z54"/>
    <mergeCell ref="AA53:AA54"/>
    <mergeCell ref="AB53:AB54"/>
    <mergeCell ref="AC53:AC54"/>
    <mergeCell ref="AD53:AD54"/>
    <mergeCell ref="AE53:AZ53"/>
    <mergeCell ref="BA53:BA54"/>
    <mergeCell ref="BB53:BB54"/>
    <mergeCell ref="BC53:BC54"/>
    <mergeCell ref="BD53:BD54"/>
    <mergeCell ref="BG53:BG54"/>
    <mergeCell ref="BH53:BH54"/>
    <mergeCell ref="BI53:BI54"/>
    <mergeCell ref="BJ53:BJ54"/>
    <mergeCell ref="BK53:CH53"/>
    <mergeCell ref="CI53:CI54"/>
    <mergeCell ref="CK53:CK54"/>
    <mergeCell ref="CL53:CL54"/>
    <mergeCell ref="CM53:CM54"/>
    <mergeCell ref="CN53:CN54"/>
    <mergeCell ref="CO53:DJ53"/>
    <mergeCell ref="DK53:DK5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51"/>
  <sheetViews>
    <sheetView showFormulas="false" showGridLines="true" showRowColHeaders="true" showZeros="true" rightToLeft="false" tabSelected="false" showOutlineSymbols="true" defaultGridColor="true" view="normal" topLeftCell="G3" colorId="64" zoomScale="100" zoomScaleNormal="100" zoomScalePageLayoutView="100" workbookViewId="0">
      <selection pane="topLeft" activeCell="W6" activeCellId="0" sqref="W6"/>
    </sheetView>
  </sheetViews>
  <sheetFormatPr defaultColWidth="8.82421875" defaultRowHeight="13" customHeight="false" zeroHeight="false" outlineLevelRow="0" outlineLevelCol="0"/>
  <cols>
    <col collapsed="false" customWidth="true" hidden="false" outlineLevel="0" max="1" min="1" style="372" width="1.5"/>
    <col collapsed="false" customWidth="true" hidden="false" outlineLevel="0" max="2" min="2" style="372" width="3.82"/>
    <col collapsed="false" customWidth="true" hidden="false" outlineLevel="0" max="3" min="3" style="372" width="42.49"/>
    <col collapsed="false" customWidth="true" hidden="false" outlineLevel="0" max="4" min="4" style="372" width="10.5"/>
    <col collapsed="false" customWidth="true" hidden="false" outlineLevel="0" max="5" min="5" style="372" width="5.15"/>
    <col collapsed="false" customWidth="false" hidden="false" outlineLevel="0" max="6" min="6" style="1" width="8.82"/>
    <col collapsed="false" customWidth="true" hidden="false" outlineLevel="0" max="7" min="7" style="1" width="6.32"/>
    <col collapsed="false" customWidth="true" hidden="false" outlineLevel="0" max="8" min="8" style="1" width="10.66"/>
    <col collapsed="false" customWidth="true" hidden="false" outlineLevel="0" max="9" min="9" style="1" width="8.66"/>
    <col collapsed="false" customWidth="true" hidden="false" outlineLevel="0" max="10" min="10" style="1" width="9.15"/>
    <col collapsed="false" customWidth="true" hidden="false" outlineLevel="0" max="11" min="11" style="1" width="13.82"/>
    <col collapsed="false" customWidth="false" hidden="false" outlineLevel="0" max="13" min="12" style="1" width="8.82"/>
    <col collapsed="false" customWidth="true" hidden="false" outlineLevel="0" max="14" min="14" style="1" width="9.49"/>
    <col collapsed="false" customWidth="true" hidden="false" outlineLevel="0" max="15" min="15" style="1" width="13.66"/>
    <col collapsed="false" customWidth="true" hidden="false" outlineLevel="0" max="16" min="16" style="1" width="14.33"/>
    <col collapsed="false" customWidth="false" hidden="false" outlineLevel="0" max="17" min="17" style="1" width="8.82"/>
    <col collapsed="false" customWidth="true" hidden="false" outlineLevel="0" max="18" min="18" style="1" width="9.66"/>
    <col collapsed="false" customWidth="false" hidden="false" outlineLevel="0" max="21" min="19" style="1" width="8.82"/>
    <col collapsed="false" customWidth="true" hidden="false" outlineLevel="0" max="22" min="22" style="1" width="18.33"/>
    <col collapsed="false" customWidth="true" hidden="false" outlineLevel="0" max="23" min="23" style="1" width="12.82"/>
    <col collapsed="false" customWidth="true" hidden="false" outlineLevel="0" max="24" min="24" style="1" width="14.99"/>
    <col collapsed="false" customWidth="true" hidden="false" outlineLevel="0" max="25" min="25" style="1" width="11.5"/>
    <col collapsed="false" customWidth="false" hidden="false" outlineLevel="0" max="26" min="26" style="1" width="8.82"/>
    <col collapsed="false" customWidth="true" hidden="false" outlineLevel="0" max="27" min="27" style="1" width="12.66"/>
    <col collapsed="false" customWidth="true" hidden="false" outlineLevel="0" max="28" min="28" style="1" width="14.99"/>
    <col collapsed="false" customWidth="true" hidden="false" outlineLevel="0" max="29" min="29" style="1" width="9.49"/>
    <col collapsed="false" customWidth="false" hidden="false" outlineLevel="0" max="257" min="30" style="1" width="8.82"/>
  </cols>
  <sheetData>
    <row r="1" customFormat="false" ht="13" hidden="false" customHeight="false" outlineLevel="0" collapsed="false">
      <c r="B1" s="1"/>
      <c r="C1" s="1"/>
      <c r="D1" s="1"/>
      <c r="E1" s="1"/>
    </row>
    <row r="2" customFormat="false" ht="13" hidden="false" customHeight="false" outlineLevel="0" collapsed="false">
      <c r="B2" s="536" t="s">
        <v>369</v>
      </c>
      <c r="C2" s="536"/>
      <c r="D2" s="536"/>
      <c r="E2" s="536"/>
      <c r="J2" s="372"/>
      <c r="K2" s="354" t="s">
        <v>370</v>
      </c>
      <c r="L2" s="372"/>
      <c r="N2" s="372"/>
      <c r="O2" s="372"/>
      <c r="P2" s="372"/>
      <c r="Q2" s="372"/>
      <c r="R2" s="372"/>
      <c r="Y2" s="354" t="s">
        <v>371</v>
      </c>
    </row>
    <row r="3" customFormat="false" ht="14" hidden="false" customHeight="false" outlineLevel="0" collapsed="false">
      <c r="C3" s="1"/>
      <c r="D3" s="1"/>
      <c r="E3" s="1"/>
      <c r="J3" s="372"/>
      <c r="K3" s="372"/>
      <c r="L3" s="372"/>
      <c r="N3" s="372"/>
      <c r="O3" s="372"/>
      <c r="P3" s="372"/>
      <c r="Q3" s="372"/>
      <c r="R3" s="372"/>
    </row>
    <row r="4" customFormat="false" ht="15.75" hidden="false" customHeight="true" outlineLevel="0" collapsed="false">
      <c r="B4" s="537"/>
      <c r="C4" s="538"/>
      <c r="D4" s="538"/>
      <c r="E4" s="539"/>
      <c r="G4" s="540" t="s">
        <v>96</v>
      </c>
      <c r="H4" s="540" t="s">
        <v>372</v>
      </c>
      <c r="I4" s="541" t="s">
        <v>373</v>
      </c>
      <c r="J4" s="542" t="s">
        <v>215</v>
      </c>
      <c r="K4" s="542"/>
      <c r="L4" s="542"/>
      <c r="M4" s="543" t="s">
        <v>319</v>
      </c>
      <c r="N4" s="540" t="s">
        <v>374</v>
      </c>
      <c r="O4" s="544" t="s">
        <v>216</v>
      </c>
      <c r="P4" s="544"/>
      <c r="Q4" s="544"/>
      <c r="R4" s="540" t="s">
        <v>375</v>
      </c>
      <c r="U4" s="545" t="s">
        <v>96</v>
      </c>
      <c r="V4" s="546" t="s">
        <v>372</v>
      </c>
      <c r="W4" s="542" t="s">
        <v>215</v>
      </c>
      <c r="X4" s="542"/>
      <c r="Y4" s="542"/>
      <c r="Z4" s="547" t="s">
        <v>319</v>
      </c>
      <c r="AA4" s="544" t="s">
        <v>216</v>
      </c>
      <c r="AB4" s="544"/>
      <c r="AC4" s="544"/>
    </row>
    <row r="5" customFormat="false" ht="42" hidden="false" customHeight="true" outlineLevel="0" collapsed="false">
      <c r="A5" s="7"/>
      <c r="B5" s="548" t="s">
        <v>160</v>
      </c>
      <c r="C5" s="549"/>
      <c r="D5" s="550"/>
      <c r="E5" s="551"/>
      <c r="F5" s="7"/>
      <c r="G5" s="540"/>
      <c r="H5" s="540"/>
      <c r="I5" s="541"/>
      <c r="J5" s="552" t="s">
        <v>376</v>
      </c>
      <c r="K5" s="553" t="s">
        <v>377</v>
      </c>
      <c r="L5" s="554" t="s">
        <v>378</v>
      </c>
      <c r="M5" s="543"/>
      <c r="N5" s="540"/>
      <c r="O5" s="553" t="s">
        <v>379</v>
      </c>
      <c r="P5" s="553" t="s">
        <v>380</v>
      </c>
      <c r="Q5" s="553" t="s">
        <v>378</v>
      </c>
      <c r="R5" s="540"/>
      <c r="S5" s="7"/>
      <c r="T5" s="7"/>
      <c r="U5" s="545"/>
      <c r="V5" s="546"/>
      <c r="W5" s="552" t="s">
        <v>381</v>
      </c>
      <c r="X5" s="553" t="s">
        <v>382</v>
      </c>
      <c r="Y5" s="555" t="s">
        <v>274</v>
      </c>
      <c r="Z5" s="547"/>
      <c r="AA5" s="553" t="s">
        <v>381</v>
      </c>
      <c r="AB5" s="553" t="s">
        <v>382</v>
      </c>
      <c r="AC5" s="556" t="s">
        <v>274</v>
      </c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</row>
    <row r="6" customFormat="false" ht="15.75" hidden="false" customHeight="true" outlineLevel="0" collapsed="false">
      <c r="B6" s="548"/>
      <c r="C6" s="71" t="s">
        <v>164</v>
      </c>
      <c r="D6" s="557" t="n">
        <f aca="false">'Input-Detail'!BV33</f>
        <v>1768</v>
      </c>
      <c r="E6" s="558"/>
      <c r="G6" s="400" t="s">
        <v>114</v>
      </c>
      <c r="H6" s="401" t="n">
        <f aca="false">Delay!X7</f>
        <v>19016173</v>
      </c>
      <c r="I6" s="559" t="n">
        <f aca="false">H6/365</f>
        <v>52099.104109589</v>
      </c>
      <c r="J6" s="560" t="n">
        <f aca="false">(Delay!AD7*Delay!AB7+Delay!AD55*Delay!AB55)*$Q$33</f>
        <v>4264000</v>
      </c>
      <c r="K6" s="561" t="n">
        <f aca="false">H6-J6</f>
        <v>14752173</v>
      </c>
      <c r="L6" s="562" t="n">
        <f aca="false">'Input-Detail'!BV35</f>
        <v>61.5</v>
      </c>
      <c r="M6" s="402" t="n">
        <f aca="false">Delay!Y7</f>
        <v>0</v>
      </c>
      <c r="N6" s="561"/>
      <c r="O6" s="561" t="n">
        <f aca="false">J6*(1-M6)</f>
        <v>4264000</v>
      </c>
      <c r="P6" s="561" t="n">
        <f aca="false">K6*(1-M6)</f>
        <v>14752173</v>
      </c>
      <c r="Q6" s="563" t="n">
        <f aca="false">AC6</f>
        <v>61.5</v>
      </c>
      <c r="R6" s="564" t="n">
        <f aca="false">L6-Q6</f>
        <v>0</v>
      </c>
      <c r="U6" s="400" t="s">
        <v>114</v>
      </c>
      <c r="V6" s="565" t="n">
        <f aca="false">Delay!X7</f>
        <v>19016173</v>
      </c>
      <c r="W6" s="566" t="n">
        <f aca="false">(Delay!AB7+Delay!AB55)*$Q$33*$D$10/$D$6</f>
        <v>7.05882352941176</v>
      </c>
      <c r="X6" s="563" t="n">
        <f aca="false">Y6-W6</f>
        <v>54.4411764705882</v>
      </c>
      <c r="Y6" s="567" t="n">
        <f aca="false">L6</f>
        <v>61.5</v>
      </c>
      <c r="Z6" s="402" t="n">
        <f aca="false">Delay!Y7</f>
        <v>0</v>
      </c>
      <c r="AA6" s="568" t="n">
        <f aca="false">W6</f>
        <v>7.05882352941176</v>
      </c>
      <c r="AB6" s="563" t="n">
        <f aca="false">AC6-AA6</f>
        <v>54.4411764705882</v>
      </c>
      <c r="AC6" s="569" t="n">
        <f aca="false">Y6</f>
        <v>61.5</v>
      </c>
    </row>
    <row r="7" customFormat="false" ht="13" hidden="false" customHeight="false" outlineLevel="0" collapsed="false">
      <c r="B7" s="548"/>
      <c r="C7" s="71" t="s">
        <v>383</v>
      </c>
      <c r="D7" s="570" t="n">
        <f aca="false">'Input-Detail'!BV34</f>
        <v>0.11</v>
      </c>
      <c r="E7" s="558"/>
      <c r="G7" s="400" t="n">
        <v>1</v>
      </c>
      <c r="H7" s="408" t="n">
        <f aca="false">Delay!X8</f>
        <v>19565364.35</v>
      </c>
      <c r="I7" s="559" t="n">
        <f aca="false">H7/365</f>
        <v>53603.7379452055</v>
      </c>
      <c r="J7" s="560" t="n">
        <f aca="false">(Delay!AD8*Delay!AB8+Delay!AD56*Delay!AB56)*$Q$33</f>
        <v>4387145.278306</v>
      </c>
      <c r="K7" s="561" t="n">
        <f aca="false">H7-J7</f>
        <v>15178219.071694</v>
      </c>
      <c r="L7" s="571" t="n">
        <f aca="false">Y7</f>
        <v>63.0722734117675</v>
      </c>
      <c r="M7" s="402" t="n">
        <f aca="false">Delay!Y8</f>
        <v>0.0495</v>
      </c>
      <c r="N7" s="561" t="n">
        <f aca="false">IF(Delay!AD8&gt;Delay!AD56,Delay!BC8,Delay!BC56)</f>
        <v>1</v>
      </c>
      <c r="O7" s="561" t="n">
        <f aca="false">J7*(1-M7)</f>
        <v>4169981.58702985</v>
      </c>
      <c r="P7" s="561" t="n">
        <f aca="false">K7*(1-M7)</f>
        <v>14426897.2276452</v>
      </c>
      <c r="Q7" s="563" t="n">
        <f aca="false">AC7</f>
        <v>59.7113723484732</v>
      </c>
      <c r="R7" s="564" t="n">
        <f aca="false">L7-Q7</f>
        <v>3.36090106329426</v>
      </c>
      <c r="U7" s="400" t="n">
        <v>1</v>
      </c>
      <c r="V7" s="572" t="n">
        <f aca="false">Delay!X8</f>
        <v>19565364.35</v>
      </c>
      <c r="W7" s="566" t="n">
        <f aca="false">(Delay!AB8+Delay!AB56)*$Q$33*$D$10/$D$6</f>
        <v>7.05882352941176</v>
      </c>
      <c r="X7" s="563" t="n">
        <f aca="false">X$6*K7/K$6</f>
        <v>56.0134498823557</v>
      </c>
      <c r="Y7" s="573" t="n">
        <f aca="false">W7+X7</f>
        <v>63.0722734117675</v>
      </c>
      <c r="Z7" s="402" t="n">
        <f aca="false">Delay!Y8</f>
        <v>0.0495</v>
      </c>
      <c r="AA7" s="568" t="n">
        <f aca="false">(Delay!AB8+Delay!AB56)*(PY!$D$10-PY!$N7)*PY!$Q$33/PY!$D$6</f>
        <v>6.47058823529412</v>
      </c>
      <c r="AB7" s="563" t="n">
        <f aca="false">AB$6*P7/P$6</f>
        <v>53.2407841131791</v>
      </c>
      <c r="AC7" s="574" t="n">
        <f aca="false">AA7+AB7</f>
        <v>59.7113723484732</v>
      </c>
    </row>
    <row r="8" customFormat="false" ht="13" hidden="false" customHeight="false" outlineLevel="0" collapsed="false">
      <c r="B8" s="548"/>
      <c r="C8" s="71" t="s">
        <v>384</v>
      </c>
      <c r="D8" s="570" t="n">
        <f aca="false">'Input-Detail'!AF14/D9-D7</f>
        <v>61.5</v>
      </c>
      <c r="E8" s="558"/>
      <c r="G8" s="400" t="n">
        <v>2</v>
      </c>
      <c r="H8" s="408" t="n">
        <f aca="false">Delay!X9</f>
        <v>20114555.7</v>
      </c>
      <c r="I8" s="559" t="n">
        <f aca="false">H8/365</f>
        <v>55108.3717808219</v>
      </c>
      <c r="J8" s="560" t="n">
        <f aca="false">(Delay!AD9*Delay!AB9+Delay!AD57*Delay!AB57)*$Q$33</f>
        <v>4510290.556612</v>
      </c>
      <c r="K8" s="561" t="n">
        <f aca="false">H8-J8</f>
        <v>15604265.143388</v>
      </c>
      <c r="L8" s="571" t="n">
        <f aca="false">Y8</f>
        <v>64.644546823535</v>
      </c>
      <c r="M8" s="402" t="n">
        <f aca="false">Delay!Y9</f>
        <v>0.099</v>
      </c>
      <c r="N8" s="561" t="n">
        <f aca="false">IF(Delay!AD9&gt;Delay!AD57,Delay!BC9,Delay!BC57)</f>
        <v>1</v>
      </c>
      <c r="O8" s="561" t="n">
        <f aca="false">J8*(1-M8)</f>
        <v>4063771.79150741</v>
      </c>
      <c r="P8" s="561" t="n">
        <f aca="false">K8*(1-M8)</f>
        <v>14059442.8941926</v>
      </c>
      <c r="Q8" s="563" t="n">
        <f aca="false">AC8</f>
        <v>58.3553249232991</v>
      </c>
      <c r="R8" s="564" t="n">
        <f aca="false">L8-Q8</f>
        <v>6.28922190023584</v>
      </c>
      <c r="U8" s="400" t="n">
        <v>2</v>
      </c>
      <c r="V8" s="572" t="n">
        <f aca="false">Delay!X9</f>
        <v>20114555.7</v>
      </c>
      <c r="W8" s="566" t="n">
        <f aca="false">(Delay!AB9+Delay!AB57)*$Q$33*$D$10/$D$6</f>
        <v>7.05882352941176</v>
      </c>
      <c r="X8" s="563" t="n">
        <f aca="false">X$6*K8/K$6</f>
        <v>57.5857232941232</v>
      </c>
      <c r="Y8" s="573" t="n">
        <f aca="false">W8+X8</f>
        <v>64.644546823535</v>
      </c>
      <c r="Z8" s="402" t="n">
        <f aca="false">Delay!Y9</f>
        <v>0.099</v>
      </c>
      <c r="AA8" s="568" t="n">
        <f aca="false">(Delay!AB9+Delay!AB57)*(PY!$D$10-PY!$N8)*PY!$Q$33/PY!$D$6</f>
        <v>6.47058823529412</v>
      </c>
      <c r="AB8" s="563" t="n">
        <f aca="false">AB$6*P8/P$6</f>
        <v>51.884736688005</v>
      </c>
      <c r="AC8" s="574" t="n">
        <f aca="false">AA8+AB8</f>
        <v>58.3553249232991</v>
      </c>
    </row>
    <row r="9" customFormat="false" ht="13" hidden="false" customHeight="false" outlineLevel="0" collapsed="false">
      <c r="B9" s="548"/>
      <c r="C9" s="71" t="s">
        <v>170</v>
      </c>
      <c r="D9" s="575" t="n">
        <f aca="false">'Input-Detail'!BV36</f>
        <v>65000</v>
      </c>
      <c r="E9" s="558"/>
      <c r="G9" s="400" t="n">
        <v>3</v>
      </c>
      <c r="H9" s="408" t="n">
        <f aca="false">Delay!X10</f>
        <v>20663747.05</v>
      </c>
      <c r="I9" s="559" t="n">
        <f aca="false">H9/365</f>
        <v>56613.0056164384</v>
      </c>
      <c r="J9" s="560" t="n">
        <f aca="false">(Delay!AD10*Delay!AB10+Delay!AD58*Delay!AB58)*$Q$33</f>
        <v>4633435.83491799</v>
      </c>
      <c r="K9" s="561" t="n">
        <f aca="false">H9-J9</f>
        <v>16030311.215082</v>
      </c>
      <c r="L9" s="571" t="n">
        <f aca="false">Y9</f>
        <v>66.2168202353024</v>
      </c>
      <c r="M9" s="402" t="n">
        <f aca="false">Delay!Y10</f>
        <v>0.1485</v>
      </c>
      <c r="N9" s="561" t="n">
        <f aca="false">IF(Delay!AD10&gt;Delay!AD58,Delay!BC10,Delay!BC58)</f>
        <v>1</v>
      </c>
      <c r="O9" s="561" t="n">
        <f aca="false">J9*(1-M9)</f>
        <v>3945370.61343267</v>
      </c>
      <c r="P9" s="561" t="n">
        <f aca="false">K9*(1-M9)</f>
        <v>13649809.9996423</v>
      </c>
      <c r="Q9" s="563" t="n">
        <f aca="false">AC9</f>
        <v>56.84362243036</v>
      </c>
      <c r="R9" s="564" t="n">
        <f aca="false">L9-Q9</f>
        <v>9.37319780494241</v>
      </c>
      <c r="U9" s="400" t="n">
        <v>3</v>
      </c>
      <c r="V9" s="572" t="n">
        <f aca="false">Delay!X10</f>
        <v>20663747.05</v>
      </c>
      <c r="W9" s="566" t="n">
        <f aca="false">(Delay!AB10+Delay!AB58)*$Q$33*$D$10/$D$6</f>
        <v>7.05882352941176</v>
      </c>
      <c r="X9" s="563" t="n">
        <f aca="false">X$6*K9/K$6</f>
        <v>59.1579967058907</v>
      </c>
      <c r="Y9" s="573" t="n">
        <f aca="false">W9+X9</f>
        <v>66.2168202353024</v>
      </c>
      <c r="Z9" s="402" t="n">
        <f aca="false">Delay!Y10</f>
        <v>0.1485</v>
      </c>
      <c r="AA9" s="568" t="n">
        <f aca="false">(Delay!AB10+Delay!AB58)*(PY!$D$10-PY!$N9)*PY!$Q$33/PY!$D$6</f>
        <v>6.47058823529412</v>
      </c>
      <c r="AB9" s="563" t="n">
        <f aca="false">AB$6*P9/P$6</f>
        <v>50.3730341950659</v>
      </c>
      <c r="AC9" s="574" t="n">
        <f aca="false">AA9+AB9</f>
        <v>56.84362243036</v>
      </c>
    </row>
    <row r="10" customFormat="false" ht="13" hidden="false" customHeight="false" outlineLevel="0" collapsed="false">
      <c r="B10" s="548" t="s">
        <v>234</v>
      </c>
      <c r="C10" s="71"/>
      <c r="D10" s="576" t="n">
        <f aca="false">'Input-Detail'!AZ25</f>
        <v>12</v>
      </c>
      <c r="E10" s="558"/>
      <c r="G10" s="400" t="n">
        <v>4</v>
      </c>
      <c r="H10" s="408" t="n">
        <f aca="false">Delay!X11</f>
        <v>21212938.4</v>
      </c>
      <c r="I10" s="559" t="n">
        <f aca="false">H10/365</f>
        <v>58117.6394520548</v>
      </c>
      <c r="J10" s="560" t="n">
        <f aca="false">(Delay!AD11*Delay!AB11+Delay!AD59*Delay!AB59)*$Q$33</f>
        <v>4756581.11322399</v>
      </c>
      <c r="K10" s="561" t="n">
        <f aca="false">H10-J10</f>
        <v>16456357.286776</v>
      </c>
      <c r="L10" s="571" t="n">
        <f aca="false">Y10</f>
        <v>67.7890936470699</v>
      </c>
      <c r="M10" s="402" t="n">
        <f aca="false">Delay!Y11</f>
        <v>0.198</v>
      </c>
      <c r="N10" s="561" t="n">
        <f aca="false">IF(Delay!AD11&gt;Delay!AD59,Delay!BC11,Delay!BC59)</f>
        <v>1</v>
      </c>
      <c r="O10" s="561" t="n">
        <f aca="false">J10*(1-M10)</f>
        <v>3814778.05280564</v>
      </c>
      <c r="P10" s="561" t="n">
        <f aca="false">K10*(1-M10)</f>
        <v>13197998.5439944</v>
      </c>
      <c r="Q10" s="563" t="n">
        <f aca="false">AC10</f>
        <v>55.1762648696559</v>
      </c>
      <c r="R10" s="564" t="n">
        <f aca="false">L10-Q10</f>
        <v>12.612828777414</v>
      </c>
      <c r="U10" s="400" t="n">
        <v>4</v>
      </c>
      <c r="V10" s="572" t="n">
        <f aca="false">Delay!X11</f>
        <v>21212938.4</v>
      </c>
      <c r="W10" s="566" t="n">
        <f aca="false">(Delay!AB11+Delay!AB59)*$Q$33*$D$10/$D$6</f>
        <v>7.05882352941176</v>
      </c>
      <c r="X10" s="563" t="n">
        <f aca="false">X$6*K10/K$6</f>
        <v>60.7302701176581</v>
      </c>
      <c r="Y10" s="573" t="n">
        <f aca="false">W10+X10</f>
        <v>67.7890936470699</v>
      </c>
      <c r="Z10" s="402" t="n">
        <f aca="false">Delay!Y11</f>
        <v>0.198</v>
      </c>
      <c r="AA10" s="568" t="n">
        <f aca="false">(Delay!AB11+Delay!AB59)*(PY!$D$10-PY!$N10)*PY!$Q$33/PY!$D$6</f>
        <v>6.47058823529412</v>
      </c>
      <c r="AB10" s="563" t="n">
        <f aca="false">AB$6*P10/P$6</f>
        <v>48.7056766343618</v>
      </c>
      <c r="AC10" s="574" t="n">
        <f aca="false">AA10+AB10</f>
        <v>55.1762648696559</v>
      </c>
    </row>
    <row r="11" customFormat="false" ht="14" hidden="false" customHeight="false" outlineLevel="0" collapsed="false">
      <c r="B11" s="577"/>
      <c r="C11" s="578"/>
      <c r="D11" s="579"/>
      <c r="E11" s="580"/>
      <c r="G11" s="400" t="n">
        <v>5</v>
      </c>
      <c r="H11" s="408" t="n">
        <f aca="false">Delay!X12</f>
        <v>21762129.75</v>
      </c>
      <c r="I11" s="559" t="n">
        <f aca="false">H11/365</f>
        <v>59622.2732876712</v>
      </c>
      <c r="J11" s="560" t="n">
        <f aca="false">(Delay!AD12*Delay!AB12+Delay!AD60*Delay!AB60)*$Q$33</f>
        <v>4879726.39152999</v>
      </c>
      <c r="K11" s="561" t="n">
        <f aca="false">H11-J11</f>
        <v>16882403.35847</v>
      </c>
      <c r="L11" s="571" t="n">
        <f aca="false">Y11</f>
        <v>69.3613670588374</v>
      </c>
      <c r="M11" s="402" t="n">
        <f aca="false">Delay!Y12</f>
        <v>0.2475</v>
      </c>
      <c r="N11" s="561" t="n">
        <f aca="false">IF(Delay!AD12&gt;Delay!AD60,Delay!BC12,Delay!BC60)</f>
        <v>2</v>
      </c>
      <c r="O11" s="561" t="n">
        <f aca="false">J11*(1-M11)</f>
        <v>3671994.10962632</v>
      </c>
      <c r="P11" s="561" t="n">
        <f aca="false">K11*(1-M11)</f>
        <v>12704008.5272487</v>
      </c>
      <c r="Q11" s="563" t="n">
        <f aca="false">AC11</f>
        <v>52.7650169470693</v>
      </c>
      <c r="R11" s="564" t="n">
        <f aca="false">L11-Q11</f>
        <v>16.5963501117681</v>
      </c>
      <c r="U11" s="400" t="n">
        <v>5</v>
      </c>
      <c r="V11" s="572" t="n">
        <f aca="false">Delay!X12</f>
        <v>21762129.75</v>
      </c>
      <c r="W11" s="566" t="n">
        <f aca="false">(Delay!AB12+Delay!AB60)*$Q$33*$D$10/$D$6</f>
        <v>7.05882352941176</v>
      </c>
      <c r="X11" s="563" t="n">
        <f aca="false">X$6*K11/K$6</f>
        <v>62.3025435294256</v>
      </c>
      <c r="Y11" s="573" t="n">
        <f aca="false">W11+X11</f>
        <v>69.3613670588374</v>
      </c>
      <c r="Z11" s="402" t="n">
        <f aca="false">Delay!Y12</f>
        <v>0.2475</v>
      </c>
      <c r="AA11" s="568" t="n">
        <f aca="false">(Delay!AB12+Delay!AB60)*(PY!$D$10-PY!$N11)*PY!$Q$33/PY!$D$6</f>
        <v>5.88235294117647</v>
      </c>
      <c r="AB11" s="563" t="n">
        <f aca="false">AB$6*P11/P$6</f>
        <v>46.8826640058928</v>
      </c>
      <c r="AC11" s="574" t="n">
        <f aca="false">AA11+AB11</f>
        <v>52.7650169470693</v>
      </c>
    </row>
    <row r="12" customFormat="false" ht="14" hidden="false" customHeight="false" outlineLevel="0" collapsed="false">
      <c r="G12" s="400" t="n">
        <v>6</v>
      </c>
      <c r="H12" s="408" t="n">
        <f aca="false">Delay!X13</f>
        <v>22311321.1</v>
      </c>
      <c r="I12" s="559" t="n">
        <f aca="false">H12/365</f>
        <v>61126.9071232877</v>
      </c>
      <c r="J12" s="560" t="n">
        <f aca="false">(Delay!AD13*Delay!AB13+Delay!AD61*Delay!AB61)*$Q$33</f>
        <v>5002871.66983599</v>
      </c>
      <c r="K12" s="561" t="n">
        <f aca="false">H12-J12</f>
        <v>17308449.430164</v>
      </c>
      <c r="L12" s="571" t="n">
        <f aca="false">Y12</f>
        <v>70.9336404706049</v>
      </c>
      <c r="M12" s="402" t="n">
        <f aca="false">Delay!Y13</f>
        <v>0.297</v>
      </c>
      <c r="N12" s="561" t="n">
        <f aca="false">IF(Delay!AD13&gt;Delay!AD61,Delay!BC13,Delay!BC61)</f>
        <v>2</v>
      </c>
      <c r="O12" s="561" t="n">
        <f aca="false">J12*(1-M12)</f>
        <v>3517018.7838947</v>
      </c>
      <c r="P12" s="561" t="n">
        <f aca="false">K12*(1-M12)</f>
        <v>12167839.9494053</v>
      </c>
      <c r="Q12" s="563" t="n">
        <f aca="false">AC12</f>
        <v>50.7863492508352</v>
      </c>
      <c r="R12" s="564" t="n">
        <f aca="false">L12-Q12</f>
        <v>20.1472912197696</v>
      </c>
      <c r="U12" s="400" t="n">
        <v>6</v>
      </c>
      <c r="V12" s="572" t="n">
        <f aca="false">Delay!X13</f>
        <v>22311321.1</v>
      </c>
      <c r="W12" s="566" t="n">
        <f aca="false">(Delay!AB13+Delay!AB61)*$Q$33*$D$10/$D$6</f>
        <v>7.05882352941176</v>
      </c>
      <c r="X12" s="563" t="n">
        <f aca="false">X$6*K12/K$6</f>
        <v>63.8748169411931</v>
      </c>
      <c r="Y12" s="573" t="n">
        <f aca="false">W12+X12</f>
        <v>70.9336404706049</v>
      </c>
      <c r="Z12" s="402" t="n">
        <f aca="false">Delay!Y13</f>
        <v>0.297</v>
      </c>
      <c r="AA12" s="568" t="n">
        <f aca="false">(Delay!AB13+Delay!AB61)*(PY!$D$10-PY!$N12)*PY!$Q$33/PY!$D$6</f>
        <v>5.88235294117647</v>
      </c>
      <c r="AB12" s="563" t="n">
        <f aca="false">AB$6*P12/P$6</f>
        <v>44.9039963096588</v>
      </c>
      <c r="AC12" s="574" t="n">
        <f aca="false">AA12+AB12</f>
        <v>50.7863492508352</v>
      </c>
    </row>
    <row r="13" customFormat="false" ht="13" hidden="false" customHeight="false" outlineLevel="0" collapsed="false">
      <c r="G13" s="400" t="n">
        <v>7</v>
      </c>
      <c r="H13" s="408" t="n">
        <f aca="false">Delay!X14</f>
        <v>22860512.45</v>
      </c>
      <c r="I13" s="559" t="n">
        <f aca="false">H13/365</f>
        <v>62631.5409589041</v>
      </c>
      <c r="J13" s="560" t="n">
        <f aca="false">(Delay!AD14*Delay!AB14+Delay!AD62*Delay!AB62)*$Q$33</f>
        <v>5126016.94814198</v>
      </c>
      <c r="K13" s="561" t="n">
        <f aca="false">H13-J13</f>
        <v>17734495.501858</v>
      </c>
      <c r="L13" s="571" t="n">
        <f aca="false">Y13</f>
        <v>72.5059138823723</v>
      </c>
      <c r="M13" s="402" t="n">
        <f aca="false">Delay!Y14</f>
        <v>0.3465</v>
      </c>
      <c r="N13" s="561" t="n">
        <f aca="false">IF(Delay!AD14&gt;Delay!AD62,Delay!BC14,Delay!BC62)</f>
        <v>2</v>
      </c>
      <c r="O13" s="561" t="n">
        <f aca="false">J13*(1-M13)</f>
        <v>3349852.07561079</v>
      </c>
      <c r="P13" s="561" t="n">
        <f aca="false">K13*(1-M13)</f>
        <v>11589492.8104642</v>
      </c>
      <c r="Q13" s="563" t="n">
        <f aca="false">AC13</f>
        <v>48.6520264868362</v>
      </c>
      <c r="R13" s="564" t="n">
        <f aca="false">L13-Q13</f>
        <v>23.8538873955361</v>
      </c>
      <c r="U13" s="400" t="n">
        <v>7</v>
      </c>
      <c r="V13" s="572" t="n">
        <f aca="false">Delay!X14</f>
        <v>22860512.45</v>
      </c>
      <c r="W13" s="566" t="n">
        <f aca="false">(Delay!AB14+Delay!AB62)*$Q$33*$D$10/$D$6</f>
        <v>7.05882352941176</v>
      </c>
      <c r="X13" s="563" t="n">
        <f aca="false">X$6*K13/K$6</f>
        <v>65.4470903529606</v>
      </c>
      <c r="Y13" s="573" t="n">
        <f aca="false">W13+X13</f>
        <v>72.5059138823723</v>
      </c>
      <c r="Z13" s="402" t="n">
        <f aca="false">Delay!Y14</f>
        <v>0.3465</v>
      </c>
      <c r="AA13" s="568" t="n">
        <f aca="false">(Delay!AB14+Delay!AB62)*(PY!$D$10-PY!$N13)*PY!$Q$33/PY!$D$6</f>
        <v>5.88235294117647</v>
      </c>
      <c r="AB13" s="563" t="n">
        <f aca="false">AB$6*P13/P$6</f>
        <v>42.7696735456597</v>
      </c>
      <c r="AC13" s="574" t="n">
        <f aca="false">AA13+AB13</f>
        <v>48.6520264868362</v>
      </c>
    </row>
    <row r="14" customFormat="false" ht="13" hidden="false" customHeight="false" outlineLevel="0" collapsed="false">
      <c r="G14" s="400" t="n">
        <v>8</v>
      </c>
      <c r="H14" s="408" t="n">
        <f aca="false">Delay!X15</f>
        <v>23409703.8</v>
      </c>
      <c r="I14" s="559" t="n">
        <f aca="false">H14/365</f>
        <v>64136.1747945206</v>
      </c>
      <c r="J14" s="560" t="n">
        <f aca="false">(Delay!AD15*Delay!AB15+Delay!AD63*Delay!AB63)*$Q$33</f>
        <v>5249162.22644798</v>
      </c>
      <c r="K14" s="561" t="n">
        <f aca="false">H14-J14</f>
        <v>18160541.573552</v>
      </c>
      <c r="L14" s="571" t="n">
        <f aca="false">Y14</f>
        <v>74.0781872941398</v>
      </c>
      <c r="M14" s="402" t="n">
        <f aca="false">Delay!Y15</f>
        <v>0.396</v>
      </c>
      <c r="N14" s="561" t="n">
        <f aca="false">IF(Delay!AD15&gt;Delay!AD63,Delay!BC15,Delay!BC63)</f>
        <v>3</v>
      </c>
      <c r="O14" s="561" t="n">
        <f aca="false">J14*(1-M14)</f>
        <v>3170493.98477458</v>
      </c>
      <c r="P14" s="561" t="n">
        <f aca="false">K14*(1-M14)</f>
        <v>10968967.1104254</v>
      </c>
      <c r="Q14" s="563" t="n">
        <f aca="false">AC14</f>
        <v>45.7738133609546</v>
      </c>
      <c r="R14" s="564" t="n">
        <f aca="false">L14-Q14</f>
        <v>28.3043739331852</v>
      </c>
      <c r="U14" s="400" t="n">
        <v>8</v>
      </c>
      <c r="V14" s="572" t="n">
        <f aca="false">Delay!X15</f>
        <v>23409703.8</v>
      </c>
      <c r="W14" s="566" t="n">
        <f aca="false">(Delay!AB15+Delay!AB63)*$Q$33*$D$10/$D$6</f>
        <v>7.05882352941176</v>
      </c>
      <c r="X14" s="563" t="n">
        <f aca="false">X$6*K14/K$6</f>
        <v>67.0193637647281</v>
      </c>
      <c r="Y14" s="573" t="n">
        <f aca="false">W14+X14</f>
        <v>74.0781872941398</v>
      </c>
      <c r="Z14" s="402" t="n">
        <f aca="false">Delay!Y15</f>
        <v>0.396</v>
      </c>
      <c r="AA14" s="568" t="n">
        <f aca="false">(Delay!AB15+Delay!AB63)*(PY!$D$10-PY!$N14)*PY!$Q$33/PY!$D$6</f>
        <v>5.29411764705882</v>
      </c>
      <c r="AB14" s="563" t="n">
        <f aca="false">AB$6*P14/P$6</f>
        <v>40.4796957138958</v>
      </c>
      <c r="AC14" s="574" t="n">
        <f aca="false">AA14+AB14</f>
        <v>45.7738133609546</v>
      </c>
    </row>
    <row r="15" customFormat="false" ht="13" hidden="false" customHeight="false" outlineLevel="0" collapsed="false">
      <c r="G15" s="400" t="n">
        <v>9</v>
      </c>
      <c r="H15" s="408" t="n">
        <f aca="false">Delay!X16</f>
        <v>23958895.15</v>
      </c>
      <c r="I15" s="559" t="n">
        <f aca="false">H15/365</f>
        <v>65640.808630137</v>
      </c>
      <c r="J15" s="560" t="n">
        <f aca="false">(Delay!AD16*Delay!AB16+Delay!AD64*Delay!AB64)*$Q$33</f>
        <v>5372307.50475398</v>
      </c>
      <c r="K15" s="561" t="n">
        <f aca="false">H15-J15</f>
        <v>18586587.645246</v>
      </c>
      <c r="L15" s="571" t="n">
        <f aca="false">Y15</f>
        <v>75.6504607059073</v>
      </c>
      <c r="M15" s="402" t="n">
        <f aca="false">Delay!Y16</f>
        <v>0.4455</v>
      </c>
      <c r="N15" s="561" t="n">
        <f aca="false">IF(Delay!AD16&gt;Delay!AD64,Delay!BC16,Delay!BC64)</f>
        <v>3</v>
      </c>
      <c r="O15" s="561" t="n">
        <f aca="false">J15*(1-M15)</f>
        <v>2978944.51138608</v>
      </c>
      <c r="P15" s="561" t="n">
        <f aca="false">K15*(1-M15)</f>
        <v>10306262.8492889</v>
      </c>
      <c r="Q15" s="563" t="n">
        <f aca="false">AC15</f>
        <v>43.3281804614256</v>
      </c>
      <c r="R15" s="564" t="n">
        <f aca="false">L15-Q15</f>
        <v>32.3222802444817</v>
      </c>
      <c r="U15" s="400" t="n">
        <v>9</v>
      </c>
      <c r="V15" s="572" t="n">
        <f aca="false">Delay!X16</f>
        <v>23958895.15</v>
      </c>
      <c r="W15" s="566" t="n">
        <f aca="false">(Delay!AB16+Delay!AB64)*$Q$33*$D$10/$D$6</f>
        <v>7.05882352941176</v>
      </c>
      <c r="X15" s="563" t="n">
        <f aca="false">X$6*K15/K$6</f>
        <v>68.5916371764955</v>
      </c>
      <c r="Y15" s="573" t="n">
        <f aca="false">W15+X15</f>
        <v>75.6504607059073</v>
      </c>
      <c r="Z15" s="402" t="n">
        <f aca="false">Delay!Y16</f>
        <v>0.4455</v>
      </c>
      <c r="AA15" s="568" t="n">
        <f aca="false">(Delay!AB16+Delay!AB64)*(PY!$D$10-PY!$N15)*PY!$Q$33/PY!$D$6</f>
        <v>5.29411764705882</v>
      </c>
      <c r="AB15" s="563" t="n">
        <f aca="false">AB$6*P15/P$6</f>
        <v>38.0340628143668</v>
      </c>
      <c r="AC15" s="574" t="n">
        <f aca="false">AA15+AB15</f>
        <v>43.3281804614256</v>
      </c>
    </row>
    <row r="16" customFormat="false" ht="13" hidden="false" customHeight="false" outlineLevel="0" collapsed="false">
      <c r="G16" s="400" t="n">
        <v>10</v>
      </c>
      <c r="H16" s="408" t="n">
        <f aca="false">Delay!X17</f>
        <v>24508086.5</v>
      </c>
      <c r="I16" s="559" t="n">
        <f aca="false">H16/365</f>
        <v>67145.4424657534</v>
      </c>
      <c r="J16" s="560" t="n">
        <f aca="false">(Delay!AD17*Delay!AB17+Delay!AD65*Delay!AB65)*$Q$33</f>
        <v>5495452.78305998</v>
      </c>
      <c r="K16" s="561" t="n">
        <f aca="false">H16-J16</f>
        <v>19012633.71694</v>
      </c>
      <c r="L16" s="571" t="n">
        <f aca="false">Y16</f>
        <v>77.2227341176748</v>
      </c>
      <c r="M16" s="402" t="n">
        <f aca="false">Delay!Y17</f>
        <v>0.495</v>
      </c>
      <c r="N16" s="561" t="n">
        <f aca="false">IF(Delay!AD17&gt;Delay!AD65,Delay!BC17,Delay!BC65)</f>
        <v>3</v>
      </c>
      <c r="O16" s="561" t="n">
        <f aca="false">J16*(1-M16)</f>
        <v>2775203.65544529</v>
      </c>
      <c r="P16" s="561" t="n">
        <f aca="false">K16*(1-M16)</f>
        <v>9601380.02705471</v>
      </c>
      <c r="Q16" s="563" t="n">
        <f aca="false">AC16</f>
        <v>40.7268924941317</v>
      </c>
      <c r="R16" s="564" t="n">
        <f aca="false">L16-Q16</f>
        <v>36.4958416235431</v>
      </c>
      <c r="U16" s="400" t="n">
        <v>10</v>
      </c>
      <c r="V16" s="572" t="n">
        <f aca="false">Delay!X17</f>
        <v>24508086.5</v>
      </c>
      <c r="W16" s="566" t="n">
        <f aca="false">(Delay!AB17+Delay!AB65)*$Q$33*$D$10/$D$6</f>
        <v>7.05882352941176</v>
      </c>
      <c r="X16" s="563" t="n">
        <f aca="false">X$6*K16/K$6</f>
        <v>70.163910588263</v>
      </c>
      <c r="Y16" s="573" t="n">
        <f aca="false">W16+X16</f>
        <v>77.2227341176748</v>
      </c>
      <c r="Z16" s="402" t="n">
        <f aca="false">Delay!Y17</f>
        <v>0.495</v>
      </c>
      <c r="AA16" s="568" t="n">
        <f aca="false">(Delay!AB17+Delay!AB65)*(PY!$D$10-PY!$N16)*PY!$Q$33/PY!$D$6</f>
        <v>5.29411764705882</v>
      </c>
      <c r="AB16" s="563" t="n">
        <f aca="false">AB$6*P16/P$6</f>
        <v>35.4327748470728</v>
      </c>
      <c r="AC16" s="574" t="n">
        <f aca="false">AA16+AB16</f>
        <v>40.7268924941317</v>
      </c>
    </row>
    <row r="17" customFormat="false" ht="13" hidden="false" customHeight="false" outlineLevel="0" collapsed="false">
      <c r="G17" s="400" t="n">
        <v>11</v>
      </c>
      <c r="H17" s="408" t="n">
        <f aca="false">Delay!X18</f>
        <v>25057277.85</v>
      </c>
      <c r="I17" s="559" t="n">
        <f aca="false">H17/365</f>
        <v>68650.0763013699</v>
      </c>
      <c r="J17" s="560" t="n">
        <f aca="false">(Delay!AD18*Delay!AB18+Delay!AD66*Delay!AB66)*$Q$33</f>
        <v>5618598.06136598</v>
      </c>
      <c r="K17" s="561" t="n">
        <f aca="false">H17-J17</f>
        <v>19438679.788634</v>
      </c>
      <c r="L17" s="571" t="n">
        <f aca="false">Y17</f>
        <v>78.7950075294423</v>
      </c>
      <c r="M17" s="402" t="n">
        <f aca="false">Delay!Y18</f>
        <v>0.5445</v>
      </c>
      <c r="N17" s="561" t="n">
        <f aca="false">IF(Delay!AD18&gt;Delay!AD66,Delay!BC18,Delay!BC66)</f>
        <v>4</v>
      </c>
      <c r="O17" s="561" t="n">
        <f aca="false">J17*(1-M17)</f>
        <v>2559271.4169522</v>
      </c>
      <c r="P17" s="561" t="n">
        <f aca="false">K17*(1-M17)</f>
        <v>8854318.6437228</v>
      </c>
      <c r="Q17" s="563" t="n">
        <f aca="false">AC17</f>
        <v>37.3817141649551</v>
      </c>
      <c r="R17" s="564" t="n">
        <f aca="false">L17-Q17</f>
        <v>41.4132933644872</v>
      </c>
      <c r="U17" s="400" t="n">
        <v>11</v>
      </c>
      <c r="V17" s="572" t="n">
        <f aca="false">Delay!X18</f>
        <v>25057277.85</v>
      </c>
      <c r="W17" s="566" t="n">
        <f aca="false">(Delay!AB18+Delay!AB66)*$Q$33*$D$10/$D$6</f>
        <v>7.05882352941176</v>
      </c>
      <c r="X17" s="563" t="n">
        <f aca="false">X$6*K17/K$6</f>
        <v>71.7361840000305</v>
      </c>
      <c r="Y17" s="573" t="n">
        <f aca="false">W17+X17</f>
        <v>78.7950075294423</v>
      </c>
      <c r="Z17" s="402" t="n">
        <f aca="false">Delay!Y18</f>
        <v>0.5445</v>
      </c>
      <c r="AA17" s="568" t="n">
        <f aca="false">(Delay!AB18+Delay!AB66)*(PY!$D$10-PY!$N17)*PY!$Q$33/PY!$D$6</f>
        <v>4.70588235294118</v>
      </c>
      <c r="AB17" s="563" t="n">
        <f aca="false">AB$6*P17/P$6</f>
        <v>32.6758318120139</v>
      </c>
      <c r="AC17" s="574" t="n">
        <f aca="false">AA17+AB17</f>
        <v>37.3817141649551</v>
      </c>
    </row>
    <row r="18" customFormat="false" ht="13" hidden="false" customHeight="false" outlineLevel="0" collapsed="false">
      <c r="G18" s="400" t="n">
        <v>12</v>
      </c>
      <c r="H18" s="408" t="n">
        <f aca="false">Delay!X19</f>
        <v>25606469.2</v>
      </c>
      <c r="I18" s="559" t="n">
        <f aca="false">H18/365</f>
        <v>70154.7101369863</v>
      </c>
      <c r="J18" s="560" t="n">
        <f aca="false">(Delay!AD19*Delay!AB19+Delay!AD67*Delay!AB67)*$Q$33</f>
        <v>5741743.33967197</v>
      </c>
      <c r="K18" s="561" t="n">
        <f aca="false">H18-J18</f>
        <v>19864725.860328</v>
      </c>
      <c r="L18" s="571" t="n">
        <f aca="false">Y18</f>
        <v>80.3672809412097</v>
      </c>
      <c r="M18" s="402" t="n">
        <f aca="false">Delay!Y19</f>
        <v>0.594</v>
      </c>
      <c r="N18" s="561" t="n">
        <f aca="false">IF(Delay!AD19&gt;Delay!AD67,Delay!BC19,Delay!BC67)</f>
        <v>4</v>
      </c>
      <c r="O18" s="561" t="n">
        <f aca="false">J18*(1-M18)</f>
        <v>2331147.79590682</v>
      </c>
      <c r="P18" s="561" t="n">
        <f aca="false">K18*(1-M18)</f>
        <v>8065078.69929318</v>
      </c>
      <c r="Q18" s="563" t="n">
        <f aca="false">AC18</f>
        <v>34.4691160621312</v>
      </c>
      <c r="R18" s="564" t="n">
        <f aca="false">L18-Q18</f>
        <v>45.8981648790786</v>
      </c>
      <c r="U18" s="400" t="n">
        <v>12</v>
      </c>
      <c r="V18" s="572" t="n">
        <f aca="false">Delay!X19</f>
        <v>25606469.2</v>
      </c>
      <c r="W18" s="566" t="n">
        <f aca="false">(Delay!AB19+Delay!AB67)*$Q$33*$D$10/$D$6</f>
        <v>7.05882352941176</v>
      </c>
      <c r="X18" s="563" t="n">
        <f aca="false">X$6*K18/K$6</f>
        <v>73.308457411798</v>
      </c>
      <c r="Y18" s="573" t="n">
        <f aca="false">W18+X18</f>
        <v>80.3672809412097</v>
      </c>
      <c r="Z18" s="402" t="n">
        <f aca="false">Delay!Y19</f>
        <v>0.594</v>
      </c>
      <c r="AA18" s="568" t="n">
        <f aca="false">(Delay!AB19+Delay!AB67)*(PY!$D$10-PY!$N18)*PY!$Q$33/PY!$D$6</f>
        <v>4.70588235294118</v>
      </c>
      <c r="AB18" s="563" t="n">
        <f aca="false">AB$6*P18/P$6</f>
        <v>29.76323370919</v>
      </c>
      <c r="AC18" s="574" t="n">
        <f aca="false">AA18+AB18</f>
        <v>34.4691160621312</v>
      </c>
    </row>
    <row r="19" customFormat="false" ht="13" hidden="false" customHeight="false" outlineLevel="0" collapsed="false">
      <c r="G19" s="400" t="n">
        <v>13</v>
      </c>
      <c r="H19" s="408" t="n">
        <f aca="false">Delay!X20</f>
        <v>26155660.55</v>
      </c>
      <c r="I19" s="559" t="n">
        <f aca="false">H19/365</f>
        <v>71659.3439726027</v>
      </c>
      <c r="J19" s="560" t="n">
        <f aca="false">(Delay!AD20*Delay!AB20+Delay!AD68*Delay!AB68)*$Q$33</f>
        <v>5864888.61797797</v>
      </c>
      <c r="K19" s="561" t="n">
        <f aca="false">H19-J19</f>
        <v>20290771.932022</v>
      </c>
      <c r="L19" s="571" t="n">
        <f aca="false">Y19</f>
        <v>81.9395543529772</v>
      </c>
      <c r="M19" s="402" t="n">
        <f aca="false">Delay!Y20</f>
        <v>0.6435</v>
      </c>
      <c r="N19" s="561" t="n">
        <f aca="false">IF(Delay!AD20&gt;Delay!AD68,Delay!BC20,Delay!BC68)</f>
        <v>5</v>
      </c>
      <c r="O19" s="561" t="n">
        <f aca="false">J19*(1-M19)</f>
        <v>2090832.79230915</v>
      </c>
      <c r="P19" s="561" t="n">
        <f aca="false">K19*(1-M19)</f>
        <v>7233660.19376586</v>
      </c>
      <c r="Q19" s="563" t="n">
        <f aca="false">AC19</f>
        <v>30.8126275974246</v>
      </c>
      <c r="R19" s="564" t="n">
        <f aca="false">L19-Q19</f>
        <v>51.1269267555526</v>
      </c>
      <c r="U19" s="400" t="n">
        <v>13</v>
      </c>
      <c r="V19" s="572" t="n">
        <f aca="false">Delay!X20</f>
        <v>26155660.55</v>
      </c>
      <c r="W19" s="566" t="n">
        <f aca="false">(Delay!AB20+Delay!AB68)*$Q$33*$D$10/$D$6</f>
        <v>7.05882352941176</v>
      </c>
      <c r="X19" s="563" t="n">
        <f aca="false">X$6*K19/K$6</f>
        <v>74.8807308235654</v>
      </c>
      <c r="Y19" s="573" t="n">
        <f aca="false">W19+X19</f>
        <v>81.9395543529772</v>
      </c>
      <c r="Z19" s="402" t="n">
        <f aca="false">Delay!Y20</f>
        <v>0.6435</v>
      </c>
      <c r="AA19" s="568" t="n">
        <f aca="false">(Delay!AB20+Delay!AB68)*(PY!$D$10-PY!$N19)*PY!$Q$33/PY!$D$6</f>
        <v>4.11764705882353</v>
      </c>
      <c r="AB19" s="563" t="n">
        <f aca="false">AB$6*P19/P$6</f>
        <v>26.6949805386011</v>
      </c>
      <c r="AC19" s="574" t="n">
        <f aca="false">AA19+AB19</f>
        <v>30.8126275974246</v>
      </c>
    </row>
    <row r="20" customFormat="false" ht="13" hidden="false" customHeight="false" outlineLevel="0" collapsed="false">
      <c r="G20" s="400" t="n">
        <v>14</v>
      </c>
      <c r="H20" s="408" t="n">
        <f aca="false">Delay!X21</f>
        <v>26704851.9</v>
      </c>
      <c r="I20" s="559" t="n">
        <f aca="false">H20/365</f>
        <v>73163.9778082192</v>
      </c>
      <c r="J20" s="560" t="n">
        <f aca="false">(Delay!AD21*Delay!AB21+Delay!AD69*Delay!AB69)*$Q$33</f>
        <v>5988033.89628397</v>
      </c>
      <c r="K20" s="561" t="n">
        <f aca="false">H20-J20</f>
        <v>20716818.003716</v>
      </c>
      <c r="L20" s="571" t="n">
        <f aca="false">Y20</f>
        <v>83.5118277647447</v>
      </c>
      <c r="M20" s="402" t="n">
        <f aca="false">Delay!Y21</f>
        <v>0.693</v>
      </c>
      <c r="N20" s="561" t="n">
        <f aca="false">IF(Delay!AD21&gt;Delay!AD69,Delay!BC21,Delay!BC69)</f>
        <v>5</v>
      </c>
      <c r="O20" s="561" t="n">
        <f aca="false">J20*(1-M20)</f>
        <v>1838326.40615918</v>
      </c>
      <c r="P20" s="561" t="n">
        <f aca="false">K20*(1-M20)</f>
        <v>6360063.12714082</v>
      </c>
      <c r="Q20" s="563" t="n">
        <f aca="false">AC20</f>
        <v>27.5887193590707</v>
      </c>
      <c r="R20" s="564" t="n">
        <f aca="false">L20-Q20</f>
        <v>55.9231084056739</v>
      </c>
      <c r="U20" s="400" t="n">
        <v>14</v>
      </c>
      <c r="V20" s="572" t="n">
        <f aca="false">Delay!X21</f>
        <v>26704851.9</v>
      </c>
      <c r="W20" s="566" t="n">
        <f aca="false">(Delay!AB21+Delay!AB69)*$Q$33*$D$10/$D$6</f>
        <v>7.05882352941176</v>
      </c>
      <c r="X20" s="563" t="n">
        <f aca="false">X$6*K20/K$6</f>
        <v>76.4530042353329</v>
      </c>
      <c r="Y20" s="573" t="n">
        <f aca="false">W20+X20</f>
        <v>83.5118277647447</v>
      </c>
      <c r="Z20" s="402" t="n">
        <f aca="false">Delay!Y21</f>
        <v>0.693</v>
      </c>
      <c r="AA20" s="568" t="n">
        <f aca="false">(Delay!AB21+Delay!AB69)*(PY!$D$10-PY!$N20)*PY!$Q$33/PY!$D$6</f>
        <v>4.11764705882353</v>
      </c>
      <c r="AB20" s="563" t="n">
        <f aca="false">AB$6*P20/P$6</f>
        <v>23.4710723002472</v>
      </c>
      <c r="AC20" s="574" t="n">
        <f aca="false">AA20+AB20</f>
        <v>27.5887193590707</v>
      </c>
    </row>
    <row r="21" customFormat="false" ht="13" hidden="false" customHeight="false" outlineLevel="0" collapsed="false">
      <c r="G21" s="400" t="n">
        <v>15</v>
      </c>
      <c r="H21" s="408" t="n">
        <f aca="false">Delay!X22</f>
        <v>27254043.25</v>
      </c>
      <c r="I21" s="559" t="n">
        <f aca="false">H21/365</f>
        <v>74668.6116438356</v>
      </c>
      <c r="J21" s="560" t="n">
        <f aca="false">(Delay!AD22*Delay!AB22+Delay!AD70*Delay!AB70)*$Q$33</f>
        <v>6111179.17458997</v>
      </c>
      <c r="K21" s="561" t="n">
        <f aca="false">H21-J21</f>
        <v>21142864.07541</v>
      </c>
      <c r="L21" s="571" t="n">
        <f aca="false">Y21</f>
        <v>85.0841011765122</v>
      </c>
      <c r="M21" s="402" t="n">
        <f aca="false">Delay!Y22</f>
        <v>0.7425</v>
      </c>
      <c r="N21" s="561" t="n">
        <f aca="false">IF(Delay!AD22&gt;Delay!AD70,Delay!BC22,Delay!BC70)</f>
        <v>6</v>
      </c>
      <c r="O21" s="561" t="n">
        <f aca="false">J21*(1-M21)</f>
        <v>1573628.63745692</v>
      </c>
      <c r="P21" s="561" t="n">
        <f aca="false">K21*(1-M21)</f>
        <v>5444287.49941809</v>
      </c>
      <c r="Q21" s="563" t="n">
        <f aca="false">AC21</f>
        <v>23.6209207588342</v>
      </c>
      <c r="R21" s="564" t="n">
        <f aca="false">L21-Q21</f>
        <v>61.4631804176779</v>
      </c>
      <c r="U21" s="400" t="n">
        <v>15</v>
      </c>
      <c r="V21" s="572" t="n">
        <f aca="false">Delay!X22</f>
        <v>27254043.25</v>
      </c>
      <c r="W21" s="566" t="n">
        <f aca="false">(Delay!AB22+Delay!AB70)*$Q$33*$D$10/$D$6</f>
        <v>7.05882352941176</v>
      </c>
      <c r="X21" s="563" t="n">
        <f aca="false">X$6*K21/K$6</f>
        <v>78.0252776471004</v>
      </c>
      <c r="Y21" s="573" t="n">
        <f aca="false">W21+X21</f>
        <v>85.0841011765122</v>
      </c>
      <c r="Z21" s="402" t="n">
        <f aca="false">Delay!Y22</f>
        <v>0.7425</v>
      </c>
      <c r="AA21" s="568" t="n">
        <f aca="false">(Delay!AB22+Delay!AB70)*(PY!$D$10-PY!$N21)*PY!$Q$33/PY!$D$6</f>
        <v>3.52941176470588</v>
      </c>
      <c r="AB21" s="563" t="n">
        <f aca="false">AB$6*P21/P$6</f>
        <v>20.0915089941284</v>
      </c>
      <c r="AC21" s="574" t="n">
        <f aca="false">AA21+AB21</f>
        <v>23.6209207588342</v>
      </c>
    </row>
    <row r="22" customFormat="false" ht="13" hidden="false" customHeight="false" outlineLevel="0" collapsed="false">
      <c r="G22" s="400" t="n">
        <v>16</v>
      </c>
      <c r="H22" s="408" t="n">
        <f aca="false">Delay!X23</f>
        <v>27803234.6</v>
      </c>
      <c r="I22" s="559" t="n">
        <f aca="false">H22/365</f>
        <v>76173.2454794521</v>
      </c>
      <c r="J22" s="560" t="n">
        <f aca="false">(Delay!AD23*Delay!AB23+Delay!AD71*Delay!AB71)*$Q$33</f>
        <v>6234324.45289596</v>
      </c>
      <c r="K22" s="561" t="n">
        <f aca="false">H22-J22</f>
        <v>21568910.147104</v>
      </c>
      <c r="L22" s="571" t="n">
        <f aca="false">Y22</f>
        <v>86.6563745882797</v>
      </c>
      <c r="M22" s="402" t="n">
        <f aca="false">Delay!Y23</f>
        <v>0.792</v>
      </c>
      <c r="N22" s="561" t="n">
        <f aca="false">IF(Delay!AD23&gt;Delay!AD71,Delay!BC23,Delay!BC71)</f>
        <v>7</v>
      </c>
      <c r="O22" s="561" t="n">
        <f aca="false">J22*(1-M22)</f>
        <v>1296739.48620236</v>
      </c>
      <c r="P22" s="561" t="n">
        <f aca="false">K22*(1-M22)</f>
        <v>4486333.31059764</v>
      </c>
      <c r="Q22" s="563" t="n">
        <f aca="false">AC22</f>
        <v>19.4974670908328</v>
      </c>
      <c r="R22" s="564" t="n">
        <f aca="false">L22-Q22</f>
        <v>67.1589074974469</v>
      </c>
      <c r="U22" s="400" t="n">
        <v>16</v>
      </c>
      <c r="V22" s="572" t="n">
        <f aca="false">Delay!X23</f>
        <v>27803234.6</v>
      </c>
      <c r="W22" s="566" t="n">
        <f aca="false">(Delay!AB23+Delay!AB71)*$Q$33*$D$10/$D$6</f>
        <v>7.05882352941176</v>
      </c>
      <c r="X22" s="563" t="n">
        <f aca="false">X$6*K22/K$6</f>
        <v>79.5975510588679</v>
      </c>
      <c r="Y22" s="573" t="n">
        <f aca="false">W22+X22</f>
        <v>86.6563745882797</v>
      </c>
      <c r="Z22" s="402" t="n">
        <f aca="false">Delay!Y23</f>
        <v>0.792</v>
      </c>
      <c r="AA22" s="568" t="n">
        <f aca="false">(Delay!AB23+Delay!AB71)*(PY!$D$10-PY!$N22)*PY!$Q$33/PY!$D$6</f>
        <v>2.94117647058824</v>
      </c>
      <c r="AB22" s="563" t="n">
        <f aca="false">AB$6*P22/P$6</f>
        <v>16.5562906202445</v>
      </c>
      <c r="AC22" s="574" t="n">
        <f aca="false">AA22+AB22</f>
        <v>19.4974670908328</v>
      </c>
    </row>
    <row r="23" customFormat="false" ht="13" hidden="false" customHeight="false" outlineLevel="0" collapsed="false">
      <c r="G23" s="400" t="n">
        <v>17</v>
      </c>
      <c r="H23" s="408" t="n">
        <f aca="false">Delay!X24</f>
        <v>28352425.95</v>
      </c>
      <c r="I23" s="559" t="n">
        <f aca="false">H23/365</f>
        <v>77677.8793150685</v>
      </c>
      <c r="J23" s="560" t="n">
        <f aca="false">(Delay!AD24*Delay!AB24+Delay!AD72*Delay!AB72)*$Q$33</f>
        <v>6357469.73120196</v>
      </c>
      <c r="K23" s="561" t="n">
        <f aca="false">H23-J23</f>
        <v>21994956.218798</v>
      </c>
      <c r="L23" s="571" t="n">
        <f aca="false">Y23</f>
        <v>88.2286480000471</v>
      </c>
      <c r="M23" s="402" t="n">
        <f aca="false">Delay!Y24</f>
        <v>0.8415</v>
      </c>
      <c r="N23" s="561" t="n">
        <f aca="false">IF(Delay!AD24&gt;Delay!AD72,Delay!BC24,Delay!BC72)</f>
        <v>7</v>
      </c>
      <c r="O23" s="561" t="n">
        <f aca="false">J23*(1-M23)</f>
        <v>1007658.95239551</v>
      </c>
      <c r="P23" s="561" t="n">
        <f aca="false">K23*(1-M23)</f>
        <v>3486200.56067949</v>
      </c>
      <c r="Q23" s="563" t="n">
        <f aca="false">AC23</f>
        <v>15.8065936491839</v>
      </c>
      <c r="R23" s="564" t="n">
        <f aca="false">L23-Q23</f>
        <v>72.4220543508632</v>
      </c>
      <c r="U23" s="400" t="n">
        <v>17</v>
      </c>
      <c r="V23" s="572" t="n">
        <f aca="false">Delay!X24</f>
        <v>28352425.95</v>
      </c>
      <c r="W23" s="566" t="n">
        <f aca="false">(Delay!AB24+Delay!AB72)*$Q$33*$D$10/$D$6</f>
        <v>7.05882352941176</v>
      </c>
      <c r="X23" s="563" t="n">
        <f aca="false">X$6*K23/K$6</f>
        <v>81.1698244706354</v>
      </c>
      <c r="Y23" s="573" t="n">
        <f aca="false">W23+X23</f>
        <v>88.2286480000471</v>
      </c>
      <c r="Z23" s="402" t="n">
        <f aca="false">Delay!Y24</f>
        <v>0.8415</v>
      </c>
      <c r="AA23" s="568" t="n">
        <f aca="false">(Delay!AB24+Delay!AB72)*(PY!$D$10-PY!$N23)*PY!$Q$33/PY!$D$6</f>
        <v>2.94117647058824</v>
      </c>
      <c r="AB23" s="563" t="n">
        <f aca="false">AB$6*P23/P$6</f>
        <v>12.8654171785957</v>
      </c>
      <c r="AC23" s="574" t="n">
        <f aca="false">AA23+AB23</f>
        <v>15.8065936491839</v>
      </c>
    </row>
    <row r="24" customFormat="false" ht="13" hidden="false" customHeight="false" outlineLevel="0" collapsed="false">
      <c r="G24" s="400" t="n">
        <v>18</v>
      </c>
      <c r="H24" s="408" t="n">
        <f aca="false">Delay!X25</f>
        <v>28901617.3</v>
      </c>
      <c r="I24" s="559" t="n">
        <f aca="false">H24/365</f>
        <v>79182.5131506849</v>
      </c>
      <c r="J24" s="560" t="n">
        <f aca="false">(Delay!AD25*Delay!AB25+Delay!AD73*Delay!AB73)*$Q$33</f>
        <v>6480615.00950796</v>
      </c>
      <c r="K24" s="561" t="n">
        <f aca="false">H24-J24</f>
        <v>22421002.290492</v>
      </c>
      <c r="L24" s="571" t="n">
        <f aca="false">Y24</f>
        <v>89.8009214118146</v>
      </c>
      <c r="M24" s="402" t="n">
        <f aca="false">Delay!Y25</f>
        <v>0.891</v>
      </c>
      <c r="N24" s="561" t="n">
        <f aca="false">IF(Delay!AD25&gt;Delay!AD73,Delay!BC25,Delay!BC73)</f>
        <v>8</v>
      </c>
      <c r="O24" s="561" t="n">
        <f aca="false">J24*(1-M24)</f>
        <v>706387.036036368</v>
      </c>
      <c r="P24" s="561" t="n">
        <f aca="false">K24*(1-M24)</f>
        <v>2443889.24966363</v>
      </c>
      <c r="Q24" s="563" t="n">
        <f aca="false">AC24</f>
        <v>11.3718298456525</v>
      </c>
      <c r="R24" s="564" t="n">
        <f aca="false">L24-Q24</f>
        <v>78.4290915661621</v>
      </c>
      <c r="U24" s="400" t="n">
        <v>18</v>
      </c>
      <c r="V24" s="572" t="n">
        <f aca="false">Delay!X25</f>
        <v>28901617.3</v>
      </c>
      <c r="W24" s="566" t="n">
        <f aca="false">(Delay!AB25+Delay!AB73)*$Q$33*$D$10/$D$6</f>
        <v>7.05882352941176</v>
      </c>
      <c r="X24" s="563" t="n">
        <f aca="false">X$6*K24/K$6</f>
        <v>82.7420978824028</v>
      </c>
      <c r="Y24" s="573" t="n">
        <f aca="false">W24+X24</f>
        <v>89.8009214118146</v>
      </c>
      <c r="Z24" s="402" t="n">
        <f aca="false">Delay!Y25</f>
        <v>0.891</v>
      </c>
      <c r="AA24" s="568" t="n">
        <f aca="false">(Delay!AB25+Delay!AB73)*(PY!$D$10-PY!$N24)*PY!$Q$33/PY!$D$6</f>
        <v>2.35294117647059</v>
      </c>
      <c r="AB24" s="563" t="n">
        <f aca="false">AB$6*P24/P$6</f>
        <v>9.01888866918191</v>
      </c>
      <c r="AC24" s="574" t="n">
        <f aca="false">AA24+AB24</f>
        <v>11.3718298456525</v>
      </c>
    </row>
    <row r="25" customFormat="false" ht="13" hidden="false" customHeight="false" outlineLevel="0" collapsed="false">
      <c r="G25" s="400" t="n">
        <v>19</v>
      </c>
      <c r="H25" s="408" t="n">
        <f aca="false">Delay!X26</f>
        <v>29450808.65</v>
      </c>
      <c r="I25" s="559" t="n">
        <f aca="false">H25/365</f>
        <v>80687.1469863014</v>
      </c>
      <c r="J25" s="560" t="n">
        <f aca="false">(Delay!AD26*Delay!AB26+Delay!AD74*Delay!AB74)*$Q$33</f>
        <v>6603760.28781396</v>
      </c>
      <c r="K25" s="561" t="n">
        <f aca="false">H25-J25</f>
        <v>22847048.362186</v>
      </c>
      <c r="L25" s="571" t="n">
        <f aca="false">Y25</f>
        <v>91.3731948235821</v>
      </c>
      <c r="M25" s="402" t="n">
        <f aca="false">Delay!Y26</f>
        <v>0.9405</v>
      </c>
      <c r="N25" s="561" t="n">
        <f aca="false">IF(Delay!AD26&gt;Delay!AD74,Delay!BC26,Delay!BC74)</f>
        <v>9</v>
      </c>
      <c r="O25" s="561" t="n">
        <f aca="false">J25*(1-M25)</f>
        <v>392923.737124931</v>
      </c>
      <c r="P25" s="561" t="n">
        <f aca="false">K25*(1-M25)</f>
        <v>1359399.37755007</v>
      </c>
      <c r="Q25" s="563" t="n">
        <f aca="false">AC25</f>
        <v>6.78141097435608</v>
      </c>
      <c r="R25" s="564" t="n">
        <f aca="false">L25-Q25</f>
        <v>84.591783849226</v>
      </c>
      <c r="U25" s="400" t="n">
        <v>19</v>
      </c>
      <c r="V25" s="572" t="n">
        <f aca="false">Delay!X26</f>
        <v>29450808.65</v>
      </c>
      <c r="W25" s="566" t="n">
        <f aca="false">(Delay!AB26+Delay!AB74)*$Q$33*$D$10/$D$6</f>
        <v>7.05882352941176</v>
      </c>
      <c r="X25" s="563" t="n">
        <f aca="false">X$6*K25/K$6</f>
        <v>84.3143712941703</v>
      </c>
      <c r="Y25" s="573" t="n">
        <f aca="false">W25+X25</f>
        <v>91.3731948235821</v>
      </c>
      <c r="Z25" s="402" t="n">
        <f aca="false">Delay!Y26</f>
        <v>0.9405</v>
      </c>
      <c r="AA25" s="568" t="n">
        <f aca="false">(Delay!AB26+Delay!AB74)*(PY!$D$10-PY!$N25)*PY!$Q$33/PY!$D$6</f>
        <v>1.76470588235294</v>
      </c>
      <c r="AB25" s="563" t="n">
        <f aca="false">AB$6*P25/P$6</f>
        <v>5.01670509200314</v>
      </c>
      <c r="AC25" s="574" t="n">
        <f aca="false">AA25+AB25</f>
        <v>6.78141097435608</v>
      </c>
    </row>
    <row r="26" customFormat="false" ht="13" hidden="false" customHeight="false" outlineLevel="0" collapsed="false">
      <c r="B26" s="1"/>
      <c r="C26" s="1"/>
      <c r="D26" s="1"/>
      <c r="E26" s="1"/>
      <c r="G26" s="452" t="n">
        <v>20</v>
      </c>
      <c r="H26" s="453" t="n">
        <f aca="false">Delay!X27</f>
        <v>30000000</v>
      </c>
      <c r="I26" s="581" t="n">
        <f aca="false">H26/365</f>
        <v>82191.7808219178</v>
      </c>
      <c r="J26" s="582" t="n">
        <f aca="false">(Delay!AD27*Delay!AB27+Delay!AD75*Delay!AB75)*$Q$33</f>
        <v>6726905.56611996</v>
      </c>
      <c r="K26" s="583" t="n">
        <f aca="false">H26-J26</f>
        <v>23273094.43388</v>
      </c>
      <c r="L26" s="584" t="n">
        <f aca="false">Y26</f>
        <v>92.9454682353496</v>
      </c>
      <c r="M26" s="454" t="n">
        <f aca="false">Delay!Y27</f>
        <v>0.99</v>
      </c>
      <c r="N26" s="583" t="n">
        <f aca="false">IF(Delay!AD27&gt;Delay!AD75,Delay!BC27,Delay!BC75)</f>
        <v>11</v>
      </c>
      <c r="O26" s="583" t="n">
        <f aca="false">J26*(1-M26)</f>
        <v>67269.0556611996</v>
      </c>
      <c r="P26" s="583" t="n">
        <f aca="false">K26*(1-M26)</f>
        <v>232730.944338801</v>
      </c>
      <c r="Q26" s="585" t="n">
        <f aca="false">AC26</f>
        <v>1.44710174117703</v>
      </c>
      <c r="R26" s="586" t="n">
        <f aca="false">L26-Q26</f>
        <v>91.4983664941725</v>
      </c>
      <c r="U26" s="452" t="n">
        <v>20</v>
      </c>
      <c r="V26" s="587" t="n">
        <f aca="false">Delay!X27</f>
        <v>30000000</v>
      </c>
      <c r="W26" s="588" t="n">
        <f aca="false">(Delay!AB27+Delay!AB75)*$Q$33*$D$10/$D$6</f>
        <v>7.05882352941176</v>
      </c>
      <c r="X26" s="585" t="n">
        <f aca="false">X$6*K26/K$6</f>
        <v>85.8866447059378</v>
      </c>
      <c r="Y26" s="589" t="n">
        <f aca="false">W26+X26</f>
        <v>92.9454682353496</v>
      </c>
      <c r="Z26" s="454" t="n">
        <f aca="false">Delay!Y27</f>
        <v>0.99</v>
      </c>
      <c r="AA26" s="590" t="n">
        <f aca="false">(Delay!AB27+Delay!AB75)*(PY!$D$10-PY!$N26)*PY!$Q$33/PY!$D$6</f>
        <v>0.588235294117647</v>
      </c>
      <c r="AB26" s="585" t="n">
        <f aca="false">AB$6*P26/P$6</f>
        <v>0.858866447059379</v>
      </c>
      <c r="AC26" s="591" t="n">
        <f aca="false">AA26+AB26</f>
        <v>1.44710174117703</v>
      </c>
    </row>
    <row r="28" customFormat="false" ht="13" hidden="false" customHeight="false" outlineLevel="0" collapsed="false">
      <c r="B28" s="1"/>
      <c r="C28" s="1"/>
      <c r="D28" s="1"/>
      <c r="E28" s="1"/>
    </row>
    <row r="29" customFormat="false" ht="14" hidden="false" customHeight="false" outlineLevel="0" collapsed="false">
      <c r="B29" s="1"/>
      <c r="C29" s="1"/>
      <c r="D29" s="1"/>
      <c r="E29" s="1"/>
      <c r="G29" s="285" t="s">
        <v>236</v>
      </c>
      <c r="U29" s="285" t="s">
        <v>236</v>
      </c>
    </row>
    <row r="30" customFormat="false" ht="16" hidden="false" customHeight="false" outlineLevel="0" collapsed="false">
      <c r="B30" s="1"/>
      <c r="C30" s="1"/>
      <c r="D30" s="1"/>
      <c r="E30" s="1"/>
      <c r="G30" s="484" t="s">
        <v>338</v>
      </c>
      <c r="H30" s="485"/>
      <c r="I30" s="485"/>
      <c r="J30" s="485"/>
      <c r="K30" s="485"/>
      <c r="L30" s="485"/>
      <c r="M30" s="485"/>
      <c r="N30" s="485"/>
      <c r="O30" s="485"/>
      <c r="P30" s="485"/>
      <c r="Q30" s="486"/>
      <c r="U30" s="592" t="s">
        <v>385</v>
      </c>
      <c r="V30" s="593"/>
      <c r="W30" s="593"/>
      <c r="X30" s="593"/>
      <c r="Y30" s="593"/>
      <c r="Z30" s="593"/>
      <c r="AA30" s="593"/>
      <c r="AB30" s="593"/>
      <c r="AC30" s="594"/>
    </row>
    <row r="31" customFormat="false" ht="17" hidden="false" customHeight="false" outlineLevel="0" collapsed="false">
      <c r="B31" s="1"/>
      <c r="C31" s="1"/>
      <c r="D31" s="1"/>
      <c r="E31" s="1"/>
      <c r="G31" s="491" t="s">
        <v>340</v>
      </c>
      <c r="H31" s="492"/>
      <c r="I31" s="492"/>
      <c r="J31" s="492"/>
      <c r="K31" s="492"/>
      <c r="L31" s="492"/>
      <c r="M31" s="492"/>
      <c r="N31" s="492"/>
      <c r="O31" s="492"/>
      <c r="P31" s="492"/>
      <c r="Q31" s="493"/>
      <c r="U31" s="294" t="s">
        <v>386</v>
      </c>
      <c r="V31" s="495"/>
      <c r="W31" s="495"/>
      <c r="X31" s="495"/>
      <c r="Y31" s="495"/>
      <c r="Z31" s="495"/>
      <c r="AA31" s="495"/>
      <c r="AB31" s="495"/>
      <c r="AC31" s="497"/>
    </row>
    <row r="32" customFormat="false" ht="13" hidden="false" customHeight="false" outlineLevel="0" collapsed="false">
      <c r="B32" s="1"/>
      <c r="C32" s="1"/>
      <c r="D32" s="1"/>
      <c r="E32" s="1"/>
      <c r="G32" s="491" t="s">
        <v>342</v>
      </c>
      <c r="H32" s="492"/>
      <c r="I32" s="492"/>
      <c r="J32" s="492"/>
      <c r="K32" s="492"/>
      <c r="L32" s="495"/>
      <c r="M32" s="492"/>
      <c r="N32" s="492"/>
      <c r="O32" s="492"/>
      <c r="P32" s="495"/>
      <c r="Q32" s="595" t="n">
        <f aca="false">Delay!S33</f>
        <v>52</v>
      </c>
      <c r="U32" s="294" t="s">
        <v>387</v>
      </c>
      <c r="V32" s="495"/>
      <c r="W32" s="495"/>
      <c r="X32" s="495"/>
      <c r="Y32" s="495"/>
      <c r="Z32" s="495"/>
      <c r="AA32" s="495"/>
      <c r="AB32" s="495"/>
      <c r="AC32" s="497"/>
    </row>
    <row r="33" customFormat="false" ht="14.25" hidden="false" customHeight="true" outlineLevel="0" collapsed="false">
      <c r="A33" s="1"/>
      <c r="B33" s="1"/>
      <c r="C33" s="1"/>
      <c r="D33" s="1"/>
      <c r="E33" s="1"/>
      <c r="G33" s="296" t="s">
        <v>344</v>
      </c>
      <c r="H33" s="498"/>
      <c r="I33" s="498"/>
      <c r="J33" s="498"/>
      <c r="K33" s="498"/>
      <c r="L33" s="498"/>
      <c r="M33" s="498"/>
      <c r="N33" s="498"/>
      <c r="O33" s="498"/>
      <c r="P33" s="498"/>
      <c r="Q33" s="596" t="n">
        <f aca="false">Delay!S34</f>
        <v>260</v>
      </c>
      <c r="U33" s="294" t="s">
        <v>388</v>
      </c>
      <c r="V33" s="495"/>
      <c r="W33" s="495"/>
      <c r="X33" s="495"/>
      <c r="Y33" s="495"/>
      <c r="Z33" s="495"/>
      <c r="AA33" s="495"/>
      <c r="AB33" s="495"/>
      <c r="AC33" s="497"/>
    </row>
    <row r="34" customFormat="false" ht="18" hidden="false" customHeight="false" outlineLevel="0" collapsed="false">
      <c r="B34" s="1"/>
      <c r="C34" s="1"/>
      <c r="D34" s="1"/>
      <c r="E34" s="1"/>
      <c r="U34" s="294" t="s">
        <v>389</v>
      </c>
      <c r="V34" s="495"/>
      <c r="W34" s="495"/>
      <c r="X34" s="495"/>
      <c r="Y34" s="495"/>
      <c r="Z34" s="495"/>
      <c r="AA34" s="495"/>
      <c r="AB34" s="495"/>
      <c r="AC34" s="497"/>
    </row>
    <row r="35" customFormat="false" ht="17" hidden="false" customHeight="false" outlineLevel="0" collapsed="false">
      <c r="B35" s="1"/>
      <c r="C35" s="1"/>
      <c r="D35" s="1"/>
      <c r="E35" s="1"/>
      <c r="U35" s="294" t="s">
        <v>390</v>
      </c>
      <c r="V35" s="495"/>
      <c r="W35" s="495"/>
      <c r="X35" s="495"/>
      <c r="Y35" s="495"/>
      <c r="Z35" s="495"/>
      <c r="AA35" s="495"/>
      <c r="AB35" s="495"/>
      <c r="AC35" s="497"/>
    </row>
    <row r="36" customFormat="false" ht="17" hidden="false" customHeight="false" outlineLevel="0" collapsed="false">
      <c r="B36" s="1"/>
      <c r="C36" s="1"/>
      <c r="D36" s="1"/>
      <c r="E36" s="1"/>
      <c r="U36" s="294" t="s">
        <v>391</v>
      </c>
      <c r="V36" s="495"/>
      <c r="W36" s="495"/>
      <c r="X36" s="495"/>
      <c r="Y36" s="495"/>
      <c r="Z36" s="495"/>
      <c r="AA36" s="495"/>
      <c r="AB36" s="495"/>
      <c r="AC36" s="497"/>
    </row>
    <row r="37" customFormat="false" ht="17" hidden="false" customHeight="false" outlineLevel="0" collapsed="false">
      <c r="A37" s="1"/>
      <c r="B37" s="1"/>
      <c r="C37" s="1"/>
      <c r="D37" s="1"/>
      <c r="E37" s="1"/>
      <c r="U37" s="294" t="s">
        <v>392</v>
      </c>
      <c r="V37" s="495"/>
      <c r="W37" s="495"/>
      <c r="X37" s="495"/>
      <c r="Y37" s="495"/>
      <c r="Z37" s="495"/>
      <c r="AA37" s="495"/>
      <c r="AB37" s="495"/>
      <c r="AC37" s="497"/>
    </row>
    <row r="38" customFormat="false" ht="12.75" hidden="false" customHeight="true" outlineLevel="0" collapsed="false">
      <c r="A38" s="1"/>
      <c r="B38" s="1"/>
      <c r="C38" s="1"/>
      <c r="D38" s="1"/>
      <c r="E38" s="1"/>
      <c r="U38" s="294"/>
      <c r="V38" s="495"/>
      <c r="W38" s="495"/>
      <c r="X38" s="495"/>
      <c r="Y38" s="495"/>
      <c r="Z38" s="495"/>
      <c r="AA38" s="495"/>
      <c r="AB38" s="495"/>
      <c r="AC38" s="497"/>
    </row>
    <row r="39" customFormat="false" ht="15" hidden="false" customHeight="false" outlineLevel="0" collapsed="false">
      <c r="A39" s="1"/>
      <c r="B39" s="1"/>
      <c r="C39" s="1"/>
      <c r="D39" s="1"/>
      <c r="E39" s="1"/>
      <c r="U39" s="597" t="s">
        <v>393</v>
      </c>
      <c r="V39" s="495"/>
      <c r="W39" s="495"/>
      <c r="X39" s="495"/>
      <c r="Y39" s="495"/>
      <c r="Z39" s="495"/>
      <c r="AA39" s="495"/>
      <c r="AB39" s="495"/>
      <c r="AC39" s="497"/>
    </row>
    <row r="40" customFormat="false" ht="13" hidden="false" customHeight="false" outlineLevel="0" collapsed="false">
      <c r="A40" s="1"/>
      <c r="B40" s="1"/>
      <c r="C40" s="1"/>
      <c r="D40" s="1"/>
      <c r="E40" s="1"/>
      <c r="U40" s="294" t="s">
        <v>394</v>
      </c>
      <c r="V40" s="495"/>
      <c r="W40" s="495"/>
      <c r="X40" s="495"/>
      <c r="Y40" s="495"/>
      <c r="Z40" s="495"/>
      <c r="AA40" s="495"/>
      <c r="AB40" s="495"/>
      <c r="AC40" s="497"/>
    </row>
    <row r="41" customFormat="false" ht="13" hidden="false" customHeight="false" outlineLevel="0" collapsed="false">
      <c r="A41" s="1"/>
      <c r="B41" s="1"/>
      <c r="C41" s="1"/>
      <c r="D41" s="1"/>
      <c r="E41" s="1"/>
      <c r="U41" s="294" t="s">
        <v>395</v>
      </c>
      <c r="V41" s="495"/>
      <c r="W41" s="495"/>
      <c r="X41" s="495"/>
      <c r="Y41" s="495"/>
      <c r="Z41" s="495"/>
      <c r="AA41" s="495"/>
      <c r="AB41" s="495"/>
      <c r="AC41" s="497"/>
    </row>
    <row r="42" customFormat="false" ht="13" hidden="false" customHeight="false" outlineLevel="0" collapsed="false">
      <c r="A42" s="1"/>
      <c r="B42" s="1"/>
      <c r="C42" s="1"/>
      <c r="D42" s="1"/>
      <c r="E42" s="1"/>
      <c r="U42" s="294" t="s">
        <v>396</v>
      </c>
      <c r="V42" s="495"/>
      <c r="W42" s="495"/>
      <c r="X42" s="495"/>
      <c r="Y42" s="495"/>
      <c r="Z42" s="495"/>
      <c r="AA42" s="495"/>
      <c r="AB42" s="495"/>
      <c r="AC42" s="497"/>
    </row>
    <row r="43" customFormat="false" ht="13" hidden="false" customHeight="false" outlineLevel="0" collapsed="false">
      <c r="A43" s="1"/>
      <c r="B43" s="1"/>
      <c r="C43" s="1"/>
      <c r="D43" s="1"/>
      <c r="E43" s="1"/>
      <c r="U43" s="294" t="s">
        <v>397</v>
      </c>
      <c r="V43" s="495"/>
      <c r="W43" s="495"/>
      <c r="X43" s="495"/>
      <c r="Y43" s="495"/>
      <c r="Z43" s="495"/>
      <c r="AA43" s="495"/>
      <c r="AB43" s="495"/>
      <c r="AC43" s="497"/>
    </row>
    <row r="44" customFormat="false" ht="13" hidden="false" customHeight="false" outlineLevel="0" collapsed="false">
      <c r="A44" s="1"/>
      <c r="B44" s="1"/>
      <c r="C44" s="1"/>
      <c r="D44" s="1"/>
      <c r="E44" s="1"/>
      <c r="U44" s="294" t="s">
        <v>398</v>
      </c>
      <c r="V44" s="495"/>
      <c r="W44" s="495"/>
      <c r="X44" s="495"/>
      <c r="Y44" s="495"/>
      <c r="Z44" s="495"/>
      <c r="AA44" s="495"/>
      <c r="AB44" s="495"/>
      <c r="AC44" s="497"/>
    </row>
    <row r="45" customFormat="false" ht="17" hidden="false" customHeight="false" outlineLevel="0" collapsed="false">
      <c r="A45" s="1"/>
      <c r="B45" s="1"/>
      <c r="C45" s="1"/>
      <c r="D45" s="1"/>
      <c r="E45" s="1"/>
      <c r="U45" s="294" t="s">
        <v>399</v>
      </c>
      <c r="V45" s="495"/>
      <c r="W45" s="495"/>
      <c r="X45" s="495"/>
      <c r="Y45" s="495"/>
      <c r="Z45" s="495"/>
      <c r="AA45" s="495"/>
      <c r="AB45" s="495"/>
      <c r="AC45" s="497"/>
    </row>
    <row r="46" customFormat="false" ht="18" hidden="false" customHeight="false" outlineLevel="0" collapsed="false">
      <c r="A46" s="1"/>
      <c r="B46" s="1"/>
      <c r="C46" s="1"/>
      <c r="D46" s="1"/>
      <c r="E46" s="1"/>
      <c r="U46" s="598" t="s">
        <v>400</v>
      </c>
      <c r="V46" s="297"/>
      <c r="W46" s="297"/>
      <c r="X46" s="297"/>
      <c r="Y46" s="297"/>
      <c r="Z46" s="297"/>
      <c r="AA46" s="297"/>
      <c r="AB46" s="297"/>
      <c r="AC46" s="505"/>
    </row>
    <row r="47" customFormat="false" ht="14" hidden="false" customHeight="false" outlineLevel="0" collapsed="false">
      <c r="A47" s="1"/>
      <c r="B47" s="1"/>
      <c r="C47" s="1"/>
      <c r="D47" s="1"/>
      <c r="E47" s="1"/>
    </row>
    <row r="48" customFormat="false" ht="13" hidden="false" customHeight="false" outlineLevel="0" collapsed="false">
      <c r="A48" s="1"/>
      <c r="B48" s="1"/>
      <c r="C48" s="1"/>
      <c r="D48" s="1"/>
      <c r="E48" s="1"/>
    </row>
    <row r="49" customFormat="false" ht="13" hidden="false" customHeight="false" outlineLevel="0" collapsed="false">
      <c r="A49" s="1"/>
      <c r="B49" s="1"/>
      <c r="C49" s="1"/>
      <c r="D49" s="1"/>
      <c r="E49" s="1"/>
    </row>
    <row r="50" customFormat="false" ht="13" hidden="false" customHeight="false" outlineLevel="0" collapsed="false">
      <c r="A50" s="1"/>
      <c r="B50" s="1"/>
      <c r="C50" s="1"/>
      <c r="D50" s="1"/>
      <c r="E50" s="1"/>
    </row>
    <row r="51" customFormat="false" ht="13" hidden="false" customHeight="false" outlineLevel="0" collapsed="false">
      <c r="A51" s="1"/>
      <c r="B51" s="1"/>
      <c r="C51" s="1"/>
      <c r="D51" s="1"/>
      <c r="E51" s="1"/>
    </row>
    <row r="52" customFormat="false" ht="13" hidden="false" customHeight="false" outlineLevel="0" collapsed="false">
      <c r="A52" s="1"/>
      <c r="B52" s="1"/>
      <c r="C52" s="1"/>
      <c r="D52" s="1"/>
      <c r="E52" s="1"/>
    </row>
    <row r="53" customFormat="false" ht="13" hidden="false" customHeight="false" outlineLevel="0" collapsed="false">
      <c r="A53" s="1"/>
      <c r="B53" s="1"/>
      <c r="C53" s="1"/>
      <c r="D53" s="1"/>
      <c r="E53" s="1"/>
    </row>
    <row r="54" customFormat="false" ht="13" hidden="false" customHeight="false" outlineLevel="0" collapsed="false">
      <c r="A54" s="1"/>
      <c r="B54" s="1"/>
      <c r="C54" s="1"/>
      <c r="D54" s="1"/>
      <c r="E54" s="1"/>
    </row>
    <row r="55" customFormat="false" ht="13" hidden="false" customHeight="false" outlineLevel="0" collapsed="false">
      <c r="A55" s="1"/>
      <c r="B55" s="1"/>
      <c r="C55" s="1"/>
      <c r="D55" s="1"/>
      <c r="E55" s="1"/>
    </row>
    <row r="56" customFormat="false" ht="13" hidden="false" customHeight="false" outlineLevel="0" collapsed="false">
      <c r="A56" s="1"/>
      <c r="B56" s="1"/>
      <c r="C56" s="1"/>
      <c r="D56" s="1"/>
      <c r="E56" s="1"/>
    </row>
    <row r="57" customFormat="false" ht="13" hidden="false" customHeight="false" outlineLevel="0" collapsed="false">
      <c r="A57" s="1"/>
      <c r="B57" s="1"/>
      <c r="C57" s="1"/>
      <c r="D57" s="1"/>
      <c r="E57" s="1"/>
    </row>
    <row r="58" customFormat="false" ht="13" hidden="false" customHeight="false" outlineLevel="0" collapsed="false">
      <c r="A58" s="1"/>
      <c r="B58" s="1"/>
      <c r="C58" s="1"/>
      <c r="D58" s="1"/>
      <c r="E58" s="1"/>
    </row>
    <row r="59" customFormat="false" ht="13" hidden="false" customHeight="false" outlineLevel="0" collapsed="false">
      <c r="A59" s="1"/>
      <c r="B59" s="1"/>
      <c r="C59" s="1"/>
      <c r="D59" s="1"/>
      <c r="E59" s="1"/>
    </row>
    <row r="60" customFormat="false" ht="13" hidden="false" customHeight="false" outlineLevel="0" collapsed="false">
      <c r="A60" s="1"/>
      <c r="B60" s="1"/>
      <c r="C60" s="1"/>
      <c r="D60" s="1"/>
      <c r="E60" s="1"/>
    </row>
    <row r="61" customFormat="false" ht="13" hidden="false" customHeight="false" outlineLevel="0" collapsed="false">
      <c r="A61" s="1"/>
      <c r="B61" s="1"/>
      <c r="C61" s="1"/>
      <c r="D61" s="1"/>
      <c r="E61" s="1"/>
    </row>
    <row r="62" customFormat="false" ht="13" hidden="false" customHeight="false" outlineLevel="0" collapsed="false">
      <c r="A62" s="1"/>
      <c r="B62" s="1"/>
      <c r="C62" s="1"/>
      <c r="D62" s="1"/>
      <c r="E62" s="1"/>
    </row>
    <row r="63" customFormat="false" ht="13" hidden="false" customHeight="false" outlineLevel="0" collapsed="false">
      <c r="A63" s="1"/>
      <c r="B63" s="1"/>
      <c r="C63" s="1"/>
      <c r="D63" s="1"/>
      <c r="E63" s="1"/>
    </row>
    <row r="64" customFormat="false" ht="13" hidden="false" customHeight="false" outlineLevel="0" collapsed="false">
      <c r="A64" s="1"/>
      <c r="B64" s="1"/>
      <c r="C64" s="1"/>
      <c r="D64" s="1"/>
      <c r="E64" s="1"/>
    </row>
    <row r="65" customFormat="false" ht="13" hidden="false" customHeight="false" outlineLevel="0" collapsed="false">
      <c r="A65" s="1"/>
      <c r="B65" s="1"/>
      <c r="C65" s="1"/>
      <c r="D65" s="1"/>
      <c r="E65" s="1"/>
    </row>
    <row r="66" customFormat="false" ht="13" hidden="false" customHeight="false" outlineLevel="0" collapsed="false">
      <c r="A66" s="1"/>
      <c r="B66" s="1"/>
      <c r="C66" s="1"/>
      <c r="D66" s="1"/>
      <c r="E66" s="1"/>
    </row>
    <row r="67" customFormat="false" ht="13" hidden="false" customHeight="false" outlineLevel="0" collapsed="false">
      <c r="A67" s="1"/>
      <c r="B67" s="1"/>
      <c r="C67" s="1"/>
      <c r="D67" s="1"/>
      <c r="E67" s="1"/>
    </row>
    <row r="68" customFormat="false" ht="13" hidden="false" customHeight="false" outlineLevel="0" collapsed="false">
      <c r="A68" s="1"/>
      <c r="B68" s="1"/>
      <c r="C68" s="1"/>
      <c r="D68" s="1"/>
      <c r="E68" s="1"/>
    </row>
    <row r="69" customFormat="false" ht="13" hidden="false" customHeight="false" outlineLevel="0" collapsed="false">
      <c r="A69" s="1"/>
      <c r="B69" s="1"/>
      <c r="C69" s="1"/>
      <c r="D69" s="1"/>
      <c r="E69" s="1"/>
    </row>
    <row r="70" customFormat="false" ht="13" hidden="false" customHeight="false" outlineLevel="0" collapsed="false">
      <c r="A70" s="1"/>
      <c r="B70" s="1"/>
      <c r="C70" s="1"/>
      <c r="D70" s="1"/>
      <c r="E70" s="1"/>
    </row>
    <row r="71" customFormat="false" ht="13" hidden="false" customHeight="false" outlineLevel="0" collapsed="false">
      <c r="A71" s="1"/>
      <c r="B71" s="1"/>
      <c r="C71" s="1"/>
      <c r="D71" s="1"/>
      <c r="E71" s="1"/>
    </row>
    <row r="72" customFormat="false" ht="13" hidden="false" customHeight="false" outlineLevel="0" collapsed="false">
      <c r="A72" s="1"/>
      <c r="B72" s="1"/>
      <c r="C72" s="1"/>
      <c r="D72" s="1"/>
      <c r="E72" s="1"/>
    </row>
    <row r="73" customFormat="false" ht="13" hidden="false" customHeight="false" outlineLevel="0" collapsed="false">
      <c r="A73" s="1"/>
      <c r="B73" s="1"/>
      <c r="C73" s="1"/>
      <c r="D73" s="1"/>
      <c r="E73" s="1"/>
    </row>
    <row r="74" customFormat="false" ht="13" hidden="false" customHeight="false" outlineLevel="0" collapsed="false">
      <c r="A74" s="1"/>
      <c r="B74" s="1"/>
      <c r="C74" s="1"/>
      <c r="D74" s="1"/>
      <c r="E74" s="1"/>
    </row>
    <row r="75" customFormat="false" ht="13" hidden="false" customHeight="false" outlineLevel="0" collapsed="false">
      <c r="A75" s="1"/>
      <c r="B75" s="1"/>
      <c r="C75" s="1"/>
      <c r="D75" s="1"/>
      <c r="E75" s="1"/>
    </row>
    <row r="76" customFormat="false" ht="13" hidden="false" customHeight="false" outlineLevel="0" collapsed="false">
      <c r="A76" s="1"/>
      <c r="B76" s="1"/>
      <c r="C76" s="1"/>
      <c r="D76" s="1"/>
      <c r="E76" s="1"/>
    </row>
    <row r="77" customFormat="false" ht="13" hidden="false" customHeight="false" outlineLevel="0" collapsed="false">
      <c r="A77" s="1"/>
      <c r="B77" s="1"/>
      <c r="C77" s="1"/>
      <c r="D77" s="1"/>
      <c r="E77" s="1"/>
    </row>
    <row r="78" customFormat="false" ht="13" hidden="false" customHeight="false" outlineLevel="0" collapsed="false">
      <c r="A78" s="1"/>
      <c r="B78" s="1"/>
      <c r="C78" s="1"/>
      <c r="D78" s="1"/>
      <c r="E78" s="1"/>
    </row>
    <row r="79" customFormat="false" ht="13" hidden="false" customHeight="false" outlineLevel="0" collapsed="false">
      <c r="A79" s="1"/>
      <c r="B79" s="1"/>
      <c r="C79" s="1"/>
      <c r="D79" s="1"/>
      <c r="E79" s="1"/>
    </row>
    <row r="80" customFormat="false" ht="13" hidden="false" customHeight="false" outlineLevel="0" collapsed="false">
      <c r="A80" s="1"/>
      <c r="B80" s="1"/>
      <c r="C80" s="1"/>
      <c r="D80" s="1"/>
      <c r="E80" s="1"/>
    </row>
    <row r="81" customFormat="false" ht="13" hidden="false" customHeight="false" outlineLevel="0" collapsed="false">
      <c r="A81" s="1"/>
      <c r="B81" s="1"/>
      <c r="C81" s="1"/>
      <c r="D81" s="1"/>
      <c r="E81" s="1"/>
    </row>
    <row r="82" customFormat="false" ht="13" hidden="false" customHeight="false" outlineLevel="0" collapsed="false">
      <c r="A82" s="1"/>
      <c r="B82" s="1"/>
      <c r="C82" s="1"/>
      <c r="D82" s="1"/>
      <c r="E82" s="1"/>
    </row>
    <row r="83" customFormat="false" ht="13" hidden="false" customHeight="false" outlineLevel="0" collapsed="false">
      <c r="A83" s="1"/>
      <c r="B83" s="1"/>
      <c r="C83" s="1"/>
      <c r="D83" s="1"/>
      <c r="E83" s="1"/>
    </row>
    <row r="84" customFormat="false" ht="13" hidden="false" customHeight="false" outlineLevel="0" collapsed="false">
      <c r="A84" s="1"/>
      <c r="B84" s="1"/>
      <c r="C84" s="1"/>
      <c r="D84" s="1"/>
      <c r="E84" s="1"/>
    </row>
    <row r="85" customFormat="false" ht="13" hidden="false" customHeight="false" outlineLevel="0" collapsed="false">
      <c r="A85" s="1"/>
      <c r="B85" s="1"/>
      <c r="C85" s="1"/>
      <c r="D85" s="1"/>
      <c r="E85" s="1"/>
    </row>
    <row r="86" customFormat="false" ht="13" hidden="false" customHeight="false" outlineLevel="0" collapsed="false">
      <c r="A86" s="1"/>
      <c r="B86" s="1"/>
      <c r="C86" s="1"/>
      <c r="D86" s="1"/>
      <c r="E86" s="1"/>
    </row>
    <row r="87" customFormat="false" ht="13" hidden="false" customHeight="false" outlineLevel="0" collapsed="false">
      <c r="A87" s="1"/>
      <c r="B87" s="1"/>
      <c r="C87" s="1"/>
      <c r="D87" s="1"/>
      <c r="E87" s="1"/>
    </row>
    <row r="88" customFormat="false" ht="13" hidden="false" customHeight="false" outlineLevel="0" collapsed="false">
      <c r="A88" s="1"/>
      <c r="B88" s="1"/>
      <c r="C88" s="1"/>
      <c r="D88" s="1"/>
      <c r="E88" s="1"/>
    </row>
    <row r="89" customFormat="false" ht="13" hidden="false" customHeight="false" outlineLevel="0" collapsed="false">
      <c r="A89" s="1"/>
      <c r="B89" s="1"/>
      <c r="C89" s="1"/>
      <c r="D89" s="1"/>
      <c r="E89" s="1"/>
    </row>
    <row r="90" customFormat="false" ht="13" hidden="false" customHeight="false" outlineLevel="0" collapsed="false">
      <c r="A90" s="1"/>
      <c r="B90" s="1"/>
      <c r="C90" s="1"/>
      <c r="D90" s="1"/>
      <c r="E90" s="1"/>
    </row>
    <row r="91" customFormat="false" ht="13" hidden="false" customHeight="false" outlineLevel="0" collapsed="false">
      <c r="A91" s="1"/>
      <c r="B91" s="1"/>
      <c r="C91" s="1"/>
      <c r="D91" s="1"/>
      <c r="E91" s="1"/>
    </row>
    <row r="92" customFormat="false" ht="13" hidden="false" customHeight="false" outlineLevel="0" collapsed="false">
      <c r="A92" s="1"/>
      <c r="B92" s="1"/>
      <c r="C92" s="1"/>
      <c r="D92" s="1"/>
      <c r="E92" s="1"/>
    </row>
    <row r="93" customFormat="false" ht="13" hidden="false" customHeight="false" outlineLevel="0" collapsed="false">
      <c r="A93" s="1"/>
      <c r="B93" s="1"/>
      <c r="C93" s="1"/>
      <c r="D93" s="1"/>
      <c r="E93" s="1"/>
    </row>
    <row r="94" customFormat="false" ht="13" hidden="false" customHeight="false" outlineLevel="0" collapsed="false">
      <c r="A94" s="1"/>
      <c r="B94" s="1"/>
      <c r="C94" s="1"/>
      <c r="D94" s="1"/>
      <c r="E94" s="1"/>
    </row>
    <row r="95" customFormat="false" ht="13" hidden="false" customHeight="false" outlineLevel="0" collapsed="false">
      <c r="A95" s="1"/>
      <c r="B95" s="1"/>
      <c r="C95" s="1"/>
      <c r="D95" s="1"/>
      <c r="E95" s="1"/>
    </row>
    <row r="96" customFormat="false" ht="13" hidden="false" customHeight="false" outlineLevel="0" collapsed="false">
      <c r="A96" s="1"/>
      <c r="B96" s="1"/>
      <c r="C96" s="1"/>
      <c r="D96" s="1"/>
      <c r="E96" s="1"/>
    </row>
    <row r="97" customFormat="false" ht="13" hidden="false" customHeight="false" outlineLevel="0" collapsed="false">
      <c r="A97" s="1"/>
      <c r="B97" s="1"/>
      <c r="C97" s="1"/>
      <c r="D97" s="1"/>
      <c r="E97" s="1"/>
    </row>
    <row r="98" customFormat="false" ht="13" hidden="false" customHeight="false" outlineLevel="0" collapsed="false">
      <c r="A98" s="1"/>
      <c r="B98" s="1"/>
      <c r="C98" s="1"/>
      <c r="D98" s="1"/>
      <c r="E98" s="1"/>
    </row>
    <row r="99" customFormat="false" ht="13" hidden="false" customHeight="false" outlineLevel="0" collapsed="false">
      <c r="A99" s="1"/>
      <c r="B99" s="1"/>
      <c r="C99" s="1"/>
      <c r="D99" s="1"/>
      <c r="E99" s="1"/>
    </row>
    <row r="100" customFormat="false" ht="13" hidden="false" customHeight="false" outlineLevel="0" collapsed="false">
      <c r="A100" s="1"/>
      <c r="B100" s="1"/>
      <c r="C100" s="1"/>
      <c r="D100" s="1"/>
      <c r="E100" s="1"/>
    </row>
    <row r="101" customFormat="false" ht="13" hidden="false" customHeight="false" outlineLevel="0" collapsed="false">
      <c r="A101" s="1"/>
      <c r="B101" s="1"/>
      <c r="C101" s="1"/>
      <c r="D101" s="1"/>
      <c r="E101" s="1"/>
    </row>
    <row r="102" customFormat="false" ht="13" hidden="false" customHeight="false" outlineLevel="0" collapsed="false">
      <c r="A102" s="1"/>
      <c r="B102" s="1"/>
      <c r="C102" s="1"/>
      <c r="D102" s="1"/>
      <c r="E102" s="1"/>
    </row>
    <row r="103" customFormat="false" ht="13" hidden="false" customHeight="false" outlineLevel="0" collapsed="false">
      <c r="A103" s="1"/>
      <c r="B103" s="1"/>
      <c r="C103" s="1"/>
      <c r="D103" s="1"/>
      <c r="E103" s="1"/>
    </row>
    <row r="104" customFormat="false" ht="13" hidden="false" customHeight="false" outlineLevel="0" collapsed="false">
      <c r="A104" s="1"/>
      <c r="B104" s="1"/>
      <c r="C104" s="1"/>
      <c r="D104" s="1"/>
      <c r="E104" s="1"/>
    </row>
    <row r="105" customFormat="false" ht="13" hidden="false" customHeight="false" outlineLevel="0" collapsed="false">
      <c r="A105" s="1"/>
      <c r="B105" s="1"/>
      <c r="C105" s="1"/>
      <c r="D105" s="1"/>
      <c r="E105" s="1"/>
    </row>
    <row r="106" customFormat="false" ht="13" hidden="false" customHeight="false" outlineLevel="0" collapsed="false">
      <c r="A106" s="1"/>
      <c r="B106" s="1"/>
      <c r="C106" s="1"/>
      <c r="D106" s="1"/>
      <c r="E106" s="1"/>
    </row>
    <row r="107" customFormat="false" ht="13" hidden="false" customHeight="false" outlineLevel="0" collapsed="false">
      <c r="A107" s="1"/>
      <c r="B107" s="1"/>
      <c r="C107" s="1"/>
      <c r="D107" s="1"/>
      <c r="E107" s="1"/>
    </row>
    <row r="108" customFormat="false" ht="13" hidden="false" customHeight="false" outlineLevel="0" collapsed="false">
      <c r="A108" s="1"/>
      <c r="B108" s="1"/>
      <c r="C108" s="1"/>
      <c r="D108" s="1"/>
      <c r="E108" s="1"/>
    </row>
    <row r="109" customFormat="false" ht="13" hidden="false" customHeight="false" outlineLevel="0" collapsed="false">
      <c r="A109" s="1"/>
      <c r="B109" s="1"/>
      <c r="C109" s="1"/>
      <c r="D109" s="1"/>
      <c r="E109" s="1"/>
    </row>
    <row r="110" customFormat="false" ht="13" hidden="false" customHeight="false" outlineLevel="0" collapsed="false">
      <c r="A110" s="1"/>
      <c r="B110" s="1"/>
      <c r="C110" s="1"/>
      <c r="D110" s="1"/>
      <c r="E110" s="1"/>
    </row>
    <row r="111" customFormat="false" ht="13" hidden="false" customHeight="false" outlineLevel="0" collapsed="false">
      <c r="A111" s="1"/>
      <c r="B111" s="1"/>
      <c r="C111" s="1"/>
      <c r="D111" s="1"/>
      <c r="E111" s="1"/>
    </row>
    <row r="112" customFormat="false" ht="13" hidden="false" customHeight="false" outlineLevel="0" collapsed="false">
      <c r="A112" s="1"/>
      <c r="B112" s="1"/>
      <c r="C112" s="1"/>
      <c r="D112" s="1"/>
      <c r="E112" s="1"/>
    </row>
    <row r="113" customFormat="false" ht="13" hidden="false" customHeight="false" outlineLevel="0" collapsed="false">
      <c r="A113" s="1"/>
      <c r="B113" s="1"/>
      <c r="C113" s="1"/>
      <c r="D113" s="1"/>
      <c r="E113" s="1"/>
    </row>
    <row r="114" customFormat="false" ht="13" hidden="false" customHeight="false" outlineLevel="0" collapsed="false">
      <c r="A114" s="1"/>
      <c r="B114" s="1"/>
      <c r="C114" s="1"/>
      <c r="D114" s="1"/>
      <c r="E114" s="1"/>
    </row>
    <row r="115" customFormat="false" ht="13" hidden="false" customHeight="false" outlineLevel="0" collapsed="false">
      <c r="A115" s="1"/>
      <c r="B115" s="1"/>
      <c r="C115" s="1"/>
      <c r="D115" s="1"/>
      <c r="E115" s="1"/>
    </row>
    <row r="116" customFormat="false" ht="13" hidden="false" customHeight="false" outlineLevel="0" collapsed="false">
      <c r="A116" s="1"/>
      <c r="B116" s="1"/>
      <c r="C116" s="1"/>
      <c r="D116" s="1"/>
      <c r="E116" s="1"/>
    </row>
    <row r="117" customFormat="false" ht="13" hidden="false" customHeight="false" outlineLevel="0" collapsed="false">
      <c r="A117" s="1"/>
      <c r="B117" s="1"/>
      <c r="C117" s="1"/>
      <c r="D117" s="1"/>
      <c r="E117" s="1"/>
    </row>
    <row r="118" customFormat="false" ht="13" hidden="false" customHeight="false" outlineLevel="0" collapsed="false">
      <c r="A118" s="1"/>
      <c r="B118" s="1"/>
      <c r="C118" s="1"/>
      <c r="D118" s="1"/>
      <c r="E118" s="1"/>
    </row>
    <row r="119" customFormat="false" ht="13" hidden="false" customHeight="false" outlineLevel="0" collapsed="false">
      <c r="A119" s="1"/>
      <c r="B119" s="1"/>
      <c r="C119" s="1"/>
      <c r="D119" s="1"/>
      <c r="E119" s="1"/>
    </row>
    <row r="120" customFormat="false" ht="13" hidden="false" customHeight="false" outlineLevel="0" collapsed="false">
      <c r="A120" s="1"/>
      <c r="B120" s="1"/>
      <c r="C120" s="1"/>
      <c r="D120" s="1"/>
      <c r="E120" s="1"/>
    </row>
    <row r="121" customFormat="false" ht="13" hidden="false" customHeight="false" outlineLevel="0" collapsed="false">
      <c r="A121" s="1"/>
      <c r="B121" s="1"/>
      <c r="C121" s="1"/>
      <c r="D121" s="1"/>
      <c r="E121" s="1"/>
    </row>
    <row r="122" customFormat="false" ht="13" hidden="false" customHeight="false" outlineLevel="0" collapsed="false">
      <c r="A122" s="1"/>
      <c r="B122" s="1"/>
      <c r="C122" s="1"/>
      <c r="D122" s="1"/>
      <c r="E122" s="1"/>
    </row>
    <row r="123" customFormat="false" ht="13" hidden="false" customHeight="false" outlineLevel="0" collapsed="false">
      <c r="A123" s="1"/>
      <c r="B123" s="1"/>
      <c r="C123" s="1"/>
      <c r="D123" s="1"/>
      <c r="E123" s="1"/>
    </row>
    <row r="124" customFormat="false" ht="13" hidden="false" customHeight="false" outlineLevel="0" collapsed="false">
      <c r="A124" s="1"/>
      <c r="B124" s="1"/>
      <c r="C124" s="1"/>
      <c r="D124" s="1"/>
      <c r="E124" s="1"/>
    </row>
    <row r="125" customFormat="false" ht="13" hidden="false" customHeight="false" outlineLevel="0" collapsed="false">
      <c r="A125" s="1"/>
      <c r="B125" s="1"/>
      <c r="C125" s="1"/>
      <c r="D125" s="1"/>
      <c r="E125" s="1"/>
    </row>
    <row r="126" customFormat="false" ht="13" hidden="false" customHeight="false" outlineLevel="0" collapsed="false">
      <c r="A126" s="1"/>
      <c r="B126" s="1"/>
      <c r="C126" s="1"/>
      <c r="D126" s="1"/>
      <c r="E126" s="1"/>
    </row>
    <row r="127" customFormat="false" ht="13" hidden="false" customHeight="false" outlineLevel="0" collapsed="false">
      <c r="A127" s="1"/>
      <c r="B127" s="1"/>
      <c r="C127" s="1"/>
      <c r="D127" s="1"/>
      <c r="E127" s="1"/>
    </row>
    <row r="128" customFormat="false" ht="13" hidden="false" customHeight="false" outlineLevel="0" collapsed="false">
      <c r="A128" s="1"/>
      <c r="B128" s="1"/>
      <c r="C128" s="1"/>
      <c r="D128" s="1"/>
      <c r="E128" s="1"/>
    </row>
    <row r="129" customFormat="false" ht="13" hidden="false" customHeight="false" outlineLevel="0" collapsed="false">
      <c r="A129" s="1"/>
      <c r="B129" s="1"/>
      <c r="C129" s="1"/>
      <c r="D129" s="1"/>
      <c r="E129" s="1"/>
    </row>
    <row r="130" customFormat="false" ht="13" hidden="false" customHeight="false" outlineLevel="0" collapsed="false">
      <c r="A130" s="1"/>
      <c r="B130" s="1"/>
      <c r="C130" s="1"/>
      <c r="D130" s="1"/>
      <c r="E130" s="1"/>
    </row>
    <row r="131" customFormat="false" ht="13" hidden="false" customHeight="false" outlineLevel="0" collapsed="false">
      <c r="A131" s="1"/>
      <c r="B131" s="1"/>
      <c r="C131" s="1"/>
      <c r="D131" s="1"/>
      <c r="E131" s="1"/>
    </row>
    <row r="132" customFormat="false" ht="13" hidden="false" customHeight="false" outlineLevel="0" collapsed="false">
      <c r="A132" s="1"/>
      <c r="B132" s="1"/>
      <c r="C132" s="1"/>
      <c r="D132" s="1"/>
      <c r="E132" s="1"/>
    </row>
    <row r="133" customFormat="false" ht="13" hidden="false" customHeight="false" outlineLevel="0" collapsed="false">
      <c r="A133" s="1"/>
      <c r="B133" s="1"/>
      <c r="C133" s="1"/>
      <c r="D133" s="1"/>
      <c r="E133" s="1"/>
    </row>
    <row r="134" customFormat="false" ht="13" hidden="false" customHeight="false" outlineLevel="0" collapsed="false">
      <c r="A134" s="1"/>
      <c r="B134" s="1"/>
      <c r="C134" s="1"/>
      <c r="D134" s="1"/>
      <c r="E134" s="1"/>
    </row>
    <row r="135" customFormat="false" ht="13" hidden="false" customHeight="false" outlineLevel="0" collapsed="false">
      <c r="A135" s="1"/>
      <c r="B135" s="1"/>
      <c r="C135" s="1"/>
      <c r="D135" s="1"/>
      <c r="E135" s="1"/>
    </row>
    <row r="136" customFormat="false" ht="13" hidden="false" customHeight="false" outlineLevel="0" collapsed="false">
      <c r="A136" s="1"/>
      <c r="B136" s="1"/>
      <c r="C136" s="1"/>
      <c r="D136" s="1"/>
      <c r="E136" s="1"/>
    </row>
    <row r="137" customFormat="false" ht="13" hidden="false" customHeight="false" outlineLevel="0" collapsed="false">
      <c r="A137" s="1"/>
      <c r="B137" s="1"/>
      <c r="C137" s="1"/>
      <c r="D137" s="1"/>
      <c r="E137" s="1"/>
    </row>
    <row r="138" customFormat="false" ht="13" hidden="false" customHeight="false" outlineLevel="0" collapsed="false">
      <c r="A138" s="1"/>
      <c r="B138" s="1"/>
      <c r="C138" s="1"/>
      <c r="D138" s="1"/>
      <c r="E138" s="1"/>
    </row>
    <row r="139" customFormat="false" ht="13" hidden="false" customHeight="false" outlineLevel="0" collapsed="false">
      <c r="A139" s="1"/>
      <c r="B139" s="1"/>
      <c r="C139" s="1"/>
      <c r="D139" s="1"/>
      <c r="E139" s="1"/>
    </row>
    <row r="140" customFormat="false" ht="13" hidden="false" customHeight="false" outlineLevel="0" collapsed="false">
      <c r="A140" s="1"/>
      <c r="B140" s="1"/>
      <c r="C140" s="1"/>
      <c r="D140" s="1"/>
      <c r="E140" s="1"/>
    </row>
    <row r="141" customFormat="false" ht="13" hidden="false" customHeight="false" outlineLevel="0" collapsed="false">
      <c r="A141" s="1"/>
      <c r="B141" s="1"/>
      <c r="C141" s="1"/>
      <c r="D141" s="1"/>
      <c r="E141" s="1"/>
    </row>
    <row r="142" customFormat="false" ht="13" hidden="false" customHeight="false" outlineLevel="0" collapsed="false">
      <c r="A142" s="1"/>
      <c r="B142" s="1"/>
      <c r="C142" s="1"/>
      <c r="D142" s="1"/>
      <c r="E142" s="1"/>
    </row>
    <row r="143" customFormat="false" ht="13" hidden="false" customHeight="false" outlineLevel="0" collapsed="false">
      <c r="A143" s="1"/>
      <c r="B143" s="1"/>
      <c r="C143" s="1"/>
      <c r="D143" s="1"/>
      <c r="E143" s="1"/>
    </row>
    <row r="144" customFormat="false" ht="13" hidden="false" customHeight="false" outlineLevel="0" collapsed="false">
      <c r="A144" s="1"/>
      <c r="B144" s="1"/>
      <c r="C144" s="1"/>
      <c r="D144" s="1"/>
      <c r="E144" s="1"/>
    </row>
    <row r="145" customFormat="false" ht="13" hidden="false" customHeight="false" outlineLevel="0" collapsed="false">
      <c r="A145" s="1"/>
      <c r="B145" s="1"/>
      <c r="C145" s="1"/>
      <c r="D145" s="1"/>
      <c r="E145" s="1"/>
    </row>
    <row r="146" customFormat="false" ht="13" hidden="false" customHeight="false" outlineLevel="0" collapsed="false">
      <c r="A146" s="1"/>
      <c r="B146" s="1"/>
      <c r="C146" s="1"/>
      <c r="D146" s="1"/>
      <c r="E146" s="1"/>
    </row>
    <row r="147" customFormat="false" ht="13" hidden="false" customHeight="false" outlineLevel="0" collapsed="false">
      <c r="A147" s="1"/>
    </row>
    <row r="148" customFormat="false" ht="13" hidden="false" customHeight="false" outlineLevel="0" collapsed="false">
      <c r="A148" s="1"/>
    </row>
    <row r="149" customFormat="false" ht="13" hidden="false" customHeight="false" outlineLevel="0" collapsed="false">
      <c r="A149" s="1"/>
    </row>
    <row r="150" customFormat="false" ht="13" hidden="false" customHeight="false" outlineLevel="0" collapsed="false">
      <c r="A150" s="1"/>
    </row>
    <row r="151" customFormat="false" ht="13" hidden="false" customHeight="false" outlineLevel="0" collapsed="false">
      <c r="A151" s="1"/>
    </row>
  </sheetData>
  <sheetProtection sheet="true" password="ea2e" objects="true" scenarios="true"/>
  <mergeCells count="14">
    <mergeCell ref="B2:E2"/>
    <mergeCell ref="G4:G5"/>
    <mergeCell ref="H4:H5"/>
    <mergeCell ref="I4:I5"/>
    <mergeCell ref="J4:L4"/>
    <mergeCell ref="M4:M5"/>
    <mergeCell ref="N4:N5"/>
    <mergeCell ref="O4:Q4"/>
    <mergeCell ref="R4:R5"/>
    <mergeCell ref="U4:U5"/>
    <mergeCell ref="V4:V5"/>
    <mergeCell ref="W4:Y4"/>
    <mergeCell ref="Z4:Z5"/>
    <mergeCell ref="AA4:AC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51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H46" activeCellId="0" sqref="H46"/>
    </sheetView>
  </sheetViews>
  <sheetFormatPr defaultColWidth="8.82421875" defaultRowHeight="12" customHeight="false" zeroHeight="false" outlineLevelRow="0" outlineLevelCol="0"/>
  <cols>
    <col collapsed="false" customWidth="true" hidden="false" outlineLevel="0" max="1" min="1" style="372" width="3.49"/>
    <col collapsed="false" customWidth="true" hidden="false" outlineLevel="0" max="2" min="2" style="372" width="10.32"/>
    <col collapsed="false" customWidth="true" hidden="false" outlineLevel="0" max="3" min="3" style="372" width="26.99"/>
    <col collapsed="false" customWidth="true" hidden="false" outlineLevel="0" max="4" min="4" style="372" width="1.82"/>
    <col collapsed="false" customWidth="true" hidden="false" outlineLevel="0" max="5" min="5" style="372" width="6.15"/>
    <col collapsed="false" customWidth="true" hidden="false" outlineLevel="0" max="6" min="6" style="372" width="1.99"/>
    <col collapsed="false" customWidth="false" hidden="false" outlineLevel="0" max="8" min="7" style="372" width="8.82"/>
    <col collapsed="false" customWidth="true" hidden="false" outlineLevel="0" max="9" min="9" style="372" width="10.5"/>
    <col collapsed="false" customWidth="false" hidden="false" outlineLevel="0" max="10" min="10" style="372" width="8.82"/>
    <col collapsed="false" customWidth="true" hidden="false" outlineLevel="0" max="11" min="11" style="372" width="12.5"/>
    <col collapsed="false" customWidth="true" hidden="false" outlineLevel="0" max="12" min="12" style="372" width="12.99"/>
    <col collapsed="false" customWidth="true" hidden="false" outlineLevel="0" max="13" min="13" style="372" width="13.82"/>
    <col collapsed="false" customWidth="true" hidden="false" outlineLevel="0" max="14" min="14" style="372" width="13.49"/>
    <col collapsed="false" customWidth="true" hidden="false" outlineLevel="0" max="15" min="15" style="372" width="10.66"/>
    <col collapsed="false" customWidth="true" hidden="false" outlineLevel="0" max="16" min="16" style="372" width="13.49"/>
    <col collapsed="false" customWidth="true" hidden="false" outlineLevel="0" max="17" min="17" style="372" width="10.66"/>
    <col collapsed="false" customWidth="true" hidden="false" outlineLevel="0" max="18" min="18" style="372" width="13.49"/>
    <col collapsed="false" customWidth="true" hidden="false" outlineLevel="0" max="19" min="19" style="372" width="10.66"/>
    <col collapsed="false" customWidth="false" hidden="false" outlineLevel="0" max="257" min="20" style="372" width="8.82"/>
  </cols>
  <sheetData>
    <row r="2" customFormat="false" ht="13" hidden="false" customHeight="false" outlineLevel="0" collapsed="false">
      <c r="B2" s="341" t="s">
        <v>401</v>
      </c>
      <c r="H2" s="341" t="s">
        <v>402</v>
      </c>
    </row>
    <row r="3" customFormat="false" ht="12" hidden="false" customHeight="false" outlineLevel="0" collapsed="false">
      <c r="F3" s="599"/>
      <c r="G3" s="599"/>
    </row>
    <row r="4" customFormat="false" ht="15" hidden="false" customHeight="true" outlineLevel="0" collapsed="false">
      <c r="B4" s="600"/>
      <c r="C4" s="601"/>
      <c r="D4" s="601"/>
      <c r="E4" s="601"/>
      <c r="F4" s="602"/>
      <c r="G4" s="599"/>
      <c r="H4" s="378" t="s">
        <v>96</v>
      </c>
      <c r="I4" s="378" t="s">
        <v>223</v>
      </c>
      <c r="J4" s="379" t="s">
        <v>319</v>
      </c>
      <c r="K4" s="380" t="s">
        <v>403</v>
      </c>
      <c r="L4" s="500" t="s">
        <v>404</v>
      </c>
      <c r="M4" s="500"/>
      <c r="N4" s="603" t="s">
        <v>403</v>
      </c>
      <c r="O4" s="603"/>
      <c r="P4" s="506" t="s">
        <v>405</v>
      </c>
      <c r="Q4" s="506"/>
      <c r="R4" s="506" t="s">
        <v>406</v>
      </c>
      <c r="S4" s="506"/>
      <c r="T4" s="378" t="s">
        <v>407</v>
      </c>
    </row>
    <row r="5" customFormat="false" ht="14" hidden="false" customHeight="false" outlineLevel="0" collapsed="false">
      <c r="B5" s="448" t="s">
        <v>150</v>
      </c>
      <c r="C5" s="166"/>
      <c r="D5" s="166"/>
      <c r="E5" s="604"/>
      <c r="F5" s="73"/>
      <c r="G5" s="599"/>
      <c r="H5" s="378"/>
      <c r="I5" s="378"/>
      <c r="J5" s="379"/>
      <c r="K5" s="380"/>
      <c r="L5" s="605" t="s">
        <v>222</v>
      </c>
      <c r="M5" s="606" t="s">
        <v>148</v>
      </c>
      <c r="N5" s="607" t="s">
        <v>408</v>
      </c>
      <c r="O5" s="608" t="s">
        <v>148</v>
      </c>
      <c r="P5" s="608" t="s">
        <v>408</v>
      </c>
      <c r="Q5" s="608" t="s">
        <v>148</v>
      </c>
      <c r="R5" s="608" t="s">
        <v>408</v>
      </c>
      <c r="S5" s="608" t="s">
        <v>148</v>
      </c>
      <c r="T5" s="378"/>
    </row>
    <row r="6" customFormat="false" ht="14" hidden="false" customHeight="false" outlineLevel="0" collapsed="false">
      <c r="B6" s="63" t="s">
        <v>229</v>
      </c>
      <c r="C6" s="166"/>
      <c r="D6" s="166"/>
      <c r="E6" s="604"/>
      <c r="F6" s="73"/>
      <c r="G6" s="599"/>
      <c r="H6" s="400" t="s">
        <v>114</v>
      </c>
      <c r="I6" s="401" t="n">
        <f aca="false">'Input-Detail'!E14</f>
        <v>19016173</v>
      </c>
      <c r="J6" s="402" t="n">
        <f aca="false">'Input-Detail'!F14</f>
        <v>0</v>
      </c>
      <c r="K6" s="411" t="n">
        <f aca="false">I6*J6</f>
        <v>0</v>
      </c>
      <c r="L6" s="609" t="n">
        <f aca="false">'Input-Detail'!BL13</f>
        <v>0.64</v>
      </c>
      <c r="M6" s="610" t="n">
        <f aca="false">'Input-Detail'!BM13</f>
        <v>0.36</v>
      </c>
      <c r="N6" s="611" t="n">
        <f aca="false">K6*L6</f>
        <v>0</v>
      </c>
      <c r="O6" s="612" t="n">
        <f aca="false">K6*M6</f>
        <v>0</v>
      </c>
      <c r="P6" s="612" t="n">
        <f aca="false">N6/$E$8</f>
        <v>0</v>
      </c>
      <c r="Q6" s="612" t="n">
        <f aca="false">O6/$E$13</f>
        <v>0</v>
      </c>
      <c r="R6" s="613" t="n">
        <f aca="false">($E$7*$E$9+$E$10)*P6</f>
        <v>0</v>
      </c>
      <c r="S6" s="613" t="n">
        <f aca="false">($E$12*$E$14+$E$15)*Q6</f>
        <v>0</v>
      </c>
      <c r="T6" s="614" t="n">
        <f aca="false">(R6+S6)*$E$17</f>
        <v>0</v>
      </c>
    </row>
    <row r="7" customFormat="false" ht="13" hidden="false" customHeight="false" outlineLevel="0" collapsed="false">
      <c r="B7" s="398"/>
      <c r="C7" s="165" t="s">
        <v>156</v>
      </c>
      <c r="D7" s="166"/>
      <c r="E7" s="615" t="n">
        <f aca="false">'Input-Detail'!AZ15</f>
        <v>1.35</v>
      </c>
      <c r="F7" s="73"/>
      <c r="G7" s="599"/>
      <c r="H7" s="400" t="n">
        <v>1</v>
      </c>
      <c r="I7" s="401" t="n">
        <f aca="false">'Input-Detail'!E15</f>
        <v>19565364.35</v>
      </c>
      <c r="J7" s="402" t="n">
        <f aca="false">'Input-Detail'!F15</f>
        <v>0.0495</v>
      </c>
      <c r="K7" s="411" t="n">
        <f aca="false">I7*J7</f>
        <v>968485.535325</v>
      </c>
      <c r="L7" s="616" t="n">
        <f aca="false">'Input-Detail'!BL14</f>
        <v>0.64</v>
      </c>
      <c r="M7" s="617" t="n">
        <f aca="false">'Input-Detail'!BM14</f>
        <v>0.36</v>
      </c>
      <c r="N7" s="611" t="n">
        <f aca="false">K7*L7</f>
        <v>619830.742608</v>
      </c>
      <c r="O7" s="612" t="n">
        <f aca="false">K7*M7</f>
        <v>348654.792717</v>
      </c>
      <c r="P7" s="612" t="n">
        <f aca="false">N7/$E$8</f>
        <v>3873.9421413</v>
      </c>
      <c r="Q7" s="612" t="n">
        <f aca="false">O7/$E$13</f>
        <v>2179.09245448125</v>
      </c>
      <c r="R7" s="613" t="n">
        <f aca="false">($E$7*$E$9+$E$10)*P7</f>
        <v>234373.49954865</v>
      </c>
      <c r="S7" s="613" t="n">
        <f aca="false">($E$12*$E$14+$E$15)*Q7</f>
        <v>43581.849089625</v>
      </c>
      <c r="T7" s="614" t="n">
        <f aca="false">(R7+S7)*$E$17</f>
        <v>13897.7674319138</v>
      </c>
    </row>
    <row r="8" customFormat="false" ht="13" hidden="false" customHeight="false" outlineLevel="0" collapsed="false">
      <c r="B8" s="398"/>
      <c r="C8" s="165" t="s">
        <v>159</v>
      </c>
      <c r="D8" s="166"/>
      <c r="E8" s="618" t="n">
        <f aca="false">'Input-Detail'!AZ16</f>
        <v>160</v>
      </c>
      <c r="F8" s="73"/>
      <c r="G8" s="599"/>
      <c r="H8" s="400" t="n">
        <v>2</v>
      </c>
      <c r="I8" s="401" t="n">
        <f aca="false">'Input-Detail'!E16</f>
        <v>20114555.7</v>
      </c>
      <c r="J8" s="402" t="n">
        <f aca="false">'Input-Detail'!F16</f>
        <v>0.099</v>
      </c>
      <c r="K8" s="411" t="n">
        <f aca="false">I8*J8</f>
        <v>1991341.0143</v>
      </c>
      <c r="L8" s="616" t="n">
        <f aca="false">'Input-Detail'!BL15</f>
        <v>0.64</v>
      </c>
      <c r="M8" s="617" t="n">
        <f aca="false">'Input-Detail'!BM15</f>
        <v>0.36</v>
      </c>
      <c r="N8" s="611" t="n">
        <f aca="false">K8*L8</f>
        <v>1274458.249152</v>
      </c>
      <c r="O8" s="612" t="n">
        <f aca="false">K8*M8</f>
        <v>716882.765148</v>
      </c>
      <c r="P8" s="612" t="n">
        <f aca="false">N8/$E$8</f>
        <v>7965.3640572</v>
      </c>
      <c r="Q8" s="612" t="n">
        <f aca="false">O8/$E$13</f>
        <v>4480.517282175</v>
      </c>
      <c r="R8" s="613" t="n">
        <f aca="false">($E$7*$E$9+$E$10)*P8</f>
        <v>481904.5254606</v>
      </c>
      <c r="S8" s="613" t="n">
        <f aca="false">($E$12*$E$14+$E$15)*Q8</f>
        <v>89610.3456435</v>
      </c>
      <c r="T8" s="614" t="n">
        <f aca="false">(R8+S8)*$E$17</f>
        <v>28575.743555205</v>
      </c>
    </row>
    <row r="9" customFormat="false" ht="13" hidden="false" customHeight="false" outlineLevel="0" collapsed="false">
      <c r="B9" s="398"/>
      <c r="C9" s="165" t="s">
        <v>162</v>
      </c>
      <c r="D9" s="166"/>
      <c r="E9" s="619" t="n">
        <f aca="false">'Input-Detail'!AZ17</f>
        <v>30</v>
      </c>
      <c r="F9" s="73"/>
      <c r="G9" s="599"/>
      <c r="H9" s="400" t="n">
        <v>3</v>
      </c>
      <c r="I9" s="401" t="n">
        <f aca="false">'Input-Detail'!E17</f>
        <v>20663747.05</v>
      </c>
      <c r="J9" s="402" t="n">
        <f aca="false">'Input-Detail'!F17</f>
        <v>0.1485</v>
      </c>
      <c r="K9" s="411" t="n">
        <f aca="false">I9*J9</f>
        <v>3068566.436925</v>
      </c>
      <c r="L9" s="616" t="n">
        <f aca="false">'Input-Detail'!BL16</f>
        <v>0.64</v>
      </c>
      <c r="M9" s="617" t="n">
        <f aca="false">'Input-Detail'!BM16</f>
        <v>0.36</v>
      </c>
      <c r="N9" s="611" t="n">
        <f aca="false">K9*L9</f>
        <v>1963882.519632</v>
      </c>
      <c r="O9" s="612" t="n">
        <f aca="false">K9*M9</f>
        <v>1104683.917293</v>
      </c>
      <c r="P9" s="612" t="n">
        <f aca="false">N9/$E$8</f>
        <v>12274.2657477</v>
      </c>
      <c r="Q9" s="612" t="n">
        <f aca="false">O9/$E$13</f>
        <v>6904.27448308125</v>
      </c>
      <c r="R9" s="613" t="n">
        <f aca="false">($E$7*$E$9+$E$10)*P9</f>
        <v>742593.07773585</v>
      </c>
      <c r="S9" s="613" t="n">
        <f aca="false">($E$12*$E$14+$E$15)*Q9</f>
        <v>138085.489661625</v>
      </c>
      <c r="T9" s="614" t="n">
        <f aca="false">(R9+S9)*$E$17</f>
        <v>44033.9283698738</v>
      </c>
    </row>
    <row r="10" customFormat="false" ht="13" hidden="false" customHeight="false" outlineLevel="0" collapsed="false">
      <c r="B10" s="398"/>
      <c r="C10" s="165" t="s">
        <v>166</v>
      </c>
      <c r="D10" s="166"/>
      <c r="E10" s="619" t="n">
        <f aca="false">'Input-Detail'!AZ18</f>
        <v>20</v>
      </c>
      <c r="F10" s="73"/>
      <c r="G10" s="599"/>
      <c r="H10" s="400" t="n">
        <v>4</v>
      </c>
      <c r="I10" s="401" t="n">
        <f aca="false">'Input-Detail'!E18</f>
        <v>21212938.4</v>
      </c>
      <c r="J10" s="402" t="n">
        <f aca="false">'Input-Detail'!F18</f>
        <v>0.198</v>
      </c>
      <c r="K10" s="411" t="n">
        <f aca="false">I10*J10</f>
        <v>4200161.8032</v>
      </c>
      <c r="L10" s="616" t="n">
        <f aca="false">'Input-Detail'!BL17</f>
        <v>0.64</v>
      </c>
      <c r="M10" s="617" t="n">
        <f aca="false">'Input-Detail'!BM17</f>
        <v>0.36</v>
      </c>
      <c r="N10" s="611" t="n">
        <f aca="false">K10*L10</f>
        <v>2688103.554048</v>
      </c>
      <c r="O10" s="612" t="n">
        <f aca="false">K10*M10</f>
        <v>1512058.249152</v>
      </c>
      <c r="P10" s="612" t="n">
        <f aca="false">N10/$E$8</f>
        <v>16800.6472128</v>
      </c>
      <c r="Q10" s="612" t="n">
        <f aca="false">O10/$E$13</f>
        <v>9450.3640572</v>
      </c>
      <c r="R10" s="613" t="n">
        <f aca="false">($E$7*$E$9+$E$10)*P10</f>
        <v>1016439.1563744</v>
      </c>
      <c r="S10" s="613" t="n">
        <f aca="false">($E$12*$E$14+$E$15)*Q10</f>
        <v>189007.281144</v>
      </c>
      <c r="T10" s="614" t="n">
        <f aca="false">(R10+S10)*$E$17</f>
        <v>60272.32187592</v>
      </c>
    </row>
    <row r="11" customFormat="false" ht="13" hidden="false" customHeight="false" outlineLevel="0" collapsed="false">
      <c r="B11" s="63" t="s">
        <v>233</v>
      </c>
      <c r="C11" s="166"/>
      <c r="D11" s="166"/>
      <c r="E11" s="604"/>
      <c r="F11" s="73"/>
      <c r="G11" s="599"/>
      <c r="H11" s="400" t="n">
        <v>5</v>
      </c>
      <c r="I11" s="401" t="n">
        <f aca="false">'Input-Detail'!E19</f>
        <v>21762129.75</v>
      </c>
      <c r="J11" s="402" t="n">
        <f aca="false">'Input-Detail'!F19</f>
        <v>0.2475</v>
      </c>
      <c r="K11" s="411" t="n">
        <f aca="false">I11*J11</f>
        <v>5386127.113125</v>
      </c>
      <c r="L11" s="616" t="n">
        <f aca="false">'Input-Detail'!BL18</f>
        <v>0.64</v>
      </c>
      <c r="M11" s="617" t="n">
        <f aca="false">'Input-Detail'!BM18</f>
        <v>0.36</v>
      </c>
      <c r="N11" s="611" t="n">
        <f aca="false">K11*L11</f>
        <v>3447121.3524</v>
      </c>
      <c r="O11" s="612" t="n">
        <f aca="false">K11*M11</f>
        <v>1939005.760725</v>
      </c>
      <c r="P11" s="612" t="n">
        <f aca="false">N11/$E$8</f>
        <v>21544.5084525</v>
      </c>
      <c r="Q11" s="612" t="n">
        <f aca="false">O11/$E$13</f>
        <v>12118.7860045313</v>
      </c>
      <c r="R11" s="613" t="n">
        <f aca="false">($E$7*$E$9+$E$10)*P11</f>
        <v>1303442.76137625</v>
      </c>
      <c r="S11" s="613" t="n">
        <f aca="false">($E$12*$E$14+$E$15)*Q11</f>
        <v>242375.720090625</v>
      </c>
      <c r="T11" s="614" t="n">
        <f aca="false">(R11+S11)*$E$17</f>
        <v>77290.9240733438</v>
      </c>
    </row>
    <row r="12" customFormat="false" ht="13" hidden="false" customHeight="false" outlineLevel="0" collapsed="false">
      <c r="B12" s="448"/>
      <c r="C12" s="165" t="s">
        <v>156</v>
      </c>
      <c r="D12" s="166"/>
      <c r="E12" s="615" t="n">
        <f aca="false">'Input-Detail'!AZ20</f>
        <v>1.35</v>
      </c>
      <c r="F12" s="73"/>
      <c r="G12" s="599"/>
      <c r="H12" s="400" t="n">
        <v>6</v>
      </c>
      <c r="I12" s="401" t="n">
        <f aca="false">'Input-Detail'!E20</f>
        <v>22311321.1</v>
      </c>
      <c r="J12" s="402" t="n">
        <f aca="false">'Input-Detail'!F20</f>
        <v>0.297</v>
      </c>
      <c r="K12" s="411" t="n">
        <f aca="false">I12*J12</f>
        <v>6626462.3667</v>
      </c>
      <c r="L12" s="616" t="n">
        <f aca="false">'Input-Detail'!BL19</f>
        <v>0.64</v>
      </c>
      <c r="M12" s="617" t="n">
        <f aca="false">'Input-Detail'!BM19</f>
        <v>0.36</v>
      </c>
      <c r="N12" s="611" t="n">
        <f aca="false">K12*L12</f>
        <v>4240935.914688</v>
      </c>
      <c r="O12" s="612" t="n">
        <f aca="false">K12*M12</f>
        <v>2385526.452012</v>
      </c>
      <c r="P12" s="612" t="n">
        <f aca="false">N12/$E$8</f>
        <v>26505.8494668</v>
      </c>
      <c r="Q12" s="612" t="n">
        <f aca="false">O12/$E$13</f>
        <v>14909.540325075</v>
      </c>
      <c r="R12" s="613" t="n">
        <f aca="false">($E$7*$E$9+$E$10)*P12</f>
        <v>1603603.8927414</v>
      </c>
      <c r="S12" s="613" t="n">
        <f aca="false">($E$12*$E$14+$E$15)*Q12</f>
        <v>298190.8065015</v>
      </c>
      <c r="T12" s="614" t="n">
        <f aca="false">(R12+S12)*$E$17</f>
        <v>95089.734962145</v>
      </c>
    </row>
    <row r="13" customFormat="false" ht="13" hidden="false" customHeight="false" outlineLevel="0" collapsed="false">
      <c r="B13" s="448"/>
      <c r="C13" s="165" t="s">
        <v>159</v>
      </c>
      <c r="D13" s="166"/>
      <c r="E13" s="618" t="n">
        <f aca="false">'Input-Detail'!AZ21</f>
        <v>160</v>
      </c>
      <c r="F13" s="73"/>
      <c r="G13" s="599"/>
      <c r="H13" s="400" t="n">
        <v>7</v>
      </c>
      <c r="I13" s="401" t="n">
        <f aca="false">'Input-Detail'!E21</f>
        <v>22860512.45</v>
      </c>
      <c r="J13" s="402" t="n">
        <f aca="false">'Input-Detail'!F21</f>
        <v>0.3465</v>
      </c>
      <c r="K13" s="411" t="n">
        <f aca="false">I13*J13</f>
        <v>7921167.563925</v>
      </c>
      <c r="L13" s="616" t="n">
        <f aca="false">'Input-Detail'!BL20</f>
        <v>0.64</v>
      </c>
      <c r="M13" s="617" t="n">
        <f aca="false">'Input-Detail'!BM20</f>
        <v>0.36</v>
      </c>
      <c r="N13" s="611" t="n">
        <f aca="false">K13*L13</f>
        <v>5069547.240912</v>
      </c>
      <c r="O13" s="612" t="n">
        <f aca="false">K13*M13</f>
        <v>2851620.323013</v>
      </c>
      <c r="P13" s="612" t="n">
        <f aca="false">N13/$E$8</f>
        <v>31684.6702557</v>
      </c>
      <c r="Q13" s="612" t="n">
        <f aca="false">O13/$E$13</f>
        <v>17822.6270188313</v>
      </c>
      <c r="R13" s="613" t="n">
        <f aca="false">($E$7*$E$9+$E$10)*P13</f>
        <v>1916922.55046985</v>
      </c>
      <c r="S13" s="613" t="n">
        <f aca="false">($E$12*$E$14+$E$15)*Q13</f>
        <v>356452.540376625</v>
      </c>
      <c r="T13" s="614" t="n">
        <f aca="false">(R13+S13)*$E$17</f>
        <v>113668.754542324</v>
      </c>
    </row>
    <row r="14" customFormat="false" ht="13" hidden="false" customHeight="false" outlineLevel="0" collapsed="false">
      <c r="B14" s="398"/>
      <c r="C14" s="165" t="s">
        <v>162</v>
      </c>
      <c r="D14" s="166"/>
      <c r="E14" s="619" t="n">
        <f aca="false">'Input-Detail'!AZ22</f>
        <v>0</v>
      </c>
      <c r="F14" s="73"/>
      <c r="H14" s="400" t="n">
        <v>8</v>
      </c>
      <c r="I14" s="401" t="n">
        <f aca="false">'Input-Detail'!E22</f>
        <v>23409703.8</v>
      </c>
      <c r="J14" s="402" t="n">
        <f aca="false">'Input-Detail'!F22</f>
        <v>0.396</v>
      </c>
      <c r="K14" s="411" t="n">
        <f aca="false">I14*J14</f>
        <v>9270242.7048</v>
      </c>
      <c r="L14" s="616" t="n">
        <f aca="false">'Input-Detail'!BL21</f>
        <v>0.64</v>
      </c>
      <c r="M14" s="617" t="n">
        <f aca="false">'Input-Detail'!BM21</f>
        <v>0.36</v>
      </c>
      <c r="N14" s="611" t="n">
        <f aca="false">K14*L14</f>
        <v>5932955.331072</v>
      </c>
      <c r="O14" s="612" t="n">
        <f aca="false">K14*M14</f>
        <v>3337287.373728</v>
      </c>
      <c r="P14" s="612" t="n">
        <f aca="false">N14/$E$8</f>
        <v>37080.9708192</v>
      </c>
      <c r="Q14" s="612" t="n">
        <f aca="false">O14/$E$13</f>
        <v>20858.0460858</v>
      </c>
      <c r="R14" s="613" t="n">
        <f aca="false">($E$7*$E$9+$E$10)*P14</f>
        <v>2243398.7345616</v>
      </c>
      <c r="S14" s="613" t="n">
        <f aca="false">($E$12*$E$14+$E$15)*Q14</f>
        <v>417160.921716</v>
      </c>
      <c r="T14" s="614" t="n">
        <f aca="false">(R14+S14)*$E$17</f>
        <v>133027.98281388</v>
      </c>
    </row>
    <row r="15" customFormat="false" ht="13" hidden="false" customHeight="false" outlineLevel="0" collapsed="false">
      <c r="A15" s="620"/>
      <c r="B15" s="448"/>
      <c r="C15" s="165" t="s">
        <v>166</v>
      </c>
      <c r="D15" s="166"/>
      <c r="E15" s="619" t="n">
        <f aca="false">'Input-Detail'!AZ23</f>
        <v>20</v>
      </c>
      <c r="F15" s="73"/>
      <c r="H15" s="400" t="n">
        <v>9</v>
      </c>
      <c r="I15" s="401" t="n">
        <f aca="false">'Input-Detail'!E23</f>
        <v>23958895.15</v>
      </c>
      <c r="J15" s="402" t="n">
        <f aca="false">'Input-Detail'!F23</f>
        <v>0.4455</v>
      </c>
      <c r="K15" s="411" t="n">
        <f aca="false">I15*J15</f>
        <v>10673687.789325</v>
      </c>
      <c r="L15" s="616" t="n">
        <f aca="false">'Input-Detail'!BL22</f>
        <v>0.64</v>
      </c>
      <c r="M15" s="617" t="n">
        <f aca="false">'Input-Detail'!BM22</f>
        <v>0.36</v>
      </c>
      <c r="N15" s="611" t="n">
        <f aca="false">K15*L15</f>
        <v>6831160.185168</v>
      </c>
      <c r="O15" s="612" t="n">
        <f aca="false">K15*M15</f>
        <v>3842527.604157</v>
      </c>
      <c r="P15" s="612" t="n">
        <f aca="false">N15/$E$8</f>
        <v>42694.7511573</v>
      </c>
      <c r="Q15" s="612" t="n">
        <f aca="false">O15/$E$13</f>
        <v>24015.7975259812</v>
      </c>
      <c r="R15" s="613" t="n">
        <f aca="false">($E$7*$E$9+$E$10)*P15</f>
        <v>2583032.44501665</v>
      </c>
      <c r="S15" s="613" t="n">
        <f aca="false">($E$12*$E$14+$E$15)*Q15</f>
        <v>480315.950519625</v>
      </c>
      <c r="T15" s="614" t="n">
        <f aca="false">(R15+S15)*$E$17</f>
        <v>153167.419776814</v>
      </c>
    </row>
    <row r="16" customFormat="false" ht="13" hidden="false" customHeight="false" outlineLevel="0" collapsed="false">
      <c r="B16" s="448"/>
      <c r="C16" s="165"/>
      <c r="D16" s="166"/>
      <c r="E16" s="621"/>
      <c r="F16" s="73"/>
      <c r="H16" s="400" t="n">
        <v>10</v>
      </c>
      <c r="I16" s="401" t="n">
        <f aca="false">'Input-Detail'!E24</f>
        <v>24508086.5</v>
      </c>
      <c r="J16" s="402" t="n">
        <f aca="false">'Input-Detail'!F24</f>
        <v>0.495</v>
      </c>
      <c r="K16" s="411" t="n">
        <f aca="false">I16*J16</f>
        <v>12131502.8175</v>
      </c>
      <c r="L16" s="616" t="n">
        <f aca="false">'Input-Detail'!BL23</f>
        <v>0.64</v>
      </c>
      <c r="M16" s="617" t="n">
        <f aca="false">'Input-Detail'!BM23</f>
        <v>0.36</v>
      </c>
      <c r="N16" s="611" t="n">
        <f aca="false">K16*L16</f>
        <v>7764161.8032</v>
      </c>
      <c r="O16" s="612" t="n">
        <f aca="false">K16*M16</f>
        <v>4367341.0143</v>
      </c>
      <c r="P16" s="612" t="n">
        <f aca="false">N16/$E$8</f>
        <v>48526.01127</v>
      </c>
      <c r="Q16" s="612" t="n">
        <f aca="false">O16/$E$13</f>
        <v>27295.881339375</v>
      </c>
      <c r="R16" s="613" t="n">
        <f aca="false">($E$7*$E$9+$E$10)*P16</f>
        <v>2935823.681835</v>
      </c>
      <c r="S16" s="613" t="n">
        <f aca="false">($E$12*$E$14+$E$15)*Q16</f>
        <v>545917.6267875</v>
      </c>
      <c r="T16" s="614" t="n">
        <f aca="false">(R16+S16)*$E$17</f>
        <v>174087.065431125</v>
      </c>
    </row>
    <row r="17" customFormat="false" ht="13" hidden="false" customHeight="false" outlineLevel="0" collapsed="false">
      <c r="B17" s="448" t="s">
        <v>155</v>
      </c>
      <c r="C17" s="165"/>
      <c r="D17" s="166"/>
      <c r="E17" s="622" t="n">
        <f aca="false">'Input-Detail'!BV30</f>
        <v>0.05</v>
      </c>
      <c r="F17" s="73"/>
      <c r="H17" s="400" t="n">
        <v>11</v>
      </c>
      <c r="I17" s="401" t="n">
        <f aca="false">'Input-Detail'!E25</f>
        <v>25057277.85</v>
      </c>
      <c r="J17" s="402" t="n">
        <f aca="false">'Input-Detail'!F25</f>
        <v>0.5445</v>
      </c>
      <c r="K17" s="411" t="n">
        <f aca="false">I17*J17</f>
        <v>13643687.789325</v>
      </c>
      <c r="L17" s="616" t="n">
        <f aca="false">'Input-Detail'!BL24</f>
        <v>0.64</v>
      </c>
      <c r="M17" s="617" t="n">
        <f aca="false">'Input-Detail'!BM24</f>
        <v>0.36</v>
      </c>
      <c r="N17" s="611" t="n">
        <f aca="false">K17*L17</f>
        <v>8731960.185168</v>
      </c>
      <c r="O17" s="612" t="n">
        <f aca="false">K17*M17</f>
        <v>4911727.604157</v>
      </c>
      <c r="P17" s="612" t="n">
        <f aca="false">N17/$E$8</f>
        <v>54574.7511573</v>
      </c>
      <c r="Q17" s="612" t="n">
        <f aca="false">O17/$E$13</f>
        <v>30698.2975259813</v>
      </c>
      <c r="R17" s="613" t="n">
        <f aca="false">($E$7*$E$9+$E$10)*P17</f>
        <v>3301772.44501665</v>
      </c>
      <c r="S17" s="613" t="n">
        <f aca="false">($E$12*$E$14+$E$15)*Q17</f>
        <v>613965.950519625</v>
      </c>
      <c r="T17" s="614" t="n">
        <f aca="false">(R17+S17)*$E$17</f>
        <v>195786.919776814</v>
      </c>
    </row>
    <row r="18" customFormat="false" ht="13" hidden="false" customHeight="false" outlineLevel="0" collapsed="false">
      <c r="B18" s="623"/>
      <c r="C18" s="624"/>
      <c r="D18" s="624"/>
      <c r="E18" s="625"/>
      <c r="F18" s="143"/>
      <c r="H18" s="400" t="n">
        <v>12</v>
      </c>
      <c r="I18" s="401" t="n">
        <f aca="false">'Input-Detail'!E26</f>
        <v>25606469.2</v>
      </c>
      <c r="J18" s="402" t="n">
        <f aca="false">'Input-Detail'!F26</f>
        <v>0.594</v>
      </c>
      <c r="K18" s="411" t="n">
        <f aca="false">I18*J18</f>
        <v>15210242.7048</v>
      </c>
      <c r="L18" s="616" t="n">
        <f aca="false">'Input-Detail'!BL25</f>
        <v>0.64</v>
      </c>
      <c r="M18" s="617" t="n">
        <f aca="false">'Input-Detail'!BM25</f>
        <v>0.36</v>
      </c>
      <c r="N18" s="611" t="n">
        <f aca="false">K18*L18</f>
        <v>9734555.331072</v>
      </c>
      <c r="O18" s="612" t="n">
        <f aca="false">K18*M18</f>
        <v>5475687.373728</v>
      </c>
      <c r="P18" s="612" t="n">
        <f aca="false">N18/$E$8</f>
        <v>60840.9708192</v>
      </c>
      <c r="Q18" s="612" t="n">
        <f aca="false">O18/$E$13</f>
        <v>34223.0460858</v>
      </c>
      <c r="R18" s="613" t="n">
        <f aca="false">($E$7*$E$9+$E$10)*P18</f>
        <v>3680878.7345616</v>
      </c>
      <c r="S18" s="613" t="n">
        <f aca="false">($E$12*$E$14+$E$15)*Q18</f>
        <v>684460.921716</v>
      </c>
      <c r="T18" s="614" t="n">
        <f aca="false">(R18+S18)*$E$17</f>
        <v>218266.98281388</v>
      </c>
    </row>
    <row r="19" customFormat="false" ht="12" hidden="false" customHeight="false" outlineLevel="0" collapsed="false">
      <c r="H19" s="400" t="n">
        <v>13</v>
      </c>
      <c r="I19" s="401" t="n">
        <f aca="false">'Input-Detail'!E27</f>
        <v>26155660.55</v>
      </c>
      <c r="J19" s="402" t="n">
        <f aca="false">'Input-Detail'!F27</f>
        <v>0.6435</v>
      </c>
      <c r="K19" s="411" t="n">
        <f aca="false">I19*J19</f>
        <v>16831167.563925</v>
      </c>
      <c r="L19" s="616" t="n">
        <f aca="false">'Input-Detail'!BL26</f>
        <v>0.64</v>
      </c>
      <c r="M19" s="617" t="n">
        <f aca="false">'Input-Detail'!BM26</f>
        <v>0.36</v>
      </c>
      <c r="N19" s="611" t="n">
        <f aca="false">K19*L19</f>
        <v>10771947.240912</v>
      </c>
      <c r="O19" s="612" t="n">
        <f aca="false">K19*M19</f>
        <v>6059220.323013</v>
      </c>
      <c r="P19" s="612" t="n">
        <f aca="false">N19/$E$8</f>
        <v>67324.6702557</v>
      </c>
      <c r="Q19" s="612" t="n">
        <f aca="false">O19/$E$13</f>
        <v>37870.1270188313</v>
      </c>
      <c r="R19" s="613" t="n">
        <f aca="false">($E$7*$E$9+$E$10)*P19</f>
        <v>4073142.55046985</v>
      </c>
      <c r="S19" s="613" t="n">
        <f aca="false">($E$12*$E$14+$E$15)*Q19</f>
        <v>757402.540376625</v>
      </c>
      <c r="T19" s="614" t="n">
        <f aca="false">(R19+S19)*$E$17</f>
        <v>241527.254542324</v>
      </c>
    </row>
    <row r="20" customFormat="false" ht="12" hidden="false" customHeight="false" outlineLevel="0" collapsed="false">
      <c r="H20" s="400" t="n">
        <v>14</v>
      </c>
      <c r="I20" s="401" t="n">
        <f aca="false">'Input-Detail'!E28</f>
        <v>26704851.9</v>
      </c>
      <c r="J20" s="402" t="n">
        <f aca="false">'Input-Detail'!F28</f>
        <v>0.693</v>
      </c>
      <c r="K20" s="411" t="n">
        <f aca="false">I20*J20</f>
        <v>18506462.3667</v>
      </c>
      <c r="L20" s="616" t="n">
        <f aca="false">'Input-Detail'!BL27</f>
        <v>0.64</v>
      </c>
      <c r="M20" s="617" t="n">
        <f aca="false">'Input-Detail'!BM27</f>
        <v>0.36</v>
      </c>
      <c r="N20" s="611" t="n">
        <f aca="false">K20*L20</f>
        <v>11844135.914688</v>
      </c>
      <c r="O20" s="612" t="n">
        <f aca="false">K20*M20</f>
        <v>6662326.452012</v>
      </c>
      <c r="P20" s="612" t="n">
        <f aca="false">N20/$E$8</f>
        <v>74025.8494668</v>
      </c>
      <c r="Q20" s="612" t="n">
        <f aca="false">O20/$E$13</f>
        <v>41639.540325075</v>
      </c>
      <c r="R20" s="613" t="n">
        <f aca="false">($E$7*$E$9+$E$10)*P20</f>
        <v>4478563.8927414</v>
      </c>
      <c r="S20" s="613" t="n">
        <f aca="false">($E$12*$E$14+$E$15)*Q20</f>
        <v>832790.8065015</v>
      </c>
      <c r="T20" s="614" t="n">
        <f aca="false">(R20+S20)*$E$17</f>
        <v>265567.734962145</v>
      </c>
    </row>
    <row r="21" customFormat="false" ht="12" hidden="false" customHeight="false" outlineLevel="0" collapsed="false">
      <c r="H21" s="400" t="n">
        <v>15</v>
      </c>
      <c r="I21" s="401" t="n">
        <f aca="false">'Input-Detail'!E29</f>
        <v>27254043.25</v>
      </c>
      <c r="J21" s="402" t="n">
        <f aca="false">'Input-Detail'!F29</f>
        <v>0.7425</v>
      </c>
      <c r="K21" s="411" t="n">
        <f aca="false">I21*J21</f>
        <v>20236127.113125</v>
      </c>
      <c r="L21" s="616" t="n">
        <f aca="false">'Input-Detail'!BL28</f>
        <v>0.64</v>
      </c>
      <c r="M21" s="617" t="n">
        <f aca="false">'Input-Detail'!BM28</f>
        <v>0.36</v>
      </c>
      <c r="N21" s="611" t="n">
        <f aca="false">K21*L21</f>
        <v>12951121.3524</v>
      </c>
      <c r="O21" s="612" t="n">
        <f aca="false">K21*M21</f>
        <v>7285005.760725</v>
      </c>
      <c r="P21" s="612" t="n">
        <f aca="false">N21/$E$8</f>
        <v>80944.5084525</v>
      </c>
      <c r="Q21" s="612" t="n">
        <f aca="false">O21/$E$13</f>
        <v>45531.2860045313</v>
      </c>
      <c r="R21" s="613" t="n">
        <f aca="false">($E$7*$E$9+$E$10)*P21</f>
        <v>4897142.76137625</v>
      </c>
      <c r="S21" s="613" t="n">
        <f aca="false">($E$12*$E$14+$E$15)*Q21</f>
        <v>910625.720090625</v>
      </c>
      <c r="T21" s="614" t="n">
        <f aca="false">(R21+S21)*$E$17</f>
        <v>290388.424073344</v>
      </c>
    </row>
    <row r="22" customFormat="false" ht="12" hidden="false" customHeight="false" outlineLevel="0" collapsed="false">
      <c r="H22" s="400" t="n">
        <v>16</v>
      </c>
      <c r="I22" s="401" t="n">
        <f aca="false">'Input-Detail'!E30</f>
        <v>27803234.6</v>
      </c>
      <c r="J22" s="402" t="n">
        <f aca="false">'Input-Detail'!F30</f>
        <v>0.792</v>
      </c>
      <c r="K22" s="411" t="n">
        <f aca="false">I22*J22</f>
        <v>22020161.8032</v>
      </c>
      <c r="L22" s="616" t="n">
        <f aca="false">'Input-Detail'!BL29</f>
        <v>0.64</v>
      </c>
      <c r="M22" s="617" t="n">
        <f aca="false">'Input-Detail'!BM29</f>
        <v>0.36</v>
      </c>
      <c r="N22" s="611" t="n">
        <f aca="false">K22*L22</f>
        <v>14092903.554048</v>
      </c>
      <c r="O22" s="612" t="n">
        <f aca="false">K22*M22</f>
        <v>7927258.249152</v>
      </c>
      <c r="P22" s="612" t="n">
        <f aca="false">N22/$E$8</f>
        <v>88080.6472128</v>
      </c>
      <c r="Q22" s="612" t="n">
        <f aca="false">O22/$E$13</f>
        <v>49545.3640572</v>
      </c>
      <c r="R22" s="613" t="n">
        <f aca="false">($E$7*$E$9+$E$10)*P22</f>
        <v>5328879.1563744</v>
      </c>
      <c r="S22" s="613" t="n">
        <f aca="false">($E$12*$E$14+$E$15)*Q22</f>
        <v>990907.281144</v>
      </c>
      <c r="T22" s="614" t="n">
        <f aca="false">(R22+S22)*$E$17</f>
        <v>315989.32187592</v>
      </c>
    </row>
    <row r="23" customFormat="false" ht="12" hidden="false" customHeight="false" outlineLevel="0" collapsed="false">
      <c r="H23" s="400" t="n">
        <v>17</v>
      </c>
      <c r="I23" s="401" t="n">
        <f aca="false">'Input-Detail'!E31</f>
        <v>28352425.95</v>
      </c>
      <c r="J23" s="402" t="n">
        <f aca="false">'Input-Detail'!F31</f>
        <v>0.8415</v>
      </c>
      <c r="K23" s="411" t="n">
        <f aca="false">I23*J23</f>
        <v>23858566.436925</v>
      </c>
      <c r="L23" s="616" t="n">
        <f aca="false">'Input-Detail'!BL30</f>
        <v>0.64</v>
      </c>
      <c r="M23" s="617" t="n">
        <f aca="false">'Input-Detail'!BM30</f>
        <v>0.36</v>
      </c>
      <c r="N23" s="611" t="n">
        <f aca="false">K23*L23</f>
        <v>15269482.519632</v>
      </c>
      <c r="O23" s="612" t="n">
        <f aca="false">K23*M23</f>
        <v>8589083.917293</v>
      </c>
      <c r="P23" s="612" t="n">
        <f aca="false">N23/$E$8</f>
        <v>95434.2657477</v>
      </c>
      <c r="Q23" s="612" t="n">
        <f aca="false">O23/$E$13</f>
        <v>53681.7744830812</v>
      </c>
      <c r="R23" s="613" t="n">
        <f aca="false">($E$7*$E$9+$E$10)*P23</f>
        <v>5773773.07773585</v>
      </c>
      <c r="S23" s="613" t="n">
        <f aca="false">($E$12*$E$14+$E$15)*Q23</f>
        <v>1073635.48966163</v>
      </c>
      <c r="T23" s="614" t="n">
        <f aca="false">(R23+S23)*$E$17</f>
        <v>342370.428369874</v>
      </c>
    </row>
    <row r="24" customFormat="false" ht="12" hidden="false" customHeight="false" outlineLevel="0" collapsed="false">
      <c r="H24" s="400" t="n">
        <v>18</v>
      </c>
      <c r="I24" s="401" t="n">
        <f aca="false">'Input-Detail'!E32</f>
        <v>28901617.3</v>
      </c>
      <c r="J24" s="402" t="n">
        <f aca="false">'Input-Detail'!F32</f>
        <v>0.891</v>
      </c>
      <c r="K24" s="411" t="n">
        <f aca="false">I24*J24</f>
        <v>25751341.0143</v>
      </c>
      <c r="L24" s="616" t="n">
        <f aca="false">'Input-Detail'!BL31</f>
        <v>0.64</v>
      </c>
      <c r="M24" s="617" t="n">
        <f aca="false">'Input-Detail'!BM31</f>
        <v>0.36</v>
      </c>
      <c r="N24" s="611" t="n">
        <f aca="false">K24*L24</f>
        <v>16480858.249152</v>
      </c>
      <c r="O24" s="612" t="n">
        <f aca="false">K24*M24</f>
        <v>9270482.765148</v>
      </c>
      <c r="P24" s="612" t="n">
        <f aca="false">N24/$E$8</f>
        <v>103005.3640572</v>
      </c>
      <c r="Q24" s="612" t="n">
        <f aca="false">O24/$E$13</f>
        <v>57940.517282175</v>
      </c>
      <c r="R24" s="613" t="n">
        <f aca="false">($E$7*$E$9+$E$10)*P24</f>
        <v>6231824.5254606</v>
      </c>
      <c r="S24" s="613" t="n">
        <f aca="false">($E$12*$E$14+$E$15)*Q24</f>
        <v>1158810.3456435</v>
      </c>
      <c r="T24" s="614" t="n">
        <f aca="false">(R24+S24)*$E$17</f>
        <v>369531.743555205</v>
      </c>
    </row>
    <row r="25" customFormat="false" ht="12" hidden="false" customHeight="false" outlineLevel="0" collapsed="false">
      <c r="H25" s="400" t="n">
        <v>19</v>
      </c>
      <c r="I25" s="401" t="n">
        <f aca="false">'Input-Detail'!E33</f>
        <v>29450808.65</v>
      </c>
      <c r="J25" s="402" t="n">
        <f aca="false">'Input-Detail'!F33</f>
        <v>0.9405</v>
      </c>
      <c r="K25" s="411" t="n">
        <f aca="false">I25*J25</f>
        <v>27698485.535325</v>
      </c>
      <c r="L25" s="616" t="n">
        <f aca="false">'Input-Detail'!BL32</f>
        <v>0.64</v>
      </c>
      <c r="M25" s="617" t="n">
        <f aca="false">'Input-Detail'!BM32</f>
        <v>0.36</v>
      </c>
      <c r="N25" s="611" t="n">
        <f aca="false">K25*L25</f>
        <v>17727030.742608</v>
      </c>
      <c r="O25" s="612" t="n">
        <f aca="false">K25*M25</f>
        <v>9971454.792717</v>
      </c>
      <c r="P25" s="612" t="n">
        <f aca="false">N25/$E$8</f>
        <v>110793.9421413</v>
      </c>
      <c r="Q25" s="612" t="n">
        <f aca="false">O25/$E$13</f>
        <v>62321.5924544812</v>
      </c>
      <c r="R25" s="613" t="n">
        <f aca="false">($E$7*$E$9+$E$10)*P25</f>
        <v>6703033.49954865</v>
      </c>
      <c r="S25" s="613" t="n">
        <f aca="false">($E$12*$E$14+$E$15)*Q25</f>
        <v>1246431.84908962</v>
      </c>
      <c r="T25" s="614" t="n">
        <f aca="false">(R25+S25)*$E$17</f>
        <v>397473.267431914</v>
      </c>
    </row>
    <row r="26" customFormat="false" ht="12" hidden="false" customHeight="false" outlineLevel="0" collapsed="false">
      <c r="H26" s="452" t="n">
        <v>20</v>
      </c>
      <c r="I26" s="453" t="n">
        <f aca="false">'Input-Detail'!E34</f>
        <v>30000000</v>
      </c>
      <c r="J26" s="454" t="n">
        <f aca="false">'Input-Detail'!F34</f>
        <v>0.99</v>
      </c>
      <c r="K26" s="467" t="n">
        <f aca="false">I26*J26</f>
        <v>29700000</v>
      </c>
      <c r="L26" s="626" t="n">
        <f aca="false">'Input-Detail'!BL33</f>
        <v>0.64</v>
      </c>
      <c r="M26" s="627" t="n">
        <f aca="false">'Input-Detail'!BM33</f>
        <v>0.36</v>
      </c>
      <c r="N26" s="628" t="n">
        <f aca="false">K26*L26</f>
        <v>19008000</v>
      </c>
      <c r="O26" s="629" t="n">
        <f aca="false">K26*M26</f>
        <v>10692000</v>
      </c>
      <c r="P26" s="629" t="n">
        <f aca="false">N26/$E$8</f>
        <v>118800</v>
      </c>
      <c r="Q26" s="629" t="n">
        <f aca="false">O26/$E$13</f>
        <v>66825</v>
      </c>
      <c r="R26" s="630" t="n">
        <f aca="false">($E$7*$E$9+$E$10)*P26</f>
        <v>7187400</v>
      </c>
      <c r="S26" s="630" t="n">
        <f aca="false">($E$12*$E$14+$E$15)*Q26</f>
        <v>1336500</v>
      </c>
      <c r="T26" s="631" t="n">
        <f aca="false">(R26+S26)*$E$17</f>
        <v>426195</v>
      </c>
    </row>
    <row r="29" customFormat="false" ht="14" hidden="false" customHeight="false" outlineLevel="0" collapsed="false">
      <c r="H29" s="285" t="s">
        <v>236</v>
      </c>
      <c r="I29" s="1"/>
      <c r="J29" s="1"/>
      <c r="K29" s="1"/>
      <c r="L29" s="1"/>
      <c r="M29" s="1"/>
      <c r="N29" s="1"/>
      <c r="O29" s="1"/>
      <c r="P29" s="1"/>
      <c r="R29" s="1"/>
    </row>
    <row r="30" customFormat="false" ht="14" hidden="false" customHeight="false" outlineLevel="0" collapsed="false">
      <c r="H30" s="632" t="s">
        <v>409</v>
      </c>
      <c r="I30" s="593"/>
      <c r="J30" s="593"/>
      <c r="K30" s="593"/>
      <c r="L30" s="593"/>
      <c r="M30" s="593"/>
      <c r="N30" s="593"/>
      <c r="O30" s="593"/>
      <c r="P30" s="593"/>
      <c r="Q30" s="485"/>
      <c r="R30" s="594"/>
    </row>
    <row r="31" customFormat="false" ht="17" hidden="false" customHeight="false" outlineLevel="0" collapsed="false">
      <c r="H31" s="633" t="s">
        <v>410</v>
      </c>
      <c r="I31" s="289"/>
      <c r="J31" s="289"/>
      <c r="K31" s="289"/>
      <c r="L31" s="289"/>
      <c r="M31" s="289"/>
      <c r="N31" s="289"/>
      <c r="O31" s="289"/>
      <c r="P31" s="289"/>
      <c r="Q31" s="492"/>
      <c r="R31" s="290"/>
    </row>
    <row r="32" customFormat="false" ht="17" hidden="false" customHeight="false" outlineLevel="0" collapsed="false">
      <c r="H32" s="294" t="s">
        <v>411</v>
      </c>
      <c r="I32" s="495"/>
      <c r="J32" s="495"/>
      <c r="K32" s="495"/>
      <c r="L32" s="495"/>
      <c r="M32" s="495"/>
      <c r="N32" s="495"/>
      <c r="O32" s="495"/>
      <c r="P32" s="495"/>
      <c r="Q32" s="492"/>
      <c r="R32" s="497"/>
    </row>
    <row r="33" customFormat="false" ht="13" hidden="false" customHeight="false" outlineLevel="0" collapsed="false">
      <c r="H33" s="294" t="s">
        <v>387</v>
      </c>
      <c r="I33" s="495"/>
      <c r="J33" s="495"/>
      <c r="K33" s="495"/>
      <c r="L33" s="495"/>
      <c r="M33" s="495"/>
      <c r="N33" s="495"/>
      <c r="O33" s="495"/>
      <c r="P33" s="495"/>
      <c r="Q33" s="492"/>
      <c r="R33" s="497"/>
    </row>
    <row r="34" customFormat="false" ht="17" hidden="false" customHeight="false" outlineLevel="0" collapsed="false">
      <c r="H34" s="294" t="s">
        <v>412</v>
      </c>
      <c r="I34" s="495"/>
      <c r="J34" s="495"/>
      <c r="K34" s="495"/>
      <c r="L34" s="495"/>
      <c r="M34" s="495"/>
      <c r="N34" s="495"/>
      <c r="O34" s="495"/>
      <c r="P34" s="495"/>
      <c r="Q34" s="492"/>
      <c r="R34" s="497"/>
    </row>
    <row r="35" customFormat="false" ht="17" hidden="false" customHeight="false" outlineLevel="0" collapsed="false">
      <c r="H35" s="294" t="s">
        <v>413</v>
      </c>
      <c r="I35" s="495"/>
      <c r="J35" s="495"/>
      <c r="K35" s="495"/>
      <c r="L35" s="495"/>
      <c r="M35" s="495"/>
      <c r="N35" s="495"/>
      <c r="O35" s="495"/>
      <c r="P35" s="495"/>
      <c r="Q35" s="492"/>
      <c r="R35" s="497"/>
    </row>
    <row r="36" customFormat="false" ht="13" hidden="false" customHeight="false" outlineLevel="0" collapsed="false">
      <c r="H36" s="294" t="s">
        <v>414</v>
      </c>
      <c r="I36" s="495"/>
      <c r="J36" s="495"/>
      <c r="K36" s="495"/>
      <c r="L36" s="495"/>
      <c r="M36" s="495"/>
      <c r="N36" s="495"/>
      <c r="O36" s="495"/>
      <c r="P36" s="495"/>
      <c r="Q36" s="492"/>
      <c r="R36" s="497"/>
    </row>
    <row r="37" customFormat="false" ht="13" hidden="false" customHeight="false" outlineLevel="0" collapsed="false">
      <c r="H37" s="294"/>
      <c r="I37" s="495"/>
      <c r="J37" s="495"/>
      <c r="K37" s="495"/>
      <c r="L37" s="495"/>
      <c r="M37" s="495"/>
      <c r="N37" s="495"/>
      <c r="O37" s="495"/>
      <c r="P37" s="495"/>
      <c r="Q37" s="492"/>
      <c r="R37" s="497"/>
    </row>
    <row r="38" customFormat="false" ht="17" hidden="false" customHeight="false" outlineLevel="0" collapsed="false">
      <c r="H38" s="597" t="s">
        <v>415</v>
      </c>
      <c r="I38" s="495"/>
      <c r="J38" s="495"/>
      <c r="K38" s="495"/>
      <c r="L38" s="495"/>
      <c r="M38" s="495"/>
      <c r="N38" s="495"/>
      <c r="O38" s="495"/>
      <c r="P38" s="495"/>
      <c r="Q38" s="492"/>
      <c r="R38" s="497"/>
    </row>
    <row r="39" customFormat="false" ht="15" hidden="false" customHeight="false" outlineLevel="0" collapsed="false">
      <c r="H39" s="597" t="s">
        <v>416</v>
      </c>
      <c r="I39" s="495"/>
      <c r="J39" s="495"/>
      <c r="K39" s="495"/>
      <c r="L39" s="495"/>
      <c r="M39" s="495"/>
      <c r="N39" s="495"/>
      <c r="O39" s="495"/>
      <c r="P39" s="495"/>
      <c r="Q39" s="492"/>
      <c r="R39" s="497"/>
    </row>
    <row r="40" customFormat="false" ht="17" hidden="false" customHeight="false" outlineLevel="0" collapsed="false">
      <c r="H40" s="288" t="s">
        <v>417</v>
      </c>
      <c r="I40" s="495"/>
      <c r="J40" s="495"/>
      <c r="K40" s="495"/>
      <c r="L40" s="495"/>
      <c r="M40" s="495"/>
      <c r="N40" s="495"/>
      <c r="O40" s="495"/>
      <c r="P40" s="495"/>
      <c r="Q40" s="492"/>
      <c r="R40" s="497"/>
    </row>
    <row r="41" customFormat="false" ht="17" hidden="false" customHeight="false" outlineLevel="0" collapsed="false">
      <c r="H41" s="597" t="s">
        <v>418</v>
      </c>
      <c r="I41" s="495"/>
      <c r="J41" s="495"/>
      <c r="K41" s="495"/>
      <c r="L41" s="495"/>
      <c r="M41" s="495"/>
      <c r="N41" s="495"/>
      <c r="O41" s="495"/>
      <c r="P41" s="495"/>
      <c r="Q41" s="492"/>
      <c r="R41" s="497"/>
    </row>
    <row r="42" customFormat="false" ht="17" hidden="false" customHeight="false" outlineLevel="0" collapsed="false">
      <c r="H42" s="597" t="s">
        <v>419</v>
      </c>
      <c r="I42" s="495"/>
      <c r="J42" s="495"/>
      <c r="K42" s="495"/>
      <c r="L42" s="495"/>
      <c r="M42" s="495"/>
      <c r="N42" s="495"/>
      <c r="O42" s="495"/>
      <c r="P42" s="495"/>
      <c r="Q42" s="492"/>
      <c r="R42" s="497"/>
    </row>
    <row r="43" customFormat="false" ht="13" hidden="false" customHeight="false" outlineLevel="0" collapsed="false">
      <c r="H43" s="294"/>
      <c r="I43" s="495"/>
      <c r="J43" s="495"/>
      <c r="K43" s="495"/>
      <c r="L43" s="495"/>
      <c r="M43" s="495"/>
      <c r="N43" s="495"/>
      <c r="O43" s="495"/>
      <c r="P43" s="495"/>
      <c r="Q43" s="492"/>
      <c r="R43" s="497"/>
    </row>
    <row r="44" customFormat="false" ht="17" hidden="false" customHeight="false" outlineLevel="0" collapsed="false">
      <c r="H44" s="597" t="s">
        <v>420</v>
      </c>
      <c r="I44" s="495"/>
      <c r="J44" s="495"/>
      <c r="K44" s="495"/>
      <c r="L44" s="495"/>
      <c r="M44" s="495"/>
      <c r="N44" s="495"/>
      <c r="O44" s="495"/>
      <c r="P44" s="495"/>
      <c r="Q44" s="492"/>
      <c r="R44" s="497"/>
    </row>
    <row r="45" customFormat="false" ht="13" hidden="false" customHeight="false" outlineLevel="0" collapsed="false">
      <c r="H45" s="294" t="s">
        <v>387</v>
      </c>
      <c r="I45" s="495"/>
      <c r="J45" s="495"/>
      <c r="K45" s="495"/>
      <c r="L45" s="495"/>
      <c r="M45" s="495"/>
      <c r="N45" s="495"/>
      <c r="O45" s="495"/>
      <c r="P45" s="495"/>
      <c r="Q45" s="492"/>
      <c r="R45" s="497"/>
    </row>
    <row r="46" customFormat="false" ht="17" hidden="false" customHeight="false" outlineLevel="0" collapsed="false">
      <c r="H46" s="288" t="s">
        <v>421</v>
      </c>
      <c r="I46" s="495"/>
      <c r="J46" s="495"/>
      <c r="K46" s="495"/>
      <c r="L46" s="495"/>
      <c r="M46" s="495"/>
      <c r="N46" s="495"/>
      <c r="O46" s="495"/>
      <c r="P46" s="495"/>
      <c r="Q46" s="492"/>
      <c r="R46" s="497"/>
    </row>
    <row r="47" customFormat="false" ht="17" hidden="false" customHeight="false" outlineLevel="0" collapsed="false">
      <c r="H47" s="288" t="s">
        <v>422</v>
      </c>
      <c r="I47" s="495"/>
      <c r="J47" s="495"/>
      <c r="K47" s="495"/>
      <c r="L47" s="495"/>
      <c r="M47" s="495"/>
      <c r="N47" s="495"/>
      <c r="O47" s="495"/>
      <c r="P47" s="495"/>
      <c r="Q47" s="492"/>
      <c r="R47" s="497"/>
    </row>
    <row r="48" customFormat="false" ht="17" hidden="false" customHeight="false" outlineLevel="0" collapsed="false">
      <c r="H48" s="288" t="s">
        <v>423</v>
      </c>
      <c r="I48" s="495"/>
      <c r="J48" s="495"/>
      <c r="K48" s="495"/>
      <c r="L48" s="495"/>
      <c r="M48" s="495"/>
      <c r="N48" s="495"/>
      <c r="O48" s="495"/>
      <c r="P48" s="495"/>
      <c r="Q48" s="492"/>
      <c r="R48" s="497"/>
    </row>
    <row r="49" customFormat="false" ht="17" hidden="false" customHeight="false" outlineLevel="0" collapsed="false">
      <c r="H49" s="597" t="s">
        <v>424</v>
      </c>
      <c r="I49" s="495"/>
      <c r="J49" s="495"/>
      <c r="K49" s="495"/>
      <c r="L49" s="495"/>
      <c r="M49" s="495"/>
      <c r="N49" s="495"/>
      <c r="O49" s="495"/>
      <c r="P49" s="495"/>
      <c r="Q49" s="492"/>
      <c r="R49" s="497"/>
    </row>
    <row r="50" customFormat="false" ht="14" hidden="false" customHeight="false" outlineLevel="0" collapsed="false">
      <c r="H50" s="598"/>
      <c r="I50" s="297"/>
      <c r="J50" s="297"/>
      <c r="K50" s="297"/>
      <c r="L50" s="297"/>
      <c r="M50" s="297"/>
      <c r="N50" s="297"/>
      <c r="O50" s="297"/>
      <c r="P50" s="297"/>
      <c r="Q50" s="498"/>
      <c r="R50" s="505"/>
    </row>
    <row r="51" customFormat="false" ht="13" hidden="false" customHeight="false" outlineLevel="0" collapsed="false"/>
  </sheetData>
  <sheetProtection sheet="true" password="ea2e" objects="true" scenarios="true"/>
  <mergeCells count="9">
    <mergeCell ref="H4:H5"/>
    <mergeCell ref="I4:I5"/>
    <mergeCell ref="J4:J5"/>
    <mergeCell ref="K4:K5"/>
    <mergeCell ref="L4:M4"/>
    <mergeCell ref="N4:O4"/>
    <mergeCell ref="P4:Q4"/>
    <mergeCell ref="R4:S4"/>
    <mergeCell ref="T4:T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267"/>
  <sheetViews>
    <sheetView showFormulas="false" showGridLines="true" showRowColHeaders="true" showZeros="true" rightToLeft="false" tabSelected="false" showOutlineSymbols="true" defaultGridColor="true" view="normal" topLeftCell="G1" colorId="64" zoomScale="100" zoomScaleNormal="100" zoomScalePageLayoutView="100" workbookViewId="0">
      <selection pane="topLeft" activeCell="W10" activeCellId="0" sqref="W10"/>
    </sheetView>
  </sheetViews>
  <sheetFormatPr defaultColWidth="9.15625" defaultRowHeight="12" customHeight="false" zeroHeight="false" outlineLevelRow="0" outlineLevelCol="0"/>
  <cols>
    <col collapsed="false" customWidth="true" hidden="false" outlineLevel="0" max="1" min="1" style="372" width="7.99"/>
    <col collapsed="false" customWidth="true" hidden="false" outlineLevel="0" max="2" min="2" style="372" width="5.66"/>
    <col collapsed="false" customWidth="true" hidden="false" outlineLevel="0" max="3" min="3" style="372" width="47.49"/>
    <col collapsed="false" customWidth="false" hidden="false" outlineLevel="0" max="4" min="4" style="372" width="9.15"/>
    <col collapsed="false" customWidth="true" hidden="false" outlineLevel="0" max="5" min="5" style="372" width="5.15"/>
    <col collapsed="false" customWidth="true" hidden="false" outlineLevel="0" max="6" min="6" style="372" width="7.5"/>
    <col collapsed="false" customWidth="true" hidden="false" outlineLevel="0" max="7" min="7" style="372" width="8.49"/>
    <col collapsed="false" customWidth="true" hidden="false" outlineLevel="0" max="8" min="8" style="372" width="5.82"/>
    <col collapsed="false" customWidth="true" hidden="false" outlineLevel="0" max="9" min="9" style="372" width="11.32"/>
    <col collapsed="false" customWidth="true" hidden="false" outlineLevel="0" max="10" min="10" style="372" width="8.99"/>
    <col collapsed="false" customWidth="true" hidden="false" outlineLevel="0" max="12" min="11" style="372" width="11.66"/>
    <col collapsed="false" customWidth="true" hidden="false" outlineLevel="0" max="13" min="13" style="372" width="12.15"/>
    <col collapsed="false" customWidth="true" hidden="false" outlineLevel="0" max="14" min="14" style="372" width="9.99"/>
    <col collapsed="false" customWidth="true" hidden="false" outlineLevel="0" max="15" min="15" style="372" width="13.15"/>
    <col collapsed="false" customWidth="true" hidden="false" outlineLevel="0" max="16" min="16" style="372" width="14.49"/>
    <col collapsed="false" customWidth="true" hidden="false" outlineLevel="0" max="17" min="17" style="372" width="11.32"/>
    <col collapsed="false" customWidth="true" hidden="false" outlineLevel="0" max="18" min="18" style="372" width="10.82"/>
    <col collapsed="false" customWidth="true" hidden="false" outlineLevel="0" max="19" min="19" style="372" width="11.99"/>
    <col collapsed="false" customWidth="true" hidden="false" outlineLevel="0" max="20" min="20" style="372" width="11.32"/>
    <col collapsed="false" customWidth="false" hidden="false" outlineLevel="0" max="21" min="21" style="7" width="9.15"/>
    <col collapsed="false" customWidth="true" hidden="false" outlineLevel="0" max="22" min="22" style="7" width="10.5"/>
    <col collapsed="false" customWidth="true" hidden="false" outlineLevel="0" max="23" min="23" style="7" width="10.15"/>
    <col collapsed="false" customWidth="true" hidden="false" outlineLevel="0" max="24" min="24" style="7" width="13.15"/>
    <col collapsed="false" customWidth="true" hidden="false" outlineLevel="0" max="25" min="25" style="7" width="8.99"/>
    <col collapsed="false" customWidth="true" hidden="false" outlineLevel="0" max="26" min="26" style="7" width="13.15"/>
    <col collapsed="false" customWidth="true" hidden="false" outlineLevel="0" max="27" min="27" style="7" width="9.49"/>
    <col collapsed="false" customWidth="true" hidden="false" outlineLevel="0" max="28" min="28" style="7" width="11.5"/>
    <col collapsed="false" customWidth="true" hidden="false" outlineLevel="0" max="29" min="29" style="7" width="9.99"/>
    <col collapsed="false" customWidth="true" hidden="false" outlineLevel="0" max="30" min="30" style="7" width="12.15"/>
    <col collapsed="false" customWidth="true" hidden="false" outlineLevel="0" max="31" min="31" style="7" width="9.66"/>
    <col collapsed="false" customWidth="true" hidden="false" outlineLevel="0" max="32" min="32" style="7" width="12.32"/>
    <col collapsed="false" customWidth="true" hidden="false" outlineLevel="0" max="33" min="33" style="7" width="10.32"/>
    <col collapsed="false" customWidth="true" hidden="false" outlineLevel="0" max="34" min="34" style="7" width="13.33"/>
    <col collapsed="false" customWidth="true" hidden="false" outlineLevel="0" max="35" min="35" style="7" width="9.49"/>
    <col collapsed="false" customWidth="true" hidden="false" outlineLevel="0" max="36" min="36" style="7" width="12.82"/>
    <col collapsed="false" customWidth="true" hidden="false" outlineLevel="0" max="37" min="37" style="7" width="16.99"/>
    <col collapsed="false" customWidth="true" hidden="false" outlineLevel="0" max="38" min="38" style="7" width="8.82"/>
    <col collapsed="false" customWidth="false" hidden="false" outlineLevel="0" max="257" min="39" style="372" width="9.15"/>
  </cols>
  <sheetData>
    <row r="1" customFormat="false" ht="13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Format="false" ht="14.25" hidden="false" customHeight="true" outlineLevel="0" collapsed="false">
      <c r="B2" s="341" t="s">
        <v>425</v>
      </c>
      <c r="C2" s="1"/>
      <c r="D2" s="1"/>
      <c r="E2" s="1"/>
      <c r="F2" s="1"/>
      <c r="G2" s="1"/>
      <c r="I2" s="1"/>
      <c r="J2" s="1"/>
      <c r="K2" s="341" t="s">
        <v>426</v>
      </c>
      <c r="L2" s="1"/>
      <c r="M2" s="1"/>
      <c r="N2" s="1"/>
      <c r="O2" s="1"/>
      <c r="P2" s="1"/>
      <c r="Q2" s="1"/>
      <c r="R2" s="1"/>
      <c r="S2" s="1"/>
      <c r="T2" s="1"/>
      <c r="U2" s="1" t="s">
        <v>427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customFormat="false" ht="13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W3" s="359"/>
    </row>
    <row r="4" customFormat="false" ht="18.75" hidden="false" customHeight="true" outlineLevel="0" collapsed="false">
      <c r="B4" s="634" t="s">
        <v>91</v>
      </c>
      <c r="C4" s="84"/>
      <c r="D4" s="148"/>
      <c r="E4" s="149"/>
      <c r="H4" s="378" t="s">
        <v>96</v>
      </c>
      <c r="I4" s="378" t="s">
        <v>223</v>
      </c>
      <c r="J4" s="378" t="s">
        <v>319</v>
      </c>
      <c r="K4" s="635" t="s">
        <v>428</v>
      </c>
      <c r="L4" s="635"/>
      <c r="M4" s="635"/>
      <c r="N4" s="635"/>
      <c r="O4" s="383" t="s">
        <v>429</v>
      </c>
      <c r="P4" s="378" t="s">
        <v>430</v>
      </c>
      <c r="S4" s="378" t="s">
        <v>96</v>
      </c>
      <c r="T4" s="378" t="s">
        <v>223</v>
      </c>
      <c r="U4" s="378" t="s">
        <v>319</v>
      </c>
      <c r="V4" s="380" t="s">
        <v>431</v>
      </c>
      <c r="W4" s="381" t="s">
        <v>432</v>
      </c>
      <c r="X4" s="381"/>
      <c r="Y4" s="381"/>
      <c r="Z4" s="500" t="s">
        <v>433</v>
      </c>
      <c r="AA4" s="500"/>
      <c r="AB4" s="500"/>
      <c r="AC4" s="500"/>
      <c r="AD4" s="500" t="s">
        <v>434</v>
      </c>
      <c r="AE4" s="500"/>
      <c r="AF4" s="500"/>
      <c r="AG4" s="500"/>
      <c r="AH4" s="378" t="s">
        <v>435</v>
      </c>
      <c r="AK4" s="372"/>
      <c r="AL4" s="372"/>
    </row>
    <row r="5" customFormat="false" ht="33.75" hidden="false" customHeight="true" outlineLevel="0" collapsed="false">
      <c r="B5" s="398"/>
      <c r="C5" s="71" t="s">
        <v>99</v>
      </c>
      <c r="D5" s="399" t="n">
        <f aca="false">'Input-Detail'!AZ10</f>
        <v>7</v>
      </c>
      <c r="E5" s="73"/>
      <c r="H5" s="378"/>
      <c r="I5" s="378"/>
      <c r="J5" s="378"/>
      <c r="K5" s="636" t="s">
        <v>436</v>
      </c>
      <c r="L5" s="636" t="s">
        <v>437</v>
      </c>
      <c r="M5" s="636" t="s">
        <v>438</v>
      </c>
      <c r="N5" s="637" t="s">
        <v>439</v>
      </c>
      <c r="O5" s="383"/>
      <c r="P5" s="378"/>
      <c r="S5" s="378"/>
      <c r="T5" s="378"/>
      <c r="U5" s="378"/>
      <c r="V5" s="380"/>
      <c r="W5" s="638" t="s">
        <v>215</v>
      </c>
      <c r="X5" s="639" t="s">
        <v>216</v>
      </c>
      <c r="Y5" s="640" t="s">
        <v>440</v>
      </c>
      <c r="Z5" s="636" t="s">
        <v>441</v>
      </c>
      <c r="AA5" s="641" t="s">
        <v>215</v>
      </c>
      <c r="AB5" s="641" t="s">
        <v>216</v>
      </c>
      <c r="AC5" s="640" t="s">
        <v>442</v>
      </c>
      <c r="AD5" s="641" t="s">
        <v>443</v>
      </c>
      <c r="AE5" s="641" t="s">
        <v>215</v>
      </c>
      <c r="AF5" s="641" t="s">
        <v>216</v>
      </c>
      <c r="AG5" s="640" t="s">
        <v>442</v>
      </c>
      <c r="AH5" s="378"/>
      <c r="AK5" s="372"/>
      <c r="AL5" s="372"/>
    </row>
    <row r="6" customFormat="false" ht="14" hidden="false" customHeight="false" outlineLevel="0" collapsed="false">
      <c r="B6" s="398"/>
      <c r="C6" s="71" t="s">
        <v>109</v>
      </c>
      <c r="D6" s="399" t="n">
        <f aca="false">'Input-Detail'!AZ11</f>
        <v>4.5</v>
      </c>
      <c r="E6" s="73"/>
      <c r="H6" s="400" t="s">
        <v>114</v>
      </c>
      <c r="I6" s="401" t="n">
        <f aca="false">'Input-Detail'!E14</f>
        <v>19016173</v>
      </c>
      <c r="J6" s="402" t="n">
        <f aca="false">'Input-Detail'!F14</f>
        <v>0</v>
      </c>
      <c r="K6" s="642"/>
      <c r="L6" s="642"/>
      <c r="M6" s="642"/>
      <c r="N6" s="404"/>
      <c r="O6" s="404"/>
      <c r="P6" s="407"/>
      <c r="S6" s="400" t="s">
        <v>114</v>
      </c>
      <c r="T6" s="401" t="n">
        <f aca="false">'Input-Detail'!E14</f>
        <v>19016173</v>
      </c>
      <c r="U6" s="402" t="n">
        <f aca="false">'Input-Detail'!F14</f>
        <v>0</v>
      </c>
      <c r="V6" s="411" t="n">
        <f aca="false">T6*U6</f>
        <v>0</v>
      </c>
      <c r="W6" s="643"/>
      <c r="X6" s="644"/>
      <c r="Y6" s="512"/>
      <c r="Z6" s="645"/>
      <c r="AA6" s="645"/>
      <c r="AB6" s="645"/>
      <c r="AC6" s="512"/>
      <c r="AD6" s="645"/>
      <c r="AE6" s="645"/>
      <c r="AF6" s="645"/>
      <c r="AG6" s="512"/>
      <c r="AH6" s="646"/>
      <c r="AK6" s="372"/>
      <c r="AL6" s="372"/>
    </row>
    <row r="7" customFormat="false" ht="13" hidden="false" customHeight="false" outlineLevel="0" collapsed="false">
      <c r="B7" s="398"/>
      <c r="C7" s="71" t="s">
        <v>337</v>
      </c>
      <c r="D7" s="399" t="n">
        <f aca="false">'Input-Detail'!AZ12</f>
        <v>2.4</v>
      </c>
      <c r="E7" s="73"/>
      <c r="H7" s="400" t="n">
        <v>1</v>
      </c>
      <c r="I7" s="401" t="n">
        <f aca="false">'Input-Detail'!E15</f>
        <v>19565364.35</v>
      </c>
      <c r="J7" s="402" t="n">
        <f aca="false">'Input-Detail'!F15</f>
        <v>0.0495</v>
      </c>
      <c r="K7" s="611" t="n">
        <f aca="false">Y7</f>
        <v>-3705.02182023439</v>
      </c>
      <c r="L7" s="611" t="n">
        <f aca="false">AC7</f>
        <v>3521.765583</v>
      </c>
      <c r="M7" s="611" t="n">
        <f aca="false">AG7</f>
        <v>3521.765583</v>
      </c>
      <c r="N7" s="412" t="n">
        <f aca="false">AH7</f>
        <v>3338.50934576561</v>
      </c>
      <c r="O7" s="647" t="n">
        <f aca="false">($D$22*$D$18*$D$14+$D$23*$D$19*$D$15+$D$24*$D$16*$D$20)*(1+$D$25)^$H7</f>
        <v>24.675602983</v>
      </c>
      <c r="P7" s="614" t="n">
        <f aca="false">N7*O7</f>
        <v>82379.7311711472</v>
      </c>
      <c r="S7" s="400" t="n">
        <v>1</v>
      </c>
      <c r="T7" s="408" t="n">
        <f aca="false">T$6+(T$26-T$6)*$S7/20</f>
        <v>19565364.35</v>
      </c>
      <c r="U7" s="402" t="n">
        <f aca="false">U$6+(U$26-U$6)*$S7/20</f>
        <v>0.0495</v>
      </c>
      <c r="V7" s="411" t="n">
        <f aca="false">T7*U7</f>
        <v>968485.535325</v>
      </c>
      <c r="W7" s="648" t="n">
        <f aca="false">Delay!P8</f>
        <v>10861.3984606902</v>
      </c>
      <c r="X7" s="649" t="n">
        <f aca="false">Delay!T8</f>
        <v>14566.4202809246</v>
      </c>
      <c r="Y7" s="611" t="n">
        <f aca="false">W7-X7</f>
        <v>-3705.02182023439</v>
      </c>
      <c r="Z7" s="612" t="n">
        <f aca="false">($D$12+0)/2</f>
        <v>27.5</v>
      </c>
      <c r="AA7" s="612" t="n">
        <f aca="false">($D$10/Z7)*T7</f>
        <v>142293.558909091</v>
      </c>
      <c r="AB7" s="612" t="n">
        <f aca="false">($T7-V7)*($D$10/$Z7)+V7*$D$10/$D$12</f>
        <v>138771.793326091</v>
      </c>
      <c r="AC7" s="611" t="n">
        <f aca="false">AA7-AB7</f>
        <v>3521.765583</v>
      </c>
      <c r="AD7" s="612" t="n">
        <f aca="false">($D$12+0)/2</f>
        <v>27.5</v>
      </c>
      <c r="AE7" s="612" t="n">
        <f aca="false">T7*$D$11/AD7</f>
        <v>142293.558909091</v>
      </c>
      <c r="AF7" s="612" t="n">
        <f aca="false">($T7-V7)*($D$11/$AD7)+V7*$D$11/$D$12</f>
        <v>138771.793326091</v>
      </c>
      <c r="AG7" s="611" t="n">
        <f aca="false">AE7-AF7</f>
        <v>3521.765583</v>
      </c>
      <c r="AH7" s="437" t="n">
        <f aca="false">Y7+AC7+AG7</f>
        <v>3338.50934576561</v>
      </c>
      <c r="AK7" s="372"/>
      <c r="AL7" s="372"/>
    </row>
    <row r="8" customFormat="false" ht="14.25" hidden="false" customHeight="true" outlineLevel="0" collapsed="false">
      <c r="B8" s="448" t="s">
        <v>87</v>
      </c>
      <c r="C8" s="71"/>
      <c r="D8" s="650"/>
      <c r="E8" s="450"/>
      <c r="H8" s="400" t="n">
        <v>2</v>
      </c>
      <c r="I8" s="401" t="n">
        <f aca="false">'Input-Detail'!E16</f>
        <v>20114555.7</v>
      </c>
      <c r="J8" s="402" t="n">
        <f aca="false">'Input-Detail'!F16</f>
        <v>0.099</v>
      </c>
      <c r="K8" s="611" t="n">
        <f aca="false">Y8</f>
        <v>-1973.6168784185</v>
      </c>
      <c r="L8" s="611" t="n">
        <f aca="false">AC8</f>
        <v>7241.24005199998</v>
      </c>
      <c r="M8" s="611" t="n">
        <f aca="false">AG8</f>
        <v>7241.24005200001</v>
      </c>
      <c r="N8" s="412" t="n">
        <f aca="false">AH8</f>
        <v>12508.8632255815</v>
      </c>
      <c r="O8" s="647" t="n">
        <f aca="false">($D$22*$D$18*$D$14+$D$23*$D$19*$D$15+$D$24*$D$16*$D$20)*(1+$D$25)^$H8</f>
        <v>25.41587107249</v>
      </c>
      <c r="P8" s="614" t="n">
        <f aca="false">N8*O8</f>
        <v>317923.65500479</v>
      </c>
      <c r="S8" s="400" t="n">
        <v>2</v>
      </c>
      <c r="T8" s="408" t="n">
        <f aca="false">T$6+(T$26-T$6)*$S8/20</f>
        <v>20114555.7</v>
      </c>
      <c r="U8" s="402" t="n">
        <f aca="false">U$6+(U$26-U$6)*$S8/20</f>
        <v>0.099</v>
      </c>
      <c r="V8" s="411" t="n">
        <f aca="false">T8*U8</f>
        <v>1991341.0143</v>
      </c>
      <c r="W8" s="648" t="n">
        <f aca="false">Delay!P9</f>
        <v>10747.0204212065</v>
      </c>
      <c r="X8" s="649" t="n">
        <f aca="false">Delay!T9</f>
        <v>12720.637299625</v>
      </c>
      <c r="Y8" s="611" t="n">
        <f aca="false">W8-X8</f>
        <v>-1973.6168784185</v>
      </c>
      <c r="Z8" s="612" t="n">
        <f aca="false">($D$12+0)/2</f>
        <v>27.5</v>
      </c>
      <c r="AA8" s="612" t="n">
        <f aca="false">($D$10/Z8)*T8</f>
        <v>146287.677818182</v>
      </c>
      <c r="AB8" s="612" t="n">
        <f aca="false">($T8-V8)*($D$10/$Z8)+V8*$D$10/$D$12</f>
        <v>139046.437766182</v>
      </c>
      <c r="AC8" s="611" t="n">
        <f aca="false">AA8-AB8</f>
        <v>7241.24005199998</v>
      </c>
      <c r="AD8" s="612" t="n">
        <f aca="false">($D$12+0)/2</f>
        <v>27.5</v>
      </c>
      <c r="AE8" s="612" t="n">
        <f aca="false">T8*$D$11/AD8</f>
        <v>146287.677818182</v>
      </c>
      <c r="AF8" s="612" t="n">
        <f aca="false">($T8-V8)*($D$11/$AD8)+V8*$D$11/$D$12</f>
        <v>139046.437766182</v>
      </c>
      <c r="AG8" s="611" t="n">
        <f aca="false">AE8-AF8</f>
        <v>7241.24005200001</v>
      </c>
      <c r="AH8" s="437" t="n">
        <f aca="false">Y8+AC8+AG8</f>
        <v>12508.8632255815</v>
      </c>
      <c r="AK8" s="372"/>
      <c r="AL8" s="372"/>
    </row>
    <row r="9" customFormat="false" ht="13" hidden="false" customHeight="false" outlineLevel="0" collapsed="false">
      <c r="B9" s="448"/>
      <c r="C9" s="71" t="s">
        <v>234</v>
      </c>
      <c r="D9" s="449" t="n">
        <f aca="false">'Input-Detail'!AZ25</f>
        <v>12</v>
      </c>
      <c r="E9" s="450"/>
      <c r="H9" s="400" t="n">
        <v>3</v>
      </c>
      <c r="I9" s="401" t="n">
        <f aca="false">'Input-Detail'!E17</f>
        <v>20663747.05</v>
      </c>
      <c r="J9" s="402" t="n">
        <f aca="false">'Input-Detail'!F17</f>
        <v>0.1485</v>
      </c>
      <c r="K9" s="611" t="n">
        <f aca="false">Y9</f>
        <v>-1005.14898614385</v>
      </c>
      <c r="L9" s="611" t="n">
        <f aca="false">AC9</f>
        <v>11158.423407</v>
      </c>
      <c r="M9" s="611" t="n">
        <f aca="false">AG9</f>
        <v>11158.423407</v>
      </c>
      <c r="N9" s="412" t="n">
        <f aca="false">AH9</f>
        <v>21311.6978278562</v>
      </c>
      <c r="O9" s="647" t="n">
        <f aca="false">($D$22*$D$18*$D$14+$D$23*$D$19*$D$15+$D$24*$D$16*$D$20)*(1+$D$25)^$H9</f>
        <v>26.1783472046647</v>
      </c>
      <c r="P9" s="614" t="n">
        <f aca="false">N9*O9</f>
        <v>557905.025258518</v>
      </c>
      <c r="S9" s="400" t="n">
        <v>3</v>
      </c>
      <c r="T9" s="408" t="n">
        <f aca="false">T$6+(T$26-T$6)*$S9/20</f>
        <v>20663747.05</v>
      </c>
      <c r="U9" s="402" t="n">
        <f aca="false">U$6+(U$26-U$6)*$S9/20</f>
        <v>0.1485</v>
      </c>
      <c r="V9" s="411" t="n">
        <f aca="false">T9*U9</f>
        <v>3068566.436925</v>
      </c>
      <c r="W9" s="648" t="n">
        <f aca="false">Delay!P10</f>
        <v>10674.2583339433</v>
      </c>
      <c r="X9" s="649" t="n">
        <f aca="false">Delay!T10</f>
        <v>11679.4073200872</v>
      </c>
      <c r="Y9" s="611" t="n">
        <f aca="false">W9-X9</f>
        <v>-1005.14898614385</v>
      </c>
      <c r="Z9" s="612" t="n">
        <f aca="false">($D$12+0)/2</f>
        <v>27.5</v>
      </c>
      <c r="AA9" s="612" t="n">
        <f aca="false">($D$10/Z9)*T9</f>
        <v>150281.796727273</v>
      </c>
      <c r="AB9" s="612" t="n">
        <f aca="false">($T9-V9)*($D$10/$Z9)+V9*$D$10/$D$12</f>
        <v>139123.373320273</v>
      </c>
      <c r="AC9" s="611" t="n">
        <f aca="false">AA9-AB9</f>
        <v>11158.423407</v>
      </c>
      <c r="AD9" s="612" t="n">
        <f aca="false">($D$12+0)/2</f>
        <v>27.5</v>
      </c>
      <c r="AE9" s="612" t="n">
        <f aca="false">T9*$D$11/AD9</f>
        <v>150281.796727273</v>
      </c>
      <c r="AF9" s="612" t="n">
        <f aca="false">($T9-V9)*($D$11/$AD9)+V9*$D$11/$D$12</f>
        <v>139123.373320273</v>
      </c>
      <c r="AG9" s="611" t="n">
        <f aca="false">AE9-AF9</f>
        <v>11158.423407</v>
      </c>
      <c r="AH9" s="437" t="n">
        <f aca="false">Y9+AC9+AG9</f>
        <v>21311.6978278562</v>
      </c>
      <c r="AK9" s="372"/>
      <c r="AL9" s="372"/>
    </row>
    <row r="10" customFormat="false" ht="13" hidden="false" customHeight="false" outlineLevel="0" collapsed="false">
      <c r="B10" s="448"/>
      <c r="C10" s="71" t="s">
        <v>100</v>
      </c>
      <c r="D10" s="651" t="n">
        <f aca="false">'Input-Detail'!AZ26</f>
        <v>0.2</v>
      </c>
      <c r="E10" s="450"/>
      <c r="F10" s="48"/>
      <c r="G10" s="48"/>
      <c r="H10" s="400" t="n">
        <v>4</v>
      </c>
      <c r="I10" s="401" t="n">
        <f aca="false">'Input-Detail'!E18</f>
        <v>21212938.4</v>
      </c>
      <c r="J10" s="402" t="n">
        <f aca="false">'Input-Detail'!F18</f>
        <v>0.198</v>
      </c>
      <c r="K10" s="611" t="n">
        <f aca="false">Y10</f>
        <v>-1806.91424101925</v>
      </c>
      <c r="L10" s="611" t="n">
        <f aca="false">AC10</f>
        <v>15273.315648</v>
      </c>
      <c r="M10" s="611" t="n">
        <f aca="false">AG10</f>
        <v>15273.315648</v>
      </c>
      <c r="N10" s="412" t="n">
        <f aca="false">AH10</f>
        <v>28739.7170549807</v>
      </c>
      <c r="O10" s="647" t="n">
        <f aca="false">($D$22*$D$18*$D$14+$D$23*$D$19*$D$15+$D$24*$D$16*$D$20)*(1+$D$25)^$H10</f>
        <v>26.9636976208046</v>
      </c>
      <c r="P10" s="614" t="n">
        <f aca="false">N10*O10</f>
        <v>774929.040377983</v>
      </c>
      <c r="Q10" s="48"/>
      <c r="R10" s="48"/>
      <c r="S10" s="400" t="n">
        <v>4</v>
      </c>
      <c r="T10" s="408" t="n">
        <f aca="false">T$6+(T$26-T$6)*$S10/20</f>
        <v>21212938.4</v>
      </c>
      <c r="U10" s="402" t="n">
        <f aca="false">U$6+(U$26-U$6)*$S10/20</f>
        <v>0.198</v>
      </c>
      <c r="V10" s="411" t="n">
        <f aca="false">T10*U10</f>
        <v>4200161.8032</v>
      </c>
      <c r="W10" s="648" t="n">
        <f aca="false">Delay!P11</f>
        <v>10639.3553898616</v>
      </c>
      <c r="X10" s="649" t="n">
        <f aca="false">Delay!T11</f>
        <v>12446.2696308808</v>
      </c>
      <c r="Y10" s="611" t="n">
        <f aca="false">W10-X10</f>
        <v>-1806.91424101925</v>
      </c>
      <c r="Z10" s="612" t="n">
        <f aca="false">($D$12+0)/2</f>
        <v>27.5</v>
      </c>
      <c r="AA10" s="612" t="n">
        <f aca="false">($D$10/Z10)*T10</f>
        <v>154275.915636364</v>
      </c>
      <c r="AB10" s="612" t="n">
        <f aca="false">($T10-V10)*($D$10/$Z10)+V10*$D$10/$D$12</f>
        <v>139002.599988364</v>
      </c>
      <c r="AC10" s="611" t="n">
        <f aca="false">AA10-AB10</f>
        <v>15273.315648</v>
      </c>
      <c r="AD10" s="612" t="n">
        <f aca="false">($D$12+0)/2</f>
        <v>27.5</v>
      </c>
      <c r="AE10" s="612" t="n">
        <f aca="false">T10*$D$11/AD10</f>
        <v>154275.915636364</v>
      </c>
      <c r="AF10" s="612" t="n">
        <f aca="false">($T10-V10)*($D$11/$AD10)+V10*$D$11/$D$12</f>
        <v>139002.599988364</v>
      </c>
      <c r="AG10" s="611" t="n">
        <f aca="false">AE10-AF10</f>
        <v>15273.315648</v>
      </c>
      <c r="AH10" s="437" t="n">
        <f aca="false">Y10+AC10+AG10</f>
        <v>28739.7170549807</v>
      </c>
      <c r="AK10" s="372"/>
      <c r="AL10" s="372"/>
    </row>
    <row r="11" customFormat="false" ht="13" hidden="false" customHeight="false" outlineLevel="0" collapsed="false">
      <c r="B11" s="448"/>
      <c r="C11" s="71" t="s">
        <v>110</v>
      </c>
      <c r="D11" s="651" t="n">
        <f aca="false">'Input-Detail'!AZ27</f>
        <v>0.2</v>
      </c>
      <c r="E11" s="450"/>
      <c r="H11" s="400" t="n">
        <v>5</v>
      </c>
      <c r="I11" s="401" t="n">
        <f aca="false">'Input-Detail'!E19</f>
        <v>21762129.75</v>
      </c>
      <c r="J11" s="402" t="n">
        <f aca="false">'Input-Detail'!F19</f>
        <v>0.2475</v>
      </c>
      <c r="K11" s="611" t="n">
        <f aca="false">Y11</f>
        <v>-1850.48442262931</v>
      </c>
      <c r="L11" s="611" t="n">
        <f aca="false">AC11</f>
        <v>19585.916775</v>
      </c>
      <c r="M11" s="611" t="n">
        <f aca="false">AG11</f>
        <v>19585.916775</v>
      </c>
      <c r="N11" s="412" t="n">
        <f aca="false">AH11</f>
        <v>37321.3491273707</v>
      </c>
      <c r="O11" s="647" t="n">
        <f aca="false">($D$22*$D$18*$D$14+$D$23*$D$19*$D$15+$D$24*$D$16*$D$20)*(1+$D$25)^$H11</f>
        <v>27.7726085494288</v>
      </c>
      <c r="P11" s="614" t="n">
        <f aca="false">N11*O11</f>
        <v>1036511.21985103</v>
      </c>
      <c r="S11" s="400" t="n">
        <v>5</v>
      </c>
      <c r="T11" s="408" t="n">
        <f aca="false">T$6+(T$26-T$6)*$S11/20</f>
        <v>21762129.75</v>
      </c>
      <c r="U11" s="402" t="n">
        <f aca="false">U$6+(U$26-U$6)*$S11/20</f>
        <v>0.2475</v>
      </c>
      <c r="V11" s="411" t="n">
        <f aca="false">T11*U11</f>
        <v>5386127.113125</v>
      </c>
      <c r="W11" s="648" t="n">
        <f aca="false">Delay!P12</f>
        <v>10637.7764781317</v>
      </c>
      <c r="X11" s="649" t="n">
        <f aca="false">Delay!T12</f>
        <v>12488.260900761</v>
      </c>
      <c r="Y11" s="611" t="n">
        <f aca="false">W11-X11</f>
        <v>-1850.48442262931</v>
      </c>
      <c r="Z11" s="612" t="n">
        <f aca="false">($D$12+0)/2</f>
        <v>27.5</v>
      </c>
      <c r="AA11" s="612" t="n">
        <f aca="false">($D$10/Z11)*T11</f>
        <v>158270.034545455</v>
      </c>
      <c r="AB11" s="612" t="n">
        <f aca="false">($T11-V11)*($D$10/$Z11)+V11*$D$10/$D$12</f>
        <v>138684.117770455</v>
      </c>
      <c r="AC11" s="611" t="n">
        <f aca="false">AA11-AB11</f>
        <v>19585.916775</v>
      </c>
      <c r="AD11" s="612" t="n">
        <f aca="false">($D$12+0)/2</f>
        <v>27.5</v>
      </c>
      <c r="AE11" s="612" t="n">
        <f aca="false">T11*$D$11/AD11</f>
        <v>158270.034545455</v>
      </c>
      <c r="AF11" s="612" t="n">
        <f aca="false">($T11-V11)*($D$11/$AD11)+V11*$D$11/$D$12</f>
        <v>138684.117770455</v>
      </c>
      <c r="AG11" s="611" t="n">
        <f aca="false">AE11-AF11</f>
        <v>19585.916775</v>
      </c>
      <c r="AH11" s="437" t="n">
        <f aca="false">Y11+AC11+AG11</f>
        <v>37321.3491273707</v>
      </c>
      <c r="AK11" s="372"/>
      <c r="AL11" s="372"/>
    </row>
    <row r="12" customFormat="false" ht="13" hidden="false" customHeight="false" outlineLevel="0" collapsed="false">
      <c r="B12" s="448" t="s">
        <v>444</v>
      </c>
      <c r="C12" s="71"/>
      <c r="D12" s="652" t="n">
        <f aca="false">'Input-Detail'!AZ29</f>
        <v>55</v>
      </c>
      <c r="E12" s="653"/>
      <c r="H12" s="400" t="n">
        <v>6</v>
      </c>
      <c r="I12" s="401" t="n">
        <f aca="false">'Input-Detail'!E20</f>
        <v>22311321.1</v>
      </c>
      <c r="J12" s="402" t="n">
        <f aca="false">'Input-Detail'!F20</f>
        <v>0.297</v>
      </c>
      <c r="K12" s="611" t="n">
        <f aca="false">Y12</f>
        <v>-123.416611291066</v>
      </c>
      <c r="L12" s="611" t="n">
        <f aca="false">AC12</f>
        <v>24096.226788</v>
      </c>
      <c r="M12" s="611" t="n">
        <f aca="false">AG12</f>
        <v>24096.226788</v>
      </c>
      <c r="N12" s="412" t="n">
        <f aca="false">AH12</f>
        <v>48069.036964709</v>
      </c>
      <c r="O12" s="647" t="n">
        <f aca="false">($D$22*$D$18*$D$14+$D$23*$D$19*$D$15+$D$24*$D$16*$D$20)*(1+$D$25)^$H12</f>
        <v>28.6057868059116</v>
      </c>
      <c r="P12" s="614" t="n">
        <f aca="false">N12*O12</f>
        <v>1375052.62337795</v>
      </c>
      <c r="S12" s="400" t="n">
        <v>6</v>
      </c>
      <c r="T12" s="408" t="n">
        <f aca="false">T$6+(T$26-T$6)*$S12/20</f>
        <v>22311321.1</v>
      </c>
      <c r="U12" s="402" t="n">
        <f aca="false">U$6+(U$26-U$6)*$S12/20</f>
        <v>0.297</v>
      </c>
      <c r="V12" s="411" t="n">
        <f aca="false">T12*U12</f>
        <v>6626462.3667</v>
      </c>
      <c r="W12" s="648" t="n">
        <f aca="false">Delay!P13</f>
        <v>10664.9922788811</v>
      </c>
      <c r="X12" s="649" t="n">
        <f aca="false">Delay!T13</f>
        <v>10788.4088901722</v>
      </c>
      <c r="Y12" s="611" t="n">
        <f aca="false">W12-X12</f>
        <v>-123.416611291066</v>
      </c>
      <c r="Z12" s="612" t="n">
        <f aca="false">($D$12+0)/2</f>
        <v>27.5</v>
      </c>
      <c r="AA12" s="612" t="n">
        <f aca="false">($D$10/Z12)*T12</f>
        <v>162264.153454545</v>
      </c>
      <c r="AB12" s="612" t="n">
        <f aca="false">($T12-V12)*($D$10/$Z12)+V12*$D$10/$D$12</f>
        <v>138167.926666545</v>
      </c>
      <c r="AC12" s="611" t="n">
        <f aca="false">AA12-AB12</f>
        <v>24096.226788</v>
      </c>
      <c r="AD12" s="612" t="n">
        <f aca="false">($D$12+0)/2</f>
        <v>27.5</v>
      </c>
      <c r="AE12" s="612" t="n">
        <f aca="false">T12*$D$11/AD12</f>
        <v>162264.153454545</v>
      </c>
      <c r="AF12" s="612" t="n">
        <f aca="false">($T12-V12)*($D$11/$AD12)+V12*$D$11/$D$12</f>
        <v>138167.926666545</v>
      </c>
      <c r="AG12" s="611" t="n">
        <f aca="false">AE12-AF12</f>
        <v>24096.226788</v>
      </c>
      <c r="AH12" s="437" t="n">
        <f aca="false">Y12+AC12+AG12</f>
        <v>48069.036964709</v>
      </c>
      <c r="AK12" s="372"/>
      <c r="AL12" s="372"/>
    </row>
    <row r="13" customFormat="false" ht="13" hidden="false" customHeight="false" outlineLevel="0" collapsed="false">
      <c r="B13" s="448" t="s">
        <v>445</v>
      </c>
      <c r="C13" s="71"/>
      <c r="D13" s="654"/>
      <c r="E13" s="450"/>
      <c r="H13" s="400" t="n">
        <v>7</v>
      </c>
      <c r="I13" s="401" t="n">
        <f aca="false">'Input-Detail'!E21</f>
        <v>22860512.45</v>
      </c>
      <c r="J13" s="402" t="n">
        <f aca="false">'Input-Detail'!F21</f>
        <v>0.3465</v>
      </c>
      <c r="K13" s="611" t="n">
        <f aca="false">Y13</f>
        <v>322.102259322908</v>
      </c>
      <c r="L13" s="611" t="n">
        <f aca="false">AC13</f>
        <v>28804.245687</v>
      </c>
      <c r="M13" s="611" t="n">
        <f aca="false">AG13</f>
        <v>28804.245687</v>
      </c>
      <c r="N13" s="412" t="n">
        <f aca="false">AH13</f>
        <v>57930.5936333229</v>
      </c>
      <c r="O13" s="647" t="n">
        <f aca="false">($D$22*$D$18*$D$14+$D$23*$D$19*$D$15+$D$24*$D$16*$D$20)*(1+$D$25)^$H13</f>
        <v>29.463960410089</v>
      </c>
      <c r="P13" s="614" t="n">
        <f aca="false">N13*O13</f>
        <v>1706864.71734518</v>
      </c>
      <c r="S13" s="400" t="n">
        <v>7</v>
      </c>
      <c r="T13" s="408" t="n">
        <f aca="false">T$6+(T$26-T$6)*$S13/20</f>
        <v>22860512.45</v>
      </c>
      <c r="U13" s="402" t="n">
        <f aca="false">U$6+(U$26-U$6)*$S13/20</f>
        <v>0.3465</v>
      </c>
      <c r="V13" s="411" t="n">
        <f aca="false">T13*U13</f>
        <v>7921167.563925</v>
      </c>
      <c r="W13" s="648" t="n">
        <f aca="false">Delay!P14</f>
        <v>10716.8450676665</v>
      </c>
      <c r="X13" s="649" t="n">
        <f aca="false">Delay!T14</f>
        <v>10394.7428083436</v>
      </c>
      <c r="Y13" s="611" t="n">
        <f aca="false">W13-X13</f>
        <v>322.102259322908</v>
      </c>
      <c r="Z13" s="612" t="n">
        <f aca="false">($D$12+0)/2</f>
        <v>27.5</v>
      </c>
      <c r="AA13" s="612" t="n">
        <f aca="false">($D$10/Z13)*T13</f>
        <v>166258.272363636</v>
      </c>
      <c r="AB13" s="612" t="n">
        <f aca="false">($T13-V13)*($D$10/$Z13)+V13*$D$10/$D$12</f>
        <v>137454.026676636</v>
      </c>
      <c r="AC13" s="611" t="n">
        <f aca="false">AA13-AB13</f>
        <v>28804.245687</v>
      </c>
      <c r="AD13" s="612" t="n">
        <f aca="false">($D$12+0)/2</f>
        <v>27.5</v>
      </c>
      <c r="AE13" s="612" t="n">
        <f aca="false">T13*$D$11/AD13</f>
        <v>166258.272363636</v>
      </c>
      <c r="AF13" s="612" t="n">
        <f aca="false">($T13-V13)*($D$11/$AD13)+V13*$D$11/$D$12</f>
        <v>137454.026676636</v>
      </c>
      <c r="AG13" s="611" t="n">
        <f aca="false">AE13-AF13</f>
        <v>28804.245687</v>
      </c>
      <c r="AH13" s="437" t="n">
        <f aca="false">Y13+AC13+AG13</f>
        <v>57930.5936333229</v>
      </c>
      <c r="AK13" s="372"/>
      <c r="AL13" s="372"/>
    </row>
    <row r="14" customFormat="false" ht="13" hidden="false" customHeight="false" outlineLevel="0" collapsed="false">
      <c r="B14" s="655"/>
      <c r="C14" s="71" t="s">
        <v>130</v>
      </c>
      <c r="D14" s="656" t="n">
        <f aca="false">'Input-Detail'!AZ31</f>
        <v>0.9476</v>
      </c>
      <c r="E14" s="450"/>
      <c r="H14" s="400" t="n">
        <v>8</v>
      </c>
      <c r="I14" s="401" t="n">
        <f aca="false">'Input-Detail'!E22</f>
        <v>23409703.8</v>
      </c>
      <c r="J14" s="402" t="n">
        <f aca="false">'Input-Detail'!F22</f>
        <v>0.396</v>
      </c>
      <c r="K14" s="611" t="n">
        <f aca="false">Y14</f>
        <v>517.622200359931</v>
      </c>
      <c r="L14" s="611" t="n">
        <f aca="false">AC14</f>
        <v>33709.973472</v>
      </c>
      <c r="M14" s="611" t="n">
        <f aca="false">AG14</f>
        <v>33709.973472</v>
      </c>
      <c r="N14" s="412" t="n">
        <f aca="false">AH14</f>
        <v>67937.56914436</v>
      </c>
      <c r="O14" s="647" t="n">
        <f aca="false">($D$22*$D$18*$D$14+$D$23*$D$19*$D$15+$D$24*$D$16*$D$20)*(1+$D$25)^$H14</f>
        <v>30.3478792223917</v>
      </c>
      <c r="P14" s="614" t="n">
        <f aca="false">N14*O14</f>
        <v>2061761.14305592</v>
      </c>
      <c r="S14" s="400" t="n">
        <v>8</v>
      </c>
      <c r="T14" s="408" t="n">
        <f aca="false">T$6+(T$26-T$6)*$S14/20</f>
        <v>23409703.8</v>
      </c>
      <c r="U14" s="402" t="n">
        <f aca="false">U$6+(U$26-U$6)*$S14/20</f>
        <v>0.396</v>
      </c>
      <c r="V14" s="411" t="n">
        <f aca="false">T14*U14</f>
        <v>9270242.7048</v>
      </c>
      <c r="W14" s="648" t="n">
        <f aca="false">Delay!P15</f>
        <v>10789.6837430553</v>
      </c>
      <c r="X14" s="649" t="n">
        <f aca="false">Delay!T15</f>
        <v>10272.0615426953</v>
      </c>
      <c r="Y14" s="611" t="n">
        <f aca="false">W14-X14</f>
        <v>517.622200359931</v>
      </c>
      <c r="Z14" s="612" t="n">
        <f aca="false">($D$12+0)/2</f>
        <v>27.5</v>
      </c>
      <c r="AA14" s="612" t="n">
        <f aca="false">($D$10/Z14)*T14</f>
        <v>170252.391272727</v>
      </c>
      <c r="AB14" s="612" t="n">
        <f aca="false">($T14-V14)*($D$10/$Z14)+V14*$D$10/$D$12</f>
        <v>136542.417800727</v>
      </c>
      <c r="AC14" s="611" t="n">
        <f aca="false">AA14-AB14</f>
        <v>33709.973472</v>
      </c>
      <c r="AD14" s="612" t="n">
        <f aca="false">($D$12+0)/2</f>
        <v>27.5</v>
      </c>
      <c r="AE14" s="612" t="n">
        <f aca="false">T14*$D$11/AD14</f>
        <v>170252.391272727</v>
      </c>
      <c r="AF14" s="612" t="n">
        <f aca="false">($T14-V14)*($D$11/$AD14)+V14*$D$11/$D$12</f>
        <v>136542.417800727</v>
      </c>
      <c r="AG14" s="611" t="n">
        <f aca="false">AE14-AF14</f>
        <v>33709.973472</v>
      </c>
      <c r="AH14" s="437" t="n">
        <f aca="false">Y14+AC14+AG14</f>
        <v>67937.56914436</v>
      </c>
      <c r="AK14" s="372"/>
      <c r="AL14" s="372"/>
    </row>
    <row r="15" customFormat="false" ht="13" hidden="false" customHeight="false" outlineLevel="0" collapsed="false">
      <c r="B15" s="655"/>
      <c r="C15" s="71" t="s">
        <v>132</v>
      </c>
      <c r="D15" s="656" t="n">
        <f aca="false">'Input-Detail'!AZ32</f>
        <v>0.0511</v>
      </c>
      <c r="E15" s="450"/>
      <c r="H15" s="400" t="n">
        <v>9</v>
      </c>
      <c r="I15" s="401" t="n">
        <f aca="false">'Input-Detail'!E23</f>
        <v>23958895.15</v>
      </c>
      <c r="J15" s="402" t="n">
        <f aca="false">'Input-Detail'!F23</f>
        <v>0.4455</v>
      </c>
      <c r="K15" s="611" t="n">
        <f aca="false">Y15</f>
        <v>1940.79112409359</v>
      </c>
      <c r="L15" s="611" t="n">
        <f aca="false">AC15</f>
        <v>38813.410143</v>
      </c>
      <c r="M15" s="611" t="n">
        <f aca="false">AG15</f>
        <v>38813.410143</v>
      </c>
      <c r="N15" s="412" t="n">
        <f aca="false">AH15</f>
        <v>79567.6114100935</v>
      </c>
      <c r="O15" s="647" t="n">
        <f aca="false">($D$22*$D$18*$D$14+$D$23*$D$19*$D$15+$D$24*$D$16*$D$20)*(1+$D$25)^$H15</f>
        <v>31.2583155990634</v>
      </c>
      <c r="P15" s="614" t="n">
        <f aca="false">N15*O15</f>
        <v>2487149.50892034</v>
      </c>
      <c r="S15" s="400" t="n">
        <v>9</v>
      </c>
      <c r="T15" s="408" t="n">
        <f aca="false">T$6+(T$26-T$6)*$S15/20</f>
        <v>23958895.15</v>
      </c>
      <c r="U15" s="402" t="n">
        <f aca="false">U$6+(U$26-U$6)*$S15/20</f>
        <v>0.4455</v>
      </c>
      <c r="V15" s="411" t="n">
        <f aca="false">T15*U15</f>
        <v>10673687.789325</v>
      </c>
      <c r="W15" s="648" t="n">
        <f aca="false">Delay!P16</f>
        <v>10880.3808316756</v>
      </c>
      <c r="X15" s="649" t="n">
        <f aca="false">Delay!T16</f>
        <v>8939.58970758196</v>
      </c>
      <c r="Y15" s="611" t="n">
        <f aca="false">W15-X15</f>
        <v>1940.79112409359</v>
      </c>
      <c r="Z15" s="612" t="n">
        <f aca="false">($D$12+0)/2</f>
        <v>27.5</v>
      </c>
      <c r="AA15" s="612" t="n">
        <f aca="false">($D$10/Z15)*T15</f>
        <v>174246.510181818</v>
      </c>
      <c r="AB15" s="612" t="n">
        <f aca="false">($T15-V15)*($D$10/$Z15)+V15*$D$10/$D$12</f>
        <v>135433.100038818</v>
      </c>
      <c r="AC15" s="611" t="n">
        <f aca="false">AA15-AB15</f>
        <v>38813.410143</v>
      </c>
      <c r="AD15" s="612" t="n">
        <f aca="false">($D$12+0)/2</f>
        <v>27.5</v>
      </c>
      <c r="AE15" s="612" t="n">
        <f aca="false">T15*$D$11/AD15</f>
        <v>174246.510181818</v>
      </c>
      <c r="AF15" s="612" t="n">
        <f aca="false">($T15-V15)*($D$11/$AD15)+V15*$D$11/$D$12</f>
        <v>135433.100038818</v>
      </c>
      <c r="AG15" s="611" t="n">
        <f aca="false">AE15-AF15</f>
        <v>38813.410143</v>
      </c>
      <c r="AH15" s="437" t="n">
        <f aca="false">Y15+AC15+AG15</f>
        <v>79567.6114100935</v>
      </c>
      <c r="AK15" s="372"/>
      <c r="AL15" s="372"/>
    </row>
    <row r="16" customFormat="false" ht="13" hidden="false" customHeight="false" outlineLevel="0" collapsed="false">
      <c r="B16" s="655"/>
      <c r="C16" s="71" t="s">
        <v>135</v>
      </c>
      <c r="D16" s="656" t="n">
        <f aca="false">'Input-Detail'!AZ33</f>
        <v>0.0013</v>
      </c>
      <c r="E16" s="450"/>
      <c r="H16" s="400" t="n">
        <v>10</v>
      </c>
      <c r="I16" s="401" t="n">
        <f aca="false">'Input-Detail'!E24</f>
        <v>24508086.5</v>
      </c>
      <c r="J16" s="402" t="n">
        <f aca="false">'Input-Detail'!F24</f>
        <v>0.495</v>
      </c>
      <c r="K16" s="611" t="n">
        <f aca="false">Y16</f>
        <v>2269.33999053151</v>
      </c>
      <c r="L16" s="611" t="n">
        <f aca="false">AC16</f>
        <v>44114.5557</v>
      </c>
      <c r="M16" s="611" t="n">
        <f aca="false">AG16</f>
        <v>44114.5557</v>
      </c>
      <c r="N16" s="412" t="n">
        <f aca="false">AH16</f>
        <v>90498.4513905315</v>
      </c>
      <c r="O16" s="647" t="n">
        <f aca="false">($D$22*$D$18*$D$14+$D$23*$D$19*$D$15+$D$24*$D$16*$D$20)*(1+$D$25)^$H16</f>
        <v>32.1960650670353</v>
      </c>
      <c r="P16" s="614" t="n">
        <f aca="false">N16*O16</f>
        <v>2913694.02943549</v>
      </c>
      <c r="S16" s="400" t="n">
        <v>10</v>
      </c>
      <c r="T16" s="408" t="n">
        <f aca="false">T$6+(T$26-T$6)*$S16/20</f>
        <v>24508086.5</v>
      </c>
      <c r="U16" s="402" t="n">
        <f aca="false">U$6+(U$26-U$6)*$S16/20</f>
        <v>0.495</v>
      </c>
      <c r="V16" s="411" t="n">
        <f aca="false">T16*U16</f>
        <v>12131502.8175</v>
      </c>
      <c r="W16" s="648" t="n">
        <f aca="false">Delay!P17</f>
        <v>10986.2948475784</v>
      </c>
      <c r="X16" s="649" t="n">
        <f aca="false">Delay!T17</f>
        <v>8716.95485704685</v>
      </c>
      <c r="Y16" s="611" t="n">
        <f aca="false">W16-X16</f>
        <v>2269.33999053151</v>
      </c>
      <c r="Z16" s="612" t="n">
        <f aca="false">($D$12+0)/2</f>
        <v>27.5</v>
      </c>
      <c r="AA16" s="612" t="n">
        <f aca="false">($D$10/Z16)*T16</f>
        <v>178240.629090909</v>
      </c>
      <c r="AB16" s="612" t="n">
        <f aca="false">($T16-V16)*($D$10/$Z16)+V16*$D$10/$D$12</f>
        <v>134126.073390909</v>
      </c>
      <c r="AC16" s="611" t="n">
        <f aca="false">AA16-AB16</f>
        <v>44114.5557</v>
      </c>
      <c r="AD16" s="612" t="n">
        <f aca="false">($D$12+0)/2</f>
        <v>27.5</v>
      </c>
      <c r="AE16" s="612" t="n">
        <f aca="false">T16*$D$11/AD16</f>
        <v>178240.629090909</v>
      </c>
      <c r="AF16" s="612" t="n">
        <f aca="false">($T16-V16)*($D$11/$AD16)+V16*$D$11/$D$12</f>
        <v>134126.073390909</v>
      </c>
      <c r="AG16" s="611" t="n">
        <f aca="false">AE16-AF16</f>
        <v>44114.5557</v>
      </c>
      <c r="AH16" s="437" t="n">
        <f aca="false">Y16+AC16+AG16</f>
        <v>90498.4513905315</v>
      </c>
      <c r="AK16" s="372"/>
      <c r="AL16" s="372"/>
    </row>
    <row r="17" customFormat="false" ht="13" hidden="false" customHeight="false" outlineLevel="0" collapsed="false">
      <c r="B17" s="448" t="s">
        <v>139</v>
      </c>
      <c r="C17" s="71"/>
      <c r="D17" s="654"/>
      <c r="E17" s="450"/>
      <c r="H17" s="400" t="n">
        <v>11</v>
      </c>
      <c r="I17" s="401" t="n">
        <f aca="false">'Input-Detail'!E25</f>
        <v>25057277.85</v>
      </c>
      <c r="J17" s="402" t="n">
        <f aca="false">'Input-Detail'!F25</f>
        <v>0.5445</v>
      </c>
      <c r="K17" s="611" t="n">
        <f aca="false">Y17</f>
        <v>3474.21534477937</v>
      </c>
      <c r="L17" s="611" t="n">
        <f aca="false">AC17</f>
        <v>49613.410143</v>
      </c>
      <c r="M17" s="611" t="n">
        <f aca="false">AG17</f>
        <v>49613.410143</v>
      </c>
      <c r="N17" s="412" t="n">
        <f aca="false">AH17</f>
        <v>102701.035630779</v>
      </c>
      <c r="O17" s="647" t="n">
        <f aca="false">($D$22*$D$18*$D$14+$D$23*$D$19*$D$15+$D$24*$D$16*$D$20)*(1+$D$25)^$H17</f>
        <v>33.1619470190464</v>
      </c>
      <c r="P17" s="614" t="n">
        <f aca="false">N17*O17</f>
        <v>3405766.3023891</v>
      </c>
      <c r="S17" s="400" t="n">
        <v>11</v>
      </c>
      <c r="T17" s="408" t="n">
        <f aca="false">T$6+(T$26-T$6)*$S17/20</f>
        <v>25057277.85</v>
      </c>
      <c r="U17" s="402" t="n">
        <f aca="false">U$6+(U$26-U$6)*$S17/20</f>
        <v>0.5445</v>
      </c>
      <c r="V17" s="411" t="n">
        <f aca="false">T17*U17</f>
        <v>13643687.789325</v>
      </c>
      <c r="W17" s="648" t="n">
        <f aca="false">Delay!P18</f>
        <v>11105.2117454412</v>
      </c>
      <c r="X17" s="649" t="n">
        <f aca="false">Delay!T18</f>
        <v>7630.99640066183</v>
      </c>
      <c r="Y17" s="611" t="n">
        <f aca="false">W17-X17</f>
        <v>3474.21534477937</v>
      </c>
      <c r="Z17" s="612" t="n">
        <f aca="false">($D$12+0)/2</f>
        <v>27.5</v>
      </c>
      <c r="AA17" s="612" t="n">
        <f aca="false">($D$10/Z17)*T17</f>
        <v>182234.748</v>
      </c>
      <c r="AB17" s="612" t="n">
        <f aca="false">($T17-V17)*($D$10/$Z17)+V17*$D$10/$D$12</f>
        <v>132621.337857</v>
      </c>
      <c r="AC17" s="611" t="n">
        <f aca="false">AA17-AB17</f>
        <v>49613.410143</v>
      </c>
      <c r="AD17" s="612" t="n">
        <f aca="false">($D$12+0)/2</f>
        <v>27.5</v>
      </c>
      <c r="AE17" s="612" t="n">
        <f aca="false">T17*$D$11/AD17</f>
        <v>182234.748</v>
      </c>
      <c r="AF17" s="612" t="n">
        <f aca="false">($T17-V17)*($D$11/$AD17)+V17*$D$11/$D$12</f>
        <v>132621.337857</v>
      </c>
      <c r="AG17" s="611" t="n">
        <f aca="false">AE17-AF17</f>
        <v>49613.410143</v>
      </c>
      <c r="AH17" s="437" t="n">
        <f aca="false">Y17+AC17+AG17</f>
        <v>102701.035630779</v>
      </c>
      <c r="AK17" s="372"/>
      <c r="AL17" s="372"/>
    </row>
    <row r="18" customFormat="false" ht="13" hidden="false" customHeight="false" outlineLevel="0" collapsed="false">
      <c r="B18" s="655"/>
      <c r="C18" s="71" t="s">
        <v>130</v>
      </c>
      <c r="D18" s="652" t="n">
        <f aca="false">'Input-Detail'!AZ35</f>
        <v>1.8</v>
      </c>
      <c r="E18" s="450"/>
      <c r="H18" s="400" t="n">
        <v>12</v>
      </c>
      <c r="I18" s="401" t="n">
        <f aca="false">'Input-Detail'!E26</f>
        <v>25606469.2</v>
      </c>
      <c r="J18" s="402" t="n">
        <f aca="false">'Input-Detail'!F26</f>
        <v>0.594</v>
      </c>
      <c r="K18" s="611" t="n">
        <f aca="false">Y18</f>
        <v>4235.10396076711</v>
      </c>
      <c r="L18" s="611" t="n">
        <f aca="false">AC18</f>
        <v>55309.973472</v>
      </c>
      <c r="M18" s="611" t="n">
        <f aca="false">AG18</f>
        <v>55309.973472</v>
      </c>
      <c r="N18" s="412" t="n">
        <f aca="false">AH18</f>
        <v>114855.050904767</v>
      </c>
      <c r="O18" s="647" t="n">
        <f aca="false">($D$22*$D$18*$D$14+$D$23*$D$19*$D$15+$D$24*$D$16*$D$20)*(1+$D$25)^$H18</f>
        <v>34.1568054296178</v>
      </c>
      <c r="P18" s="614" t="n">
        <f aca="false">N18*O18</f>
        <v>3923081.62636297</v>
      </c>
      <c r="S18" s="400" t="n">
        <v>12</v>
      </c>
      <c r="T18" s="408" t="n">
        <f aca="false">T$6+(T$26-T$6)*$S18/20</f>
        <v>25606469.2</v>
      </c>
      <c r="U18" s="402" t="n">
        <f aca="false">U$6+(U$26-U$6)*$S18/20</f>
        <v>0.594</v>
      </c>
      <c r="V18" s="411" t="n">
        <f aca="false">T18*U18</f>
        <v>15210242.7048</v>
      </c>
      <c r="W18" s="648" t="n">
        <f aca="false">Delay!P19</f>
        <v>11235.2824171636</v>
      </c>
      <c r="X18" s="649" t="n">
        <f aca="false">Delay!T19</f>
        <v>7000.17845639647</v>
      </c>
      <c r="Y18" s="611" t="n">
        <f aca="false">W18-X18</f>
        <v>4235.10396076711</v>
      </c>
      <c r="Z18" s="612" t="n">
        <f aca="false">($D$12+0)/2</f>
        <v>27.5</v>
      </c>
      <c r="AA18" s="612" t="n">
        <f aca="false">($D$10/Z18)*T18</f>
        <v>186228.866909091</v>
      </c>
      <c r="AB18" s="612" t="n">
        <f aca="false">($T18-V18)*($D$10/$Z18)+V18*$D$10/$D$12</f>
        <v>130918.893437091</v>
      </c>
      <c r="AC18" s="611" t="n">
        <f aca="false">AA18-AB18</f>
        <v>55309.973472</v>
      </c>
      <c r="AD18" s="612" t="n">
        <f aca="false">($D$12+0)/2</f>
        <v>27.5</v>
      </c>
      <c r="AE18" s="612" t="n">
        <f aca="false">T18*$D$11/AD18</f>
        <v>186228.866909091</v>
      </c>
      <c r="AF18" s="612" t="n">
        <f aca="false">($T18-V18)*($D$11/$AD18)+V18*$D$11/$D$12</f>
        <v>130918.893437091</v>
      </c>
      <c r="AG18" s="611" t="n">
        <f aca="false">AE18-AF18</f>
        <v>55309.973472</v>
      </c>
      <c r="AH18" s="437" t="n">
        <f aca="false">Y18+AC18+AG18</f>
        <v>114855.050904767</v>
      </c>
      <c r="AK18" s="372"/>
      <c r="AL18" s="372"/>
    </row>
    <row r="19" customFormat="false" ht="13" hidden="false" customHeight="false" outlineLevel="0" collapsed="false">
      <c r="B19" s="655"/>
      <c r="C19" s="71" t="s">
        <v>132</v>
      </c>
      <c r="D19" s="652" t="n">
        <f aca="false">'Input-Detail'!AZ36</f>
        <v>1.1</v>
      </c>
      <c r="E19" s="450"/>
      <c r="H19" s="400" t="n">
        <v>13</v>
      </c>
      <c r="I19" s="401" t="n">
        <f aca="false">'Input-Detail'!E27</f>
        <v>26155660.55</v>
      </c>
      <c r="J19" s="402" t="n">
        <f aca="false">'Input-Detail'!F27</f>
        <v>0.6435</v>
      </c>
      <c r="K19" s="611" t="n">
        <f aca="false">Y19</f>
        <v>5219.88767244175</v>
      </c>
      <c r="L19" s="611" t="n">
        <f aca="false">AC19</f>
        <v>61204.245687</v>
      </c>
      <c r="M19" s="611" t="n">
        <f aca="false">AG19</f>
        <v>61204.245687</v>
      </c>
      <c r="N19" s="412" t="n">
        <f aca="false">AH19</f>
        <v>127628.379046442</v>
      </c>
      <c r="O19" s="647" t="n">
        <f aca="false">($D$22*$D$18*$D$14+$D$23*$D$19*$D$15+$D$24*$D$16*$D$20)*(1+$D$25)^$H19</f>
        <v>35.1815095925063</v>
      </c>
      <c r="P19" s="614" t="n">
        <f aca="false">N19*O19</f>
        <v>4490159.04169842</v>
      </c>
      <c r="S19" s="400" t="n">
        <v>13</v>
      </c>
      <c r="T19" s="408" t="n">
        <f aca="false">T$6+(T$26-T$6)*$S19/20</f>
        <v>26155660.55</v>
      </c>
      <c r="U19" s="402" t="n">
        <f aca="false">U$6+(U$26-U$6)*$S19/20</f>
        <v>0.6435</v>
      </c>
      <c r="V19" s="411" t="n">
        <f aca="false">T19*U19</f>
        <v>16831167.563925</v>
      </c>
      <c r="W19" s="648" t="n">
        <f aca="false">Delay!P20</f>
        <v>11374.9640621769</v>
      </c>
      <c r="X19" s="649" t="n">
        <f aca="false">Delay!T20</f>
        <v>6155.07638973517</v>
      </c>
      <c r="Y19" s="611" t="n">
        <f aca="false">W19-X19</f>
        <v>5219.88767244175</v>
      </c>
      <c r="Z19" s="612" t="n">
        <f aca="false">($D$12+0)/2</f>
        <v>27.5</v>
      </c>
      <c r="AA19" s="612" t="n">
        <f aca="false">($D$10/Z19)*T19</f>
        <v>190222.985818182</v>
      </c>
      <c r="AB19" s="612" t="n">
        <f aca="false">($T19-V19)*($D$10/$Z19)+V19*$D$10/$D$12</f>
        <v>129018.740131182</v>
      </c>
      <c r="AC19" s="611" t="n">
        <f aca="false">AA19-AB19</f>
        <v>61204.245687</v>
      </c>
      <c r="AD19" s="612" t="n">
        <f aca="false">($D$12+0)/2</f>
        <v>27.5</v>
      </c>
      <c r="AE19" s="612" t="n">
        <f aca="false">T19*$D$11/AD19</f>
        <v>190222.985818182</v>
      </c>
      <c r="AF19" s="612" t="n">
        <f aca="false">($T19-V19)*($D$11/$AD19)+V19*$D$11/$D$12</f>
        <v>129018.740131182</v>
      </c>
      <c r="AG19" s="611" t="n">
        <f aca="false">AE19-AF19</f>
        <v>61204.245687</v>
      </c>
      <c r="AH19" s="437" t="n">
        <f aca="false">Y19+AC19+AG19</f>
        <v>127628.379046442</v>
      </c>
      <c r="AK19" s="372"/>
      <c r="AL19" s="372"/>
    </row>
    <row r="20" customFormat="false" ht="13" hidden="false" customHeight="false" outlineLevel="0" collapsed="false">
      <c r="B20" s="655"/>
      <c r="C20" s="71" t="s">
        <v>135</v>
      </c>
      <c r="D20" s="652" t="n">
        <f aca="false">'Input-Detail'!AZ37</f>
        <v>20</v>
      </c>
      <c r="E20" s="657"/>
      <c r="H20" s="400" t="n">
        <v>14</v>
      </c>
      <c r="I20" s="401" t="n">
        <f aca="false">'Input-Detail'!E28</f>
        <v>26704851.9</v>
      </c>
      <c r="J20" s="402" t="n">
        <f aca="false">'Input-Detail'!F28</f>
        <v>0.693</v>
      </c>
      <c r="K20" s="611" t="n">
        <f aca="false">Y20</f>
        <v>6018.54711707836</v>
      </c>
      <c r="L20" s="611" t="n">
        <f aca="false">AC20</f>
        <v>67296.226788</v>
      </c>
      <c r="M20" s="611" t="n">
        <f aca="false">AG20</f>
        <v>67296.226788</v>
      </c>
      <c r="N20" s="412" t="n">
        <f aca="false">AH20</f>
        <v>140611.000693078</v>
      </c>
      <c r="O20" s="647" t="n">
        <f aca="false">($D$22*$D$18*$D$14+$D$23*$D$19*$D$15+$D$24*$D$16*$D$20)*(1+$D$25)^$H20</f>
        <v>36.2369548802815</v>
      </c>
      <c r="P20" s="614" t="n">
        <f aca="false">N20*O20</f>
        <v>5095314.48778631</v>
      </c>
      <c r="S20" s="400" t="n">
        <v>14</v>
      </c>
      <c r="T20" s="408" t="n">
        <f aca="false">T$6+(T$26-T$6)*$S20/20</f>
        <v>26704851.9</v>
      </c>
      <c r="U20" s="402" t="n">
        <f aca="false">U$6+(U$26-U$6)*$S20/20</f>
        <v>0.693</v>
      </c>
      <c r="V20" s="411" t="n">
        <f aca="false">T20*U20</f>
        <v>18506462.3667</v>
      </c>
      <c r="W20" s="648" t="n">
        <f aca="false">Delay!P21</f>
        <v>11522.9684986255</v>
      </c>
      <c r="X20" s="649" t="n">
        <f aca="false">Delay!T21</f>
        <v>5504.42138154712</v>
      </c>
      <c r="Y20" s="611" t="n">
        <f aca="false">W20-X20</f>
        <v>6018.54711707836</v>
      </c>
      <c r="Z20" s="612" t="n">
        <f aca="false">($D$12+0)/2</f>
        <v>27.5</v>
      </c>
      <c r="AA20" s="612" t="n">
        <f aca="false">($D$10/Z20)*T20</f>
        <v>194217.104727273</v>
      </c>
      <c r="AB20" s="612" t="n">
        <f aca="false">($T20-V20)*($D$10/$Z20)+V20*$D$10/$D$12</f>
        <v>126920.877939273</v>
      </c>
      <c r="AC20" s="611" t="n">
        <f aca="false">AA20-AB20</f>
        <v>67296.226788</v>
      </c>
      <c r="AD20" s="612" t="n">
        <f aca="false">($D$12+0)/2</f>
        <v>27.5</v>
      </c>
      <c r="AE20" s="612" t="n">
        <f aca="false">T20*$D$11/AD20</f>
        <v>194217.104727273</v>
      </c>
      <c r="AF20" s="612" t="n">
        <f aca="false">($T20-V20)*($D$11/$AD20)+V20*$D$11/$D$12</f>
        <v>126920.877939273</v>
      </c>
      <c r="AG20" s="611" t="n">
        <f aca="false">AE20-AF20</f>
        <v>67296.226788</v>
      </c>
      <c r="AH20" s="437" t="n">
        <f aca="false">Y20+AC20+AG20</f>
        <v>140611.000693078</v>
      </c>
      <c r="AK20" s="372"/>
      <c r="AL20" s="372"/>
    </row>
    <row r="21" customFormat="false" ht="13" hidden="false" customHeight="false" outlineLevel="0" collapsed="false">
      <c r="B21" s="448" t="s">
        <v>235</v>
      </c>
      <c r="C21" s="71"/>
      <c r="D21" s="654"/>
      <c r="E21" s="450"/>
      <c r="H21" s="400" t="n">
        <v>15</v>
      </c>
      <c r="I21" s="401" t="n">
        <f aca="false">'Input-Detail'!E29</f>
        <v>27254043.25</v>
      </c>
      <c r="J21" s="402" t="n">
        <f aca="false">'Input-Detail'!F29</f>
        <v>0.7425</v>
      </c>
      <c r="K21" s="611" t="n">
        <f aca="false">Y21</f>
        <v>7064.13547390509</v>
      </c>
      <c r="L21" s="611" t="n">
        <f aca="false">AC21</f>
        <v>73585.916775</v>
      </c>
      <c r="M21" s="611" t="n">
        <f aca="false">AG21</f>
        <v>73585.916775</v>
      </c>
      <c r="N21" s="412" t="n">
        <f aca="false">AH21</f>
        <v>154235.969023905</v>
      </c>
      <c r="O21" s="647" t="n">
        <f aca="false">($D$22*$D$18*$D$14+$D$23*$D$19*$D$15+$D$24*$D$16*$D$20)*(1+$D$25)^$H21</f>
        <v>37.3240635266899</v>
      </c>
      <c r="P21" s="614" t="n">
        <f aca="false">N21*O21</f>
        <v>5756713.10594882</v>
      </c>
      <c r="S21" s="400" t="n">
        <v>15</v>
      </c>
      <c r="T21" s="408" t="n">
        <f aca="false">T$6+(T$26-T$6)*$S21/20</f>
        <v>27254043.25</v>
      </c>
      <c r="U21" s="402" t="n">
        <f aca="false">U$6+(U$26-U$6)*$S21/20</f>
        <v>0.7425</v>
      </c>
      <c r="V21" s="411" t="n">
        <f aca="false">T21*U21</f>
        <v>20236127.113125</v>
      </c>
      <c r="W21" s="648" t="n">
        <f aca="false">Delay!P22</f>
        <v>11678.2181100969</v>
      </c>
      <c r="X21" s="649" t="n">
        <f aca="false">Delay!T22</f>
        <v>4614.08263619177</v>
      </c>
      <c r="Y21" s="611" t="n">
        <f aca="false">W21-X21</f>
        <v>7064.13547390509</v>
      </c>
      <c r="Z21" s="612" t="n">
        <f aca="false">($D$12+0)/2</f>
        <v>27.5</v>
      </c>
      <c r="AA21" s="612" t="n">
        <f aca="false">($D$10/Z21)*T21</f>
        <v>198211.223636364</v>
      </c>
      <c r="AB21" s="612" t="n">
        <f aca="false">($T21-V21)*($D$10/$Z21)+V21*$D$10/$D$12</f>
        <v>124625.306861364</v>
      </c>
      <c r="AC21" s="611" t="n">
        <f aca="false">AA21-AB21</f>
        <v>73585.916775</v>
      </c>
      <c r="AD21" s="612" t="n">
        <f aca="false">($D$12+0)/2</f>
        <v>27.5</v>
      </c>
      <c r="AE21" s="612" t="n">
        <f aca="false">T21*$D$11/AD21</f>
        <v>198211.223636364</v>
      </c>
      <c r="AF21" s="612" t="n">
        <f aca="false">($T21-V21)*($D$11/$AD21)+V21*$D$11/$D$12</f>
        <v>124625.306861364</v>
      </c>
      <c r="AG21" s="611" t="n">
        <f aca="false">AE21-AF21</f>
        <v>73585.916775</v>
      </c>
      <c r="AH21" s="437" t="n">
        <f aca="false">Y21+AC21+AG21</f>
        <v>154235.969023905</v>
      </c>
      <c r="AK21" s="372"/>
      <c r="AL21" s="372"/>
    </row>
    <row r="22" customFormat="false" ht="13" hidden="false" customHeight="false" outlineLevel="0" collapsed="false">
      <c r="B22" s="655"/>
      <c r="C22" s="71" t="s">
        <v>130</v>
      </c>
      <c r="D22" s="658" t="n">
        <f aca="false">'Input-Detail'!AZ39</f>
        <v>12.75</v>
      </c>
      <c r="E22" s="450"/>
      <c r="H22" s="400" t="n">
        <v>16</v>
      </c>
      <c r="I22" s="401" t="n">
        <f aca="false">'Input-Detail'!E30</f>
        <v>27803234.6</v>
      </c>
      <c r="J22" s="402" t="n">
        <f aca="false">'Input-Detail'!F30</f>
        <v>0.792</v>
      </c>
      <c r="K22" s="611" t="n">
        <f aca="false">Y22</f>
        <v>7960.38666910049</v>
      </c>
      <c r="L22" s="611" t="n">
        <f aca="false">AC22</f>
        <v>80073.315648</v>
      </c>
      <c r="M22" s="611" t="n">
        <f aca="false">AG22</f>
        <v>80073.315648</v>
      </c>
      <c r="N22" s="412" t="n">
        <f aca="false">AH22</f>
        <v>168107.017965101</v>
      </c>
      <c r="O22" s="647" t="n">
        <f aca="false">($D$22*$D$18*$D$14+$D$23*$D$19*$D$15+$D$24*$D$16*$D$20)*(1+$D$25)^$H22</f>
        <v>38.4437854324906</v>
      </c>
      <c r="P22" s="614" t="n">
        <f aca="false">N22*O22</f>
        <v>6462670.12834618</v>
      </c>
      <c r="S22" s="400" t="n">
        <v>16</v>
      </c>
      <c r="T22" s="408" t="n">
        <f aca="false">T$6+(T$26-T$6)*$S22/20</f>
        <v>27803234.6</v>
      </c>
      <c r="U22" s="402" t="n">
        <f aca="false">U$6+(U$26-U$6)*$S22/20</f>
        <v>0.792</v>
      </c>
      <c r="V22" s="411" t="n">
        <f aca="false">T22*U22</f>
        <v>22020161.8032</v>
      </c>
      <c r="W22" s="648" t="n">
        <f aca="false">Delay!P23</f>
        <v>11839.809025338</v>
      </c>
      <c r="X22" s="649" t="n">
        <f aca="false">Delay!T23</f>
        <v>3879.42235623752</v>
      </c>
      <c r="Y22" s="611" t="n">
        <f aca="false">W22-X22</f>
        <v>7960.38666910049</v>
      </c>
      <c r="Z22" s="612" t="n">
        <f aca="false">($D$12+0)/2</f>
        <v>27.5</v>
      </c>
      <c r="AA22" s="612" t="n">
        <f aca="false">($D$10/Z22)*T22</f>
        <v>202205.342545455</v>
      </c>
      <c r="AB22" s="612" t="n">
        <f aca="false">($T22-V22)*($D$10/$Z22)+V22*$D$10/$D$12</f>
        <v>122132.026897455</v>
      </c>
      <c r="AC22" s="611" t="n">
        <f aca="false">AA22-AB22</f>
        <v>80073.315648</v>
      </c>
      <c r="AD22" s="612" t="n">
        <f aca="false">($D$12+0)/2</f>
        <v>27.5</v>
      </c>
      <c r="AE22" s="612" t="n">
        <f aca="false">T22*$D$11/AD22</f>
        <v>202205.342545455</v>
      </c>
      <c r="AF22" s="612" t="n">
        <f aca="false">($T22-V22)*($D$11/$AD22)+V22*$D$11/$D$12</f>
        <v>122132.026897455</v>
      </c>
      <c r="AG22" s="611" t="n">
        <f aca="false">AE22-AF22</f>
        <v>80073.315648</v>
      </c>
      <c r="AH22" s="437" t="n">
        <f aca="false">Y22+AC22+AG22</f>
        <v>168107.017965101</v>
      </c>
      <c r="AK22" s="372"/>
      <c r="AL22" s="372"/>
    </row>
    <row r="23" customFormat="false" ht="13" hidden="false" customHeight="false" outlineLevel="0" collapsed="false">
      <c r="B23" s="655"/>
      <c r="C23" s="71" t="s">
        <v>132</v>
      </c>
      <c r="D23" s="658" t="n">
        <f aca="false">'Input-Detail'!AZ40</f>
        <v>33.41</v>
      </c>
      <c r="E23" s="450"/>
      <c r="H23" s="400" t="n">
        <v>17</v>
      </c>
      <c r="I23" s="401" t="n">
        <f aca="false">'Input-Detail'!E31</f>
        <v>28352425.95</v>
      </c>
      <c r="J23" s="402" t="n">
        <f aca="false">'Input-Detail'!F31</f>
        <v>0.8415</v>
      </c>
      <c r="K23" s="611" t="n">
        <f aca="false">Y23</f>
        <v>8892.60603950111</v>
      </c>
      <c r="L23" s="611" t="n">
        <f aca="false">AC23</f>
        <v>86758.423407</v>
      </c>
      <c r="M23" s="611" t="n">
        <f aca="false">AG23</f>
        <v>86758.423407</v>
      </c>
      <c r="N23" s="412" t="n">
        <f aca="false">AH23</f>
        <v>182409.452853501</v>
      </c>
      <c r="O23" s="647" t="n">
        <f aca="false">($D$22*$D$18*$D$14+$D$23*$D$19*$D$15+$D$24*$D$16*$D$20)*(1+$D$25)^$H23</f>
        <v>39.5970989954654</v>
      </c>
      <c r="P23" s="614" t="n">
        <f aca="false">N23*O23</f>
        <v>7222885.16234875</v>
      </c>
      <c r="S23" s="400" t="n">
        <v>17</v>
      </c>
      <c r="T23" s="408" t="n">
        <f aca="false">T$6+(T$26-T$6)*$S23/20</f>
        <v>28352425.95</v>
      </c>
      <c r="U23" s="402" t="n">
        <f aca="false">U$6+(U$26-U$6)*$S23/20</f>
        <v>0.8415</v>
      </c>
      <c r="V23" s="411" t="n">
        <f aca="false">T23*U23</f>
        <v>23858566.436925</v>
      </c>
      <c r="W23" s="648" t="n">
        <f aca="false">Delay!P24</f>
        <v>12006.9806909129</v>
      </c>
      <c r="X23" s="649" t="n">
        <f aca="false">Delay!T24</f>
        <v>3114.37465141178</v>
      </c>
      <c r="Y23" s="611" t="n">
        <f aca="false">W23-X23</f>
        <v>8892.60603950111</v>
      </c>
      <c r="Z23" s="612" t="n">
        <f aca="false">($D$12+0)/2</f>
        <v>27.5</v>
      </c>
      <c r="AA23" s="612" t="n">
        <f aca="false">($D$10/Z23)*T23</f>
        <v>206199.461454545</v>
      </c>
      <c r="AB23" s="612" t="n">
        <f aca="false">($T23-V23)*($D$10/$Z23)+V23*$D$10/$D$12</f>
        <v>119441.038047545</v>
      </c>
      <c r="AC23" s="611" t="n">
        <f aca="false">AA23-AB23</f>
        <v>86758.423407</v>
      </c>
      <c r="AD23" s="612" t="n">
        <f aca="false">($D$12+0)/2</f>
        <v>27.5</v>
      </c>
      <c r="AE23" s="612" t="n">
        <f aca="false">T23*$D$11/AD23</f>
        <v>206199.461454545</v>
      </c>
      <c r="AF23" s="612" t="n">
        <f aca="false">($T23-V23)*($D$11/$AD23)+V23*$D$11/$D$12</f>
        <v>119441.038047545</v>
      </c>
      <c r="AG23" s="611" t="n">
        <f aca="false">AE23-AF23</f>
        <v>86758.423407</v>
      </c>
      <c r="AH23" s="437" t="n">
        <f aca="false">Y23+AC23+AG23</f>
        <v>182409.452853501</v>
      </c>
      <c r="AK23" s="372"/>
      <c r="AL23" s="372"/>
    </row>
    <row r="24" customFormat="false" ht="13" hidden="false" customHeight="false" outlineLevel="0" collapsed="false">
      <c r="B24" s="655"/>
      <c r="C24" s="71" t="s">
        <v>135</v>
      </c>
      <c r="D24" s="658" t="n">
        <f aca="false">'Input-Detail'!AZ41</f>
        <v>12.75</v>
      </c>
      <c r="E24" s="657"/>
      <c r="H24" s="400" t="n">
        <v>18</v>
      </c>
      <c r="I24" s="401" t="n">
        <f aca="false">'Input-Detail'!E32</f>
        <v>28901617.3</v>
      </c>
      <c r="J24" s="402" t="n">
        <f aca="false">'Input-Detail'!F32</f>
        <v>0.891</v>
      </c>
      <c r="K24" s="611" t="n">
        <f aca="false">Y24</f>
        <v>9911.30162050157</v>
      </c>
      <c r="L24" s="611" t="n">
        <f aca="false">AC24</f>
        <v>93641.240052</v>
      </c>
      <c r="M24" s="611" t="n">
        <f aca="false">AG24</f>
        <v>93641.240052</v>
      </c>
      <c r="N24" s="412" t="n">
        <f aca="false">AH24</f>
        <v>197193.781724502</v>
      </c>
      <c r="O24" s="647" t="n">
        <f aca="false">($D$22*$D$18*$D$14+$D$23*$D$19*$D$15+$D$24*$D$16*$D$20)*(1+$D$25)^$H24</f>
        <v>40.7850119653293</v>
      </c>
      <c r="P24" s="614" t="n">
        <f aca="false">N24*O24</f>
        <v>8042550.74712234</v>
      </c>
      <c r="S24" s="400" t="n">
        <v>18</v>
      </c>
      <c r="T24" s="408" t="n">
        <f aca="false">T$6+(T$26-T$6)*$S24/20</f>
        <v>28901617.3</v>
      </c>
      <c r="U24" s="402" t="n">
        <f aca="false">U$6+(U$26-U$6)*$S24/20</f>
        <v>0.891</v>
      </c>
      <c r="V24" s="411" t="n">
        <f aca="false">T24*U24</f>
        <v>25751341.0143</v>
      </c>
      <c r="W24" s="648" t="n">
        <f aca="false">Delay!P25</f>
        <v>12179.0908868893</v>
      </c>
      <c r="X24" s="649" t="n">
        <f aca="false">Delay!T25</f>
        <v>2267.78926638777</v>
      </c>
      <c r="Y24" s="611" t="n">
        <f aca="false">W24-X24</f>
        <v>9911.30162050157</v>
      </c>
      <c r="Z24" s="612" t="n">
        <f aca="false">($D$12+0)/2</f>
        <v>27.5</v>
      </c>
      <c r="AA24" s="612" t="n">
        <f aca="false">($D$10/Z24)*T24</f>
        <v>210193.580363636</v>
      </c>
      <c r="AB24" s="612" t="n">
        <f aca="false">($T24-V24)*($D$10/$Z24)+V24*$D$10/$D$12</f>
        <v>116552.340311636</v>
      </c>
      <c r="AC24" s="611" t="n">
        <f aca="false">AA24-AB24</f>
        <v>93641.240052</v>
      </c>
      <c r="AD24" s="612" t="n">
        <f aca="false">($D$12+0)/2</f>
        <v>27.5</v>
      </c>
      <c r="AE24" s="612" t="n">
        <f aca="false">T24*$D$11/AD24</f>
        <v>210193.580363636</v>
      </c>
      <c r="AF24" s="612" t="n">
        <f aca="false">($T24-V24)*($D$11/$AD24)+V24*$D$11/$D$12</f>
        <v>116552.340311636</v>
      </c>
      <c r="AG24" s="611" t="n">
        <f aca="false">AE24-AF24</f>
        <v>93641.240052</v>
      </c>
      <c r="AH24" s="437" t="n">
        <f aca="false">Y24+AC24+AG24</f>
        <v>197193.781724502</v>
      </c>
      <c r="AK24" s="372"/>
      <c r="AL24" s="372"/>
    </row>
    <row r="25" customFormat="false" ht="13" hidden="false" customHeight="false" outlineLevel="0" collapsed="false">
      <c r="B25" s="448" t="s">
        <v>151</v>
      </c>
      <c r="C25" s="71"/>
      <c r="D25" s="659" t="n">
        <f aca="false">'Input-Detail'!BV29</f>
        <v>0.03</v>
      </c>
      <c r="E25" s="653"/>
      <c r="H25" s="400" t="n">
        <v>19</v>
      </c>
      <c r="I25" s="401" t="n">
        <f aca="false">'Input-Detail'!E33</f>
        <v>29450808.65</v>
      </c>
      <c r="J25" s="402" t="n">
        <f aca="false">'Input-Detail'!F33</f>
        <v>0.9405</v>
      </c>
      <c r="K25" s="611" t="n">
        <f aca="false">Y25</f>
        <v>10914.9692757173</v>
      </c>
      <c r="L25" s="611" t="n">
        <f aca="false">AC25</f>
        <v>100721.765583</v>
      </c>
      <c r="M25" s="611" t="n">
        <f aca="false">AG25</f>
        <v>100721.765583</v>
      </c>
      <c r="N25" s="412" t="n">
        <f aca="false">AH25</f>
        <v>212358.500441717</v>
      </c>
      <c r="O25" s="647" t="n">
        <f aca="false">($D$22*$D$18*$D$14+$D$23*$D$19*$D$15+$D$24*$D$16*$D$20)*(1+$D$25)^$H25</f>
        <v>42.0085623242892</v>
      </c>
      <c r="P25" s="614" t="n">
        <f aca="false">N25*O25</f>
        <v>8920875.30089848</v>
      </c>
      <c r="S25" s="400" t="n">
        <v>19</v>
      </c>
      <c r="T25" s="408" t="n">
        <f aca="false">T$6+(T$26-T$6)*$S25/20</f>
        <v>29450808.65</v>
      </c>
      <c r="U25" s="402" t="n">
        <f aca="false">U$6+(U$26-U$6)*$S25/20</f>
        <v>0.9405</v>
      </c>
      <c r="V25" s="411" t="n">
        <f aca="false">T25*U25</f>
        <v>27698485.535325</v>
      </c>
      <c r="W25" s="648" t="n">
        <f aca="false">Delay!P26</f>
        <v>12355.5952776723</v>
      </c>
      <c r="X25" s="649" t="n">
        <f aca="false">Delay!T26</f>
        <v>1440.62600195495</v>
      </c>
      <c r="Y25" s="611" t="n">
        <f aca="false">W25-X25</f>
        <v>10914.9692757173</v>
      </c>
      <c r="Z25" s="612" t="n">
        <f aca="false">($D$12+0)/2</f>
        <v>27.5</v>
      </c>
      <c r="AA25" s="612" t="n">
        <f aca="false">($D$10/Z25)*T25</f>
        <v>214187.699272727</v>
      </c>
      <c r="AB25" s="612" t="n">
        <f aca="false">($T25-V25)*($D$10/$Z25)+V25*$D$10/$D$12</f>
        <v>113465.933689727</v>
      </c>
      <c r="AC25" s="611" t="n">
        <f aca="false">AA25-AB25</f>
        <v>100721.765583</v>
      </c>
      <c r="AD25" s="612" t="n">
        <f aca="false">($D$12+0)/2</f>
        <v>27.5</v>
      </c>
      <c r="AE25" s="612" t="n">
        <f aca="false">T25*$D$11/AD25</f>
        <v>214187.699272727</v>
      </c>
      <c r="AF25" s="612" t="n">
        <f aca="false">($T25-V25)*($D$11/$AD25)+V25*$D$11/$D$12</f>
        <v>113465.933689727</v>
      </c>
      <c r="AG25" s="611" t="n">
        <f aca="false">AE25-AF25</f>
        <v>100721.765583</v>
      </c>
      <c r="AH25" s="437" t="n">
        <f aca="false">Y25+AC25+AG25</f>
        <v>212358.500441717</v>
      </c>
      <c r="AK25" s="372"/>
      <c r="AL25" s="372"/>
    </row>
    <row r="26" customFormat="false" ht="12" hidden="false" customHeight="false" outlineLevel="0" collapsed="false">
      <c r="B26" s="660"/>
      <c r="C26" s="661"/>
      <c r="D26" s="661"/>
      <c r="E26" s="662"/>
      <c r="H26" s="452" t="n">
        <v>20</v>
      </c>
      <c r="I26" s="453" t="n">
        <f aca="false">'Input-Detail'!E34</f>
        <v>30000000</v>
      </c>
      <c r="J26" s="454" t="n">
        <f aca="false">'Input-Detail'!F34</f>
        <v>0.99</v>
      </c>
      <c r="K26" s="628" t="n">
        <f aca="false">Y26</f>
        <v>12009.630637937</v>
      </c>
      <c r="L26" s="628" t="n">
        <f aca="false">AC26</f>
        <v>108000</v>
      </c>
      <c r="M26" s="628" t="n">
        <f aca="false">AG26</f>
        <v>108000</v>
      </c>
      <c r="N26" s="460" t="n">
        <f aca="false">AH26</f>
        <v>228009.630637937</v>
      </c>
      <c r="O26" s="663" t="n">
        <f aca="false">($D$22*$D$18*$D$14+$D$23*$D$19*$D$15+$D$24*$D$16*$D$20)*(1+$D$25)^$H26</f>
        <v>43.2688191940179</v>
      </c>
      <c r="P26" s="631" t="n">
        <f aca="false">N26*O26</f>
        <v>9865707.4825677</v>
      </c>
      <c r="S26" s="452" t="n">
        <v>20</v>
      </c>
      <c r="T26" s="462" t="n">
        <f aca="false">'Input-Detail'!E34</f>
        <v>30000000</v>
      </c>
      <c r="U26" s="463" t="n">
        <f aca="false">'Input-Detail'!F34</f>
        <v>0.99</v>
      </c>
      <c r="V26" s="467" t="n">
        <f aca="false">T26*U26</f>
        <v>29700000</v>
      </c>
      <c r="W26" s="664" t="n">
        <f aca="false">Delay!P27</f>
        <v>12536.0306935816</v>
      </c>
      <c r="X26" s="665" t="n">
        <f aca="false">Delay!T27</f>
        <v>526.400055644646</v>
      </c>
      <c r="Y26" s="628" t="n">
        <f aca="false">W26-X26</f>
        <v>12009.630637937</v>
      </c>
      <c r="Z26" s="629" t="n">
        <f aca="false">($D$12+0)/2</f>
        <v>27.5</v>
      </c>
      <c r="AA26" s="629" t="n">
        <f aca="false">($D$10/Z26)*T26</f>
        <v>218181.818181818</v>
      </c>
      <c r="AB26" s="629" t="n">
        <f aca="false">($T26-V26)*($D$10/$Z26)+V26*$D$10/$D$12</f>
        <v>110181.818181818</v>
      </c>
      <c r="AC26" s="628" t="n">
        <f aca="false">AA26-AB26</f>
        <v>108000</v>
      </c>
      <c r="AD26" s="629" t="n">
        <f aca="false">($D$12+0)/2</f>
        <v>27.5</v>
      </c>
      <c r="AE26" s="629" t="n">
        <f aca="false">T26*$D$11/AD26</f>
        <v>218181.818181818</v>
      </c>
      <c r="AF26" s="629" t="n">
        <f aca="false">($T26-V26)*($D$11/$AD26)+V26*$D$11/$D$12</f>
        <v>110181.818181818</v>
      </c>
      <c r="AG26" s="628" t="n">
        <f aca="false">AE26-AF26</f>
        <v>108000</v>
      </c>
      <c r="AH26" s="471" t="n">
        <f aca="false">Y26+AC26+AG26</f>
        <v>228009.630637937</v>
      </c>
      <c r="AK26" s="372"/>
      <c r="AL26" s="372"/>
    </row>
    <row r="27" customFormat="false" ht="13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</row>
    <row r="28" customFormat="false" ht="13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</row>
    <row r="29" customFormat="false" ht="14" hidden="false" customHeight="false" outlineLevel="0" collapsed="false">
      <c r="A29" s="666"/>
      <c r="B29" s="666"/>
      <c r="C29" s="666"/>
      <c r="D29" s="666"/>
      <c r="E29" s="666"/>
      <c r="F29" s="666"/>
      <c r="G29" s="666"/>
      <c r="H29" s="285" t="s">
        <v>236</v>
      </c>
      <c r="I29" s="666"/>
      <c r="J29" s="666"/>
      <c r="K29" s="666"/>
      <c r="L29" s="666"/>
      <c r="M29" s="666"/>
      <c r="N29" s="666"/>
      <c r="O29" s="666"/>
      <c r="P29" s="666"/>
      <c r="Q29" s="666"/>
      <c r="R29" s="666"/>
      <c r="S29" s="285" t="s">
        <v>236</v>
      </c>
      <c r="T29" s="666"/>
      <c r="U29" s="666"/>
      <c r="V29" s="666"/>
      <c r="W29" s="666"/>
      <c r="X29" s="666"/>
      <c r="Y29" s="666"/>
      <c r="Z29" s="666"/>
      <c r="AA29" s="666"/>
      <c r="AB29" s="666"/>
      <c r="AC29" s="666"/>
      <c r="AD29" s="666"/>
      <c r="AE29" s="666"/>
      <c r="AF29" s="666"/>
      <c r="AG29" s="666"/>
      <c r="AH29" s="666"/>
      <c r="AI29" s="666"/>
      <c r="AJ29" s="666"/>
      <c r="AK29" s="666"/>
      <c r="AL29" s="666"/>
      <c r="AM29" s="666"/>
      <c r="AN29" s="666"/>
      <c r="AO29" s="666"/>
      <c r="AP29" s="666"/>
      <c r="AQ29" s="666"/>
      <c r="AR29" s="666"/>
      <c r="AS29" s="666"/>
      <c r="AT29" s="666"/>
      <c r="AU29" s="666"/>
      <c r="AV29" s="666"/>
      <c r="AW29" s="666"/>
      <c r="AX29" s="666"/>
      <c r="AY29" s="666"/>
      <c r="AZ29" s="666"/>
      <c r="BA29" s="666"/>
      <c r="BB29" s="666"/>
      <c r="BC29" s="666"/>
      <c r="BD29" s="666"/>
      <c r="BE29" s="666"/>
      <c r="BF29" s="666"/>
      <c r="BG29" s="666"/>
      <c r="BH29" s="666"/>
      <c r="BI29" s="666"/>
      <c r="BJ29" s="666"/>
      <c r="BK29" s="666"/>
      <c r="BL29" s="666"/>
      <c r="BM29" s="666"/>
      <c r="BN29" s="666"/>
      <c r="BO29" s="666"/>
      <c r="BP29" s="666"/>
      <c r="BQ29" s="666"/>
      <c r="BR29" s="666"/>
      <c r="BS29" s="666"/>
      <c r="BT29" s="666"/>
      <c r="BU29" s="666"/>
      <c r="BV29" s="666"/>
      <c r="BW29" s="666"/>
      <c r="BX29" s="666"/>
      <c r="BY29" s="666"/>
      <c r="BZ29" s="666"/>
      <c r="CA29" s="666"/>
      <c r="CB29" s="666"/>
      <c r="CC29" s="666"/>
      <c r="CD29" s="666"/>
      <c r="CE29" s="666"/>
      <c r="CF29" s="666"/>
      <c r="CG29" s="666"/>
      <c r="CH29" s="666"/>
      <c r="CI29" s="666"/>
      <c r="CJ29" s="666"/>
      <c r="CK29" s="666"/>
      <c r="CL29" s="666"/>
      <c r="CM29" s="666"/>
      <c r="CN29" s="666"/>
      <c r="CO29" s="666"/>
      <c r="CP29" s="666"/>
      <c r="CQ29" s="666"/>
      <c r="CR29" s="666"/>
      <c r="CS29" s="666"/>
      <c r="CT29" s="666"/>
      <c r="CU29" s="666"/>
      <c r="CV29" s="666"/>
      <c r="CW29" s="666"/>
      <c r="CX29" s="666"/>
      <c r="CY29" s="666"/>
      <c r="CZ29" s="666"/>
      <c r="DA29" s="666"/>
      <c r="DB29" s="666"/>
      <c r="DC29" s="666"/>
      <c r="DD29" s="666"/>
      <c r="DE29" s="666"/>
      <c r="DF29" s="666"/>
      <c r="DG29" s="666"/>
      <c r="DH29" s="666"/>
      <c r="DI29" s="666"/>
      <c r="DJ29" s="666"/>
      <c r="DK29" s="666"/>
      <c r="DL29" s="666"/>
      <c r="DM29" s="666"/>
      <c r="DN29" s="666"/>
      <c r="DO29" s="666"/>
      <c r="DP29" s="666"/>
      <c r="DQ29" s="666"/>
      <c r="DR29" s="666"/>
      <c r="DS29" s="666"/>
      <c r="DT29" s="666"/>
      <c r="DU29" s="666"/>
      <c r="DV29" s="666"/>
      <c r="DW29" s="666"/>
      <c r="DX29" s="666"/>
      <c r="DY29" s="666"/>
      <c r="DZ29" s="666"/>
      <c r="EA29" s="666"/>
      <c r="EB29" s="666"/>
      <c r="EC29" s="666"/>
      <c r="ED29" s="666"/>
      <c r="EE29" s="666"/>
      <c r="EF29" s="666"/>
      <c r="EG29" s="666"/>
      <c r="EH29" s="666"/>
      <c r="EI29" s="666"/>
      <c r="EJ29" s="666"/>
      <c r="EK29" s="666"/>
      <c r="EL29" s="666"/>
      <c r="EM29" s="666"/>
      <c r="EN29" s="666"/>
      <c r="EO29" s="666"/>
      <c r="EP29" s="666"/>
      <c r="EQ29" s="666"/>
      <c r="ER29" s="666"/>
      <c r="ES29" s="666"/>
      <c r="ET29" s="666"/>
      <c r="EU29" s="666"/>
      <c r="EV29" s="666"/>
      <c r="EW29" s="666"/>
      <c r="EX29" s="666"/>
      <c r="EY29" s="666"/>
      <c r="EZ29" s="666"/>
      <c r="FA29" s="666"/>
      <c r="FB29" s="666"/>
      <c r="FC29" s="666"/>
      <c r="FD29" s="666"/>
      <c r="FE29" s="666"/>
      <c r="FF29" s="666"/>
      <c r="FG29" s="666"/>
      <c r="FH29" s="666"/>
      <c r="FI29" s="666"/>
      <c r="FJ29" s="666"/>
      <c r="FK29" s="666"/>
      <c r="FL29" s="666"/>
      <c r="FM29" s="666"/>
      <c r="FN29" s="666"/>
      <c r="FO29" s="666"/>
      <c r="FP29" s="666"/>
      <c r="FQ29" s="666"/>
      <c r="FR29" s="666"/>
      <c r="FS29" s="666"/>
      <c r="FT29" s="666"/>
      <c r="FU29" s="666"/>
      <c r="FV29" s="666"/>
      <c r="FW29" s="666"/>
      <c r="FX29" s="666"/>
      <c r="FY29" s="666"/>
      <c r="FZ29" s="666"/>
      <c r="GA29" s="666"/>
      <c r="GB29" s="666"/>
      <c r="GC29" s="666"/>
      <c r="GD29" s="666"/>
      <c r="GE29" s="666"/>
      <c r="GF29" s="666"/>
      <c r="GG29" s="666"/>
      <c r="GH29" s="666"/>
      <c r="GI29" s="666"/>
      <c r="GJ29" s="666"/>
      <c r="GK29" s="666"/>
      <c r="GL29" s="666"/>
      <c r="GM29" s="666"/>
      <c r="GN29" s="666"/>
      <c r="GO29" s="666"/>
      <c r="GP29" s="666"/>
      <c r="GQ29" s="666"/>
      <c r="GR29" s="666"/>
      <c r="GS29" s="666"/>
      <c r="GT29" s="666"/>
      <c r="GU29" s="666"/>
      <c r="GV29" s="666"/>
      <c r="GW29" s="666"/>
      <c r="GX29" s="666"/>
      <c r="GY29" s="666"/>
      <c r="GZ29" s="666"/>
      <c r="HA29" s="666"/>
      <c r="HB29" s="666"/>
      <c r="HC29" s="666"/>
      <c r="HD29" s="666"/>
      <c r="HE29" s="666"/>
      <c r="HF29" s="666"/>
      <c r="HG29" s="666"/>
      <c r="HH29" s="666"/>
      <c r="HI29" s="666"/>
      <c r="HJ29" s="666"/>
      <c r="HK29" s="666"/>
      <c r="HL29" s="666"/>
      <c r="HM29" s="666"/>
      <c r="HN29" s="666"/>
      <c r="HO29" s="666"/>
      <c r="HP29" s="666"/>
      <c r="HQ29" s="666"/>
      <c r="HR29" s="666"/>
      <c r="HS29" s="666"/>
      <c r="HT29" s="666"/>
      <c r="HU29" s="666"/>
      <c r="HV29" s="666"/>
      <c r="HW29" s="666"/>
      <c r="HX29" s="666"/>
      <c r="HY29" s="666"/>
      <c r="HZ29" s="666"/>
      <c r="IA29" s="666"/>
      <c r="IB29" s="666"/>
      <c r="IC29" s="666"/>
      <c r="ID29" s="666"/>
      <c r="IE29" s="666"/>
      <c r="IF29" s="666"/>
      <c r="IG29" s="666"/>
      <c r="IH29" s="666"/>
      <c r="II29" s="666"/>
      <c r="IJ29" s="666"/>
      <c r="IK29" s="666"/>
      <c r="IL29" s="666"/>
      <c r="IM29" s="666"/>
      <c r="IN29" s="666"/>
      <c r="IO29" s="666"/>
      <c r="IP29" s="666"/>
      <c r="IQ29" s="666"/>
      <c r="IR29" s="666"/>
      <c r="IS29" s="666"/>
      <c r="IT29" s="666"/>
      <c r="IU29" s="666"/>
      <c r="IV29" s="666"/>
      <c r="IW29" s="666"/>
    </row>
    <row r="30" customFormat="false" ht="14" hidden="false" customHeight="false" outlineLevel="0" collapsed="false">
      <c r="A30" s="1"/>
      <c r="B30" s="1"/>
      <c r="C30" s="1"/>
      <c r="D30" s="1"/>
      <c r="E30" s="1"/>
      <c r="F30" s="1"/>
      <c r="G30" s="1"/>
      <c r="H30" s="667" t="s">
        <v>446</v>
      </c>
      <c r="I30" s="668"/>
      <c r="J30" s="668"/>
      <c r="K30" s="668"/>
      <c r="L30" s="668"/>
      <c r="M30" s="668"/>
      <c r="N30" s="668"/>
      <c r="O30" s="668"/>
      <c r="P30" s="669"/>
      <c r="Q30" s="1"/>
      <c r="R30" s="1"/>
      <c r="S30" s="670" t="s">
        <v>447</v>
      </c>
      <c r="T30" s="668"/>
      <c r="U30" s="668"/>
      <c r="V30" s="668"/>
      <c r="W30" s="668"/>
      <c r="X30" s="668"/>
      <c r="Y30" s="668"/>
      <c r="Z30" s="668"/>
      <c r="AA30" s="668"/>
      <c r="AB30" s="668"/>
      <c r="AC30" s="668"/>
      <c r="AD30" s="668"/>
      <c r="AE30" s="668"/>
      <c r="AF30" s="668"/>
      <c r="AG30" s="668"/>
      <c r="AH30" s="669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671" t="s">
        <v>448</v>
      </c>
      <c r="I31" s="153"/>
      <c r="J31" s="153"/>
      <c r="K31" s="153"/>
      <c r="L31" s="153"/>
      <c r="M31" s="153"/>
      <c r="N31" s="153"/>
      <c r="O31" s="153"/>
      <c r="P31" s="672"/>
      <c r="Q31" s="1"/>
      <c r="R31" s="1"/>
      <c r="S31" s="671" t="s">
        <v>449</v>
      </c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672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</row>
    <row r="32" customFormat="false" ht="13" hidden="false" customHeight="false" outlineLevel="0" collapsed="false">
      <c r="A32" s="1"/>
      <c r="B32" s="1"/>
      <c r="C32" s="1"/>
      <c r="D32" s="1"/>
      <c r="E32" s="1"/>
      <c r="F32" s="1"/>
      <c r="G32" s="1"/>
      <c r="H32" s="673" t="s">
        <v>450</v>
      </c>
      <c r="I32" s="153"/>
      <c r="J32" s="153"/>
      <c r="K32" s="153"/>
      <c r="L32" s="153"/>
      <c r="M32" s="153"/>
      <c r="N32" s="153"/>
      <c r="O32" s="153"/>
      <c r="P32" s="672"/>
      <c r="Q32" s="1"/>
      <c r="R32" s="1"/>
      <c r="S32" s="674" t="s">
        <v>451</v>
      </c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672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</row>
    <row r="33" customFormat="false" ht="13" hidden="false" customHeight="false" outlineLevel="0" collapsed="false">
      <c r="A33" s="1"/>
      <c r="B33" s="1"/>
      <c r="C33" s="1"/>
      <c r="D33" s="1"/>
      <c r="E33" s="1"/>
      <c r="F33" s="1"/>
      <c r="G33" s="1"/>
      <c r="H33" s="674" t="s">
        <v>452</v>
      </c>
      <c r="I33" s="153"/>
      <c r="J33" s="153"/>
      <c r="K33" s="153"/>
      <c r="L33" s="153"/>
      <c r="M33" s="153"/>
      <c r="N33" s="153"/>
      <c r="O33" s="153"/>
      <c r="P33" s="672"/>
      <c r="Q33" s="1"/>
      <c r="R33" s="1"/>
      <c r="S33" s="674" t="s">
        <v>453</v>
      </c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672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</row>
    <row r="34" customFormat="false" ht="13" hidden="false" customHeight="false" outlineLevel="0" collapsed="false">
      <c r="A34" s="1"/>
      <c r="B34" s="1"/>
      <c r="C34" s="1"/>
      <c r="D34" s="1"/>
      <c r="E34" s="1"/>
      <c r="F34" s="1"/>
      <c r="G34" s="1"/>
      <c r="H34" s="674" t="s">
        <v>454</v>
      </c>
      <c r="I34" s="153"/>
      <c r="J34" s="153"/>
      <c r="K34" s="153"/>
      <c r="L34" s="153"/>
      <c r="M34" s="153"/>
      <c r="N34" s="153"/>
      <c r="O34" s="153"/>
      <c r="P34" s="672"/>
      <c r="Q34" s="1"/>
      <c r="R34" s="1"/>
      <c r="S34" s="674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672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674" t="s">
        <v>455</v>
      </c>
      <c r="I35" s="153"/>
      <c r="J35" s="153"/>
      <c r="K35" s="153"/>
      <c r="L35" s="153"/>
      <c r="M35" s="153"/>
      <c r="N35" s="153"/>
      <c r="O35" s="153"/>
      <c r="P35" s="672"/>
      <c r="Q35" s="1"/>
      <c r="R35" s="1"/>
      <c r="S35" s="671" t="s">
        <v>456</v>
      </c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672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</row>
    <row r="36" customFormat="false" ht="17" hidden="false" customHeight="false" outlineLevel="0" collapsed="false">
      <c r="A36" s="1"/>
      <c r="B36" s="1"/>
      <c r="C36" s="1"/>
      <c r="D36" s="1"/>
      <c r="E36" s="1"/>
      <c r="F36" s="1"/>
      <c r="G36" s="1"/>
      <c r="H36" s="674" t="s">
        <v>457</v>
      </c>
      <c r="I36" s="153"/>
      <c r="J36" s="153"/>
      <c r="K36" s="153"/>
      <c r="L36" s="153"/>
      <c r="M36" s="153"/>
      <c r="N36" s="153"/>
      <c r="O36" s="153"/>
      <c r="P36" s="672"/>
      <c r="Q36" s="1"/>
      <c r="R36" s="1"/>
      <c r="S36" s="674" t="s">
        <v>458</v>
      </c>
      <c r="T36" s="153"/>
      <c r="U36" s="153"/>
      <c r="V36" s="153"/>
      <c r="W36" s="153"/>
      <c r="X36" s="153"/>
      <c r="Y36" s="153"/>
      <c r="Z36" s="153"/>
      <c r="AA36" s="153"/>
      <c r="AB36" s="153"/>
      <c r="AC36" s="153"/>
      <c r="AD36" s="153"/>
      <c r="AE36" s="153"/>
      <c r="AF36" s="153"/>
      <c r="AG36" s="153"/>
      <c r="AH36" s="672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</row>
    <row r="37" customFormat="false" ht="13" hidden="false" customHeight="false" outlineLevel="0" collapsed="false">
      <c r="A37" s="1"/>
      <c r="B37" s="1"/>
      <c r="C37" s="1"/>
      <c r="D37" s="1"/>
      <c r="E37" s="1"/>
      <c r="F37" s="1"/>
      <c r="G37" s="1"/>
      <c r="H37" s="674" t="s">
        <v>459</v>
      </c>
      <c r="I37" s="153"/>
      <c r="J37" s="153"/>
      <c r="K37" s="153"/>
      <c r="L37" s="153"/>
      <c r="M37" s="153"/>
      <c r="N37" s="153"/>
      <c r="O37" s="153"/>
      <c r="P37" s="672"/>
      <c r="Q37" s="1"/>
      <c r="R37" s="1"/>
      <c r="S37" s="674" t="s">
        <v>460</v>
      </c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153"/>
      <c r="AG37" s="153"/>
      <c r="AH37" s="672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</row>
    <row r="38" customFormat="false" ht="17" hidden="false" customHeight="false" outlineLevel="0" collapsed="false">
      <c r="A38" s="1"/>
      <c r="B38" s="1"/>
      <c r="C38" s="1"/>
      <c r="D38" s="1"/>
      <c r="E38" s="1"/>
      <c r="F38" s="1"/>
      <c r="G38" s="1"/>
      <c r="H38" s="674" t="s">
        <v>461</v>
      </c>
      <c r="I38" s="153"/>
      <c r="J38" s="153"/>
      <c r="K38" s="153"/>
      <c r="L38" s="153"/>
      <c r="M38" s="153"/>
      <c r="N38" s="153"/>
      <c r="O38" s="153"/>
      <c r="P38" s="672"/>
      <c r="Q38" s="1"/>
      <c r="R38" s="1"/>
      <c r="S38" s="674" t="s">
        <v>462</v>
      </c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153"/>
      <c r="AG38" s="153"/>
      <c r="AH38" s="672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</row>
    <row r="39" customFormat="false" ht="17" hidden="false" customHeight="false" outlineLevel="0" collapsed="false">
      <c r="A39" s="1"/>
      <c r="B39" s="1"/>
      <c r="C39" s="1"/>
      <c r="D39" s="1"/>
      <c r="E39" s="1"/>
      <c r="F39" s="1"/>
      <c r="G39" s="1"/>
      <c r="H39" s="674" t="s">
        <v>463</v>
      </c>
      <c r="I39" s="153"/>
      <c r="J39" s="153"/>
      <c r="K39" s="153"/>
      <c r="L39" s="153"/>
      <c r="M39" s="153"/>
      <c r="N39" s="153"/>
      <c r="O39" s="153"/>
      <c r="P39" s="672"/>
      <c r="Q39" s="1"/>
      <c r="R39" s="1"/>
      <c r="S39" s="674" t="s">
        <v>464</v>
      </c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153"/>
      <c r="AG39" s="153"/>
      <c r="AH39" s="672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</row>
    <row r="40" customFormat="false" ht="17" hidden="false" customHeight="false" outlineLevel="0" collapsed="false">
      <c r="A40" s="1"/>
      <c r="B40" s="1"/>
      <c r="C40" s="1"/>
      <c r="D40" s="1"/>
      <c r="E40" s="1"/>
      <c r="F40" s="1"/>
      <c r="G40" s="1"/>
      <c r="H40" s="674" t="s">
        <v>465</v>
      </c>
      <c r="I40" s="153"/>
      <c r="J40" s="153"/>
      <c r="K40" s="153"/>
      <c r="L40" s="153"/>
      <c r="M40" s="153"/>
      <c r="N40" s="153"/>
      <c r="O40" s="153"/>
      <c r="P40" s="672"/>
      <c r="Q40" s="1"/>
      <c r="R40" s="1"/>
      <c r="S40" s="674" t="s">
        <v>466</v>
      </c>
      <c r="T40" s="153"/>
      <c r="U40" s="153"/>
      <c r="V40" s="153"/>
      <c r="W40" s="153"/>
      <c r="X40" s="153"/>
      <c r="Y40" s="153"/>
      <c r="Z40" s="153"/>
      <c r="AA40" s="153"/>
      <c r="AB40" s="153"/>
      <c r="AC40" s="153"/>
      <c r="AD40" s="153"/>
      <c r="AE40" s="153"/>
      <c r="AF40" s="153"/>
      <c r="AG40" s="153"/>
      <c r="AH40" s="672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</row>
    <row r="41" customFormat="false" ht="18" hidden="false" customHeight="false" outlineLevel="0" collapsed="false">
      <c r="A41" s="1"/>
      <c r="B41" s="1"/>
      <c r="C41" s="1"/>
      <c r="D41" s="1"/>
      <c r="E41" s="1"/>
      <c r="F41" s="1"/>
      <c r="G41" s="1"/>
      <c r="H41" s="675" t="s">
        <v>467</v>
      </c>
      <c r="I41" s="676"/>
      <c r="J41" s="676"/>
      <c r="K41" s="676"/>
      <c r="L41" s="676"/>
      <c r="M41" s="676"/>
      <c r="N41" s="676"/>
      <c r="O41" s="676"/>
      <c r="P41" s="677"/>
      <c r="Q41" s="1"/>
      <c r="R41" s="1"/>
      <c r="S41" s="674" t="s">
        <v>468</v>
      </c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672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</row>
    <row r="42" customFormat="false" ht="18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674" t="s">
        <v>469</v>
      </c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3"/>
      <c r="AH42" s="672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</row>
    <row r="43" customFormat="false" ht="13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674" t="s">
        <v>459</v>
      </c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53"/>
      <c r="AE43" s="153"/>
      <c r="AF43" s="153"/>
      <c r="AG43" s="153"/>
      <c r="AH43" s="672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</row>
    <row r="44" customFormat="false" ht="17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674" t="s">
        <v>470</v>
      </c>
      <c r="T44" s="153"/>
      <c r="U44" s="153"/>
      <c r="V44" s="153"/>
      <c r="W44" s="153"/>
      <c r="X44" s="153"/>
      <c r="Y44" s="153"/>
      <c r="Z44" s="153"/>
      <c r="AA44" s="153"/>
      <c r="AB44" s="153"/>
      <c r="AC44" s="153"/>
      <c r="AD44" s="153"/>
      <c r="AE44" s="153"/>
      <c r="AF44" s="153"/>
      <c r="AG44" s="153"/>
      <c r="AH44" s="672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</row>
    <row r="45" customFormat="false" ht="17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674" t="s">
        <v>471</v>
      </c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672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</row>
    <row r="46" customFormat="false" ht="17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674" t="s">
        <v>472</v>
      </c>
      <c r="T46" s="153"/>
      <c r="U46" s="153"/>
      <c r="V46" s="153"/>
      <c r="W46" s="153"/>
      <c r="X46" s="153"/>
      <c r="Y46" s="153"/>
      <c r="Z46" s="153"/>
      <c r="AA46" s="153"/>
      <c r="AB46" s="153"/>
      <c r="AC46" s="153"/>
      <c r="AD46" s="153"/>
      <c r="AE46" s="153"/>
      <c r="AF46" s="153"/>
      <c r="AG46" s="153"/>
      <c r="AH46" s="672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</row>
    <row r="47" customFormat="false" ht="17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674" t="s">
        <v>473</v>
      </c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53"/>
      <c r="AE47" s="153"/>
      <c r="AF47" s="153"/>
      <c r="AG47" s="153"/>
      <c r="AH47" s="672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</row>
    <row r="48" customFormat="false" ht="17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674" t="s">
        <v>474</v>
      </c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53"/>
      <c r="AE48" s="153"/>
      <c r="AF48" s="153"/>
      <c r="AG48" s="153"/>
      <c r="AH48" s="672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</row>
    <row r="49" customFormat="false" ht="13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678" t="s">
        <v>475</v>
      </c>
      <c r="T49" s="679"/>
      <c r="U49" s="679"/>
      <c r="V49" s="679"/>
      <c r="W49" s="153"/>
      <c r="X49" s="153"/>
      <c r="Y49" s="153"/>
      <c r="Z49" s="153"/>
      <c r="AA49" s="153"/>
      <c r="AB49" s="153"/>
      <c r="AC49" s="153"/>
      <c r="AD49" s="153"/>
      <c r="AE49" s="153"/>
      <c r="AF49" s="153"/>
      <c r="AG49" s="153"/>
      <c r="AH49" s="672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</row>
    <row r="50" customFormat="false" ht="17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674" t="s">
        <v>476</v>
      </c>
      <c r="T50" s="153"/>
      <c r="U50" s="153"/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672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</row>
    <row r="51" customFormat="false" ht="13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674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672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671" t="s">
        <v>477</v>
      </c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672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</row>
    <row r="53" customFormat="false" ht="13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674" t="s">
        <v>478</v>
      </c>
      <c r="T53" s="153"/>
      <c r="U53" s="153"/>
      <c r="V53" s="153"/>
      <c r="W53" s="153"/>
      <c r="X53" s="153"/>
      <c r="Y53" s="153"/>
      <c r="Z53" s="153"/>
      <c r="AA53" s="153"/>
      <c r="AB53" s="153"/>
      <c r="AC53" s="153"/>
      <c r="AD53" s="153"/>
      <c r="AE53" s="153"/>
      <c r="AF53" s="153"/>
      <c r="AG53" s="153"/>
      <c r="AH53" s="672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</row>
    <row r="54" customFormat="false" ht="13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674" t="s">
        <v>460</v>
      </c>
      <c r="T54" s="153"/>
      <c r="U54" s="153"/>
      <c r="V54" s="153"/>
      <c r="W54" s="153"/>
      <c r="X54" s="153"/>
      <c r="Y54" s="153"/>
      <c r="Z54" s="153"/>
      <c r="AA54" s="153"/>
      <c r="AB54" s="153"/>
      <c r="AC54" s="153"/>
      <c r="AD54" s="153"/>
      <c r="AE54" s="153"/>
      <c r="AF54" s="153"/>
      <c r="AG54" s="153"/>
      <c r="AH54" s="672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</row>
    <row r="55" customFormat="false" ht="13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674" t="s">
        <v>479</v>
      </c>
      <c r="T55" s="153"/>
      <c r="U55" s="153"/>
      <c r="V55" s="153"/>
      <c r="W55" s="153"/>
      <c r="X55" s="153"/>
      <c r="Y55" s="153"/>
      <c r="Z55" s="153"/>
      <c r="AA55" s="153"/>
      <c r="AB55" s="153"/>
      <c r="AC55" s="153"/>
      <c r="AD55" s="153"/>
      <c r="AE55" s="153"/>
      <c r="AF55" s="153"/>
      <c r="AG55" s="153"/>
      <c r="AH55" s="672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</row>
    <row r="56" customFormat="false" ht="17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674" t="s">
        <v>480</v>
      </c>
      <c r="T56" s="153"/>
      <c r="U56" s="153"/>
      <c r="V56" s="153"/>
      <c r="W56" s="153"/>
      <c r="X56" s="153"/>
      <c r="Y56" s="153"/>
      <c r="Z56" s="153"/>
      <c r="AA56" s="153"/>
      <c r="AB56" s="153"/>
      <c r="AC56" s="153"/>
      <c r="AD56" s="153"/>
      <c r="AE56" s="153"/>
      <c r="AF56" s="153"/>
      <c r="AG56" s="153"/>
      <c r="AH56" s="672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</row>
    <row r="57" customFormat="false" ht="13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674" t="s">
        <v>459</v>
      </c>
      <c r="T57" s="153"/>
      <c r="U57" s="153"/>
      <c r="V57" s="153"/>
      <c r="W57" s="153"/>
      <c r="X57" s="153"/>
      <c r="Y57" s="153"/>
      <c r="Z57" s="153"/>
      <c r="AA57" s="153"/>
      <c r="AB57" s="153"/>
      <c r="AC57" s="153"/>
      <c r="AD57" s="153"/>
      <c r="AE57" s="153"/>
      <c r="AF57" s="153"/>
      <c r="AG57" s="153"/>
      <c r="AH57" s="672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</row>
    <row r="58" customFormat="false" ht="17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674" t="s">
        <v>481</v>
      </c>
      <c r="T58" s="153"/>
      <c r="U58" s="153"/>
      <c r="V58" s="153"/>
      <c r="W58" s="153"/>
      <c r="X58" s="153"/>
      <c r="Y58" s="153"/>
      <c r="Z58" s="153"/>
      <c r="AA58" s="153"/>
      <c r="AB58" s="153"/>
      <c r="AC58" s="153"/>
      <c r="AD58" s="153"/>
      <c r="AE58" s="153"/>
      <c r="AF58" s="153"/>
      <c r="AG58" s="153"/>
      <c r="AH58" s="672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</row>
    <row r="59" customFormat="false" ht="17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674" t="s">
        <v>482</v>
      </c>
      <c r="T59" s="153"/>
      <c r="U59" s="153"/>
      <c r="V59" s="153"/>
      <c r="W59" s="153"/>
      <c r="X59" s="153"/>
      <c r="Y59" s="153"/>
      <c r="Z59" s="153"/>
      <c r="AA59" s="153"/>
      <c r="AB59" s="153"/>
      <c r="AC59" s="153"/>
      <c r="AD59" s="153"/>
      <c r="AE59" s="153"/>
      <c r="AF59" s="153"/>
      <c r="AG59" s="153"/>
      <c r="AH59" s="672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</row>
    <row r="60" customFormat="false" ht="13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678" t="s">
        <v>483</v>
      </c>
      <c r="T60" s="153"/>
      <c r="U60" s="153"/>
      <c r="V60" s="153"/>
      <c r="W60" s="153"/>
      <c r="X60" s="153"/>
      <c r="Y60" s="153"/>
      <c r="Z60" s="153"/>
      <c r="AA60" s="153"/>
      <c r="AB60" s="153"/>
      <c r="AC60" s="153"/>
      <c r="AD60" s="153"/>
      <c r="AE60" s="153"/>
      <c r="AF60" s="153"/>
      <c r="AG60" s="153"/>
      <c r="AH60" s="672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</row>
    <row r="61" customFormat="false" ht="18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675" t="s">
        <v>484</v>
      </c>
      <c r="T61" s="676"/>
      <c r="U61" s="676"/>
      <c r="V61" s="676"/>
      <c r="W61" s="676"/>
      <c r="X61" s="676"/>
      <c r="Y61" s="676"/>
      <c r="Z61" s="676"/>
      <c r="AA61" s="676"/>
      <c r="AB61" s="676"/>
      <c r="AC61" s="676"/>
      <c r="AD61" s="676"/>
      <c r="AE61" s="676"/>
      <c r="AF61" s="676"/>
      <c r="AG61" s="676"/>
      <c r="AH61" s="677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</row>
    <row r="62" customFormat="false" ht="14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</row>
    <row r="63" customFormat="false" ht="13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</row>
    <row r="64" customFormat="false" ht="13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</row>
    <row r="65" customFormat="false" ht="13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</row>
    <row r="66" customFormat="false" ht="13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</row>
    <row r="67" customFormat="false" ht="13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</row>
    <row r="68" customFormat="false" ht="13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</row>
    <row r="69" customFormat="false" ht="13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</row>
    <row r="70" customFormat="false" ht="13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</row>
    <row r="71" customFormat="false" ht="13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</row>
    <row r="72" customFormat="false" ht="13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</row>
    <row r="73" customFormat="false" ht="13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</row>
    <row r="74" customFormat="false" ht="13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</row>
    <row r="75" customFormat="false" ht="13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</row>
    <row r="76" customFormat="false" ht="13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</row>
    <row r="77" customFormat="false" ht="13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</row>
    <row r="78" customFormat="false" ht="13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</row>
    <row r="79" customFormat="false" ht="13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</row>
    <row r="80" customFormat="false" ht="13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</row>
    <row r="81" customFormat="false" ht="13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</row>
    <row r="82" customFormat="false" ht="13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</row>
    <row r="83" customFormat="false" ht="13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</row>
    <row r="84" customFormat="false" ht="13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</row>
    <row r="85" customFormat="false" ht="13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</row>
    <row r="86" customFormat="false" ht="13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</row>
    <row r="87" customFormat="false" ht="13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</row>
    <row r="88" customFormat="false" ht="13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</row>
    <row r="89" customFormat="false" ht="13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</row>
    <row r="90" customFormat="false" ht="13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</row>
    <row r="91" customFormat="false" ht="13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</row>
    <row r="92" customFormat="false" ht="13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</row>
    <row r="93" customFormat="false" ht="13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</row>
    <row r="94" customFormat="false" ht="13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</row>
    <row r="95" customFormat="false" ht="13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</row>
    <row r="96" customFormat="false" ht="13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</row>
    <row r="97" customFormat="false" ht="13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</row>
    <row r="98" customFormat="false" ht="13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</row>
    <row r="99" customFormat="false" ht="13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</row>
    <row r="100" customFormat="false" ht="13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</row>
    <row r="101" customFormat="false" ht="13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</row>
    <row r="102" customFormat="false" ht="13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</row>
    <row r="103" customFormat="false" ht="13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</row>
    <row r="104" customFormat="false" ht="13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</row>
    <row r="105" customFormat="false" ht="13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</row>
    <row r="106" customFormat="false" ht="13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</row>
    <row r="107" customFormat="false" ht="13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</row>
    <row r="108" customFormat="false" ht="13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</row>
    <row r="109" customFormat="false" ht="13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</row>
    <row r="110" customFormat="false" ht="13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</row>
    <row r="111" customFormat="false" ht="13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</row>
    <row r="112" customFormat="false" ht="13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</row>
    <row r="113" customFormat="false" ht="13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</row>
    <row r="114" customFormat="false" ht="13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</row>
    <row r="115" customFormat="false" ht="13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</row>
    <row r="116" customFormat="false" ht="13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</row>
    <row r="117" customFormat="false" ht="13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</row>
    <row r="118" customFormat="false" ht="13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</row>
    <row r="119" customFormat="false" ht="13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</row>
    <row r="120" customFormat="false" ht="13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</row>
    <row r="121" customFormat="false" ht="13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</row>
    <row r="122" customFormat="false" ht="13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</row>
    <row r="123" customFormat="false" ht="13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</row>
    <row r="124" customFormat="false" ht="13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</row>
    <row r="125" customFormat="false" ht="13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</row>
    <row r="126" customFormat="false" ht="13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</row>
    <row r="127" customFormat="false" ht="13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</row>
    <row r="128" customFormat="false" ht="13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</row>
    <row r="129" customFormat="false" ht="13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</row>
    <row r="130" customFormat="false" ht="13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</row>
    <row r="131" customFormat="false" ht="13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</row>
    <row r="132" customFormat="false" ht="13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</row>
    <row r="133" customFormat="false" ht="13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</row>
    <row r="134" customFormat="false" ht="13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</row>
    <row r="135" customFormat="false" ht="13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</row>
    <row r="136" customFormat="false" ht="13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</row>
    <row r="137" customFormat="false" ht="13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</row>
    <row r="138" customFormat="false" ht="13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</row>
    <row r="139" customFormat="false" ht="13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</row>
    <row r="140" customFormat="false" ht="13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</row>
    <row r="141" customFormat="false" ht="13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</row>
    <row r="142" customFormat="false" ht="13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</row>
    <row r="143" customFormat="false" ht="13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</row>
    <row r="144" customFormat="false" ht="13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</row>
    <row r="145" customFormat="false" ht="13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</row>
    <row r="146" customFormat="false" ht="13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</row>
    <row r="147" customFormat="false" ht="13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</row>
    <row r="148" customFormat="false" ht="13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</row>
    <row r="149" customFormat="false" ht="13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</row>
    <row r="150" customFormat="false" ht="13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</row>
    <row r="151" customFormat="false" ht="13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</row>
    <row r="152" customFormat="false" ht="13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</row>
    <row r="153" customFormat="false" ht="13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</row>
    <row r="154" customFormat="false" ht="13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</row>
    <row r="155" customFormat="false" ht="13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</row>
    <row r="156" customFormat="false" ht="13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</row>
    <row r="157" customFormat="false" ht="13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</row>
    <row r="158" customFormat="false" ht="13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</row>
    <row r="159" customFormat="false" ht="13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</row>
    <row r="160" customFormat="false" ht="13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</row>
    <row r="161" customFormat="false" ht="13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</row>
    <row r="162" customFormat="false" ht="13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</row>
    <row r="163" customFormat="false" ht="13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</row>
    <row r="164" customFormat="false" ht="13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</row>
    <row r="165" customFormat="false" ht="13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</row>
    <row r="166" customFormat="false" ht="13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</row>
    <row r="167" customFormat="false" ht="13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</row>
    <row r="168" customFormat="false" ht="13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</row>
    <row r="169" customFormat="false" ht="13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</row>
    <row r="170" customFormat="false" ht="13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</row>
    <row r="171" customFormat="false" ht="13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</row>
    <row r="172" customFormat="false" ht="13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</row>
    <row r="173" customFormat="false" ht="13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</row>
    <row r="174" customFormat="false" ht="13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</row>
    <row r="175" customFormat="false" ht="13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</row>
    <row r="176" customFormat="false" ht="13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</row>
    <row r="177" customFormat="false" ht="13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</row>
    <row r="178" customFormat="false" ht="13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</row>
    <row r="179" customFormat="false" ht="13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</row>
    <row r="180" customFormat="false" ht="13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</row>
    <row r="181" customFormat="false" ht="13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</row>
    <row r="182" customFormat="false" ht="13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</row>
    <row r="183" customFormat="false" ht="13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</row>
    <row r="184" customFormat="false" ht="13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</row>
    <row r="185" customFormat="false" ht="13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</row>
    <row r="186" customFormat="false" ht="13" hidden="false" customHeight="false" outlineLevel="0" collapsed="false">
      <c r="H186" s="1"/>
      <c r="I186" s="1"/>
      <c r="J186" s="1"/>
      <c r="K186" s="1"/>
      <c r="L186" s="1"/>
      <c r="M186" s="1"/>
      <c r="N186" s="1"/>
      <c r="O186" s="1"/>
      <c r="P186" s="1"/>
      <c r="Q186" s="1"/>
      <c r="U186" s="372"/>
      <c r="V186" s="372"/>
      <c r="W186" s="372"/>
      <c r="X186" s="372"/>
      <c r="Y186" s="372"/>
      <c r="Z186" s="372"/>
      <c r="AA186" s="372"/>
      <c r="AB186" s="372"/>
      <c r="AC186" s="372"/>
      <c r="AD186" s="372"/>
      <c r="AE186" s="372"/>
      <c r="AF186" s="372"/>
      <c r="AG186" s="372"/>
      <c r="AH186" s="372"/>
      <c r="AI186" s="372"/>
      <c r="AJ186" s="372"/>
      <c r="AK186" s="372"/>
      <c r="AL186" s="372"/>
    </row>
    <row r="187" customFormat="false" ht="13" hidden="false" customHeight="false" outlineLevel="0" collapsed="false">
      <c r="H187" s="1"/>
      <c r="Q187" s="1"/>
      <c r="U187" s="372"/>
      <c r="V187" s="372"/>
      <c r="W187" s="372"/>
      <c r="X187" s="372"/>
      <c r="Y187" s="372"/>
      <c r="Z187" s="372"/>
      <c r="AA187" s="372"/>
      <c r="AB187" s="372"/>
      <c r="AC187" s="372"/>
      <c r="AD187" s="372"/>
      <c r="AE187" s="372"/>
      <c r="AF187" s="372"/>
      <c r="AG187" s="372"/>
      <c r="AH187" s="372"/>
      <c r="AI187" s="372"/>
      <c r="AJ187" s="372"/>
      <c r="AK187" s="372"/>
      <c r="AL187" s="372"/>
    </row>
    <row r="188" customFormat="false" ht="13" hidden="false" customHeight="false" outlineLevel="0" collapsed="false">
      <c r="H188" s="1"/>
      <c r="U188" s="372"/>
      <c r="V188" s="372"/>
      <c r="W188" s="372"/>
      <c r="X188" s="372"/>
      <c r="Y188" s="372"/>
      <c r="Z188" s="372"/>
      <c r="AA188" s="372"/>
      <c r="AB188" s="372"/>
      <c r="AC188" s="372"/>
      <c r="AD188" s="372"/>
      <c r="AE188" s="372"/>
      <c r="AF188" s="372"/>
      <c r="AG188" s="372"/>
      <c r="AH188" s="372"/>
      <c r="AI188" s="372"/>
      <c r="AJ188" s="372"/>
      <c r="AK188" s="372"/>
      <c r="AL188" s="372"/>
    </row>
    <row r="189" customFormat="false" ht="13" hidden="false" customHeight="false" outlineLevel="0" collapsed="false">
      <c r="H189" s="1"/>
      <c r="U189" s="372"/>
      <c r="V189" s="372"/>
      <c r="W189" s="372"/>
      <c r="X189" s="372"/>
      <c r="Y189" s="372"/>
      <c r="Z189" s="372"/>
      <c r="AA189" s="372"/>
      <c r="AB189" s="372"/>
      <c r="AC189" s="372"/>
      <c r="AD189" s="372"/>
      <c r="AE189" s="372"/>
      <c r="AF189" s="372"/>
      <c r="AG189" s="372"/>
      <c r="AH189" s="372"/>
      <c r="AI189" s="372"/>
      <c r="AJ189" s="372"/>
      <c r="AK189" s="372"/>
      <c r="AL189" s="372"/>
    </row>
    <row r="190" customFormat="false" ht="13" hidden="false" customHeight="false" outlineLevel="0" collapsed="false">
      <c r="H190" s="1"/>
      <c r="U190" s="372"/>
      <c r="V190" s="372"/>
      <c r="W190" s="372"/>
      <c r="X190" s="372"/>
      <c r="Y190" s="372"/>
      <c r="Z190" s="372"/>
      <c r="AA190" s="372"/>
      <c r="AB190" s="372"/>
      <c r="AC190" s="372"/>
      <c r="AD190" s="372"/>
      <c r="AE190" s="372"/>
      <c r="AF190" s="372"/>
      <c r="AG190" s="372"/>
      <c r="AH190" s="372"/>
      <c r="AI190" s="372"/>
      <c r="AJ190" s="372"/>
      <c r="AK190" s="372"/>
      <c r="AL190" s="372"/>
    </row>
    <row r="191" customFormat="false" ht="12" hidden="false" customHeight="false" outlineLevel="0" collapsed="false">
      <c r="U191" s="372"/>
      <c r="V191" s="372"/>
      <c r="W191" s="372"/>
      <c r="X191" s="372"/>
      <c r="Y191" s="372"/>
      <c r="Z191" s="372"/>
      <c r="AA191" s="372"/>
      <c r="AB191" s="372"/>
      <c r="AC191" s="372"/>
      <c r="AD191" s="372"/>
      <c r="AE191" s="372"/>
      <c r="AF191" s="372"/>
      <c r="AG191" s="372"/>
      <c r="AH191" s="372"/>
      <c r="AI191" s="372"/>
      <c r="AJ191" s="372"/>
      <c r="AK191" s="372"/>
      <c r="AL191" s="372"/>
    </row>
    <row r="192" customFormat="false" ht="12" hidden="false" customHeight="false" outlineLevel="0" collapsed="false">
      <c r="U192" s="372"/>
      <c r="V192" s="372"/>
      <c r="W192" s="372"/>
      <c r="X192" s="372"/>
      <c r="Y192" s="372"/>
      <c r="Z192" s="372"/>
      <c r="AA192" s="372"/>
      <c r="AB192" s="372"/>
      <c r="AC192" s="372"/>
      <c r="AD192" s="372"/>
      <c r="AE192" s="372"/>
      <c r="AF192" s="372"/>
      <c r="AG192" s="372"/>
      <c r="AH192" s="372"/>
      <c r="AI192" s="372"/>
      <c r="AJ192" s="372"/>
      <c r="AK192" s="372"/>
      <c r="AL192" s="372"/>
    </row>
    <row r="193" customFormat="false" ht="12" hidden="false" customHeight="false" outlineLevel="0" collapsed="false">
      <c r="U193" s="372"/>
      <c r="V193" s="372"/>
      <c r="W193" s="372"/>
      <c r="X193" s="372"/>
      <c r="Y193" s="372"/>
      <c r="Z193" s="372"/>
      <c r="AA193" s="372"/>
      <c r="AB193" s="372"/>
      <c r="AC193" s="372"/>
      <c r="AD193" s="372"/>
      <c r="AE193" s="372"/>
      <c r="AF193" s="372"/>
      <c r="AG193" s="372"/>
      <c r="AH193" s="372"/>
      <c r="AI193" s="372"/>
      <c r="AJ193" s="372"/>
      <c r="AK193" s="372"/>
      <c r="AL193" s="372"/>
    </row>
    <row r="194" customFormat="false" ht="12" hidden="false" customHeight="false" outlineLevel="0" collapsed="false">
      <c r="U194" s="372"/>
      <c r="V194" s="372"/>
      <c r="W194" s="372"/>
      <c r="X194" s="372"/>
      <c r="Y194" s="372"/>
      <c r="Z194" s="372"/>
      <c r="AA194" s="372"/>
      <c r="AB194" s="372"/>
      <c r="AC194" s="372"/>
      <c r="AD194" s="372"/>
      <c r="AE194" s="372"/>
      <c r="AF194" s="372"/>
      <c r="AG194" s="372"/>
      <c r="AH194" s="372"/>
      <c r="AI194" s="372"/>
      <c r="AJ194" s="372"/>
      <c r="AK194" s="372"/>
      <c r="AL194" s="372"/>
    </row>
    <row r="195" customFormat="false" ht="12" hidden="false" customHeight="false" outlineLevel="0" collapsed="false">
      <c r="U195" s="372"/>
      <c r="V195" s="372"/>
      <c r="W195" s="372"/>
      <c r="X195" s="372"/>
      <c r="Y195" s="372"/>
      <c r="Z195" s="372"/>
      <c r="AA195" s="372"/>
      <c r="AB195" s="372"/>
      <c r="AC195" s="372"/>
      <c r="AD195" s="372"/>
      <c r="AE195" s="372"/>
      <c r="AF195" s="372"/>
      <c r="AG195" s="372"/>
      <c r="AH195" s="372"/>
      <c r="AI195" s="372"/>
      <c r="AJ195" s="372"/>
      <c r="AK195" s="372"/>
      <c r="AL195" s="372"/>
    </row>
    <row r="196" customFormat="false" ht="12" hidden="false" customHeight="false" outlineLevel="0" collapsed="false">
      <c r="U196" s="372"/>
      <c r="V196" s="372"/>
      <c r="W196" s="372"/>
      <c r="X196" s="372"/>
      <c r="Y196" s="372"/>
      <c r="Z196" s="372"/>
      <c r="AA196" s="372"/>
      <c r="AB196" s="372"/>
      <c r="AC196" s="372"/>
      <c r="AD196" s="372"/>
      <c r="AE196" s="372"/>
      <c r="AF196" s="372"/>
      <c r="AG196" s="372"/>
      <c r="AH196" s="372"/>
      <c r="AI196" s="372"/>
      <c r="AJ196" s="372"/>
      <c r="AK196" s="372"/>
      <c r="AL196" s="372"/>
    </row>
    <row r="197" customFormat="false" ht="12" hidden="false" customHeight="false" outlineLevel="0" collapsed="false">
      <c r="U197" s="372"/>
      <c r="V197" s="372"/>
      <c r="W197" s="372"/>
      <c r="X197" s="372"/>
      <c r="Y197" s="372"/>
      <c r="Z197" s="372"/>
      <c r="AA197" s="372"/>
      <c r="AB197" s="372"/>
      <c r="AC197" s="372"/>
      <c r="AD197" s="372"/>
      <c r="AE197" s="372"/>
      <c r="AF197" s="372"/>
      <c r="AG197" s="372"/>
      <c r="AH197" s="372"/>
      <c r="AI197" s="372"/>
      <c r="AJ197" s="372"/>
      <c r="AK197" s="372"/>
      <c r="AL197" s="372"/>
    </row>
    <row r="198" customFormat="false" ht="12" hidden="false" customHeight="false" outlineLevel="0" collapsed="false">
      <c r="U198" s="372"/>
      <c r="V198" s="372"/>
      <c r="W198" s="372"/>
      <c r="X198" s="372"/>
      <c r="Y198" s="372"/>
      <c r="Z198" s="372"/>
      <c r="AA198" s="372"/>
      <c r="AB198" s="372"/>
      <c r="AC198" s="372"/>
      <c r="AD198" s="372"/>
      <c r="AE198" s="372"/>
      <c r="AF198" s="372"/>
      <c r="AG198" s="372"/>
      <c r="AH198" s="372"/>
      <c r="AI198" s="372"/>
      <c r="AJ198" s="372"/>
      <c r="AK198" s="372"/>
      <c r="AL198" s="372"/>
    </row>
    <row r="199" customFormat="false" ht="12" hidden="false" customHeight="false" outlineLevel="0" collapsed="false">
      <c r="U199" s="372"/>
      <c r="V199" s="372"/>
      <c r="W199" s="372"/>
      <c r="X199" s="372"/>
      <c r="Y199" s="372"/>
      <c r="Z199" s="372"/>
      <c r="AA199" s="372"/>
      <c r="AB199" s="372"/>
      <c r="AC199" s="372"/>
      <c r="AD199" s="372"/>
      <c r="AE199" s="372"/>
      <c r="AF199" s="372"/>
      <c r="AG199" s="372"/>
      <c r="AH199" s="372"/>
      <c r="AI199" s="372"/>
      <c r="AJ199" s="372"/>
      <c r="AK199" s="372"/>
      <c r="AL199" s="372"/>
    </row>
    <row r="200" customFormat="false" ht="12" hidden="false" customHeight="false" outlineLevel="0" collapsed="false">
      <c r="U200" s="372"/>
      <c r="V200" s="372"/>
      <c r="W200" s="372"/>
      <c r="X200" s="372"/>
      <c r="Y200" s="372"/>
      <c r="Z200" s="372"/>
      <c r="AA200" s="372"/>
      <c r="AB200" s="372"/>
      <c r="AC200" s="372"/>
      <c r="AD200" s="372"/>
      <c r="AE200" s="372"/>
      <c r="AF200" s="372"/>
      <c r="AG200" s="372"/>
      <c r="AH200" s="372"/>
      <c r="AI200" s="372"/>
      <c r="AJ200" s="372"/>
      <c r="AK200" s="372"/>
      <c r="AL200" s="372"/>
    </row>
    <row r="201" customFormat="false" ht="12" hidden="false" customHeight="false" outlineLevel="0" collapsed="false">
      <c r="U201" s="372"/>
      <c r="V201" s="372"/>
      <c r="W201" s="372"/>
      <c r="X201" s="372"/>
      <c r="Y201" s="372"/>
      <c r="Z201" s="372"/>
      <c r="AA201" s="372"/>
      <c r="AB201" s="372"/>
      <c r="AC201" s="372"/>
      <c r="AD201" s="372"/>
      <c r="AE201" s="372"/>
      <c r="AF201" s="372"/>
      <c r="AG201" s="372"/>
      <c r="AH201" s="372"/>
      <c r="AI201" s="372"/>
      <c r="AJ201" s="372"/>
      <c r="AK201" s="372"/>
      <c r="AL201" s="372"/>
    </row>
    <row r="202" customFormat="false" ht="12" hidden="false" customHeight="false" outlineLevel="0" collapsed="false">
      <c r="U202" s="372"/>
      <c r="V202" s="372"/>
      <c r="W202" s="372"/>
      <c r="X202" s="372"/>
      <c r="Y202" s="372"/>
      <c r="Z202" s="372"/>
      <c r="AA202" s="372"/>
      <c r="AB202" s="372"/>
      <c r="AC202" s="372"/>
      <c r="AD202" s="372"/>
      <c r="AE202" s="372"/>
      <c r="AF202" s="372"/>
      <c r="AG202" s="372"/>
      <c r="AH202" s="372"/>
      <c r="AI202" s="372"/>
      <c r="AJ202" s="372"/>
      <c r="AK202" s="372"/>
      <c r="AL202" s="372"/>
    </row>
    <row r="203" customFormat="false" ht="12" hidden="false" customHeight="false" outlineLevel="0" collapsed="false">
      <c r="U203" s="372"/>
      <c r="V203" s="372"/>
      <c r="W203" s="372"/>
      <c r="X203" s="372"/>
      <c r="Y203" s="372"/>
      <c r="Z203" s="372"/>
      <c r="AA203" s="372"/>
      <c r="AB203" s="372"/>
      <c r="AC203" s="372"/>
      <c r="AD203" s="372"/>
      <c r="AE203" s="372"/>
      <c r="AF203" s="372"/>
      <c r="AG203" s="372"/>
      <c r="AH203" s="372"/>
      <c r="AI203" s="372"/>
      <c r="AJ203" s="372"/>
      <c r="AK203" s="372"/>
      <c r="AL203" s="372"/>
    </row>
    <row r="204" customFormat="false" ht="12" hidden="false" customHeight="false" outlineLevel="0" collapsed="false">
      <c r="U204" s="372"/>
      <c r="V204" s="372"/>
      <c r="W204" s="372"/>
      <c r="X204" s="372"/>
      <c r="Y204" s="372"/>
      <c r="Z204" s="372"/>
      <c r="AA204" s="372"/>
      <c r="AB204" s="372"/>
      <c r="AC204" s="372"/>
      <c r="AD204" s="372"/>
      <c r="AE204" s="372"/>
      <c r="AF204" s="372"/>
      <c r="AG204" s="372"/>
      <c r="AH204" s="372"/>
      <c r="AI204" s="372"/>
      <c r="AJ204" s="372"/>
      <c r="AK204" s="372"/>
      <c r="AL204" s="372"/>
    </row>
    <row r="205" customFormat="false" ht="12" hidden="false" customHeight="false" outlineLevel="0" collapsed="false">
      <c r="U205" s="372"/>
      <c r="V205" s="372"/>
      <c r="W205" s="372"/>
      <c r="X205" s="372"/>
      <c r="Y205" s="372"/>
      <c r="Z205" s="372"/>
      <c r="AA205" s="372"/>
      <c r="AB205" s="372"/>
      <c r="AC205" s="372"/>
      <c r="AD205" s="372"/>
      <c r="AE205" s="372"/>
      <c r="AF205" s="372"/>
      <c r="AG205" s="372"/>
      <c r="AH205" s="372"/>
      <c r="AI205" s="372"/>
      <c r="AJ205" s="372"/>
      <c r="AK205" s="372"/>
      <c r="AL205" s="372"/>
    </row>
    <row r="206" customFormat="false" ht="12" hidden="false" customHeight="false" outlineLevel="0" collapsed="false">
      <c r="U206" s="372"/>
      <c r="V206" s="372"/>
      <c r="W206" s="372"/>
      <c r="X206" s="372"/>
      <c r="Y206" s="372"/>
      <c r="Z206" s="372"/>
      <c r="AA206" s="372"/>
      <c r="AB206" s="372"/>
      <c r="AC206" s="372"/>
      <c r="AD206" s="372"/>
      <c r="AE206" s="372"/>
      <c r="AF206" s="372"/>
      <c r="AG206" s="372"/>
      <c r="AH206" s="372"/>
      <c r="AI206" s="372"/>
      <c r="AJ206" s="372"/>
      <c r="AK206" s="372"/>
      <c r="AL206" s="372"/>
    </row>
    <row r="207" customFormat="false" ht="12" hidden="false" customHeight="false" outlineLevel="0" collapsed="false">
      <c r="U207" s="372"/>
      <c r="V207" s="372"/>
      <c r="W207" s="372"/>
      <c r="X207" s="372"/>
      <c r="Y207" s="372"/>
      <c r="Z207" s="372"/>
      <c r="AA207" s="372"/>
      <c r="AB207" s="372"/>
      <c r="AC207" s="372"/>
      <c r="AD207" s="372"/>
      <c r="AE207" s="372"/>
      <c r="AF207" s="372"/>
      <c r="AG207" s="372"/>
      <c r="AH207" s="372"/>
      <c r="AI207" s="372"/>
      <c r="AJ207" s="372"/>
      <c r="AK207" s="372"/>
      <c r="AL207" s="372"/>
    </row>
    <row r="208" customFormat="false" ht="12" hidden="false" customHeight="false" outlineLevel="0" collapsed="false">
      <c r="U208" s="372"/>
      <c r="V208" s="372"/>
      <c r="W208" s="372"/>
      <c r="X208" s="372"/>
      <c r="Y208" s="372"/>
      <c r="Z208" s="372"/>
      <c r="AA208" s="372"/>
      <c r="AB208" s="372"/>
      <c r="AC208" s="372"/>
      <c r="AD208" s="372"/>
      <c r="AE208" s="372"/>
      <c r="AF208" s="372"/>
      <c r="AG208" s="372"/>
      <c r="AH208" s="372"/>
      <c r="AI208" s="372"/>
      <c r="AJ208" s="372"/>
      <c r="AK208" s="372"/>
      <c r="AL208" s="372"/>
    </row>
    <row r="209" customFormat="false" ht="12" hidden="false" customHeight="false" outlineLevel="0" collapsed="false">
      <c r="U209" s="372"/>
      <c r="V209" s="372"/>
      <c r="W209" s="372"/>
      <c r="X209" s="372"/>
      <c r="Y209" s="372"/>
      <c r="Z209" s="372"/>
      <c r="AA209" s="372"/>
      <c r="AB209" s="372"/>
      <c r="AC209" s="372"/>
      <c r="AD209" s="372"/>
      <c r="AE209" s="372"/>
      <c r="AF209" s="372"/>
      <c r="AG209" s="372"/>
      <c r="AH209" s="372"/>
      <c r="AI209" s="372"/>
      <c r="AJ209" s="372"/>
      <c r="AK209" s="372"/>
      <c r="AL209" s="372"/>
    </row>
    <row r="210" customFormat="false" ht="12" hidden="false" customHeight="false" outlineLevel="0" collapsed="false">
      <c r="U210" s="372"/>
      <c r="V210" s="372"/>
      <c r="W210" s="372"/>
      <c r="X210" s="372"/>
      <c r="Y210" s="372"/>
      <c r="Z210" s="372"/>
      <c r="AA210" s="372"/>
      <c r="AB210" s="372"/>
      <c r="AC210" s="372"/>
      <c r="AD210" s="372"/>
      <c r="AE210" s="372"/>
      <c r="AF210" s="372"/>
      <c r="AG210" s="372"/>
      <c r="AH210" s="372"/>
      <c r="AI210" s="372"/>
      <c r="AJ210" s="372"/>
      <c r="AK210" s="372"/>
      <c r="AL210" s="372"/>
    </row>
    <row r="211" customFormat="false" ht="12" hidden="false" customHeight="false" outlineLevel="0" collapsed="false">
      <c r="U211" s="372"/>
      <c r="V211" s="372"/>
      <c r="W211" s="372"/>
      <c r="X211" s="372"/>
      <c r="Y211" s="372"/>
      <c r="Z211" s="372"/>
      <c r="AA211" s="372"/>
      <c r="AB211" s="372"/>
      <c r="AC211" s="372"/>
      <c r="AD211" s="372"/>
      <c r="AE211" s="372"/>
      <c r="AF211" s="372"/>
      <c r="AG211" s="372"/>
      <c r="AH211" s="372"/>
      <c r="AI211" s="372"/>
      <c r="AJ211" s="372"/>
      <c r="AK211" s="372"/>
      <c r="AL211" s="372"/>
    </row>
    <row r="212" customFormat="false" ht="12" hidden="false" customHeight="false" outlineLevel="0" collapsed="false">
      <c r="U212" s="372"/>
      <c r="V212" s="372"/>
      <c r="W212" s="372"/>
      <c r="X212" s="372"/>
      <c r="Y212" s="372"/>
      <c r="Z212" s="372"/>
      <c r="AA212" s="372"/>
      <c r="AB212" s="372"/>
      <c r="AC212" s="372"/>
      <c r="AD212" s="372"/>
      <c r="AE212" s="372"/>
      <c r="AF212" s="372"/>
      <c r="AG212" s="372"/>
      <c r="AH212" s="372"/>
      <c r="AI212" s="372"/>
      <c r="AJ212" s="372"/>
      <c r="AK212" s="372"/>
      <c r="AL212" s="372"/>
    </row>
    <row r="213" customFormat="false" ht="12" hidden="false" customHeight="false" outlineLevel="0" collapsed="false">
      <c r="U213" s="372"/>
      <c r="V213" s="372"/>
      <c r="W213" s="372"/>
      <c r="X213" s="372"/>
      <c r="Y213" s="372"/>
      <c r="Z213" s="372"/>
      <c r="AA213" s="372"/>
      <c r="AB213" s="372"/>
      <c r="AC213" s="372"/>
      <c r="AD213" s="372"/>
      <c r="AE213" s="372"/>
      <c r="AF213" s="372"/>
      <c r="AG213" s="372"/>
      <c r="AH213" s="372"/>
      <c r="AI213" s="372"/>
      <c r="AJ213" s="372"/>
      <c r="AK213" s="372"/>
      <c r="AL213" s="372"/>
    </row>
    <row r="214" customFormat="false" ht="12" hidden="false" customHeight="false" outlineLevel="0" collapsed="false">
      <c r="U214" s="372"/>
      <c r="V214" s="372"/>
      <c r="W214" s="372"/>
      <c r="X214" s="372"/>
      <c r="Y214" s="372"/>
      <c r="Z214" s="372"/>
      <c r="AA214" s="372"/>
      <c r="AB214" s="372"/>
      <c r="AC214" s="372"/>
      <c r="AD214" s="372"/>
      <c r="AE214" s="372"/>
      <c r="AF214" s="372"/>
      <c r="AG214" s="372"/>
      <c r="AH214" s="372"/>
      <c r="AI214" s="372"/>
      <c r="AJ214" s="372"/>
      <c r="AK214" s="372"/>
      <c r="AL214" s="372"/>
    </row>
    <row r="215" customFormat="false" ht="12" hidden="false" customHeight="false" outlineLevel="0" collapsed="false">
      <c r="U215" s="372"/>
      <c r="V215" s="372"/>
      <c r="W215" s="372"/>
      <c r="X215" s="372"/>
      <c r="Y215" s="372"/>
      <c r="Z215" s="372"/>
      <c r="AA215" s="372"/>
      <c r="AB215" s="372"/>
      <c r="AC215" s="372"/>
      <c r="AD215" s="372"/>
      <c r="AE215" s="372"/>
      <c r="AF215" s="372"/>
      <c r="AG215" s="372"/>
      <c r="AH215" s="372"/>
      <c r="AI215" s="372"/>
      <c r="AJ215" s="372"/>
      <c r="AK215" s="372"/>
      <c r="AL215" s="372"/>
    </row>
    <row r="216" customFormat="false" ht="12" hidden="false" customHeight="false" outlineLevel="0" collapsed="false">
      <c r="U216" s="372"/>
      <c r="V216" s="372"/>
      <c r="W216" s="372"/>
      <c r="X216" s="372"/>
      <c r="Y216" s="372"/>
      <c r="Z216" s="372"/>
      <c r="AA216" s="372"/>
      <c r="AB216" s="372"/>
      <c r="AC216" s="372"/>
      <c r="AD216" s="372"/>
      <c r="AE216" s="372"/>
      <c r="AF216" s="372"/>
      <c r="AG216" s="372"/>
      <c r="AH216" s="372"/>
      <c r="AI216" s="372"/>
      <c r="AJ216" s="372"/>
      <c r="AK216" s="372"/>
      <c r="AL216" s="372"/>
    </row>
    <row r="217" customFormat="false" ht="12" hidden="false" customHeight="false" outlineLevel="0" collapsed="false">
      <c r="U217" s="372"/>
      <c r="V217" s="372"/>
      <c r="W217" s="372"/>
      <c r="X217" s="372"/>
      <c r="Y217" s="372"/>
      <c r="Z217" s="372"/>
      <c r="AA217" s="372"/>
      <c r="AB217" s="372"/>
      <c r="AC217" s="372"/>
      <c r="AD217" s="372"/>
      <c r="AE217" s="372"/>
      <c r="AF217" s="372"/>
      <c r="AG217" s="372"/>
      <c r="AH217" s="372"/>
      <c r="AI217" s="372"/>
      <c r="AJ217" s="372"/>
      <c r="AK217" s="372"/>
      <c r="AL217" s="372"/>
    </row>
    <row r="218" customFormat="false" ht="12" hidden="false" customHeight="false" outlineLevel="0" collapsed="false">
      <c r="U218" s="372"/>
      <c r="V218" s="372"/>
      <c r="W218" s="372"/>
      <c r="X218" s="372"/>
      <c r="Y218" s="372"/>
      <c r="Z218" s="372"/>
      <c r="AA218" s="372"/>
      <c r="AB218" s="372"/>
      <c r="AC218" s="372"/>
      <c r="AD218" s="372"/>
      <c r="AE218" s="372"/>
      <c r="AF218" s="372"/>
      <c r="AG218" s="372"/>
      <c r="AH218" s="372"/>
      <c r="AI218" s="372"/>
      <c r="AJ218" s="372"/>
      <c r="AK218" s="372"/>
      <c r="AL218" s="372"/>
    </row>
    <row r="219" customFormat="false" ht="12" hidden="false" customHeight="false" outlineLevel="0" collapsed="false">
      <c r="U219" s="372"/>
      <c r="V219" s="372"/>
      <c r="W219" s="372"/>
      <c r="X219" s="372"/>
      <c r="Y219" s="372"/>
      <c r="Z219" s="372"/>
      <c r="AA219" s="372"/>
      <c r="AB219" s="372"/>
      <c r="AC219" s="372"/>
      <c r="AD219" s="372"/>
      <c r="AE219" s="372"/>
      <c r="AF219" s="372"/>
      <c r="AG219" s="372"/>
      <c r="AH219" s="372"/>
      <c r="AI219" s="372"/>
      <c r="AJ219" s="372"/>
      <c r="AK219" s="372"/>
      <c r="AL219" s="372"/>
    </row>
    <row r="220" customFormat="false" ht="12" hidden="false" customHeight="false" outlineLevel="0" collapsed="false">
      <c r="U220" s="372"/>
      <c r="V220" s="372"/>
      <c r="W220" s="372"/>
      <c r="X220" s="372"/>
      <c r="Y220" s="372"/>
      <c r="Z220" s="372"/>
      <c r="AA220" s="372"/>
      <c r="AB220" s="372"/>
      <c r="AC220" s="372"/>
      <c r="AD220" s="372"/>
      <c r="AE220" s="372"/>
      <c r="AF220" s="372"/>
      <c r="AG220" s="372"/>
      <c r="AH220" s="372"/>
      <c r="AI220" s="372"/>
      <c r="AJ220" s="372"/>
      <c r="AK220" s="372"/>
      <c r="AL220" s="372"/>
    </row>
    <row r="221" customFormat="false" ht="12" hidden="false" customHeight="false" outlineLevel="0" collapsed="false">
      <c r="U221" s="372"/>
      <c r="V221" s="372"/>
      <c r="W221" s="372"/>
      <c r="X221" s="372"/>
      <c r="Y221" s="372"/>
      <c r="Z221" s="372"/>
      <c r="AA221" s="372"/>
      <c r="AB221" s="372"/>
      <c r="AC221" s="372"/>
      <c r="AD221" s="372"/>
      <c r="AE221" s="372"/>
      <c r="AF221" s="372"/>
      <c r="AG221" s="372"/>
      <c r="AH221" s="372"/>
      <c r="AI221" s="372"/>
      <c r="AJ221" s="372"/>
      <c r="AK221" s="372"/>
      <c r="AL221" s="372"/>
    </row>
    <row r="222" customFormat="false" ht="12" hidden="false" customHeight="false" outlineLevel="0" collapsed="false">
      <c r="U222" s="372"/>
      <c r="V222" s="372"/>
      <c r="W222" s="372"/>
      <c r="X222" s="372"/>
      <c r="Y222" s="372"/>
      <c r="Z222" s="372"/>
      <c r="AA222" s="372"/>
      <c r="AB222" s="372"/>
      <c r="AC222" s="372"/>
      <c r="AD222" s="372"/>
      <c r="AE222" s="372"/>
      <c r="AF222" s="372"/>
      <c r="AG222" s="372"/>
      <c r="AH222" s="372"/>
      <c r="AI222" s="372"/>
      <c r="AJ222" s="372"/>
      <c r="AK222" s="372"/>
      <c r="AL222" s="372"/>
    </row>
    <row r="223" customFormat="false" ht="12" hidden="false" customHeight="false" outlineLevel="0" collapsed="false">
      <c r="U223" s="372"/>
      <c r="V223" s="372"/>
      <c r="W223" s="372"/>
      <c r="X223" s="372"/>
      <c r="Y223" s="372"/>
      <c r="Z223" s="372"/>
      <c r="AA223" s="372"/>
      <c r="AB223" s="372"/>
      <c r="AC223" s="372"/>
      <c r="AD223" s="372"/>
      <c r="AE223" s="372"/>
      <c r="AF223" s="372"/>
      <c r="AG223" s="372"/>
      <c r="AH223" s="372"/>
      <c r="AI223" s="372"/>
      <c r="AJ223" s="372"/>
      <c r="AK223" s="372"/>
      <c r="AL223" s="372"/>
    </row>
    <row r="224" customFormat="false" ht="12" hidden="false" customHeight="false" outlineLevel="0" collapsed="false">
      <c r="U224" s="372"/>
      <c r="V224" s="372"/>
      <c r="W224" s="372"/>
      <c r="X224" s="372"/>
      <c r="Y224" s="372"/>
      <c r="Z224" s="372"/>
      <c r="AA224" s="372"/>
      <c r="AB224" s="372"/>
      <c r="AC224" s="372"/>
      <c r="AD224" s="372"/>
      <c r="AE224" s="372"/>
      <c r="AF224" s="372"/>
      <c r="AG224" s="372"/>
      <c r="AH224" s="372"/>
      <c r="AI224" s="372"/>
      <c r="AJ224" s="372"/>
      <c r="AK224" s="372"/>
      <c r="AL224" s="372"/>
    </row>
    <row r="225" customFormat="false" ht="12" hidden="false" customHeight="false" outlineLevel="0" collapsed="false">
      <c r="U225" s="372"/>
      <c r="V225" s="372"/>
      <c r="W225" s="372"/>
      <c r="X225" s="372"/>
      <c r="Y225" s="372"/>
      <c r="Z225" s="372"/>
      <c r="AA225" s="372"/>
      <c r="AB225" s="372"/>
      <c r="AC225" s="372"/>
      <c r="AD225" s="372"/>
      <c r="AE225" s="372"/>
      <c r="AF225" s="372"/>
      <c r="AG225" s="372"/>
      <c r="AH225" s="372"/>
      <c r="AI225" s="372"/>
      <c r="AJ225" s="372"/>
      <c r="AK225" s="372"/>
      <c r="AL225" s="372"/>
    </row>
    <row r="226" customFormat="false" ht="12" hidden="false" customHeight="false" outlineLevel="0" collapsed="false">
      <c r="U226" s="372"/>
      <c r="V226" s="372"/>
      <c r="W226" s="372"/>
      <c r="X226" s="372"/>
      <c r="Y226" s="372"/>
      <c r="Z226" s="372"/>
      <c r="AA226" s="372"/>
      <c r="AB226" s="372"/>
      <c r="AC226" s="372"/>
      <c r="AD226" s="372"/>
      <c r="AE226" s="372"/>
      <c r="AF226" s="372"/>
      <c r="AG226" s="372"/>
      <c r="AH226" s="372"/>
      <c r="AI226" s="372"/>
      <c r="AJ226" s="372"/>
      <c r="AK226" s="372"/>
      <c r="AL226" s="372"/>
    </row>
    <row r="227" customFormat="false" ht="12" hidden="false" customHeight="false" outlineLevel="0" collapsed="false">
      <c r="U227" s="372"/>
      <c r="V227" s="372"/>
      <c r="W227" s="372"/>
      <c r="X227" s="372"/>
      <c r="Y227" s="372"/>
      <c r="Z227" s="372"/>
      <c r="AA227" s="372"/>
      <c r="AB227" s="372"/>
      <c r="AC227" s="372"/>
      <c r="AD227" s="372"/>
      <c r="AE227" s="372"/>
      <c r="AF227" s="372"/>
      <c r="AG227" s="372"/>
      <c r="AH227" s="372"/>
      <c r="AI227" s="372"/>
      <c r="AJ227" s="372"/>
      <c r="AK227" s="372"/>
      <c r="AL227" s="372"/>
    </row>
    <row r="228" customFormat="false" ht="12" hidden="false" customHeight="false" outlineLevel="0" collapsed="false">
      <c r="U228" s="372"/>
      <c r="V228" s="372"/>
      <c r="W228" s="372"/>
      <c r="X228" s="372"/>
      <c r="Y228" s="372"/>
      <c r="Z228" s="372"/>
      <c r="AA228" s="372"/>
      <c r="AB228" s="372"/>
      <c r="AC228" s="372"/>
      <c r="AD228" s="372"/>
      <c r="AE228" s="372"/>
      <c r="AF228" s="372"/>
      <c r="AG228" s="372"/>
      <c r="AH228" s="372"/>
      <c r="AI228" s="372"/>
      <c r="AJ228" s="372"/>
      <c r="AK228" s="372"/>
      <c r="AL228" s="372"/>
    </row>
    <row r="229" customFormat="false" ht="12" hidden="false" customHeight="false" outlineLevel="0" collapsed="false">
      <c r="U229" s="372"/>
      <c r="V229" s="372"/>
      <c r="W229" s="372"/>
      <c r="X229" s="372"/>
      <c r="Y229" s="372"/>
      <c r="Z229" s="372"/>
      <c r="AA229" s="372"/>
      <c r="AB229" s="372"/>
      <c r="AC229" s="372"/>
      <c r="AD229" s="372"/>
      <c r="AE229" s="372"/>
      <c r="AF229" s="372"/>
      <c r="AG229" s="372"/>
      <c r="AH229" s="372"/>
      <c r="AI229" s="372"/>
      <c r="AJ229" s="372"/>
      <c r="AK229" s="372"/>
      <c r="AL229" s="372"/>
    </row>
    <row r="230" customFormat="false" ht="12" hidden="false" customHeight="false" outlineLevel="0" collapsed="false">
      <c r="U230" s="372"/>
      <c r="V230" s="372"/>
      <c r="W230" s="372"/>
      <c r="X230" s="372"/>
      <c r="Y230" s="372"/>
      <c r="Z230" s="372"/>
      <c r="AA230" s="372"/>
      <c r="AB230" s="372"/>
      <c r="AC230" s="372"/>
      <c r="AD230" s="372"/>
      <c r="AE230" s="372"/>
      <c r="AF230" s="372"/>
      <c r="AG230" s="372"/>
      <c r="AH230" s="372"/>
      <c r="AI230" s="372"/>
      <c r="AJ230" s="372"/>
      <c r="AK230" s="372"/>
      <c r="AL230" s="372"/>
    </row>
    <row r="231" customFormat="false" ht="12" hidden="false" customHeight="false" outlineLevel="0" collapsed="false">
      <c r="U231" s="372"/>
      <c r="V231" s="372"/>
      <c r="W231" s="372"/>
      <c r="X231" s="372"/>
      <c r="Y231" s="372"/>
      <c r="Z231" s="372"/>
      <c r="AA231" s="372"/>
      <c r="AB231" s="372"/>
      <c r="AC231" s="372"/>
      <c r="AD231" s="372"/>
      <c r="AE231" s="372"/>
      <c r="AF231" s="372"/>
      <c r="AG231" s="372"/>
      <c r="AH231" s="372"/>
      <c r="AI231" s="372"/>
      <c r="AJ231" s="372"/>
      <c r="AK231" s="372"/>
      <c r="AL231" s="372"/>
    </row>
    <row r="232" customFormat="false" ht="12" hidden="false" customHeight="false" outlineLevel="0" collapsed="false">
      <c r="U232" s="372"/>
      <c r="V232" s="372"/>
      <c r="W232" s="372"/>
      <c r="X232" s="372"/>
      <c r="Y232" s="372"/>
      <c r="Z232" s="372"/>
      <c r="AA232" s="372"/>
      <c r="AB232" s="372"/>
      <c r="AC232" s="372"/>
      <c r="AD232" s="372"/>
      <c r="AE232" s="372"/>
      <c r="AF232" s="372"/>
      <c r="AG232" s="372"/>
      <c r="AH232" s="372"/>
      <c r="AI232" s="372"/>
      <c r="AJ232" s="372"/>
      <c r="AK232" s="372"/>
      <c r="AL232" s="372"/>
    </row>
    <row r="233" customFormat="false" ht="12" hidden="false" customHeight="false" outlineLevel="0" collapsed="false">
      <c r="U233" s="372"/>
      <c r="V233" s="372"/>
      <c r="W233" s="372"/>
      <c r="X233" s="372"/>
      <c r="Y233" s="372"/>
      <c r="Z233" s="372"/>
      <c r="AA233" s="372"/>
      <c r="AB233" s="372"/>
      <c r="AC233" s="372"/>
      <c r="AD233" s="372"/>
      <c r="AE233" s="372"/>
      <c r="AF233" s="372"/>
      <c r="AG233" s="372"/>
      <c r="AH233" s="372"/>
      <c r="AI233" s="372"/>
      <c r="AJ233" s="372"/>
      <c r="AK233" s="372"/>
      <c r="AL233" s="372"/>
    </row>
    <row r="234" customFormat="false" ht="12" hidden="false" customHeight="false" outlineLevel="0" collapsed="false">
      <c r="U234" s="372"/>
      <c r="V234" s="372"/>
      <c r="W234" s="372"/>
      <c r="X234" s="372"/>
      <c r="Y234" s="372"/>
      <c r="Z234" s="372"/>
      <c r="AA234" s="372"/>
      <c r="AB234" s="372"/>
      <c r="AC234" s="372"/>
      <c r="AD234" s="372"/>
      <c r="AE234" s="372"/>
      <c r="AF234" s="372"/>
      <c r="AG234" s="372"/>
      <c r="AH234" s="372"/>
      <c r="AI234" s="372"/>
      <c r="AJ234" s="372"/>
      <c r="AK234" s="372"/>
      <c r="AL234" s="372"/>
    </row>
    <row r="235" customFormat="false" ht="12" hidden="false" customHeight="false" outlineLevel="0" collapsed="false">
      <c r="U235" s="372"/>
      <c r="V235" s="372"/>
      <c r="W235" s="372"/>
      <c r="X235" s="372"/>
      <c r="Y235" s="372"/>
      <c r="Z235" s="372"/>
      <c r="AA235" s="372"/>
      <c r="AB235" s="372"/>
      <c r="AC235" s="372"/>
      <c r="AD235" s="372"/>
      <c r="AE235" s="372"/>
      <c r="AF235" s="372"/>
      <c r="AG235" s="372"/>
      <c r="AH235" s="372"/>
      <c r="AI235" s="372"/>
      <c r="AJ235" s="372"/>
      <c r="AK235" s="372"/>
      <c r="AL235" s="372"/>
    </row>
    <row r="236" customFormat="false" ht="12" hidden="false" customHeight="false" outlineLevel="0" collapsed="false">
      <c r="U236" s="372"/>
      <c r="V236" s="372"/>
      <c r="W236" s="372"/>
      <c r="X236" s="372"/>
      <c r="Y236" s="372"/>
      <c r="Z236" s="372"/>
      <c r="AA236" s="372"/>
      <c r="AB236" s="372"/>
      <c r="AC236" s="372"/>
      <c r="AD236" s="372"/>
      <c r="AE236" s="372"/>
      <c r="AF236" s="372"/>
      <c r="AG236" s="372"/>
      <c r="AH236" s="372"/>
      <c r="AI236" s="372"/>
      <c r="AJ236" s="372"/>
      <c r="AK236" s="372"/>
      <c r="AL236" s="372"/>
    </row>
    <row r="237" customFormat="false" ht="12" hidden="false" customHeight="false" outlineLevel="0" collapsed="false">
      <c r="U237" s="372"/>
      <c r="V237" s="372"/>
      <c r="W237" s="372"/>
      <c r="X237" s="372"/>
      <c r="Y237" s="372"/>
      <c r="Z237" s="372"/>
      <c r="AA237" s="372"/>
      <c r="AB237" s="372"/>
      <c r="AC237" s="372"/>
      <c r="AD237" s="372"/>
      <c r="AE237" s="372"/>
      <c r="AF237" s="372"/>
      <c r="AG237" s="372"/>
      <c r="AH237" s="372"/>
      <c r="AI237" s="372"/>
      <c r="AJ237" s="372"/>
      <c r="AK237" s="372"/>
      <c r="AL237" s="372"/>
    </row>
    <row r="238" customFormat="false" ht="12" hidden="false" customHeight="false" outlineLevel="0" collapsed="false">
      <c r="U238" s="372"/>
      <c r="V238" s="372"/>
      <c r="W238" s="372"/>
      <c r="X238" s="372"/>
      <c r="Y238" s="372"/>
      <c r="Z238" s="372"/>
      <c r="AA238" s="372"/>
      <c r="AB238" s="372"/>
      <c r="AC238" s="372"/>
      <c r="AD238" s="372"/>
      <c r="AE238" s="372"/>
      <c r="AF238" s="372"/>
      <c r="AG238" s="372"/>
      <c r="AH238" s="372"/>
      <c r="AI238" s="372"/>
      <c r="AJ238" s="372"/>
      <c r="AK238" s="372"/>
      <c r="AL238" s="372"/>
    </row>
    <row r="239" customFormat="false" ht="12" hidden="false" customHeight="false" outlineLevel="0" collapsed="false">
      <c r="U239" s="372"/>
      <c r="V239" s="372"/>
      <c r="W239" s="372"/>
      <c r="X239" s="372"/>
      <c r="Y239" s="372"/>
      <c r="Z239" s="372"/>
      <c r="AA239" s="372"/>
      <c r="AB239" s="372"/>
      <c r="AC239" s="372"/>
      <c r="AD239" s="372"/>
      <c r="AE239" s="372"/>
      <c r="AF239" s="372"/>
      <c r="AG239" s="372"/>
      <c r="AH239" s="372"/>
      <c r="AI239" s="372"/>
      <c r="AJ239" s="372"/>
      <c r="AK239" s="372"/>
      <c r="AL239" s="372"/>
    </row>
    <row r="240" customFormat="false" ht="12" hidden="false" customHeight="false" outlineLevel="0" collapsed="false">
      <c r="U240" s="372"/>
      <c r="V240" s="372"/>
      <c r="W240" s="372"/>
      <c r="X240" s="372"/>
      <c r="Y240" s="372"/>
      <c r="Z240" s="372"/>
      <c r="AA240" s="372"/>
      <c r="AB240" s="372"/>
      <c r="AC240" s="372"/>
      <c r="AD240" s="372"/>
      <c r="AE240" s="372"/>
      <c r="AF240" s="372"/>
      <c r="AG240" s="372"/>
      <c r="AH240" s="372"/>
      <c r="AI240" s="372"/>
      <c r="AJ240" s="372"/>
      <c r="AK240" s="372"/>
      <c r="AL240" s="372"/>
    </row>
    <row r="241" customFormat="false" ht="12" hidden="false" customHeight="false" outlineLevel="0" collapsed="false">
      <c r="U241" s="372"/>
      <c r="V241" s="372"/>
      <c r="W241" s="372"/>
      <c r="X241" s="372"/>
      <c r="Y241" s="372"/>
      <c r="Z241" s="372"/>
      <c r="AA241" s="372"/>
      <c r="AB241" s="372"/>
      <c r="AC241" s="372"/>
      <c r="AD241" s="372"/>
      <c r="AE241" s="372"/>
      <c r="AF241" s="372"/>
      <c r="AG241" s="372"/>
      <c r="AH241" s="372"/>
      <c r="AI241" s="372"/>
      <c r="AJ241" s="372"/>
      <c r="AK241" s="372"/>
      <c r="AL241" s="372"/>
    </row>
    <row r="242" customFormat="false" ht="12" hidden="false" customHeight="false" outlineLevel="0" collapsed="false">
      <c r="U242" s="372"/>
      <c r="V242" s="372"/>
      <c r="W242" s="372"/>
      <c r="X242" s="372"/>
      <c r="Y242" s="372"/>
      <c r="Z242" s="372"/>
      <c r="AA242" s="372"/>
      <c r="AB242" s="372"/>
      <c r="AC242" s="372"/>
      <c r="AD242" s="372"/>
      <c r="AE242" s="372"/>
      <c r="AF242" s="372"/>
      <c r="AG242" s="372"/>
      <c r="AH242" s="372"/>
      <c r="AI242" s="372"/>
      <c r="AJ242" s="372"/>
      <c r="AK242" s="372"/>
      <c r="AL242" s="372"/>
    </row>
    <row r="243" customFormat="false" ht="12" hidden="false" customHeight="false" outlineLevel="0" collapsed="false">
      <c r="U243" s="372"/>
      <c r="V243" s="372"/>
      <c r="W243" s="372"/>
      <c r="X243" s="372"/>
      <c r="Y243" s="372"/>
      <c r="Z243" s="372"/>
      <c r="AA243" s="372"/>
      <c r="AB243" s="372"/>
      <c r="AC243" s="372"/>
      <c r="AD243" s="372"/>
      <c r="AE243" s="372"/>
      <c r="AF243" s="372"/>
      <c r="AG243" s="372"/>
      <c r="AH243" s="372"/>
      <c r="AI243" s="372"/>
      <c r="AJ243" s="372"/>
      <c r="AK243" s="372"/>
      <c r="AL243" s="372"/>
    </row>
    <row r="244" customFormat="false" ht="12" hidden="false" customHeight="false" outlineLevel="0" collapsed="false">
      <c r="U244" s="372"/>
      <c r="V244" s="372"/>
      <c r="W244" s="372"/>
      <c r="X244" s="372"/>
      <c r="Y244" s="372"/>
      <c r="Z244" s="372"/>
      <c r="AA244" s="372"/>
      <c r="AB244" s="372"/>
      <c r="AC244" s="372"/>
      <c r="AD244" s="372"/>
      <c r="AE244" s="372"/>
      <c r="AF244" s="372"/>
      <c r="AG244" s="372"/>
      <c r="AH244" s="372"/>
      <c r="AI244" s="372"/>
      <c r="AJ244" s="372"/>
      <c r="AK244" s="372"/>
      <c r="AL244" s="372"/>
    </row>
    <row r="245" customFormat="false" ht="12" hidden="false" customHeight="false" outlineLevel="0" collapsed="false">
      <c r="U245" s="372"/>
      <c r="V245" s="372"/>
      <c r="W245" s="372"/>
      <c r="X245" s="372"/>
      <c r="Y245" s="372"/>
      <c r="Z245" s="372"/>
      <c r="AA245" s="372"/>
      <c r="AB245" s="372"/>
      <c r="AC245" s="372"/>
      <c r="AD245" s="372"/>
      <c r="AE245" s="372"/>
      <c r="AF245" s="372"/>
      <c r="AG245" s="372"/>
      <c r="AH245" s="372"/>
      <c r="AI245" s="372"/>
      <c r="AJ245" s="372"/>
      <c r="AK245" s="372"/>
      <c r="AL245" s="372"/>
    </row>
    <row r="246" customFormat="false" ht="12" hidden="false" customHeight="false" outlineLevel="0" collapsed="false">
      <c r="U246" s="372"/>
      <c r="V246" s="372"/>
      <c r="W246" s="372"/>
      <c r="X246" s="372"/>
      <c r="Y246" s="372"/>
      <c r="Z246" s="372"/>
      <c r="AA246" s="372"/>
      <c r="AB246" s="372"/>
      <c r="AC246" s="372"/>
      <c r="AD246" s="372"/>
      <c r="AE246" s="372"/>
      <c r="AF246" s="372"/>
      <c r="AG246" s="372"/>
      <c r="AH246" s="372"/>
      <c r="AI246" s="372"/>
      <c r="AJ246" s="372"/>
      <c r="AK246" s="372"/>
      <c r="AL246" s="372"/>
    </row>
    <row r="247" customFormat="false" ht="12" hidden="false" customHeight="false" outlineLevel="0" collapsed="false">
      <c r="U247" s="372"/>
      <c r="V247" s="372"/>
      <c r="W247" s="372"/>
      <c r="X247" s="372"/>
      <c r="Y247" s="372"/>
      <c r="Z247" s="372"/>
      <c r="AA247" s="372"/>
      <c r="AB247" s="372"/>
      <c r="AC247" s="372"/>
      <c r="AD247" s="372"/>
      <c r="AE247" s="372"/>
      <c r="AF247" s="372"/>
      <c r="AG247" s="372"/>
      <c r="AH247" s="372"/>
      <c r="AI247" s="372"/>
      <c r="AJ247" s="372"/>
      <c r="AK247" s="372"/>
      <c r="AL247" s="372"/>
    </row>
    <row r="248" customFormat="false" ht="12" hidden="false" customHeight="false" outlineLevel="0" collapsed="false">
      <c r="U248" s="372"/>
      <c r="V248" s="372"/>
      <c r="W248" s="372"/>
      <c r="X248" s="372"/>
      <c r="Y248" s="372"/>
      <c r="Z248" s="372"/>
      <c r="AA248" s="372"/>
      <c r="AB248" s="372"/>
      <c r="AC248" s="372"/>
      <c r="AD248" s="372"/>
      <c r="AE248" s="372"/>
      <c r="AF248" s="372"/>
      <c r="AG248" s="372"/>
      <c r="AH248" s="372"/>
      <c r="AI248" s="372"/>
      <c r="AJ248" s="372"/>
      <c r="AK248" s="372"/>
      <c r="AL248" s="372"/>
    </row>
    <row r="249" customFormat="false" ht="12" hidden="false" customHeight="false" outlineLevel="0" collapsed="false">
      <c r="U249" s="372"/>
      <c r="V249" s="372"/>
      <c r="W249" s="372"/>
      <c r="X249" s="372"/>
      <c r="Y249" s="372"/>
      <c r="Z249" s="372"/>
      <c r="AA249" s="372"/>
      <c r="AB249" s="372"/>
      <c r="AC249" s="372"/>
      <c r="AD249" s="372"/>
      <c r="AE249" s="372"/>
      <c r="AF249" s="372"/>
      <c r="AG249" s="372"/>
      <c r="AH249" s="372"/>
      <c r="AI249" s="372"/>
      <c r="AJ249" s="372"/>
      <c r="AK249" s="372"/>
      <c r="AL249" s="372"/>
    </row>
    <row r="250" customFormat="false" ht="12" hidden="false" customHeight="false" outlineLevel="0" collapsed="false">
      <c r="U250" s="372"/>
      <c r="V250" s="372"/>
      <c r="W250" s="372"/>
      <c r="X250" s="372"/>
      <c r="Y250" s="372"/>
      <c r="Z250" s="372"/>
      <c r="AA250" s="372"/>
      <c r="AB250" s="372"/>
      <c r="AC250" s="372"/>
      <c r="AD250" s="372"/>
      <c r="AE250" s="372"/>
      <c r="AF250" s="372"/>
      <c r="AG250" s="372"/>
      <c r="AH250" s="372"/>
      <c r="AI250" s="372"/>
      <c r="AJ250" s="372"/>
      <c r="AK250" s="372"/>
      <c r="AL250" s="372"/>
    </row>
    <row r="251" customFormat="false" ht="12" hidden="false" customHeight="false" outlineLevel="0" collapsed="false">
      <c r="U251" s="372"/>
      <c r="V251" s="372"/>
      <c r="W251" s="372"/>
      <c r="X251" s="372"/>
      <c r="Y251" s="372"/>
      <c r="Z251" s="372"/>
      <c r="AA251" s="372"/>
      <c r="AB251" s="372"/>
      <c r="AC251" s="372"/>
      <c r="AD251" s="372"/>
      <c r="AE251" s="372"/>
      <c r="AF251" s="372"/>
      <c r="AG251" s="372"/>
      <c r="AH251" s="372"/>
      <c r="AI251" s="372"/>
      <c r="AJ251" s="372"/>
      <c r="AK251" s="372"/>
      <c r="AL251" s="372"/>
    </row>
    <row r="252" customFormat="false" ht="12" hidden="false" customHeight="false" outlineLevel="0" collapsed="false">
      <c r="U252" s="372"/>
      <c r="V252" s="372"/>
      <c r="W252" s="372"/>
      <c r="X252" s="372"/>
      <c r="Y252" s="372"/>
      <c r="Z252" s="372"/>
      <c r="AA252" s="372"/>
      <c r="AB252" s="372"/>
      <c r="AC252" s="372"/>
      <c r="AD252" s="372"/>
      <c r="AE252" s="372"/>
      <c r="AF252" s="372"/>
      <c r="AG252" s="372"/>
      <c r="AH252" s="372"/>
      <c r="AI252" s="372"/>
      <c r="AJ252" s="372"/>
      <c r="AK252" s="372"/>
      <c r="AL252" s="372"/>
    </row>
    <row r="253" customFormat="false" ht="12" hidden="false" customHeight="false" outlineLevel="0" collapsed="false">
      <c r="U253" s="372"/>
      <c r="V253" s="372"/>
      <c r="W253" s="372"/>
      <c r="X253" s="372"/>
      <c r="Y253" s="372"/>
      <c r="Z253" s="372"/>
      <c r="AA253" s="372"/>
      <c r="AB253" s="372"/>
      <c r="AC253" s="372"/>
      <c r="AD253" s="372"/>
      <c r="AE253" s="372"/>
      <c r="AF253" s="372"/>
      <c r="AG253" s="372"/>
      <c r="AH253" s="372"/>
      <c r="AI253" s="372"/>
      <c r="AJ253" s="372"/>
      <c r="AK253" s="372"/>
      <c r="AL253" s="372"/>
    </row>
    <row r="254" customFormat="false" ht="12" hidden="false" customHeight="false" outlineLevel="0" collapsed="false">
      <c r="U254" s="372"/>
      <c r="V254" s="372"/>
      <c r="W254" s="372"/>
      <c r="X254" s="372"/>
      <c r="Y254" s="372"/>
      <c r="Z254" s="372"/>
      <c r="AA254" s="372"/>
      <c r="AB254" s="372"/>
      <c r="AC254" s="372"/>
      <c r="AD254" s="372"/>
      <c r="AE254" s="372"/>
      <c r="AF254" s="372"/>
      <c r="AG254" s="372"/>
      <c r="AH254" s="372"/>
      <c r="AI254" s="372"/>
      <c r="AJ254" s="372"/>
      <c r="AK254" s="372"/>
      <c r="AL254" s="372"/>
    </row>
    <row r="255" customFormat="false" ht="12" hidden="false" customHeight="false" outlineLevel="0" collapsed="false">
      <c r="U255" s="372"/>
      <c r="V255" s="372"/>
      <c r="W255" s="372"/>
      <c r="X255" s="372"/>
      <c r="Y255" s="372"/>
      <c r="Z255" s="372"/>
      <c r="AA255" s="372"/>
      <c r="AB255" s="372"/>
      <c r="AC255" s="372"/>
      <c r="AD255" s="372"/>
      <c r="AE255" s="372"/>
      <c r="AF255" s="372"/>
      <c r="AG255" s="372"/>
      <c r="AH255" s="372"/>
      <c r="AI255" s="372"/>
      <c r="AJ255" s="372"/>
      <c r="AK255" s="372"/>
      <c r="AL255" s="372"/>
    </row>
    <row r="256" customFormat="false" ht="12" hidden="false" customHeight="false" outlineLevel="0" collapsed="false">
      <c r="U256" s="372"/>
      <c r="V256" s="372"/>
      <c r="W256" s="372"/>
      <c r="X256" s="372"/>
      <c r="Y256" s="372"/>
      <c r="Z256" s="372"/>
      <c r="AA256" s="372"/>
      <c r="AB256" s="372"/>
      <c r="AC256" s="372"/>
      <c r="AD256" s="372"/>
      <c r="AE256" s="372"/>
      <c r="AF256" s="372"/>
      <c r="AG256" s="372"/>
      <c r="AH256" s="372"/>
      <c r="AI256" s="372"/>
      <c r="AJ256" s="372"/>
      <c r="AK256" s="372"/>
      <c r="AL256" s="372"/>
    </row>
    <row r="257" customFormat="false" ht="12" hidden="false" customHeight="false" outlineLevel="0" collapsed="false">
      <c r="U257" s="372"/>
      <c r="V257" s="372"/>
      <c r="W257" s="372"/>
      <c r="X257" s="372"/>
      <c r="Y257" s="372"/>
      <c r="Z257" s="372"/>
      <c r="AA257" s="372"/>
      <c r="AB257" s="372"/>
      <c r="AC257" s="372"/>
      <c r="AD257" s="372"/>
      <c r="AE257" s="372"/>
      <c r="AF257" s="372"/>
      <c r="AG257" s="372"/>
      <c r="AH257" s="372"/>
      <c r="AI257" s="372"/>
      <c r="AJ257" s="372"/>
      <c r="AK257" s="372"/>
      <c r="AL257" s="372"/>
    </row>
    <row r="258" customFormat="false" ht="12" hidden="false" customHeight="false" outlineLevel="0" collapsed="false">
      <c r="U258" s="372"/>
      <c r="V258" s="372"/>
      <c r="W258" s="372"/>
      <c r="X258" s="372"/>
      <c r="Y258" s="372"/>
      <c r="Z258" s="372"/>
      <c r="AA258" s="372"/>
      <c r="AB258" s="372"/>
      <c r="AC258" s="372"/>
      <c r="AD258" s="372"/>
      <c r="AE258" s="372"/>
      <c r="AF258" s="372"/>
      <c r="AG258" s="372"/>
      <c r="AH258" s="372"/>
      <c r="AI258" s="372"/>
      <c r="AJ258" s="372"/>
      <c r="AK258" s="372"/>
      <c r="AL258" s="372"/>
    </row>
    <row r="259" customFormat="false" ht="12" hidden="false" customHeight="false" outlineLevel="0" collapsed="false">
      <c r="U259" s="372"/>
      <c r="V259" s="372"/>
      <c r="W259" s="372"/>
      <c r="X259" s="372"/>
      <c r="Y259" s="372"/>
      <c r="Z259" s="372"/>
      <c r="AA259" s="372"/>
      <c r="AB259" s="372"/>
      <c r="AC259" s="372"/>
      <c r="AD259" s="372"/>
      <c r="AE259" s="372"/>
      <c r="AF259" s="372"/>
      <c r="AG259" s="372"/>
      <c r="AH259" s="372"/>
      <c r="AI259" s="372"/>
      <c r="AJ259" s="372"/>
      <c r="AK259" s="372"/>
      <c r="AL259" s="372"/>
    </row>
    <row r="260" customFormat="false" ht="12" hidden="false" customHeight="false" outlineLevel="0" collapsed="false">
      <c r="U260" s="372"/>
      <c r="V260" s="372"/>
      <c r="W260" s="372"/>
      <c r="X260" s="372"/>
      <c r="Y260" s="372"/>
      <c r="Z260" s="372"/>
      <c r="AA260" s="372"/>
      <c r="AB260" s="372"/>
      <c r="AC260" s="372"/>
      <c r="AD260" s="372"/>
      <c r="AE260" s="372"/>
      <c r="AF260" s="372"/>
      <c r="AG260" s="372"/>
      <c r="AH260" s="372"/>
      <c r="AI260" s="372"/>
      <c r="AJ260" s="372"/>
    </row>
    <row r="261" customFormat="false" ht="12" hidden="false" customHeight="false" outlineLevel="0" collapsed="false">
      <c r="U261" s="372"/>
      <c r="V261" s="372"/>
      <c r="W261" s="372"/>
      <c r="X261" s="372"/>
      <c r="Y261" s="372"/>
      <c r="Z261" s="372"/>
      <c r="AA261" s="372"/>
      <c r="AB261" s="372"/>
      <c r="AC261" s="372"/>
      <c r="AD261" s="372"/>
      <c r="AE261" s="372"/>
      <c r="AF261" s="372"/>
      <c r="AG261" s="372"/>
      <c r="AH261" s="372"/>
      <c r="AI261" s="372"/>
      <c r="AJ261" s="372"/>
    </row>
    <row r="262" customFormat="false" ht="12" hidden="false" customHeight="false" outlineLevel="0" collapsed="false">
      <c r="U262" s="372"/>
      <c r="V262" s="372"/>
      <c r="W262" s="372"/>
      <c r="X262" s="372"/>
      <c r="Y262" s="372"/>
      <c r="Z262" s="372"/>
      <c r="AA262" s="372"/>
      <c r="AB262" s="372"/>
      <c r="AC262" s="372"/>
      <c r="AD262" s="372"/>
      <c r="AE262" s="372"/>
      <c r="AF262" s="372"/>
      <c r="AG262" s="372"/>
      <c r="AH262" s="372"/>
      <c r="AI262" s="372"/>
      <c r="AJ262" s="372"/>
    </row>
    <row r="263" customFormat="false" ht="12" hidden="false" customHeight="false" outlineLevel="0" collapsed="false">
      <c r="U263" s="372"/>
      <c r="V263" s="372"/>
      <c r="W263" s="372"/>
      <c r="X263" s="372"/>
      <c r="Y263" s="372"/>
      <c r="Z263" s="372"/>
      <c r="AA263" s="372"/>
      <c r="AB263" s="372"/>
      <c r="AC263" s="372"/>
      <c r="AD263" s="372"/>
      <c r="AE263" s="372"/>
      <c r="AF263" s="372"/>
      <c r="AG263" s="372"/>
      <c r="AH263" s="372"/>
      <c r="AI263" s="372"/>
      <c r="AJ263" s="372"/>
    </row>
    <row r="264" customFormat="false" ht="12" hidden="false" customHeight="false" outlineLevel="0" collapsed="false">
      <c r="U264" s="372"/>
      <c r="V264" s="372"/>
      <c r="W264" s="372"/>
      <c r="X264" s="372"/>
      <c r="Y264" s="372"/>
      <c r="Z264" s="372"/>
      <c r="AA264" s="372"/>
      <c r="AB264" s="372"/>
      <c r="AC264" s="372"/>
      <c r="AD264" s="372"/>
      <c r="AE264" s="372"/>
      <c r="AF264" s="372"/>
      <c r="AG264" s="372"/>
      <c r="AH264" s="372"/>
      <c r="AI264" s="372"/>
      <c r="AJ264" s="372"/>
    </row>
    <row r="265" customFormat="false" ht="12" hidden="false" customHeight="false" outlineLevel="0" collapsed="false">
      <c r="U265" s="372"/>
      <c r="V265" s="372"/>
      <c r="W265" s="372"/>
      <c r="X265" s="372"/>
      <c r="Y265" s="372"/>
      <c r="Z265" s="372"/>
      <c r="AA265" s="372"/>
      <c r="AB265" s="372"/>
      <c r="AC265" s="372"/>
      <c r="AD265" s="372"/>
      <c r="AE265" s="372"/>
      <c r="AF265" s="372"/>
      <c r="AG265" s="372"/>
      <c r="AH265" s="372"/>
      <c r="AI265" s="372"/>
      <c r="AJ265" s="372"/>
    </row>
    <row r="266" customFormat="false" ht="12" hidden="false" customHeight="false" outlineLevel="0" collapsed="false">
      <c r="V266" s="372"/>
      <c r="W266" s="372"/>
      <c r="X266" s="372"/>
      <c r="Y266" s="372"/>
      <c r="Z266" s="372"/>
      <c r="AA266" s="372"/>
      <c r="AB266" s="372"/>
      <c r="AC266" s="372"/>
      <c r="AD266" s="372"/>
      <c r="AE266" s="372"/>
      <c r="AF266" s="372"/>
      <c r="AG266" s="372"/>
      <c r="AH266" s="372"/>
      <c r="AI266" s="372"/>
      <c r="AJ266" s="372"/>
    </row>
    <row r="267" customFormat="false" ht="12" hidden="false" customHeight="false" outlineLevel="0" collapsed="false">
      <c r="V267" s="372"/>
      <c r="W267" s="372"/>
      <c r="X267" s="372"/>
      <c r="Y267" s="372"/>
      <c r="Z267" s="372"/>
      <c r="AA267" s="372"/>
      <c r="AB267" s="372"/>
      <c r="AC267" s="372"/>
      <c r="AD267" s="372"/>
      <c r="AE267" s="372"/>
      <c r="AF267" s="372"/>
      <c r="AG267" s="372"/>
      <c r="AH267" s="372"/>
      <c r="AI267" s="372"/>
      <c r="AJ267" s="372"/>
    </row>
  </sheetData>
  <mergeCells count="14">
    <mergeCell ref="H4:H5"/>
    <mergeCell ref="I4:I5"/>
    <mergeCell ref="J4:J5"/>
    <mergeCell ref="K4:N4"/>
    <mergeCell ref="O4:O5"/>
    <mergeCell ref="P4:P5"/>
    <mergeCell ref="S4:S5"/>
    <mergeCell ref="T4:T5"/>
    <mergeCell ref="U4:U5"/>
    <mergeCell ref="V4:V5"/>
    <mergeCell ref="W4:Y4"/>
    <mergeCell ref="Z4:AC4"/>
    <mergeCell ref="AD4:AG4"/>
    <mergeCell ref="AH4:AH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F44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Q31" activeCellId="0" sqref="Q31"/>
    </sheetView>
  </sheetViews>
  <sheetFormatPr defaultColWidth="8.82421875" defaultRowHeight="12" customHeight="false" zeroHeight="false" outlineLevelRow="0" outlineLevelCol="0"/>
  <cols>
    <col collapsed="false" customWidth="false" hidden="false" outlineLevel="0" max="1" min="1" style="372" width="8.82"/>
    <col collapsed="false" customWidth="true" hidden="false" outlineLevel="0" max="2" min="2" style="372" width="34.82"/>
    <col collapsed="false" customWidth="true" hidden="false" outlineLevel="0" max="3" min="3" style="372" width="10.66"/>
    <col collapsed="false" customWidth="false" hidden="false" outlineLevel="0" max="7" min="4" style="372" width="8.82"/>
    <col collapsed="false" customWidth="true" hidden="false" outlineLevel="0" max="8" min="8" style="372" width="10.5"/>
    <col collapsed="false" customWidth="false" hidden="false" outlineLevel="0" max="9" min="9" style="372" width="8.82"/>
    <col collapsed="false" customWidth="true" hidden="false" outlineLevel="0" max="10" min="10" style="372" width="9.99"/>
    <col collapsed="false" customWidth="false" hidden="false" outlineLevel="0" max="12" min="11" style="372" width="8.82"/>
    <col collapsed="false" customWidth="true" hidden="false" outlineLevel="0" max="13" min="13" style="372" width="7.32"/>
    <col collapsed="false" customWidth="true" hidden="false" outlineLevel="0" max="14" min="14" style="372" width="8.49"/>
    <col collapsed="false" customWidth="true" hidden="false" outlineLevel="0" max="15" min="15" style="372" width="13.99"/>
    <col collapsed="false" customWidth="false" hidden="false" outlineLevel="0" max="16" min="16" style="372" width="8.82"/>
    <col collapsed="false" customWidth="true" hidden="false" outlineLevel="0" max="17" min="17" style="372" width="6.82"/>
    <col collapsed="false" customWidth="true" hidden="false" outlineLevel="0" max="18" min="18" style="372" width="12.32"/>
    <col collapsed="false" customWidth="true" hidden="false" outlineLevel="0" max="19" min="19" style="372" width="10.5"/>
    <col collapsed="false" customWidth="true" hidden="false" outlineLevel="0" max="20" min="20" style="372" width="11.32"/>
    <col collapsed="false" customWidth="true" hidden="false" outlineLevel="0" max="21" min="21" style="372" width="11.99"/>
    <col collapsed="false" customWidth="true" hidden="false" outlineLevel="0" max="23" min="22" style="372" width="11.5"/>
    <col collapsed="false" customWidth="true" hidden="false" outlineLevel="0" max="24" min="24" style="372" width="10.5"/>
    <col collapsed="false" customWidth="true" hidden="false" outlineLevel="0" max="25" min="25" style="372" width="11.5"/>
    <col collapsed="false" customWidth="true" hidden="false" outlineLevel="0" max="26" min="26" style="372" width="12.32"/>
    <col collapsed="false" customWidth="true" hidden="false" outlineLevel="0" max="27" min="27" style="372" width="13.82"/>
    <col collapsed="false" customWidth="true" hidden="false" outlineLevel="0" max="28" min="28" style="372" width="11.82"/>
    <col collapsed="false" customWidth="true" hidden="false" outlineLevel="0" max="29" min="29" style="372" width="13.82"/>
    <col collapsed="false" customWidth="true" hidden="false" outlineLevel="0" max="31" min="30" style="372" width="10.5"/>
    <col collapsed="false" customWidth="true" hidden="false" outlineLevel="0" max="32" min="32" style="372" width="9.66"/>
    <col collapsed="false" customWidth="true" hidden="false" outlineLevel="0" max="33" min="33" style="372" width="11.66"/>
    <col collapsed="false" customWidth="true" hidden="false" outlineLevel="0" max="34" min="34" style="372" width="10.15"/>
    <col collapsed="false" customWidth="false" hidden="false" outlineLevel="0" max="257" min="35" style="372" width="8.82"/>
  </cols>
  <sheetData>
    <row r="2" customFormat="false" ht="13" hidden="false" customHeight="false" outlineLevel="0" collapsed="false">
      <c r="A2" s="341" t="s">
        <v>425</v>
      </c>
      <c r="B2" s="1"/>
      <c r="C2" s="1"/>
      <c r="D2" s="1"/>
      <c r="E2" s="1"/>
      <c r="F2" s="1"/>
      <c r="H2" s="1"/>
      <c r="I2" s="341" t="s">
        <v>485</v>
      </c>
      <c r="J2" s="1"/>
      <c r="K2" s="1"/>
      <c r="L2" s="1"/>
      <c r="M2" s="1"/>
      <c r="N2" s="1"/>
      <c r="O2" s="1"/>
      <c r="S2" s="1"/>
      <c r="T2" s="1"/>
      <c r="U2" s="341" t="s">
        <v>486</v>
      </c>
      <c r="V2" s="1"/>
      <c r="W2" s="1"/>
      <c r="X2" s="1"/>
      <c r="Y2" s="1"/>
      <c r="Z2" s="1"/>
    </row>
    <row r="3" customFormat="false" ht="13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R3" s="1"/>
      <c r="S3" s="1"/>
      <c r="T3" s="1"/>
      <c r="U3" s="1"/>
      <c r="V3" s="1"/>
      <c r="W3" s="1"/>
      <c r="X3" s="1"/>
      <c r="Y3" s="1"/>
      <c r="Z3" s="1"/>
    </row>
    <row r="4" customFormat="false" ht="18.75" hidden="false" customHeight="true" outlineLevel="0" collapsed="false">
      <c r="A4" s="377"/>
      <c r="B4" s="148"/>
      <c r="C4" s="148"/>
      <c r="D4" s="149"/>
      <c r="G4" s="378" t="s">
        <v>96</v>
      </c>
      <c r="H4" s="635" t="s">
        <v>487</v>
      </c>
      <c r="I4" s="635"/>
      <c r="J4" s="635"/>
      <c r="K4" s="635" t="s">
        <v>488</v>
      </c>
      <c r="L4" s="635"/>
      <c r="M4" s="635"/>
      <c r="N4" s="635"/>
      <c r="O4" s="680" t="s">
        <v>489</v>
      </c>
      <c r="Q4" s="378" t="s">
        <v>96</v>
      </c>
      <c r="R4" s="378" t="s">
        <v>223</v>
      </c>
      <c r="S4" s="378" t="s">
        <v>319</v>
      </c>
      <c r="T4" s="635" t="s">
        <v>490</v>
      </c>
      <c r="U4" s="635"/>
      <c r="V4" s="635"/>
      <c r="W4" s="635"/>
      <c r="X4" s="635" t="s">
        <v>491</v>
      </c>
      <c r="Y4" s="635"/>
      <c r="Z4" s="635"/>
      <c r="AA4" s="635" t="s">
        <v>492</v>
      </c>
      <c r="AB4" s="635"/>
      <c r="AC4" s="635"/>
      <c r="AD4" s="635" t="s">
        <v>493</v>
      </c>
      <c r="AE4" s="635"/>
      <c r="AF4" s="635"/>
    </row>
    <row r="5" customFormat="false" ht="21.75" hidden="false" customHeight="true" outlineLevel="0" collapsed="false">
      <c r="A5" s="448" t="s">
        <v>444</v>
      </c>
      <c r="B5" s="71"/>
      <c r="C5" s="652" t="n">
        <f aca="false">'Input-Detail'!AZ29</f>
        <v>55</v>
      </c>
      <c r="D5" s="653"/>
      <c r="G5" s="378"/>
      <c r="H5" s="636" t="s">
        <v>88</v>
      </c>
      <c r="I5" s="636" t="s">
        <v>93</v>
      </c>
      <c r="J5" s="636" t="s">
        <v>101</v>
      </c>
      <c r="K5" s="636" t="s">
        <v>88</v>
      </c>
      <c r="L5" s="636" t="s">
        <v>93</v>
      </c>
      <c r="M5" s="636" t="s">
        <v>101</v>
      </c>
      <c r="N5" s="637" t="s">
        <v>274</v>
      </c>
      <c r="O5" s="680"/>
      <c r="Q5" s="378"/>
      <c r="R5" s="378"/>
      <c r="S5" s="378"/>
      <c r="T5" s="636" t="s">
        <v>494</v>
      </c>
      <c r="U5" s="636" t="s">
        <v>437</v>
      </c>
      <c r="V5" s="636" t="s">
        <v>438</v>
      </c>
      <c r="W5" s="637" t="s">
        <v>274</v>
      </c>
      <c r="X5" s="636" t="s">
        <v>88</v>
      </c>
      <c r="Y5" s="636" t="s">
        <v>93</v>
      </c>
      <c r="Z5" s="636" t="s">
        <v>101</v>
      </c>
      <c r="AA5" s="636" t="s">
        <v>88</v>
      </c>
      <c r="AB5" s="636" t="s">
        <v>93</v>
      </c>
      <c r="AC5" s="636" t="s">
        <v>101</v>
      </c>
      <c r="AD5" s="636" t="s">
        <v>88</v>
      </c>
      <c r="AE5" s="636" t="s">
        <v>93</v>
      </c>
      <c r="AF5" s="636" t="s">
        <v>101</v>
      </c>
    </row>
    <row r="6" customFormat="false" ht="14" hidden="false" customHeight="false" outlineLevel="0" collapsed="false">
      <c r="A6" s="448" t="s">
        <v>495</v>
      </c>
      <c r="B6" s="71"/>
      <c r="C6" s="681" t="n">
        <f aca="false">'Input-Detail'!BV11</f>
        <v>25</v>
      </c>
      <c r="D6" s="450"/>
      <c r="G6" s="400" t="s">
        <v>114</v>
      </c>
      <c r="H6" s="642"/>
      <c r="I6" s="642"/>
      <c r="J6" s="642"/>
      <c r="K6" s="682"/>
      <c r="L6" s="682"/>
      <c r="M6" s="682"/>
      <c r="N6" s="683"/>
      <c r="O6" s="683"/>
      <c r="Q6" s="400" t="s">
        <v>114</v>
      </c>
      <c r="R6" s="401" t="n">
        <f aca="false">'Time Value'!I6</f>
        <v>19016173</v>
      </c>
      <c r="S6" s="402" t="n">
        <f aca="false">'Time Value'!J6</f>
        <v>0</v>
      </c>
      <c r="T6" s="642"/>
      <c r="U6" s="642"/>
      <c r="V6" s="642"/>
      <c r="W6" s="642"/>
      <c r="X6" s="642"/>
      <c r="Y6" s="642"/>
      <c r="Z6" s="642"/>
      <c r="AA6" s="642"/>
      <c r="AB6" s="642"/>
      <c r="AC6" s="642"/>
      <c r="AD6" s="642"/>
      <c r="AE6" s="642"/>
      <c r="AF6" s="642"/>
    </row>
    <row r="7" customFormat="false" ht="13" hidden="false" customHeight="false" outlineLevel="0" collapsed="false">
      <c r="A7" s="448" t="s">
        <v>496</v>
      </c>
      <c r="B7" s="71"/>
      <c r="C7" s="650"/>
      <c r="D7" s="450"/>
      <c r="G7" s="400" t="n">
        <v>1</v>
      </c>
      <c r="H7" s="611" t="n">
        <f aca="false">AD7</f>
        <v>191.37274178022</v>
      </c>
      <c r="I7" s="611" t="n">
        <f aca="false">AE7</f>
        <v>40.2597043025905</v>
      </c>
      <c r="J7" s="611" t="n">
        <f aca="false">AF7</f>
        <v>1063.55454202824</v>
      </c>
      <c r="K7" s="684" t="n">
        <f aca="false">H7*$C$20*(1+Inflation_Rate)^G7</f>
        <v>251.320253142874</v>
      </c>
      <c r="L7" s="684" t="n">
        <f aca="false">I7*$C$21*(1+Inflation_Rate)^G7</f>
        <v>52.871056675377</v>
      </c>
      <c r="M7" s="684" t="n">
        <f aca="false">J7*$C$22*(1+Inflation_Rate)^G7</f>
        <v>6.90140542322126</v>
      </c>
      <c r="N7" s="685" t="n">
        <f aca="false">SUM(K7:M7)</f>
        <v>311.092715241472</v>
      </c>
      <c r="O7" s="685" t="n">
        <f aca="false">V7*$C$8*$C$24*(1+Inflation_Rate)^G7</f>
        <v>8778.3528921858</v>
      </c>
      <c r="Q7" s="400" t="n">
        <v>1</v>
      </c>
      <c r="R7" s="401" t="n">
        <f aca="false">'Time Value'!I7</f>
        <v>19565364.35</v>
      </c>
      <c r="S7" s="402" t="n">
        <f aca="false">'Time Value'!J7</f>
        <v>0.0495</v>
      </c>
      <c r="T7" s="611" t="n">
        <f aca="false">'Time Value'!K7</f>
        <v>-3705.02182023439</v>
      </c>
      <c r="U7" s="611" t="n">
        <f aca="false">'Time Value'!L7</f>
        <v>3521.765583</v>
      </c>
      <c r="V7" s="611" t="n">
        <f aca="false">'Time Value'!M7</f>
        <v>3521.765583</v>
      </c>
      <c r="W7" s="611" t="n">
        <f aca="false">'Time Value'!N7</f>
        <v>3338.50934576561</v>
      </c>
      <c r="X7" s="611" t="n">
        <f aca="false">$C$15*60*T7/1000</f>
        <v>-0</v>
      </c>
      <c r="Y7" s="611" t="n">
        <f aca="false">$C$16*60*T7/1000</f>
        <v>-33.3451963821095</v>
      </c>
      <c r="Z7" s="611" t="n">
        <f aca="false">$C$17*60*T7/1000</f>
        <v>-555.753273035159</v>
      </c>
      <c r="AA7" s="611" t="n">
        <f aca="false">V7*$C$8*$C$10/1000</f>
        <v>191.37274178022</v>
      </c>
      <c r="AB7" s="611" t="n">
        <f aca="false">V7*$C$8*$C$11/1000</f>
        <v>73.6049006847</v>
      </c>
      <c r="AC7" s="611" t="n">
        <f aca="false">V7*$C$8*$C$12/1000</f>
        <v>1619.3078150634</v>
      </c>
      <c r="AD7" s="611" t="n">
        <f aca="false">X7+AA7</f>
        <v>191.37274178022</v>
      </c>
      <c r="AE7" s="611" t="n">
        <f aca="false">Y7+AB7</f>
        <v>40.2597043025905</v>
      </c>
      <c r="AF7" s="611" t="n">
        <f aca="false">Z7+AC7</f>
        <v>1063.55454202824</v>
      </c>
    </row>
    <row r="8" customFormat="false" ht="13" hidden="false" customHeight="false" outlineLevel="0" collapsed="false">
      <c r="A8" s="655"/>
      <c r="B8" s="71" t="s">
        <v>438</v>
      </c>
      <c r="C8" s="686" t="n">
        <f aca="false">C5/C6</f>
        <v>2.2</v>
      </c>
      <c r="D8" s="450"/>
      <c r="G8" s="400" t="n">
        <v>2</v>
      </c>
      <c r="H8" s="611" t="n">
        <f aca="false">AD8</f>
        <v>393.488984425681</v>
      </c>
      <c r="I8" s="611" t="n">
        <f aca="false">AE8</f>
        <v>133.579365181034</v>
      </c>
      <c r="J8" s="611" t="n">
        <f aca="false">AF8</f>
        <v>3033.47964414683</v>
      </c>
      <c r="K8" s="684" t="n">
        <f aca="false">H8*$C$20*(1+Inflation_Rate)^G8</f>
        <v>532.251891060936</v>
      </c>
      <c r="L8" s="684" t="n">
        <f aca="false">I8*$C$21*(1+Inflation_Rate)^G8</f>
        <v>180.685794363712</v>
      </c>
      <c r="M8" s="684" t="n">
        <f aca="false">J8*$C$22*(1+Inflation_Rate)^G8</f>
        <v>20.2747768931948</v>
      </c>
      <c r="N8" s="685" t="n">
        <f aca="false">SUM(K8:M8)</f>
        <v>733.212462317843</v>
      </c>
      <c r="O8" s="685" t="n">
        <f aca="false">V8*$C$8*$C$24*(1+Inflation_Rate)^G8</f>
        <v>18591.0004022237</v>
      </c>
      <c r="Q8" s="400" t="n">
        <v>2</v>
      </c>
      <c r="R8" s="401" t="n">
        <f aca="false">'Time Value'!I8</f>
        <v>20114555.7</v>
      </c>
      <c r="S8" s="402" t="n">
        <f aca="false">'Time Value'!J8</f>
        <v>0.099</v>
      </c>
      <c r="T8" s="611" t="n">
        <f aca="false">'Time Value'!K8</f>
        <v>-1973.6168784185</v>
      </c>
      <c r="U8" s="611" t="n">
        <f aca="false">'Time Value'!L8</f>
        <v>7241.24005199998</v>
      </c>
      <c r="V8" s="611" t="n">
        <f aca="false">'Time Value'!M8</f>
        <v>7241.24005200001</v>
      </c>
      <c r="W8" s="611" t="n">
        <f aca="false">'Time Value'!N8</f>
        <v>12508.8632255815</v>
      </c>
      <c r="X8" s="611" t="n">
        <f aca="false">$C$15*60*T8/1000</f>
        <v>-0</v>
      </c>
      <c r="Y8" s="611" t="n">
        <f aca="false">$C$16*60*T8/1000</f>
        <v>-17.7625519057665</v>
      </c>
      <c r="Z8" s="611" t="n">
        <f aca="false">$C$17*60*T8/1000</f>
        <v>-296.042531762776</v>
      </c>
      <c r="AA8" s="611" t="n">
        <f aca="false">V8*$C$8*$C$10/1000</f>
        <v>393.488984425681</v>
      </c>
      <c r="AB8" s="611" t="n">
        <f aca="false">V8*$C$8*$C$11/1000</f>
        <v>151.3419170868</v>
      </c>
      <c r="AC8" s="611" t="n">
        <f aca="false">V8*$C$8*$C$12/1000</f>
        <v>3329.5221759096</v>
      </c>
      <c r="AD8" s="611" t="n">
        <f aca="false">X8+AA8</f>
        <v>393.488984425681</v>
      </c>
      <c r="AE8" s="611" t="n">
        <f aca="false">Y8+AB8</f>
        <v>133.579365181034</v>
      </c>
      <c r="AF8" s="611" t="n">
        <f aca="false">Z8+AC8</f>
        <v>3033.47964414683</v>
      </c>
    </row>
    <row r="9" customFormat="false" ht="13" hidden="false" customHeight="false" outlineLevel="0" collapsed="false">
      <c r="A9" s="448" t="s">
        <v>497</v>
      </c>
      <c r="B9" s="71"/>
      <c r="C9" s="654"/>
      <c r="D9" s="450"/>
      <c r="G9" s="400" t="n">
        <v>3</v>
      </c>
      <c r="H9" s="611" t="n">
        <f aca="false">AD9</f>
        <v>606.348727936381</v>
      </c>
      <c r="I9" s="611" t="n">
        <f aca="false">AE9</f>
        <v>224.164708331006</v>
      </c>
      <c r="J9" s="611" t="n">
        <f aca="false">AF9</f>
        <v>4979.87073461703</v>
      </c>
      <c r="K9" s="684" t="n">
        <f aca="false">H9*$C$20*(1+Inflation_Rate)^G9</f>
        <v>844.781373700466</v>
      </c>
      <c r="L9" s="684" t="n">
        <f aca="false">I9*$C$21*(1+Inflation_Rate)^G9</f>
        <v>312.312307281529</v>
      </c>
      <c r="M9" s="684" t="n">
        <f aca="false">J9*$C$22*(1+Inflation_Rate)^G9</f>
        <v>34.282327011823</v>
      </c>
      <c r="N9" s="685" t="n">
        <f aca="false">SUM(K9:M9)</f>
        <v>1191.37600799382</v>
      </c>
      <c r="O9" s="685" t="n">
        <f aca="false">V9*$C$8*$C$24*(1+Inflation_Rate)^G9</f>
        <v>29507.3274929114</v>
      </c>
      <c r="Q9" s="400" t="n">
        <v>3</v>
      </c>
      <c r="R9" s="401" t="n">
        <f aca="false">'Time Value'!I9</f>
        <v>20663747.05</v>
      </c>
      <c r="S9" s="402" t="n">
        <f aca="false">'Time Value'!J9</f>
        <v>0.1485</v>
      </c>
      <c r="T9" s="611" t="n">
        <f aca="false">'Time Value'!K9</f>
        <v>-1005.14898614385</v>
      </c>
      <c r="U9" s="611" t="n">
        <f aca="false">'Time Value'!L9</f>
        <v>11158.423407</v>
      </c>
      <c r="V9" s="611" t="n">
        <f aca="false">'Time Value'!M9</f>
        <v>11158.423407</v>
      </c>
      <c r="W9" s="611" t="n">
        <f aca="false">'Time Value'!N9</f>
        <v>21311.6978278562</v>
      </c>
      <c r="X9" s="611" t="n">
        <f aca="false">$C$15*60*T9/1000</f>
        <v>-0</v>
      </c>
      <c r="Y9" s="611" t="n">
        <f aca="false">$C$16*60*T9/1000</f>
        <v>-9.04634087529468</v>
      </c>
      <c r="Z9" s="611" t="n">
        <f aca="false">$C$17*60*T9/1000</f>
        <v>-150.772347921578</v>
      </c>
      <c r="AA9" s="611" t="n">
        <f aca="false">V9*$C$8*$C$10/1000</f>
        <v>606.348727936381</v>
      </c>
      <c r="AB9" s="611" t="n">
        <f aca="false">V9*$C$8*$C$11/1000</f>
        <v>233.211049206301</v>
      </c>
      <c r="AC9" s="611" t="n">
        <f aca="false">V9*$C$8*$C$12/1000</f>
        <v>5130.64308253861</v>
      </c>
      <c r="AD9" s="611" t="n">
        <f aca="false">X9+AA9</f>
        <v>606.348727936381</v>
      </c>
      <c r="AE9" s="611" t="n">
        <f aca="false">Y9+AB9</f>
        <v>224.164708331006</v>
      </c>
      <c r="AF9" s="611" t="n">
        <f aca="false">Z9+AC9</f>
        <v>4979.87073461703</v>
      </c>
    </row>
    <row r="10" customFormat="false" ht="13" hidden="false" customHeight="false" outlineLevel="0" collapsed="false">
      <c r="A10" s="448"/>
      <c r="B10" s="71" t="s">
        <v>88</v>
      </c>
      <c r="C10" s="652" t="n">
        <f aca="false">'Input-Detail'!BV14</f>
        <v>24.7</v>
      </c>
      <c r="D10" s="450"/>
      <c r="E10" s="48"/>
      <c r="F10" s="48"/>
      <c r="G10" s="400" t="n">
        <v>4</v>
      </c>
      <c r="H10" s="611" t="n">
        <f aca="false">AD10</f>
        <v>829.951972312319</v>
      </c>
      <c r="I10" s="611" t="n">
        <f aca="false">AE10</f>
        <v>302.950068874027</v>
      </c>
      <c r="J10" s="611" t="n">
        <f aca="false">AF10</f>
        <v>6751.63339879751</v>
      </c>
      <c r="K10" s="684" t="n">
        <f aca="false">H10*$C$20*(1+Inflation_Rate)^G10</f>
        <v>1191.00077731085</v>
      </c>
      <c r="L10" s="684" t="n">
        <f aca="false">I10*$C$21*(1+Inflation_Rate)^G10</f>
        <v>434.740538672475</v>
      </c>
      <c r="M10" s="684" t="n">
        <f aca="false">J10*$C$22*(1+Inflation_Rate)^G10</f>
        <v>47.8738440950921</v>
      </c>
      <c r="N10" s="685" t="n">
        <f aca="false">SUM(K10:M10)</f>
        <v>1673.61516007842</v>
      </c>
      <c r="O10" s="685" t="n">
        <f aca="false">V10*$C$8*$C$24*(1+Inflation_Rate)^G10</f>
        <v>41600.4081937583</v>
      </c>
      <c r="Q10" s="400" t="n">
        <v>4</v>
      </c>
      <c r="R10" s="401" t="n">
        <f aca="false">'Time Value'!I10</f>
        <v>21212938.4</v>
      </c>
      <c r="S10" s="402" t="n">
        <f aca="false">'Time Value'!J10</f>
        <v>0.198</v>
      </c>
      <c r="T10" s="611" t="n">
        <f aca="false">'Time Value'!K10</f>
        <v>-1806.91424101925</v>
      </c>
      <c r="U10" s="611" t="n">
        <f aca="false">'Time Value'!L10</f>
        <v>15273.315648</v>
      </c>
      <c r="V10" s="611" t="n">
        <f aca="false">'Time Value'!M10</f>
        <v>15273.315648</v>
      </c>
      <c r="W10" s="611" t="n">
        <f aca="false">'Time Value'!N10</f>
        <v>28739.7170549807</v>
      </c>
      <c r="X10" s="611" t="n">
        <f aca="false">$C$15*60*T10/1000</f>
        <v>-0</v>
      </c>
      <c r="Y10" s="611" t="n">
        <f aca="false">$C$16*60*T10/1000</f>
        <v>-16.2622281691732</v>
      </c>
      <c r="Z10" s="611" t="n">
        <f aca="false">$C$17*60*T10/1000</f>
        <v>-271.037136152887</v>
      </c>
      <c r="AA10" s="611" t="n">
        <f aca="false">V10*$C$8*$C$10/1000</f>
        <v>829.951972312319</v>
      </c>
      <c r="AB10" s="611" t="n">
        <f aca="false">V10*$C$8*$C$11/1000</f>
        <v>319.2122970432</v>
      </c>
      <c r="AC10" s="611" t="n">
        <f aca="false">V10*$C$8*$C$12/1000</f>
        <v>7022.6705349504</v>
      </c>
      <c r="AD10" s="611" t="n">
        <f aca="false">X10+AA10</f>
        <v>829.951972312319</v>
      </c>
      <c r="AE10" s="611" t="n">
        <f aca="false">Y10+AB10</f>
        <v>302.950068874027</v>
      </c>
      <c r="AF10" s="611" t="n">
        <f aca="false">Z10+AC10</f>
        <v>6751.63339879751</v>
      </c>
    </row>
    <row r="11" customFormat="false" ht="13" hidden="false" customHeight="false" outlineLevel="0" collapsed="false">
      <c r="A11" s="655"/>
      <c r="B11" s="71" t="s">
        <v>93</v>
      </c>
      <c r="C11" s="652" t="n">
        <f aca="false">'Input-Detail'!BV15</f>
        <v>9.5</v>
      </c>
      <c r="D11" s="450"/>
      <c r="G11" s="400" t="n">
        <v>5</v>
      </c>
      <c r="H11" s="611" t="n">
        <f aca="false">AD11</f>
        <v>1064.2987175535</v>
      </c>
      <c r="I11" s="611" t="n">
        <f aca="false">AE11</f>
        <v>392.691300793836</v>
      </c>
      <c r="J11" s="611" t="n">
        <f aca="false">AF11</f>
        <v>8728.0318697506</v>
      </c>
      <c r="K11" s="684" t="n">
        <f aca="false">H11*$C$20*(1+Inflation_Rate)^G11</f>
        <v>1573.1127359774</v>
      </c>
      <c r="L11" s="684" t="n">
        <f aca="false">I11*$C$21*(1+Inflation_Rate)^G11</f>
        <v>580.426976372132</v>
      </c>
      <c r="M11" s="684" t="n">
        <f aca="false">J11*$C$22*(1+Inflation_Rate)^G11</f>
        <v>63.7445407174759</v>
      </c>
      <c r="N11" s="685" t="n">
        <f aca="false">SUM(K11:M11)</f>
        <v>2217.28425306701</v>
      </c>
      <c r="O11" s="685" t="n">
        <f aca="false">V11*$C$8*$C$24*(1+Inflation_Rate)^G11</f>
        <v>54947.178203545</v>
      </c>
      <c r="Q11" s="400" t="n">
        <v>5</v>
      </c>
      <c r="R11" s="401" t="n">
        <f aca="false">'Time Value'!I11</f>
        <v>21762129.75</v>
      </c>
      <c r="S11" s="402" t="n">
        <f aca="false">'Time Value'!J11</f>
        <v>0.2475</v>
      </c>
      <c r="T11" s="611" t="n">
        <f aca="false">'Time Value'!K11</f>
        <v>-1850.48442262931</v>
      </c>
      <c r="U11" s="611" t="n">
        <f aca="false">'Time Value'!L11</f>
        <v>19585.916775</v>
      </c>
      <c r="V11" s="611" t="n">
        <f aca="false">'Time Value'!M11</f>
        <v>19585.916775</v>
      </c>
      <c r="W11" s="611" t="n">
        <f aca="false">'Time Value'!N11</f>
        <v>37321.3491273707</v>
      </c>
      <c r="X11" s="611" t="n">
        <f aca="false">$C$15*60*T11/1000</f>
        <v>-0</v>
      </c>
      <c r="Y11" s="611" t="n">
        <f aca="false">$C$16*60*T11/1000</f>
        <v>-16.6543598036638</v>
      </c>
      <c r="Z11" s="611" t="n">
        <f aca="false">$C$17*60*T11/1000</f>
        <v>-277.572663394397</v>
      </c>
      <c r="AA11" s="611" t="n">
        <f aca="false">V11*$C$8*$C$10/1000</f>
        <v>1064.2987175535</v>
      </c>
      <c r="AB11" s="611" t="n">
        <f aca="false">V11*$C$8*$C$11/1000</f>
        <v>409.3456605975</v>
      </c>
      <c r="AC11" s="611" t="n">
        <f aca="false">V11*$C$8*$C$12/1000</f>
        <v>9005.604533145</v>
      </c>
      <c r="AD11" s="611" t="n">
        <f aca="false">X11+AA11</f>
        <v>1064.2987175535</v>
      </c>
      <c r="AE11" s="611" t="n">
        <f aca="false">Y11+AB11</f>
        <v>392.691300793836</v>
      </c>
      <c r="AF11" s="611" t="n">
        <f aca="false">Z11+AC11</f>
        <v>8728.0318697506</v>
      </c>
    </row>
    <row r="12" customFormat="false" ht="13" hidden="false" customHeight="false" outlineLevel="0" collapsed="false">
      <c r="A12" s="655"/>
      <c r="B12" s="71" t="s">
        <v>101</v>
      </c>
      <c r="C12" s="652" t="n">
        <f aca="false">'Input-Detail'!BV16</f>
        <v>209</v>
      </c>
      <c r="D12" s="657"/>
      <c r="G12" s="400" t="n">
        <v>6</v>
      </c>
      <c r="H12" s="611" t="n">
        <f aca="false">AD12</f>
        <v>1309.38896365992</v>
      </c>
      <c r="I12" s="611" t="n">
        <f aca="false">AE12</f>
        <v>502.500390367581</v>
      </c>
      <c r="J12" s="611" t="n">
        <f aca="false">AF12</f>
        <v>11060.9325854288</v>
      </c>
      <c r="K12" s="684" t="n">
        <f aca="false">H12*$C$20*(1+Inflation_Rate)^G12</f>
        <v>1993.43559636252</v>
      </c>
      <c r="L12" s="684" t="n">
        <f aca="false">I12*$C$21*(1+Inflation_Rate)^G12</f>
        <v>765.01497503454</v>
      </c>
      <c r="M12" s="684" t="n">
        <f aca="false">J12*$C$22*(1+Inflation_Rate)^G12</f>
        <v>83.206191318917</v>
      </c>
      <c r="N12" s="685" t="n">
        <f aca="false">SUM(K12:M12)</f>
        <v>2841.65676271597</v>
      </c>
      <c r="O12" s="685" t="n">
        <f aca="false">V12*$C$8*$C$24*(1+Inflation_Rate)^G12</f>
        <v>69628.614940026</v>
      </c>
      <c r="Q12" s="400" t="n">
        <v>6</v>
      </c>
      <c r="R12" s="401" t="n">
        <f aca="false">'Time Value'!I12</f>
        <v>22311321.1</v>
      </c>
      <c r="S12" s="402" t="n">
        <f aca="false">'Time Value'!J12</f>
        <v>0.297</v>
      </c>
      <c r="T12" s="611" t="n">
        <f aca="false">'Time Value'!K12</f>
        <v>-123.416611291066</v>
      </c>
      <c r="U12" s="611" t="n">
        <f aca="false">'Time Value'!L12</f>
        <v>24096.226788</v>
      </c>
      <c r="V12" s="611" t="n">
        <f aca="false">'Time Value'!M12</f>
        <v>24096.226788</v>
      </c>
      <c r="W12" s="611" t="n">
        <f aca="false">'Time Value'!N12</f>
        <v>48069.036964709</v>
      </c>
      <c r="X12" s="611" t="n">
        <f aca="false">$C$15*60*T12/1000</f>
        <v>-0</v>
      </c>
      <c r="Y12" s="611" t="n">
        <f aca="false">$C$16*60*T12/1000</f>
        <v>-1.1107495016196</v>
      </c>
      <c r="Z12" s="611" t="n">
        <f aca="false">$C$17*60*T12/1000</f>
        <v>-18.5124916936599</v>
      </c>
      <c r="AA12" s="611" t="n">
        <f aca="false">V12*$C$8*$C$10/1000</f>
        <v>1309.38896365992</v>
      </c>
      <c r="AB12" s="611" t="n">
        <f aca="false">V12*$C$8*$C$11/1000</f>
        <v>503.611139869201</v>
      </c>
      <c r="AC12" s="611" t="n">
        <f aca="false">V12*$C$8*$C$12/1000</f>
        <v>11079.4450771224</v>
      </c>
      <c r="AD12" s="611" t="n">
        <f aca="false">X12+AA12</f>
        <v>1309.38896365992</v>
      </c>
      <c r="AE12" s="611" t="n">
        <f aca="false">Y12+AB12</f>
        <v>502.500390367581</v>
      </c>
      <c r="AF12" s="611" t="n">
        <f aca="false">Z12+AC12</f>
        <v>11060.9325854288</v>
      </c>
    </row>
    <row r="13" customFormat="false" ht="13" hidden="false" customHeight="false" outlineLevel="0" collapsed="false">
      <c r="A13" s="655"/>
      <c r="B13" s="71"/>
      <c r="C13" s="654"/>
      <c r="D13" s="450"/>
      <c r="G13" s="400" t="n">
        <v>7</v>
      </c>
      <c r="H13" s="611" t="n">
        <f aca="false">AD13</f>
        <v>1565.22271063158</v>
      </c>
      <c r="I13" s="611" t="n">
        <f aca="false">AE13</f>
        <v>604.907655192207</v>
      </c>
      <c r="J13" s="611" t="n">
        <f aca="false">AF13</f>
        <v>13292.507505781</v>
      </c>
      <c r="K13" s="684" t="n">
        <f aca="false">H13*$C$20*(1+Inflation_Rate)^G13</f>
        <v>2454.40879435345</v>
      </c>
      <c r="L13" s="684" t="n">
        <f aca="false">I13*$C$21*(1+Inflation_Rate)^G13</f>
        <v>948.549148048325</v>
      </c>
      <c r="M13" s="684" t="n">
        <f aca="false">J13*$C$22*(1+Inflation_Rate)^G13</f>
        <v>102.993077800141</v>
      </c>
      <c r="N13" s="685" t="n">
        <f aca="false">SUM(K13:M13)</f>
        <v>3505.95102020192</v>
      </c>
      <c r="O13" s="685" t="n">
        <f aca="false">V13*$C$8*$C$24*(1+Inflation_Rate)^G13</f>
        <v>85729.9253405985</v>
      </c>
      <c r="Q13" s="400" t="n">
        <v>7</v>
      </c>
      <c r="R13" s="401" t="n">
        <f aca="false">'Time Value'!I13</f>
        <v>22860512.45</v>
      </c>
      <c r="S13" s="402" t="n">
        <f aca="false">'Time Value'!J13</f>
        <v>0.3465</v>
      </c>
      <c r="T13" s="611" t="n">
        <f aca="false">'Time Value'!K13</f>
        <v>322.102259322908</v>
      </c>
      <c r="U13" s="611" t="n">
        <f aca="false">'Time Value'!L13</f>
        <v>28804.245687</v>
      </c>
      <c r="V13" s="611" t="n">
        <f aca="false">'Time Value'!M13</f>
        <v>28804.245687</v>
      </c>
      <c r="W13" s="611" t="n">
        <f aca="false">'Time Value'!N13</f>
        <v>57930.5936333229</v>
      </c>
      <c r="X13" s="611" t="n">
        <f aca="false">$C$15*60*T13/1000</f>
        <v>0</v>
      </c>
      <c r="Y13" s="611" t="n">
        <f aca="false">$C$16*60*T13/1000</f>
        <v>2.89892033390617</v>
      </c>
      <c r="Z13" s="611" t="n">
        <f aca="false">$C$17*60*T13/1000</f>
        <v>48.3153388984362</v>
      </c>
      <c r="AA13" s="611" t="n">
        <f aca="false">V13*$C$8*$C$10/1000</f>
        <v>1565.22271063158</v>
      </c>
      <c r="AB13" s="611" t="n">
        <f aca="false">V13*$C$8*$C$11/1000</f>
        <v>602.0087348583</v>
      </c>
      <c r="AC13" s="611" t="n">
        <f aca="false">V13*$C$8*$C$12/1000</f>
        <v>13244.1921668826</v>
      </c>
      <c r="AD13" s="611" t="n">
        <f aca="false">X13+AA13</f>
        <v>1565.22271063158</v>
      </c>
      <c r="AE13" s="611" t="n">
        <f aca="false">Y13+AB13</f>
        <v>604.907655192207</v>
      </c>
      <c r="AF13" s="611" t="n">
        <f aca="false">Z13+AC13</f>
        <v>13292.507505781</v>
      </c>
    </row>
    <row r="14" customFormat="false" ht="13" hidden="false" customHeight="false" outlineLevel="0" collapsed="false">
      <c r="A14" s="448" t="s">
        <v>498</v>
      </c>
      <c r="B14" s="71"/>
      <c r="C14" s="687"/>
      <c r="D14" s="450"/>
      <c r="G14" s="400" t="n">
        <v>8</v>
      </c>
      <c r="H14" s="611" t="n">
        <f aca="false">AD14</f>
        <v>1831.79995846848</v>
      </c>
      <c r="I14" s="611" t="n">
        <f aca="false">AE14</f>
        <v>709.19704536804</v>
      </c>
      <c r="J14" s="611" t="n">
        <f aca="false">AF14</f>
        <v>15577.4891324796</v>
      </c>
      <c r="K14" s="684" t="n">
        <f aca="false">H14*$C$20*(1+Inflation_Rate)^G14</f>
        <v>2958.59846265556</v>
      </c>
      <c r="L14" s="684" t="n">
        <f aca="false">I14*$C$21*(1+Inflation_Rate)^G14</f>
        <v>1145.44673857293</v>
      </c>
      <c r="M14" s="684" t="n">
        <f aca="false">J14*$C$22*(1+Inflation_Rate)^G14</f>
        <v>124.318512209845</v>
      </c>
      <c r="N14" s="685" t="n">
        <f aca="false">SUM(K14:M14)</f>
        <v>4228.36371343834</v>
      </c>
      <c r="O14" s="685" t="n">
        <f aca="false">V14*$C$8*$C$24*(1+Inflation_Rate)^G14</f>
        <v>103340.741729654</v>
      </c>
      <c r="Q14" s="400" t="n">
        <v>8</v>
      </c>
      <c r="R14" s="401" t="n">
        <f aca="false">'Time Value'!I14</f>
        <v>23409703.8</v>
      </c>
      <c r="S14" s="402" t="n">
        <f aca="false">'Time Value'!J14</f>
        <v>0.396</v>
      </c>
      <c r="T14" s="611" t="n">
        <f aca="false">'Time Value'!K14</f>
        <v>517.622200359931</v>
      </c>
      <c r="U14" s="611" t="n">
        <f aca="false">'Time Value'!L14</f>
        <v>33709.973472</v>
      </c>
      <c r="V14" s="611" t="n">
        <f aca="false">'Time Value'!M14</f>
        <v>33709.973472</v>
      </c>
      <c r="W14" s="611" t="n">
        <f aca="false">'Time Value'!N14</f>
        <v>67937.56914436</v>
      </c>
      <c r="X14" s="611" t="n">
        <f aca="false">$C$15*60*T14/1000</f>
        <v>0</v>
      </c>
      <c r="Y14" s="611" t="n">
        <f aca="false">$C$16*60*T14/1000</f>
        <v>4.65859980323937</v>
      </c>
      <c r="Z14" s="611" t="n">
        <f aca="false">$C$17*60*T14/1000</f>
        <v>77.6433300539896</v>
      </c>
      <c r="AA14" s="611" t="n">
        <f aca="false">V14*$C$8*$C$10/1000</f>
        <v>1831.79995846848</v>
      </c>
      <c r="AB14" s="611" t="n">
        <f aca="false">V14*$C$8*$C$11/1000</f>
        <v>704.538445564801</v>
      </c>
      <c r="AC14" s="611" t="n">
        <f aca="false">V14*$C$8*$C$12/1000</f>
        <v>15499.8458024256</v>
      </c>
      <c r="AD14" s="611" t="n">
        <f aca="false">X14+AA14</f>
        <v>1831.79995846848</v>
      </c>
      <c r="AE14" s="611" t="n">
        <f aca="false">Y14+AB14</f>
        <v>709.19704536804</v>
      </c>
      <c r="AF14" s="611" t="n">
        <f aca="false">Z14+AC14</f>
        <v>15577.4891324796</v>
      </c>
    </row>
    <row r="15" customFormat="false" ht="13" hidden="false" customHeight="false" outlineLevel="0" collapsed="false">
      <c r="A15" s="655"/>
      <c r="B15" s="71" t="s">
        <v>88</v>
      </c>
      <c r="C15" s="688" t="n">
        <f aca="false">'Input-Detail'!BV18</f>
        <v>0</v>
      </c>
      <c r="D15" s="450"/>
      <c r="G15" s="400" t="n">
        <v>9</v>
      </c>
      <c r="H15" s="611" t="n">
        <f aca="false">AD15</f>
        <v>2109.12070717062</v>
      </c>
      <c r="I15" s="611" t="n">
        <f aca="false">AE15</f>
        <v>828.667392105542</v>
      </c>
      <c r="J15" s="611" t="n">
        <f aca="false">AF15</f>
        <v>18137.5246523654</v>
      </c>
      <c r="K15" s="684" t="n">
        <f aca="false">H15*$C$20*(1+Inflation_Rate)^G15</f>
        <v>3508.70327872338</v>
      </c>
      <c r="L15" s="684" t="n">
        <f aca="false">I15*$C$21*(1+Inflation_Rate)^G15</f>
        <v>1378.55931420461</v>
      </c>
      <c r="M15" s="684" t="n">
        <f aca="false">J15*$C$22*(1+Inflation_Rate)^G15</f>
        <v>149.091741460924</v>
      </c>
      <c r="N15" s="685" t="n">
        <f aca="false">SUM(K15:M15)</f>
        <v>5036.35433438891</v>
      </c>
      <c r="O15" s="685" t="n">
        <f aca="false">V15*$C$8*$C$24*(1+Inflation_Rate)^G15</f>
        <v>122555.326080677</v>
      </c>
      <c r="Q15" s="400" t="n">
        <v>9</v>
      </c>
      <c r="R15" s="401" t="n">
        <f aca="false">'Time Value'!I15</f>
        <v>23958895.15</v>
      </c>
      <c r="S15" s="402" t="n">
        <f aca="false">'Time Value'!J15</f>
        <v>0.4455</v>
      </c>
      <c r="T15" s="611" t="n">
        <f aca="false">'Time Value'!K15</f>
        <v>1940.79112409359</v>
      </c>
      <c r="U15" s="611" t="n">
        <f aca="false">'Time Value'!L15</f>
        <v>38813.410143</v>
      </c>
      <c r="V15" s="611" t="n">
        <f aca="false">'Time Value'!M15</f>
        <v>38813.410143</v>
      </c>
      <c r="W15" s="611" t="n">
        <f aca="false">'Time Value'!N15</f>
        <v>79567.6114100935</v>
      </c>
      <c r="X15" s="611" t="n">
        <f aca="false">$C$15*60*T15/1000</f>
        <v>0</v>
      </c>
      <c r="Y15" s="611" t="n">
        <f aca="false">$C$16*60*T15/1000</f>
        <v>17.4671201168423</v>
      </c>
      <c r="Z15" s="611" t="n">
        <f aca="false">$C$17*60*T15/1000</f>
        <v>291.118668614038</v>
      </c>
      <c r="AA15" s="611" t="n">
        <f aca="false">V15*$C$8*$C$10/1000</f>
        <v>2109.12070717062</v>
      </c>
      <c r="AB15" s="611" t="n">
        <f aca="false">V15*$C$8*$C$11/1000</f>
        <v>811.2002719887</v>
      </c>
      <c r="AC15" s="611" t="n">
        <f aca="false">V15*$C$8*$C$12/1000</f>
        <v>17846.4059837514</v>
      </c>
      <c r="AD15" s="611" t="n">
        <f aca="false">X15+AA15</f>
        <v>2109.12070717062</v>
      </c>
      <c r="AE15" s="611" t="n">
        <f aca="false">Y15+AB15</f>
        <v>828.667392105542</v>
      </c>
      <c r="AF15" s="611" t="n">
        <f aca="false">Z15+AC15</f>
        <v>18137.5246523654</v>
      </c>
    </row>
    <row r="16" customFormat="false" ht="13" hidden="false" customHeight="false" outlineLevel="0" collapsed="false">
      <c r="A16" s="655"/>
      <c r="B16" s="71" t="s">
        <v>93</v>
      </c>
      <c r="C16" s="688" t="n">
        <f aca="false">'Input-Detail'!BV19</f>
        <v>0.15</v>
      </c>
      <c r="D16" s="657"/>
      <c r="G16" s="400" t="n">
        <v>10</v>
      </c>
      <c r="H16" s="611" t="n">
        <f aca="false">AD16</f>
        <v>2397.184956738</v>
      </c>
      <c r="I16" s="611" t="n">
        <f aca="false">AE16</f>
        <v>942.418274044784</v>
      </c>
      <c r="J16" s="611" t="n">
        <f aca="false">AF16</f>
        <v>20624.2737094397</v>
      </c>
      <c r="K16" s="684" t="n">
        <f aca="false">H16*$C$20*(1+Inflation_Rate)^G16</f>
        <v>4107.56056278885</v>
      </c>
      <c r="L16" s="684" t="n">
        <f aca="false">I16*$C$21*(1+Inflation_Rate)^G16</f>
        <v>1614.82747721955</v>
      </c>
      <c r="M16" s="684" t="n">
        <f aca="false">J16*$C$22*(1+Inflation_Rate)^G16</f>
        <v>174.618985276212</v>
      </c>
      <c r="N16" s="685" t="n">
        <f aca="false">SUM(K16:M16)</f>
        <v>5897.00702528462</v>
      </c>
      <c r="O16" s="685" t="n">
        <f aca="false">V16*$C$8*$C$24*(1+Inflation_Rate)^G16</f>
        <v>143472.783013979</v>
      </c>
      <c r="Q16" s="400" t="n">
        <v>10</v>
      </c>
      <c r="R16" s="401" t="n">
        <f aca="false">'Time Value'!I16</f>
        <v>24508086.5</v>
      </c>
      <c r="S16" s="402" t="n">
        <f aca="false">'Time Value'!J16</f>
        <v>0.495</v>
      </c>
      <c r="T16" s="611" t="n">
        <f aca="false">'Time Value'!K16</f>
        <v>2269.33999053151</v>
      </c>
      <c r="U16" s="611" t="n">
        <f aca="false">'Time Value'!L16</f>
        <v>44114.5557</v>
      </c>
      <c r="V16" s="611" t="n">
        <f aca="false">'Time Value'!M16</f>
        <v>44114.5557</v>
      </c>
      <c r="W16" s="611" t="n">
        <f aca="false">'Time Value'!N16</f>
        <v>90498.4513905315</v>
      </c>
      <c r="X16" s="611" t="n">
        <f aca="false">$C$15*60*T16/1000</f>
        <v>0</v>
      </c>
      <c r="Y16" s="611" t="n">
        <f aca="false">$C$16*60*T16/1000</f>
        <v>20.4240599147836</v>
      </c>
      <c r="Z16" s="611" t="n">
        <f aca="false">$C$17*60*T16/1000</f>
        <v>340.400998579727</v>
      </c>
      <c r="AA16" s="611" t="n">
        <f aca="false">V16*$C$8*$C$10/1000</f>
        <v>2397.184956738</v>
      </c>
      <c r="AB16" s="611" t="n">
        <f aca="false">V16*$C$8*$C$11/1000</f>
        <v>921.99421413</v>
      </c>
      <c r="AC16" s="611" t="n">
        <f aca="false">V16*$C$8*$C$12/1000</f>
        <v>20283.87271086</v>
      </c>
      <c r="AD16" s="611" t="n">
        <f aca="false">X16+AA16</f>
        <v>2397.184956738</v>
      </c>
      <c r="AE16" s="611" t="n">
        <f aca="false">Y16+AB16</f>
        <v>942.418274044784</v>
      </c>
      <c r="AF16" s="611" t="n">
        <f aca="false">Z16+AC16</f>
        <v>20624.2737094397</v>
      </c>
    </row>
    <row r="17" customFormat="false" ht="13" hidden="false" customHeight="false" outlineLevel="0" collapsed="false">
      <c r="A17" s="655"/>
      <c r="B17" s="71" t="s">
        <v>101</v>
      </c>
      <c r="C17" s="688" t="n">
        <f aca="false">'Input-Detail'!BV20</f>
        <v>2.5</v>
      </c>
      <c r="D17" s="653"/>
      <c r="G17" s="400" t="n">
        <v>11</v>
      </c>
      <c r="H17" s="611" t="n">
        <f aca="false">AD17</f>
        <v>2695.99270717062</v>
      </c>
      <c r="I17" s="611" t="n">
        <f aca="false">AE17</f>
        <v>1068.18821009171</v>
      </c>
      <c r="J17" s="611" t="n">
        <f aca="false">AF17</f>
        <v>23333.3782854683</v>
      </c>
      <c r="K17" s="684" t="n">
        <f aca="false">H17*$C$20*(1+Inflation_Rate)^G17</f>
        <v>4758.15263612687</v>
      </c>
      <c r="L17" s="684" t="n">
        <f aca="false">I17*$C$21*(1+Inflation_Rate)^G17</f>
        <v>1885.24343341478</v>
      </c>
      <c r="M17" s="684" t="n">
        <f aca="false">J17*$C$22*(1+Inflation_Rate)^G17</f>
        <v>203.482771009381</v>
      </c>
      <c r="N17" s="685" t="n">
        <f aca="false">SUM(K17:M17)</f>
        <v>6846.87884055103</v>
      </c>
      <c r="O17" s="685" t="n">
        <f aca="false">V17*$C$8*$C$24*(1+Inflation_Rate)^G17</f>
        <v>166197.281884244</v>
      </c>
      <c r="Q17" s="400" t="n">
        <v>11</v>
      </c>
      <c r="R17" s="401" t="n">
        <f aca="false">'Time Value'!I17</f>
        <v>25057277.85</v>
      </c>
      <c r="S17" s="402" t="n">
        <f aca="false">'Time Value'!J17</f>
        <v>0.5445</v>
      </c>
      <c r="T17" s="611" t="n">
        <f aca="false">'Time Value'!K17</f>
        <v>3474.21534477937</v>
      </c>
      <c r="U17" s="611" t="n">
        <f aca="false">'Time Value'!L17</f>
        <v>49613.410143</v>
      </c>
      <c r="V17" s="611" t="n">
        <f aca="false">'Time Value'!M17</f>
        <v>49613.410143</v>
      </c>
      <c r="W17" s="611" t="n">
        <f aca="false">'Time Value'!N17</f>
        <v>102701.035630779</v>
      </c>
      <c r="X17" s="611" t="n">
        <f aca="false">$C$15*60*T17/1000</f>
        <v>0</v>
      </c>
      <c r="Y17" s="611" t="n">
        <f aca="false">$C$16*60*T17/1000</f>
        <v>31.2679381030143</v>
      </c>
      <c r="Z17" s="611" t="n">
        <f aca="false">$C$17*60*T17/1000</f>
        <v>521.132301716906</v>
      </c>
      <c r="AA17" s="611" t="n">
        <f aca="false">V17*$C$8*$C$10/1000</f>
        <v>2695.99270717062</v>
      </c>
      <c r="AB17" s="611" t="n">
        <f aca="false">V17*$C$8*$C$11/1000</f>
        <v>1036.9202719887</v>
      </c>
      <c r="AC17" s="611" t="n">
        <f aca="false">V17*$C$8*$C$12/1000</f>
        <v>22812.2459837514</v>
      </c>
      <c r="AD17" s="611" t="n">
        <f aca="false">X17+AA17</f>
        <v>2695.99270717062</v>
      </c>
      <c r="AE17" s="611" t="n">
        <f aca="false">Y17+AB17</f>
        <v>1068.18821009171</v>
      </c>
      <c r="AF17" s="611" t="n">
        <f aca="false">Z17+AC17</f>
        <v>23333.3782854683</v>
      </c>
    </row>
    <row r="18" customFormat="false" ht="13" hidden="false" customHeight="false" outlineLevel="0" collapsed="false">
      <c r="A18" s="448"/>
      <c r="B18" s="650"/>
      <c r="C18" s="650"/>
      <c r="D18" s="653"/>
      <c r="G18" s="400" t="n">
        <v>12</v>
      </c>
      <c r="H18" s="611" t="n">
        <f aca="false">AD18</f>
        <v>3005.54395846848</v>
      </c>
      <c r="I18" s="611" t="n">
        <f aca="false">AE18</f>
        <v>1194.0943812117</v>
      </c>
      <c r="J18" s="611" t="n">
        <f aca="false">AF18</f>
        <v>26066.7913965407</v>
      </c>
      <c r="K18" s="684" t="n">
        <f aca="false">H18*$C$20*(1+Inflation_Rate)^G18</f>
        <v>5463.61345009352</v>
      </c>
      <c r="L18" s="684" t="n">
        <f aca="false">I18*$C$21*(1+Inflation_Rate)^G18</f>
        <v>2170.67865651641</v>
      </c>
      <c r="M18" s="684" t="n">
        <f aca="false">J18*$C$22*(1+Inflation_Rate)^G18</f>
        <v>234.139573198227</v>
      </c>
      <c r="N18" s="685" t="n">
        <f aca="false">SUM(K18:M18)</f>
        <v>7868.43167980816</v>
      </c>
      <c r="O18" s="685" t="n">
        <f aca="false">V18*$C$8*$C$24*(1+Inflation_Rate)^G18</f>
        <v>190838.288325883</v>
      </c>
      <c r="Q18" s="400" t="n">
        <v>12</v>
      </c>
      <c r="R18" s="401" t="n">
        <f aca="false">'Time Value'!I18</f>
        <v>25606469.2</v>
      </c>
      <c r="S18" s="402" t="n">
        <f aca="false">'Time Value'!J18</f>
        <v>0.594</v>
      </c>
      <c r="T18" s="611" t="n">
        <f aca="false">'Time Value'!K18</f>
        <v>4235.10396076711</v>
      </c>
      <c r="U18" s="611" t="n">
        <f aca="false">'Time Value'!L18</f>
        <v>55309.973472</v>
      </c>
      <c r="V18" s="611" t="n">
        <f aca="false">'Time Value'!M18</f>
        <v>55309.973472</v>
      </c>
      <c r="W18" s="611" t="n">
        <f aca="false">'Time Value'!N18</f>
        <v>114855.050904767</v>
      </c>
      <c r="X18" s="611" t="n">
        <f aca="false">$C$15*60*T18/1000</f>
        <v>0</v>
      </c>
      <c r="Y18" s="611" t="n">
        <f aca="false">$C$16*60*T18/1000</f>
        <v>38.115935646904</v>
      </c>
      <c r="Z18" s="611" t="n">
        <f aca="false">$C$17*60*T18/1000</f>
        <v>635.265594115067</v>
      </c>
      <c r="AA18" s="611" t="n">
        <f aca="false">V18*$C$8*$C$10/1000</f>
        <v>3005.54395846848</v>
      </c>
      <c r="AB18" s="611" t="n">
        <f aca="false">V18*$C$8*$C$11/1000</f>
        <v>1155.9784455648</v>
      </c>
      <c r="AC18" s="611" t="n">
        <f aca="false">V18*$C$8*$C$12/1000</f>
        <v>25431.5258024256</v>
      </c>
      <c r="AD18" s="611" t="n">
        <f aca="false">X18+AA18</f>
        <v>3005.54395846848</v>
      </c>
      <c r="AE18" s="611" t="n">
        <f aca="false">Y18+AB18</f>
        <v>1194.0943812117</v>
      </c>
      <c r="AF18" s="611" t="n">
        <f aca="false">Z18+AC18</f>
        <v>26066.7913965407</v>
      </c>
    </row>
    <row r="19" customFormat="false" ht="13" hidden="false" customHeight="false" outlineLevel="0" collapsed="false">
      <c r="A19" s="448" t="s">
        <v>499</v>
      </c>
      <c r="B19" s="71"/>
      <c r="C19" s="687"/>
      <c r="D19" s="450"/>
      <c r="G19" s="400" t="n">
        <v>13</v>
      </c>
      <c r="H19" s="611" t="n">
        <f aca="false">AD19</f>
        <v>3325.83871063158</v>
      </c>
      <c r="I19" s="611" t="n">
        <f aca="false">AE19</f>
        <v>1326.14772391028</v>
      </c>
      <c r="J19" s="611" t="n">
        <f aca="false">AF19</f>
        <v>28924.6953177489</v>
      </c>
      <c r="K19" s="684" t="n">
        <f aca="false">H19*$C$20*(1+Inflation_Rate)^G19</f>
        <v>6227.23549688257</v>
      </c>
      <c r="L19" s="684" t="n">
        <f aca="false">I19*$C$21*(1+Inflation_Rate)^G19</f>
        <v>2483.0531180136</v>
      </c>
      <c r="M19" s="684" t="n">
        <f aca="false">J19*$C$22*(1+Inflation_Rate)^G19</f>
        <v>267.604408420202</v>
      </c>
      <c r="N19" s="685" t="n">
        <f aca="false">SUM(K19:M19)</f>
        <v>8977.89302331637</v>
      </c>
      <c r="O19" s="685" t="n">
        <f aca="false">V19*$C$8*$C$24*(1+Inflation_Rate)^G19</f>
        <v>217510.805638512</v>
      </c>
      <c r="Q19" s="400" t="n">
        <v>13</v>
      </c>
      <c r="R19" s="401" t="n">
        <f aca="false">'Time Value'!I19</f>
        <v>26155660.55</v>
      </c>
      <c r="S19" s="402" t="n">
        <f aca="false">'Time Value'!J19</f>
        <v>0.6435</v>
      </c>
      <c r="T19" s="611" t="n">
        <f aca="false">'Time Value'!K19</f>
        <v>5219.88767244175</v>
      </c>
      <c r="U19" s="611" t="n">
        <f aca="false">'Time Value'!L19</f>
        <v>61204.245687</v>
      </c>
      <c r="V19" s="611" t="n">
        <f aca="false">'Time Value'!M19</f>
        <v>61204.245687</v>
      </c>
      <c r="W19" s="611" t="n">
        <f aca="false">'Time Value'!N19</f>
        <v>127628.379046442</v>
      </c>
      <c r="X19" s="611" t="n">
        <f aca="false">$C$15*60*T19/1000</f>
        <v>0</v>
      </c>
      <c r="Y19" s="611" t="n">
        <f aca="false">$C$16*60*T19/1000</f>
        <v>46.9789890519757</v>
      </c>
      <c r="Z19" s="611" t="n">
        <f aca="false">$C$17*60*T19/1000</f>
        <v>782.983150866262</v>
      </c>
      <c r="AA19" s="611" t="n">
        <f aca="false">V19*$C$8*$C$10/1000</f>
        <v>3325.83871063158</v>
      </c>
      <c r="AB19" s="611" t="n">
        <f aca="false">V19*$C$8*$C$11/1000</f>
        <v>1279.1687348583</v>
      </c>
      <c r="AC19" s="611" t="n">
        <f aca="false">V19*$C$8*$C$12/1000</f>
        <v>28141.7121668826</v>
      </c>
      <c r="AD19" s="611" t="n">
        <f aca="false">X19+AA19</f>
        <v>3325.83871063158</v>
      </c>
      <c r="AE19" s="611" t="n">
        <f aca="false">Y19+AB19</f>
        <v>1326.14772391028</v>
      </c>
      <c r="AF19" s="611" t="n">
        <f aca="false">Z19+AC19</f>
        <v>28924.6953177489</v>
      </c>
    </row>
    <row r="20" customFormat="false" ht="13" hidden="false" customHeight="false" outlineLevel="0" collapsed="false">
      <c r="A20" s="655"/>
      <c r="B20" s="71" t="s">
        <v>88</v>
      </c>
      <c r="C20" s="689" t="n">
        <f aca="false">'Input-Detail'!BV22</f>
        <v>1.275</v>
      </c>
      <c r="D20" s="450"/>
      <c r="G20" s="400" t="n">
        <v>14</v>
      </c>
      <c r="H20" s="611" t="n">
        <f aca="false">AD20</f>
        <v>3656.87696365992</v>
      </c>
      <c r="I20" s="611" t="n">
        <f aca="false">AE20</f>
        <v>1460.65806392291</v>
      </c>
      <c r="J20" s="611" t="n">
        <f aca="false">AF20</f>
        <v>31845.5871446842</v>
      </c>
      <c r="K20" s="684" t="n">
        <f aca="false">H20*$C$20*(1+Inflation_Rate)^G20</f>
        <v>7052.47701337148</v>
      </c>
      <c r="L20" s="684" t="n">
        <f aca="false">I20*$C$21*(1+Inflation_Rate)^G20</f>
        <v>2816.9548832461</v>
      </c>
      <c r="M20" s="684" t="n">
        <f aca="false">J20*$C$22*(1+Inflation_Rate)^G20</f>
        <v>303.466639751272</v>
      </c>
      <c r="N20" s="685" t="n">
        <f aca="false">SUM(K20:M20)</f>
        <v>10172.8985363688</v>
      </c>
      <c r="O20" s="685" t="n">
        <f aca="false">V20*$C$8*$C$24*(1+Inflation_Rate)^G20</f>
        <v>246335.626409737</v>
      </c>
      <c r="Q20" s="400" t="n">
        <v>14</v>
      </c>
      <c r="R20" s="401" t="n">
        <f aca="false">'Time Value'!I20</f>
        <v>26704851.9</v>
      </c>
      <c r="S20" s="402" t="n">
        <f aca="false">'Time Value'!J20</f>
        <v>0.693</v>
      </c>
      <c r="T20" s="611" t="n">
        <f aca="false">'Time Value'!K20</f>
        <v>6018.54711707836</v>
      </c>
      <c r="U20" s="611" t="n">
        <f aca="false">'Time Value'!L20</f>
        <v>67296.226788</v>
      </c>
      <c r="V20" s="611" t="n">
        <f aca="false">'Time Value'!M20</f>
        <v>67296.226788</v>
      </c>
      <c r="W20" s="611" t="n">
        <f aca="false">'Time Value'!N20</f>
        <v>140611.000693078</v>
      </c>
      <c r="X20" s="611" t="n">
        <f aca="false">$C$15*60*T20/1000</f>
        <v>0</v>
      </c>
      <c r="Y20" s="611" t="n">
        <f aca="false">$C$16*60*T20/1000</f>
        <v>54.1669240537052</v>
      </c>
      <c r="Z20" s="611" t="n">
        <f aca="false">$C$17*60*T20/1000</f>
        <v>902.782067561754</v>
      </c>
      <c r="AA20" s="611" t="n">
        <f aca="false">V20*$C$8*$C$10/1000</f>
        <v>3656.87696365992</v>
      </c>
      <c r="AB20" s="611" t="n">
        <f aca="false">V20*$C$8*$C$11/1000</f>
        <v>1406.4911398692</v>
      </c>
      <c r="AC20" s="611" t="n">
        <f aca="false">V20*$C$8*$C$12/1000</f>
        <v>30942.8050771224</v>
      </c>
      <c r="AD20" s="611" t="n">
        <f aca="false">X20+AA20</f>
        <v>3656.87696365992</v>
      </c>
      <c r="AE20" s="611" t="n">
        <f aca="false">Y20+AB20</f>
        <v>1460.65806392291</v>
      </c>
      <c r="AF20" s="611" t="n">
        <f aca="false">Z20+AC20</f>
        <v>31845.5871446842</v>
      </c>
    </row>
    <row r="21" customFormat="false" ht="13" hidden="false" customHeight="false" outlineLevel="0" collapsed="false">
      <c r="A21" s="655"/>
      <c r="B21" s="71" t="s">
        <v>93</v>
      </c>
      <c r="C21" s="689" t="n">
        <f aca="false">'Input-Detail'!BV23</f>
        <v>1.275</v>
      </c>
      <c r="D21" s="657"/>
      <c r="G21" s="400" t="n">
        <v>15</v>
      </c>
      <c r="H21" s="611" t="n">
        <f aca="false">AD21</f>
        <v>3998.6587175535</v>
      </c>
      <c r="I21" s="611" t="n">
        <f aca="false">AE21</f>
        <v>1601.52287986265</v>
      </c>
      <c r="J21" s="611" t="n">
        <f aca="false">AF21</f>
        <v>34894.4248542308</v>
      </c>
      <c r="K21" s="684" t="n">
        <f aca="false">H21*$C$20*(1+Inflation_Rate)^G21</f>
        <v>7942.96948987007</v>
      </c>
      <c r="L21" s="684" t="n">
        <f aca="false">I21*$C$21*(1+Inflation_Rate)^G21</f>
        <v>3181.27859130245</v>
      </c>
      <c r="M21" s="684" t="n">
        <f aca="false">J21*$C$22*(1+Inflation_Rate)^G21</f>
        <v>342.495574746667</v>
      </c>
      <c r="N21" s="685" t="n">
        <f aca="false">SUM(K21:M21)</f>
        <v>11466.7436559192</v>
      </c>
      <c r="O21" s="685" t="n">
        <f aca="false">V21*$C$8*$C$24*(1+Inflation_Rate)^G21</f>
        <v>277439.594787873</v>
      </c>
      <c r="Q21" s="400" t="n">
        <v>15</v>
      </c>
      <c r="R21" s="401" t="n">
        <f aca="false">'Time Value'!I21</f>
        <v>27254043.25</v>
      </c>
      <c r="S21" s="402" t="n">
        <f aca="false">'Time Value'!J21</f>
        <v>0.7425</v>
      </c>
      <c r="T21" s="611" t="n">
        <f aca="false">'Time Value'!K21</f>
        <v>7064.13547390509</v>
      </c>
      <c r="U21" s="611" t="n">
        <f aca="false">'Time Value'!L21</f>
        <v>73585.916775</v>
      </c>
      <c r="V21" s="611" t="n">
        <f aca="false">'Time Value'!M21</f>
        <v>73585.916775</v>
      </c>
      <c r="W21" s="611" t="n">
        <f aca="false">'Time Value'!N21</f>
        <v>154235.969023905</v>
      </c>
      <c r="X21" s="611" t="n">
        <f aca="false">$C$15*60*T21/1000</f>
        <v>0</v>
      </c>
      <c r="Y21" s="611" t="n">
        <f aca="false">$C$16*60*T21/1000</f>
        <v>63.5772192651458</v>
      </c>
      <c r="Z21" s="611" t="n">
        <f aca="false">$C$17*60*T21/1000</f>
        <v>1059.62032108576</v>
      </c>
      <c r="AA21" s="611" t="n">
        <f aca="false">V21*$C$8*$C$10/1000</f>
        <v>3998.6587175535</v>
      </c>
      <c r="AB21" s="611" t="n">
        <f aca="false">V21*$C$8*$C$11/1000</f>
        <v>1537.9456605975</v>
      </c>
      <c r="AC21" s="611" t="n">
        <f aca="false">V21*$C$8*$C$12/1000</f>
        <v>33834.804533145</v>
      </c>
      <c r="AD21" s="611" t="n">
        <f aca="false">X21+AA21</f>
        <v>3998.6587175535</v>
      </c>
      <c r="AE21" s="611" t="n">
        <f aca="false">Y21+AB21</f>
        <v>1601.52287986265</v>
      </c>
      <c r="AF21" s="611" t="n">
        <f aca="false">Z21+AC21</f>
        <v>34894.4248542308</v>
      </c>
    </row>
    <row r="22" customFormat="false" ht="13" hidden="false" customHeight="false" outlineLevel="0" collapsed="false">
      <c r="A22" s="655"/>
      <c r="B22" s="71" t="s">
        <v>101</v>
      </c>
      <c r="C22" s="690" t="n">
        <f aca="false">'Input-Detail'!BV24</f>
        <v>0.0063</v>
      </c>
      <c r="D22" s="653"/>
      <c r="G22" s="400" t="n">
        <v>16</v>
      </c>
      <c r="H22" s="611" t="n">
        <f aca="false">AD22</f>
        <v>4351.18397231232</v>
      </c>
      <c r="I22" s="611" t="n">
        <f aca="false">AE22</f>
        <v>1745.17577706511</v>
      </c>
      <c r="J22" s="611" t="n">
        <f aca="false">AF22</f>
        <v>38011.7685353155</v>
      </c>
      <c r="K22" s="684" t="n">
        <f aca="false">H22*$C$20*(1+Inflation_Rate)^G22</f>
        <v>8902.52549604311</v>
      </c>
      <c r="L22" s="684" t="n">
        <f aca="false">I22*$C$21*(1+Inflation_Rate)^G22</f>
        <v>3570.6308786899</v>
      </c>
      <c r="M22" s="684" t="n">
        <f aca="false">J22*$C$22*(1+Inflation_Rate)^G22</f>
        <v>384.285697299967</v>
      </c>
      <c r="N22" s="685" t="n">
        <f aca="false">SUM(K22:M22)</f>
        <v>12857.442072033</v>
      </c>
      <c r="O22" s="685" t="n">
        <f aca="false">V22*$C$8*$C$24*(1+Inflation_Rate)^G22</f>
        <v>310955.879833212</v>
      </c>
      <c r="Q22" s="400" t="n">
        <v>16</v>
      </c>
      <c r="R22" s="401" t="n">
        <f aca="false">'Time Value'!I22</f>
        <v>27803234.6</v>
      </c>
      <c r="S22" s="402" t="n">
        <f aca="false">'Time Value'!J22</f>
        <v>0.792</v>
      </c>
      <c r="T22" s="611" t="n">
        <f aca="false">'Time Value'!K22</f>
        <v>7960.38666910049</v>
      </c>
      <c r="U22" s="611" t="n">
        <f aca="false">'Time Value'!L22</f>
        <v>80073.315648</v>
      </c>
      <c r="V22" s="611" t="n">
        <f aca="false">'Time Value'!M22</f>
        <v>80073.315648</v>
      </c>
      <c r="W22" s="611" t="n">
        <f aca="false">'Time Value'!N22</f>
        <v>168107.017965101</v>
      </c>
      <c r="X22" s="611" t="n">
        <f aca="false">$C$15*60*T22/1000</f>
        <v>0</v>
      </c>
      <c r="Y22" s="611" t="n">
        <f aca="false">$C$16*60*T22/1000</f>
        <v>71.6434800219044</v>
      </c>
      <c r="Z22" s="611" t="n">
        <f aca="false">$C$17*60*T22/1000</f>
        <v>1194.05800036507</v>
      </c>
      <c r="AA22" s="611" t="n">
        <f aca="false">V22*$C$8*$C$10/1000</f>
        <v>4351.18397231232</v>
      </c>
      <c r="AB22" s="611" t="n">
        <f aca="false">V22*$C$8*$C$11/1000</f>
        <v>1673.5322970432</v>
      </c>
      <c r="AC22" s="611" t="n">
        <f aca="false">V22*$C$8*$C$12/1000</f>
        <v>36817.7105349504</v>
      </c>
      <c r="AD22" s="611" t="n">
        <f aca="false">X22+AA22</f>
        <v>4351.18397231232</v>
      </c>
      <c r="AE22" s="611" t="n">
        <f aca="false">Y22+AB22</f>
        <v>1745.17577706511</v>
      </c>
      <c r="AF22" s="611" t="n">
        <f aca="false">Z22+AC22</f>
        <v>38011.7685353155</v>
      </c>
    </row>
    <row r="23" customFormat="false" ht="13" hidden="false" customHeight="false" outlineLevel="0" collapsed="false">
      <c r="A23" s="448" t="s">
        <v>151</v>
      </c>
      <c r="B23" s="71"/>
      <c r="C23" s="691" t="n">
        <f aca="false">'Input-Detail'!BV29</f>
        <v>0.03</v>
      </c>
      <c r="D23" s="653"/>
      <c r="G23" s="400" t="n">
        <v>17</v>
      </c>
      <c r="H23" s="611" t="n">
        <f aca="false">AD23</f>
        <v>4714.45272793638</v>
      </c>
      <c r="I23" s="611" t="n">
        <f aca="false">AE23</f>
        <v>1893.28450356181</v>
      </c>
      <c r="J23" s="611" t="n">
        <f aca="false">AF23</f>
        <v>41225.4139884638</v>
      </c>
      <c r="K23" s="684" t="n">
        <f aca="false">H23*$C$20*(1+Inflation_Rate)^G23</f>
        <v>9935.1468367541</v>
      </c>
      <c r="L23" s="684" t="n">
        <f aca="false">I23*$C$21*(1+Inflation_Rate)^G23</f>
        <v>3989.87128138439</v>
      </c>
      <c r="M23" s="684" t="n">
        <f aca="false">J23*$C$22*(1+Inflation_Rate)^G23</f>
        <v>429.277765771607</v>
      </c>
      <c r="N23" s="685" t="n">
        <f aca="false">SUM(K23:M23)</f>
        <v>14354.2958839101</v>
      </c>
      <c r="O23" s="685" t="n">
        <f aca="false">V23*$C$8*$C$24*(1+Inflation_Rate)^G23</f>
        <v>347024.260393094</v>
      </c>
      <c r="Q23" s="400" t="n">
        <v>17</v>
      </c>
      <c r="R23" s="401" t="n">
        <f aca="false">'Time Value'!I23</f>
        <v>28352425.95</v>
      </c>
      <c r="S23" s="402" t="n">
        <f aca="false">'Time Value'!J23</f>
        <v>0.8415</v>
      </c>
      <c r="T23" s="611" t="n">
        <f aca="false">'Time Value'!K23</f>
        <v>8892.60603950111</v>
      </c>
      <c r="U23" s="611" t="n">
        <f aca="false">'Time Value'!L23</f>
        <v>86758.423407</v>
      </c>
      <c r="V23" s="611" t="n">
        <f aca="false">'Time Value'!M23</f>
        <v>86758.423407</v>
      </c>
      <c r="W23" s="611" t="n">
        <f aca="false">'Time Value'!N23</f>
        <v>182409.452853501</v>
      </c>
      <c r="X23" s="611" t="n">
        <f aca="false">$C$15*60*T23/1000</f>
        <v>0</v>
      </c>
      <c r="Y23" s="611" t="n">
        <f aca="false">$C$16*60*T23/1000</f>
        <v>80.0334543555099</v>
      </c>
      <c r="Z23" s="611" t="n">
        <f aca="false">$C$17*60*T23/1000</f>
        <v>1333.89090592517</v>
      </c>
      <c r="AA23" s="611" t="n">
        <f aca="false">V23*$C$8*$C$10/1000</f>
        <v>4714.45272793638</v>
      </c>
      <c r="AB23" s="611" t="n">
        <f aca="false">V23*$C$8*$C$11/1000</f>
        <v>1813.2510492063</v>
      </c>
      <c r="AC23" s="611" t="n">
        <f aca="false">V23*$C$8*$C$12/1000</f>
        <v>39891.5230825386</v>
      </c>
      <c r="AD23" s="611" t="n">
        <f aca="false">X23+AA23</f>
        <v>4714.45272793638</v>
      </c>
      <c r="AE23" s="611" t="n">
        <f aca="false">Y23+AB23</f>
        <v>1893.28450356181</v>
      </c>
      <c r="AF23" s="611" t="n">
        <f aca="false">Z23+AC23</f>
        <v>41225.4139884638</v>
      </c>
    </row>
    <row r="24" customFormat="false" ht="13" hidden="false" customHeight="false" outlineLevel="0" collapsed="false">
      <c r="A24" s="448" t="s">
        <v>500</v>
      </c>
      <c r="B24" s="71"/>
      <c r="C24" s="692" t="n">
        <f aca="false">'Input-Detail'!BV12</f>
        <v>1.1</v>
      </c>
      <c r="D24" s="450"/>
      <c r="G24" s="400" t="n">
        <v>18</v>
      </c>
      <c r="H24" s="611" t="n">
        <f aca="false">AD24</f>
        <v>5088.46498442568</v>
      </c>
      <c r="I24" s="611" t="n">
        <f aca="false">AE24</f>
        <v>2046.30363167131</v>
      </c>
      <c r="J24" s="611" t="n">
        <f aca="false">AF24</f>
        <v>44542.9374189848</v>
      </c>
      <c r="K24" s="684" t="n">
        <f aca="false">H24*$C$20*(1+Inflation_Rate)^G24</f>
        <v>11045.033051071</v>
      </c>
      <c r="L24" s="684" t="n">
        <f aca="false">I24*$C$21*(1+Inflation_Rate)^G24</f>
        <v>4441.71106876298</v>
      </c>
      <c r="M24" s="684" t="n">
        <f aca="false">J24*$C$22*(1+Inflation_Rate)^G24</f>
        <v>477.737626632965</v>
      </c>
      <c r="N24" s="685" t="n">
        <f aca="false">SUM(K24:M24)</f>
        <v>15964.481746467</v>
      </c>
      <c r="O24" s="685" t="n">
        <f aca="false">V24*$C$8*$C$24*(1+Inflation_Rate)^G24</f>
        <v>385791.421963266</v>
      </c>
      <c r="Q24" s="400" t="n">
        <v>18</v>
      </c>
      <c r="R24" s="401" t="n">
        <f aca="false">'Time Value'!I24</f>
        <v>28901617.3</v>
      </c>
      <c r="S24" s="402" t="n">
        <f aca="false">'Time Value'!J24</f>
        <v>0.891</v>
      </c>
      <c r="T24" s="611" t="n">
        <f aca="false">'Time Value'!K24</f>
        <v>9911.30162050157</v>
      </c>
      <c r="U24" s="611" t="n">
        <f aca="false">'Time Value'!L24</f>
        <v>93641.240052</v>
      </c>
      <c r="V24" s="611" t="n">
        <f aca="false">'Time Value'!M24</f>
        <v>93641.240052</v>
      </c>
      <c r="W24" s="611" t="n">
        <f aca="false">'Time Value'!N24</f>
        <v>197193.781724502</v>
      </c>
      <c r="X24" s="611" t="n">
        <f aca="false">$C$15*60*T24/1000</f>
        <v>0</v>
      </c>
      <c r="Y24" s="611" t="n">
        <f aca="false">$C$16*60*T24/1000</f>
        <v>89.2017145845141</v>
      </c>
      <c r="Z24" s="611" t="n">
        <f aca="false">$C$17*60*T24/1000</f>
        <v>1486.69524307523</v>
      </c>
      <c r="AA24" s="611" t="n">
        <f aca="false">V24*$C$8*$C$10/1000</f>
        <v>5088.46498442568</v>
      </c>
      <c r="AB24" s="611" t="n">
        <f aca="false">V24*$C$8*$C$11/1000</f>
        <v>1957.1019170868</v>
      </c>
      <c r="AC24" s="611" t="n">
        <f aca="false">V24*$C$8*$C$12/1000</f>
        <v>43056.2421759096</v>
      </c>
      <c r="AD24" s="611" t="n">
        <f aca="false">X24+AA24</f>
        <v>5088.46498442568</v>
      </c>
      <c r="AE24" s="611" t="n">
        <f aca="false">Y24+AB24</f>
        <v>2046.30363167131</v>
      </c>
      <c r="AF24" s="611" t="n">
        <f aca="false">Z24+AC24</f>
        <v>44542.9374189848</v>
      </c>
    </row>
    <row r="25" customFormat="false" ht="12" hidden="false" customHeight="false" outlineLevel="0" collapsed="false">
      <c r="A25" s="660"/>
      <c r="B25" s="661"/>
      <c r="C25" s="661"/>
      <c r="D25" s="662"/>
      <c r="G25" s="400" t="n">
        <v>19</v>
      </c>
      <c r="H25" s="611" t="n">
        <f aca="false">AD25</f>
        <v>5473.22074178022</v>
      </c>
      <c r="I25" s="611" t="n">
        <f aca="false">AE25</f>
        <v>2203.31962416616</v>
      </c>
      <c r="J25" s="611" t="n">
        <f aca="false">AF25</f>
        <v>47949.113206421</v>
      </c>
      <c r="K25" s="684" t="n">
        <f aca="false">H25*$C$20*(1+Inflation_Rate)^G25</f>
        <v>12236.5902681869</v>
      </c>
      <c r="L25" s="684" t="n">
        <f aca="false">I25*$C$21*(1+Inflation_Rate)^G25</f>
        <v>4926.00622974462</v>
      </c>
      <c r="M25" s="684" t="n">
        <f aca="false">J25*$C$22*(1+Inflation_Rate)^G25</f>
        <v>529.698079556972</v>
      </c>
      <c r="N25" s="685" t="n">
        <f aca="false">SUM(K25:M25)</f>
        <v>17692.2945774885</v>
      </c>
      <c r="O25" s="685" t="n">
        <f aca="false">V25*$C$8*$C$24*(1+Inflation_Rate)^G25</f>
        <v>427411.266015896</v>
      </c>
      <c r="Q25" s="400" t="n">
        <v>19</v>
      </c>
      <c r="R25" s="401" t="n">
        <f aca="false">'Time Value'!I25</f>
        <v>29450808.65</v>
      </c>
      <c r="S25" s="402" t="n">
        <f aca="false">'Time Value'!J25</f>
        <v>0.9405</v>
      </c>
      <c r="T25" s="611" t="n">
        <f aca="false">'Time Value'!K25</f>
        <v>10914.9692757173</v>
      </c>
      <c r="U25" s="611" t="n">
        <f aca="false">'Time Value'!L25</f>
        <v>100721.765583</v>
      </c>
      <c r="V25" s="611" t="n">
        <f aca="false">'Time Value'!M25</f>
        <v>100721.765583</v>
      </c>
      <c r="W25" s="611" t="n">
        <f aca="false">'Time Value'!N25</f>
        <v>212358.500441717</v>
      </c>
      <c r="X25" s="611" t="n">
        <f aca="false">$C$15*60*T25/1000</f>
        <v>0</v>
      </c>
      <c r="Y25" s="611" t="n">
        <f aca="false">$C$16*60*T25/1000</f>
        <v>98.2347234814561</v>
      </c>
      <c r="Z25" s="611" t="n">
        <f aca="false">$C$17*60*T25/1000</f>
        <v>1637.2453913576</v>
      </c>
      <c r="AA25" s="611" t="n">
        <f aca="false">V25*$C$8*$C$10/1000</f>
        <v>5473.22074178022</v>
      </c>
      <c r="AB25" s="611" t="n">
        <f aca="false">V25*$C$8*$C$11/1000</f>
        <v>2105.0849006847</v>
      </c>
      <c r="AC25" s="611" t="n">
        <f aca="false">V25*$C$8*$C$12/1000</f>
        <v>46311.8678150634</v>
      </c>
      <c r="AD25" s="611" t="n">
        <f aca="false">X25+AA25</f>
        <v>5473.22074178022</v>
      </c>
      <c r="AE25" s="611" t="n">
        <f aca="false">Y25+AB25</f>
        <v>2203.31962416616</v>
      </c>
      <c r="AF25" s="611" t="n">
        <f aca="false">Z25+AC25</f>
        <v>47949.113206421</v>
      </c>
    </row>
    <row r="26" customFormat="false" ht="12" hidden="false" customHeight="false" outlineLevel="0" collapsed="false">
      <c r="G26" s="452" t="n">
        <v>20</v>
      </c>
      <c r="H26" s="628" t="n">
        <f aca="false">AD26</f>
        <v>5868.72</v>
      </c>
      <c r="I26" s="628" t="n">
        <f aca="false">AE26</f>
        <v>2365.28667574143</v>
      </c>
      <c r="J26" s="628" t="n">
        <f aca="false">AF26</f>
        <v>51459.8445956906</v>
      </c>
      <c r="K26" s="693" t="n">
        <f aca="false">H26*$C$20*(1+Inflation_Rate)^G26</f>
        <v>13514.4404345396</v>
      </c>
      <c r="L26" s="693" t="n">
        <f aca="false">I26*$C$21*(1+Inflation_Rate)^G26</f>
        <v>5446.76281879486</v>
      </c>
      <c r="M26" s="693" t="n">
        <f aca="false">J26*$C$22*(1+Inflation_Rate)^G26</f>
        <v>585.535881789299</v>
      </c>
      <c r="N26" s="694" t="n">
        <f aca="false">SUM(K26:M26)</f>
        <v>19546.7391351237</v>
      </c>
      <c r="O26" s="694" t="n">
        <f aca="false">V26*$C$8*$C$24*(1+Inflation_Rate)^G26</f>
        <v>472045.232293198</v>
      </c>
      <c r="Q26" s="452" t="n">
        <v>20</v>
      </c>
      <c r="R26" s="453" t="n">
        <f aca="false">'Time Value'!I26</f>
        <v>30000000</v>
      </c>
      <c r="S26" s="454" t="n">
        <f aca="false">'Time Value'!J26</f>
        <v>0.99</v>
      </c>
      <c r="T26" s="628" t="n">
        <f aca="false">'Time Value'!K26</f>
        <v>12009.630637937</v>
      </c>
      <c r="U26" s="628" t="n">
        <f aca="false">'Time Value'!L26</f>
        <v>108000</v>
      </c>
      <c r="V26" s="628" t="n">
        <f aca="false">'Time Value'!M26</f>
        <v>108000</v>
      </c>
      <c r="W26" s="628" t="n">
        <f aca="false">'Time Value'!N26</f>
        <v>228009.630637937</v>
      </c>
      <c r="X26" s="628" t="n">
        <f aca="false">$C$15*60*T26/1000</f>
        <v>0</v>
      </c>
      <c r="Y26" s="628" t="n">
        <f aca="false">$C$16*60*T26/1000</f>
        <v>108.086675741433</v>
      </c>
      <c r="Z26" s="628" t="n">
        <f aca="false">$C$17*60*T26/1000</f>
        <v>1801.44459569055</v>
      </c>
      <c r="AA26" s="628" t="n">
        <f aca="false">V26*$C$8*$C$10/1000</f>
        <v>5868.72</v>
      </c>
      <c r="AB26" s="628" t="n">
        <f aca="false">V26*$C$8*$C$11/1000</f>
        <v>2257.2</v>
      </c>
      <c r="AC26" s="628" t="n">
        <f aca="false">V26*$C$8*$C$12/1000</f>
        <v>49658.4</v>
      </c>
      <c r="AD26" s="628" t="n">
        <f aca="false">X26+AA26</f>
        <v>5868.72</v>
      </c>
      <c r="AE26" s="628" t="n">
        <f aca="false">Y26+AB26</f>
        <v>2365.28667574143</v>
      </c>
      <c r="AF26" s="628" t="n">
        <f aca="false">Z26+AC26</f>
        <v>51459.8445956906</v>
      </c>
    </row>
    <row r="29" customFormat="false" ht="14" hidden="false" customHeight="false" outlineLevel="0" collapsed="false">
      <c r="R29" s="285" t="s">
        <v>236</v>
      </c>
      <c r="S29" s="666"/>
      <c r="T29" s="666"/>
      <c r="U29" s="666"/>
      <c r="V29" s="666"/>
      <c r="W29" s="666"/>
      <c r="X29" s="666"/>
      <c r="Y29" s="666"/>
      <c r="Z29" s="666"/>
    </row>
    <row r="30" customFormat="false" ht="14" hidden="false" customHeight="false" outlineLevel="0" collapsed="false">
      <c r="Q30" s="667" t="s">
        <v>501</v>
      </c>
      <c r="R30" s="668"/>
      <c r="S30" s="668"/>
      <c r="T30" s="668"/>
      <c r="U30" s="668"/>
      <c r="V30" s="668"/>
      <c r="W30" s="668"/>
      <c r="X30" s="668"/>
      <c r="Y30" s="668"/>
      <c r="Z30" s="668"/>
      <c r="AA30" s="668"/>
      <c r="AB30" s="668"/>
      <c r="AC30" s="668"/>
      <c r="AD30" s="668"/>
      <c r="AE30" s="668"/>
      <c r="AF30" s="669"/>
    </row>
    <row r="31" customFormat="false" ht="17" hidden="false" customHeight="false" outlineLevel="0" collapsed="false">
      <c r="Q31" s="671" t="s">
        <v>502</v>
      </c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672"/>
    </row>
    <row r="32" customFormat="false" ht="17" hidden="false" customHeight="false" outlineLevel="0" collapsed="false">
      <c r="Q32" s="695" t="s">
        <v>503</v>
      </c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672"/>
    </row>
    <row r="33" customFormat="false" ht="13" hidden="false" customHeight="false" outlineLevel="0" collapsed="false">
      <c r="Q33" s="674" t="s">
        <v>459</v>
      </c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672"/>
    </row>
    <row r="34" customFormat="false" ht="17" hidden="false" customHeight="false" outlineLevel="0" collapsed="false">
      <c r="Q34" s="674" t="s">
        <v>504</v>
      </c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672"/>
    </row>
    <row r="35" customFormat="false" ht="17" hidden="false" customHeight="false" outlineLevel="0" collapsed="false">
      <c r="Q35" s="674" t="s">
        <v>505</v>
      </c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672"/>
    </row>
    <row r="36" customFormat="false" ht="13" hidden="false" customHeight="false" outlineLevel="0" collapsed="false">
      <c r="Q36" s="674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  <c r="AD36" s="153"/>
      <c r="AE36" s="153"/>
      <c r="AF36" s="672"/>
    </row>
    <row r="37" customFormat="false" ht="15" hidden="false" customHeight="false" outlineLevel="0" collapsed="false">
      <c r="Q37" s="671" t="s">
        <v>506</v>
      </c>
      <c r="R37" s="153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53"/>
      <c r="AD37" s="153"/>
      <c r="AE37" s="153"/>
      <c r="AF37" s="672"/>
    </row>
    <row r="38" customFormat="false" ht="17" hidden="false" customHeight="false" outlineLevel="0" collapsed="false">
      <c r="Q38" s="695" t="s">
        <v>507</v>
      </c>
      <c r="R38" s="153"/>
      <c r="S38" s="153"/>
      <c r="T38" s="153"/>
      <c r="U38" s="153"/>
      <c r="V38" s="153"/>
      <c r="W38" s="153"/>
      <c r="X38" s="153"/>
      <c r="Y38" s="153"/>
      <c r="Z38" s="153"/>
      <c r="AA38" s="153"/>
      <c r="AB38" s="153"/>
      <c r="AC38" s="153"/>
      <c r="AD38" s="153"/>
      <c r="AE38" s="153"/>
      <c r="AF38" s="672"/>
    </row>
    <row r="39" customFormat="false" ht="13" hidden="false" customHeight="false" outlineLevel="0" collapsed="false">
      <c r="Q39" s="674" t="s">
        <v>459</v>
      </c>
      <c r="R39" s="153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53"/>
      <c r="AD39" s="153"/>
      <c r="AE39" s="153"/>
      <c r="AF39" s="672"/>
    </row>
    <row r="40" customFormat="false" ht="17" hidden="false" customHeight="false" outlineLevel="0" collapsed="false">
      <c r="Q40" s="674" t="s">
        <v>508</v>
      </c>
      <c r="R40" s="153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53"/>
      <c r="AD40" s="153"/>
      <c r="AE40" s="153"/>
      <c r="AF40" s="672"/>
    </row>
    <row r="41" customFormat="false" ht="17" hidden="false" customHeight="false" outlineLevel="0" collapsed="false">
      <c r="Q41" s="674" t="s">
        <v>509</v>
      </c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672"/>
    </row>
    <row r="42" customFormat="false" ht="17" hidden="false" customHeight="false" outlineLevel="0" collapsed="false">
      <c r="Q42" s="674" t="s">
        <v>510</v>
      </c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672"/>
    </row>
    <row r="43" customFormat="false" ht="14" hidden="false" customHeight="false" outlineLevel="0" collapsed="false">
      <c r="Q43" s="675"/>
      <c r="R43" s="676"/>
      <c r="S43" s="676"/>
      <c r="T43" s="676"/>
      <c r="U43" s="676"/>
      <c r="V43" s="676"/>
      <c r="W43" s="676"/>
      <c r="X43" s="676"/>
      <c r="Y43" s="676"/>
      <c r="Z43" s="676"/>
      <c r="AA43" s="676"/>
      <c r="AB43" s="676"/>
      <c r="AC43" s="676"/>
      <c r="AD43" s="676"/>
      <c r="AE43" s="676"/>
      <c r="AF43" s="677"/>
    </row>
    <row r="44" customFormat="false" ht="13" hidden="false" customHeight="false" outlineLevel="0" collapsed="false"/>
  </sheetData>
  <sheetProtection sheet="true" password="ea2e" objects="true" scenarios="true"/>
  <mergeCells count="11">
    <mergeCell ref="G4:G5"/>
    <mergeCell ref="H4:J4"/>
    <mergeCell ref="K4:N4"/>
    <mergeCell ref="O4:O5"/>
    <mergeCell ref="Q4:Q5"/>
    <mergeCell ref="R4:R5"/>
    <mergeCell ref="S4:S5"/>
    <mergeCell ref="T4:W4"/>
    <mergeCell ref="X4:Z4"/>
    <mergeCell ref="AA4:AC4"/>
    <mergeCell ref="AD4:AF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1998-09-10T04:53:53Z</dcterms:created>
  <dc:creator>PC1</dc:creator>
  <dc:description/>
  <dc:language>en-AU</dc:language>
  <cp:lastModifiedBy>David Levinson</cp:lastModifiedBy>
  <cp:lastPrinted>1998-10-29T04:35:58Z</cp:lastPrinted>
  <cp:revision>0</cp:revision>
  <dc:subject/>
  <dc:title/>
</cp:coreProperties>
</file>