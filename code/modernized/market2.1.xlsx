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" sheetId="1" state="visible" r:id="rId3"/>
    <sheet name="ETCLANE" sheetId="2" state="visible" r:id="rId4"/>
    <sheet name="Input-Start" sheetId="3" state="visible" r:id="rId5"/>
    <sheet name="Input-Detail" sheetId="4" state="visible" r:id="rId6"/>
    <sheet name="Results Summary" sheetId="5" state="visible" r:id="rId7"/>
    <sheet name="Results-Detail" sheetId="6" state="visible" r:id="rId8"/>
    <sheet name="Agency Costs Reduction" sheetId="7" state="visible" r:id="rId9"/>
    <sheet name="Delay" sheetId="8" state="visible" r:id="rId10"/>
    <sheet name="PY" sheetId="9" state="visible" r:id="rId11"/>
    <sheet name="Interest Gain" sheetId="10" state="visible" r:id="rId12"/>
    <sheet name="Time Value" sheetId="11" state="visible" r:id="rId13"/>
    <sheet name="Fuel &amp; Emission" sheetId="12" state="visible" r:id="rId14"/>
  </sheets>
  <externalReferences>
    <externalReference r:id="rId15"/>
  </externalReferences>
  <definedNames>
    <definedName function="false" hidden="false" localSheetId="2" name="_xlnm.Print_Area" vbProcedure="false">'Input-Start'!$1:$65536</definedName>
    <definedName function="false" hidden="false" name="Cost_PY" vbProcedure="false">'Input-Detail'!$BV$36</definedName>
    <definedName function="false" hidden="false" name="Discount_Rate" vbProcedure="false">'Results-Detail'!$C$3</definedName>
    <definedName function="false" hidden="false" name="ETC_Service_Rate" vbProcedure="false">#REF!</definedName>
    <definedName function="false" hidden="false" name="Headway_ETC" vbProcedure="false">Delay!$D$9</definedName>
    <definedName function="false" hidden="false" name="Inflation_Rate" vbProcedure="false">'Input-Detail'!$AF$56</definedName>
    <definedName function="false" hidden="false" name="Manual_Service_Rate" vbProcedure="false">#REF!</definedName>
    <definedName function="false" hidden="false" name="Peak_Arrival_Manual" vbProcedure="false">Delay!$BI$7:$BI$27</definedName>
    <definedName function="false" hidden="false" name="Peak_Arrival_Manual_Mor" vbProcedure="false">Delay!$BI$54:$BI$74</definedName>
    <definedName function="false" hidden="false" name="Peak_Time_Eve" vbProcedure="false">Delay!$AA$7:$AA$27</definedName>
    <definedName function="false" hidden="false" name="Peak_Time_Mor" vbProcedure="false">Delay!$AA$54:$AA$74</definedName>
    <definedName function="false" hidden="false" name="PRICE" vbProcedure="false">Price!$I$8:$I$27</definedName>
    <definedName function="false" hidden="false" name="PY_for_Inf" vbProcedure="false">'Input-Detail'!$BV$34</definedName>
    <definedName function="false" hidden="false" name="Total_Lanes" vbProcedure="false">Delay!$D$10</definedName>
    <definedName function="false" hidden="false" name="Trans_Time_Cash" vbProcedure="false">Delay!$D$7</definedName>
    <definedName function="false" hidden="false" name="Trans_Time_Ticket" vbProcedure="false">Delay!$D$8</definedName>
    <definedName function="false" hidden="false" name="Year" vbProcedure="false">'Input-Detail'!$AD$15:$AD$34</definedName>
    <definedName function="false" hidden="false" localSheetId="0" name="ETC_Service_Rate" vbProcedure="false">#REF!</definedName>
    <definedName function="false" hidden="false" localSheetId="0" name="Headway_ETC" vbProcedure="false">Price!$D$9</definedName>
    <definedName function="false" hidden="false" localSheetId="0" name="Manual_Service_Rate" vbProcedure="false">#REF!</definedName>
    <definedName function="false" hidden="false" localSheetId="0" name="Peak_Arrival_Manual" vbProcedure="false">Price!$Q$8:$Q$27</definedName>
    <definedName function="false" hidden="false" localSheetId="0" name="Peak_Arrival_Manual_Mor" vbProcedure="false">#REF!</definedName>
    <definedName function="false" hidden="false" localSheetId="0" name="Peak_Time_Eve" vbProcedure="false">Price!$O$8:$O$27</definedName>
    <definedName function="false" hidden="false" localSheetId="0" name="Peak_Time_Mor" vbProcedure="false">#REF!</definedName>
    <definedName function="false" hidden="false" localSheetId="0" name="Total_Lanes" vbProcedure="false">Price!$D$10</definedName>
    <definedName function="false" hidden="false" localSheetId="0" name="Trans_Time_Cash" vbProcedure="false">Price!$D$7</definedName>
    <definedName function="false" hidden="false" localSheetId="0" name="Trans_Time_Ticket" vbProcedure="false">Price!$D$8</definedName>
    <definedName function="false" hidden="false" localSheetId="1" name="ETC_Service_Rate" vbProcedure="false">#REF!</definedName>
    <definedName function="false" hidden="false" localSheetId="1" name="Headway_ETC" vbProcedure="false">ETCLANE!$D$9</definedName>
    <definedName function="false" hidden="false" localSheetId="1" name="Manual_Service_Rate" vbProcedure="false">#REF!</definedName>
    <definedName function="false" hidden="false" localSheetId="1" name="Peak_Arrival_Manual" vbProcedure="false">ETCLANE!$BI$7:$BI$27</definedName>
    <definedName function="false" hidden="false" localSheetId="1" name="Peak_Arrival_Manual_Mor" vbProcedure="false">ETCLANE!$BI$54:$BI$74</definedName>
    <definedName function="false" hidden="false" localSheetId="1" name="Peak_Time_Eve" vbProcedure="false">ETCLANE!$AA$7:$AA$27</definedName>
    <definedName function="false" hidden="false" localSheetId="1" name="Peak_Time_Mor" vbProcedure="false">ETCLANE!$AA$54:$AA$74</definedName>
    <definedName function="false" hidden="false" localSheetId="1" name="Total_Lanes" vbProcedure="false">ETCLANE!$D$10</definedName>
    <definedName function="false" hidden="false" localSheetId="1" name="Trans_Time_Cash" vbProcedure="false">ETCLANE!$D$7</definedName>
    <definedName function="false" hidden="false" localSheetId="1" name="Trans_Time_Ticket" vbProcedure="false">ETCLANE!$D$8</definedName>
    <definedName function="false" hidden="false" localSheetId="4" name="Discount_Rat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<sst xmlns="http://schemas.openxmlformats.org/spreadsheetml/2006/main" count="1117" uniqueCount="528">
  <si>
    <t xml:space="preserve">Optimal Number of ETC Lanes</t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</si>
  <si>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Transaction Facts</t>
    </r>
  </si>
  <si>
    <t xml:space="preserve">a) Total Random and Stop Delay in the System during the Evening Peak per Day (hr)</t>
  </si>
  <si>
    <t xml:space="preserve">c) Average Random Delay per ETC User (sec)</t>
  </si>
  <si>
    <t xml:space="preserve">Year</t>
  </si>
  <si>
    <t xml:space="preserve">Price Diff.</t>
  </si>
  <si>
    <t xml:space="preserve">Time Difference (min)</t>
  </si>
  <si>
    <t xml:space="preserve">Split (ETC/Manual)  </t>
  </si>
  <si>
    <t xml:space="preserve">d</t>
  </si>
  <si>
    <t xml:space="preserve">NPV</t>
  </si>
  <si>
    <t xml:space="preserve">ETC (%)</t>
  </si>
  <si>
    <t xml:space="preserve">T (hr)</t>
  </si>
  <si>
    <t xml:space="preserve">Total Arrival Rate</t>
  </si>
  <si>
    <t xml:space="preserve">Delay in Manual Lanes</t>
  </si>
  <si>
    <t xml:space="preserve">Number of ETC Lanes</t>
  </si>
  <si>
    <t xml:space="preserve">Transaction Time (sec)</t>
  </si>
  <si>
    <t xml:space="preserve">Arrival rate</t>
  </si>
  <si>
    <t xml:space="preserve">Nr. of Lanes</t>
  </si>
  <si>
    <t xml:space="preserve">Mean Serive Rate</t>
  </si>
  <si>
    <t xml:space="preserve">r</t>
  </si>
  <si>
    <t xml:space="preserve">Random Delay (sec)</t>
  </si>
  <si>
    <t xml:space="preserve">Acc/Dec Delay (sec)</t>
  </si>
  <si>
    <t xml:space="preserve">Cash</t>
  </si>
  <si>
    <r>
      <rPr>
        <sz val="10"/>
        <rFont val="Arial"/>
        <family val="0"/>
      </rPr>
      <t xml:space="preserve">NPV</t>
    </r>
    <r>
      <rPr>
        <vertAlign val="subscript"/>
        <sz val="10"/>
        <rFont val="Arial"/>
        <family val="2"/>
        <charset val="136"/>
      </rPr>
      <t xml:space="preserve">0</t>
    </r>
  </si>
  <si>
    <t xml:space="preserve">Ticket</t>
  </si>
  <si>
    <t xml:space="preserve">ETC</t>
  </si>
  <si>
    <t xml:space="preserve">Total Number of Lanes</t>
  </si>
  <si>
    <t xml:space="preserve">Configuration of the Toll Plaza</t>
  </si>
  <si>
    <t xml:space="preserve">Ramp Distance prior to the Toll Plaza (miles)</t>
  </si>
  <si>
    <t xml:space="preserve">Ramp Distance leading from the toll Plaza (miles)</t>
  </si>
  <si>
    <t xml:space="preserve">Average Travel Speed (mph)</t>
  </si>
  <si>
    <t xml:space="preserve">ETC Survival Rate</t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</si>
  <si>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Estimation of </t>
    </r>
    <r>
      <rPr>
        <sz val="10"/>
        <rFont val="Symbol"/>
        <family val="1"/>
        <charset val="2"/>
      </rPr>
      <t xml:space="preserve">a</t>
    </r>
    <r>
      <rPr>
        <vertAlign val="subscript"/>
        <sz val="10"/>
        <rFont val="Tahoma"/>
        <family val="2"/>
        <charset val="136"/>
      </rPr>
      <t xml:space="preserve">0</t>
    </r>
  </si>
  <si>
    <t xml:space="preserve">ATV</t>
  </si>
  <si>
    <t xml:space="preserve">ETC %</t>
  </si>
  <si>
    <t xml:space="preserve">rel. %</t>
  </si>
  <si>
    <t xml:space="preserve">Time Diff</t>
  </si>
  <si>
    <t xml:space="preserve">Price Diff</t>
  </si>
  <si>
    <r>
      <rPr>
        <sz val="10"/>
        <rFont val="Symbol"/>
        <family val="1"/>
        <charset val="2"/>
      </rPr>
      <t xml:space="preserve">a</t>
    </r>
    <r>
      <rPr>
        <vertAlign val="subscript"/>
        <sz val="10"/>
        <rFont val="Arial"/>
        <family val="2"/>
        <charset val="136"/>
      </rPr>
      <t xml:space="preserve">0</t>
    </r>
  </si>
  <si>
    <r>
      <rPr>
        <sz val="10"/>
        <rFont val="Symbol"/>
        <family val="1"/>
        <charset val="2"/>
      </rPr>
      <t xml:space="preserve">a</t>
    </r>
    <r>
      <rPr>
        <vertAlign val="subscript"/>
        <sz val="10"/>
        <rFont val="Arial"/>
        <family val="2"/>
        <charset val="136"/>
      </rPr>
      <t xml:space="preserve">1</t>
    </r>
  </si>
  <si>
    <r>
      <rPr>
        <sz val="10"/>
        <rFont val="Symbol"/>
        <family val="1"/>
        <charset val="2"/>
      </rPr>
      <t xml:space="preserve">a</t>
    </r>
    <r>
      <rPr>
        <vertAlign val="subscript"/>
        <sz val="10"/>
        <rFont val="Arial"/>
        <family val="2"/>
        <charset val="136"/>
      </rPr>
      <t xml:space="preserve">2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</si>
  <si>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Random and Stop Delay per Year (hrs)</t>
    </r>
  </si>
  <si>
    <t xml:space="preserve">b) Average Random Delay per Manual User (sec)</t>
  </si>
  <si>
    <t xml:space="preserve">Traffic Vol.</t>
  </si>
  <si>
    <t xml:space="preserve">Peak Arrival Rate in the evening</t>
  </si>
  <si>
    <t xml:space="preserve">Delay per Day (Baseline)</t>
  </si>
  <si>
    <t xml:space="preserve">Delay Per Year* (hr)</t>
  </si>
  <si>
    <t xml:space="preserve">Delay per Day (ETC)</t>
  </si>
  <si>
    <t xml:space="preserve">PHV</t>
  </si>
  <si>
    <t xml:space="preserve">ATV/PHV</t>
  </si>
  <si>
    <t xml:space="preserve">K</t>
  </si>
  <si>
    <t xml:space="preserve">Optimal # of ETC Ln*</t>
  </si>
  <si>
    <t xml:space="preserve">Delay per Day**(hr)</t>
  </si>
  <si>
    <t xml:space="preserve">Suggested # of ETC Ln***</t>
  </si>
  <si>
    <t xml:space="preserve">Arrival Rate for Manual Lanes</t>
  </si>
  <si>
    <t xml:space="preserve">Mean Transaction Time (sec)</t>
  </si>
  <si>
    <t xml:space="preserve">Arrival Rate for ETC Users</t>
  </si>
  <si>
    <t xml:space="preserve">Mean headway (sec)</t>
  </si>
  <si>
    <t xml:space="preserve">Morning</t>
  </si>
  <si>
    <t xml:space="preserve">Evening</t>
  </si>
  <si>
    <t xml:space="preserve">Total</t>
  </si>
  <si>
    <t xml:space="preserve">Manual Only</t>
  </si>
  <si>
    <r>
      <rPr>
        <b val="true"/>
        <sz val="10"/>
        <color rgb="FF800000"/>
        <rFont val="Symbol"/>
        <family val="1"/>
        <charset val="2"/>
      </rPr>
      <t xml:space="preserve">l</t>
    </r>
    <r>
      <rPr>
        <b val="true"/>
        <sz val="10"/>
        <color rgb="FF800000"/>
        <rFont val="Times New Roman"/>
        <family val="1"/>
        <charset val="136"/>
      </rPr>
      <t xml:space="preserve">/sc for no ETC</t>
    </r>
  </si>
  <si>
    <r>
      <rPr>
        <b val="true"/>
        <sz val="10"/>
        <color rgb="FF800000"/>
        <rFont val="Symbol"/>
        <family val="1"/>
        <charset val="2"/>
      </rPr>
      <t xml:space="preserve">l</t>
    </r>
    <r>
      <rPr>
        <b val="true"/>
        <sz val="10"/>
        <color rgb="FF800000"/>
        <rFont val="Times New Roman"/>
        <family val="1"/>
        <charset val="136"/>
      </rPr>
      <t xml:space="preserve">/sc under ETC</t>
    </r>
  </si>
  <si>
    <t xml:space="preserve">Base</t>
  </si>
  <si>
    <t xml:space="preserve">Footnote:</t>
  </si>
  <si>
    <t xml:space="preserve">*Suppose peak hours happen in weekdays. Therefore, 5 weekdays per week.</t>
  </si>
  <si>
    <t xml:space="preserve">*Criterion of Choosing Optimal Number of ETC Lanes--Minimize Total Delay in the System During the Peak Hour</t>
  </si>
  <si>
    <t xml:space="preserve">  Or you can change the number of days (in white cell)</t>
  </si>
  <si>
    <r>
      <rPr>
        <i val="true"/>
        <sz val="10"/>
        <color rgb="FF800000"/>
        <rFont val="Tahoma"/>
        <family val="2"/>
        <charset val="136"/>
      </rPr>
      <t xml:space="preserve">Average Delay Formula</t>
    </r>
    <r>
      <rPr>
        <sz val="10"/>
        <rFont val="Tahoma"/>
        <family val="2"/>
        <charset val="136"/>
      </rPr>
      <t xml:space="preserve">: AD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= (1/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) + 900* (T)*{(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-1)+[(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-1)</t>
    </r>
    <r>
      <rPr>
        <vertAlign val="super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+8*k*I*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/(T*m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)]</t>
    </r>
    <r>
      <rPr>
        <vertAlign val="superscript"/>
        <sz val="10"/>
        <rFont val="Tahoma"/>
        <family val="2"/>
      </rPr>
      <t xml:space="preserve">0.5</t>
    </r>
    <r>
      <rPr>
        <sz val="10"/>
        <rFont val="Tahoma"/>
        <family val="2"/>
        <charset val="136"/>
      </rPr>
      <t xml:space="preserve">}</t>
    </r>
  </si>
  <si>
    <t xml:space="preserve">  # of weeks per year</t>
  </si>
  <si>
    <t xml:space="preserve">where </t>
  </si>
  <si>
    <t xml:space="preserve">  # of weekdays per year</t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</si>
  <si>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m</t>
    </r>
    <r>
      <rPr>
        <sz val="10"/>
        <rFont val="Tahoma"/>
        <family val="2"/>
        <charset val="136"/>
      </rPr>
      <t xml:space="preserve"> : mean service rate (veh/hr)</t>
    </r>
  </si>
  <si>
    <t xml:space="preserve">  i  : 1 for manual lane and 2 for ETC lane.</t>
  </si>
  <si>
    <t xml:space="preserve">  T : duration of peak period (hr) per day,</t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</si>
  <si>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Estimated Mean Service Rate (vhe/hrs) given payment split</t>
    </r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</si>
  <si>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r</t>
    </r>
    <r>
      <rPr>
        <sz val="10"/>
        <rFont val="Tahoma"/>
        <family val="2"/>
        <charset val="136"/>
      </rPr>
      <t xml:space="preserve">  : degree of  </t>
    </r>
    <r>
      <rPr>
        <sz val="10"/>
        <rFont val="Symbol"/>
        <family val="1"/>
        <charset val="2"/>
      </rPr>
      <t xml:space="preserve">r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= </t>
    </r>
    <r>
      <rPr>
        <sz val="10"/>
        <rFont val="Symbol"/>
        <family val="1"/>
        <charset val="2"/>
      </rPr>
      <t xml:space="preserve">l</t>
    </r>
    <r>
      <rPr>
        <sz val="10"/>
        <rFont val="Tahoma"/>
        <family val="2"/>
        <charset val="136"/>
      </rPr>
      <t xml:space="preserve">i/m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Symbol"/>
        <family val="1"/>
        <charset val="2"/>
      </rPr>
      <t xml:space="preserve">m</t>
    </r>
    <r>
      <rPr>
        <vertAlign val="subscript"/>
        <sz val="10"/>
        <rFont val="Tahoma"/>
        <family val="2"/>
        <charset val="136"/>
      </rPr>
      <t xml:space="preserve">i</t>
    </r>
  </si>
  <si>
    <t xml:space="preserve">Payment Split (Baseline)-Manual</t>
  </si>
  <si>
    <t xml:space="preserve">Payment Split (ETC Alternative)-Manual</t>
  </si>
  <si>
    <t xml:space="preserve">Capacity-ETC Lane</t>
  </si>
  <si>
    <t xml:space="preserve">  m : number of lanes,</t>
  </si>
  <si>
    <t xml:space="preserve">Cash/Chect</t>
  </si>
  <si>
    <t xml:space="preserve">Mean Service Rate</t>
  </si>
  <si>
    <t xml:space="preserve">Cash/Check</t>
  </si>
  <si>
    <r>
      <rPr>
        <sz val="10"/>
        <rFont val="Tahoma"/>
        <family val="2"/>
        <charset val="136"/>
      </rPr>
      <t xml:space="preserve">  </t>
    </r>
    <r>
      <rPr>
        <sz val="10"/>
        <rFont val="Symbol"/>
        <family val="1"/>
        <charset val="2"/>
      </rPr>
      <t xml:space="preserve">l</t>
    </r>
    <r>
      <rPr>
        <sz val="10"/>
        <rFont val="Tahoma"/>
        <family val="2"/>
        <charset val="136"/>
      </rPr>
      <t xml:space="preserve">  : arrival rate during the peak period (veh/hr),</t>
    </r>
  </si>
  <si>
    <t xml:space="preserve">  k  : parameter for given arrival and service distribution, k = 1 for Poisson Arrivals and exponentil service time,</t>
  </si>
  <si>
    <t xml:space="preserve">  I  : variance to mean ratio of arrivals; I = 1 for Poisson Arrivals.</t>
  </si>
  <si>
    <r>
      <rPr>
        <i val="true"/>
        <sz val="10"/>
        <color rgb="FF800000"/>
        <rFont val="Tahoma"/>
        <family val="2"/>
        <charset val="136"/>
      </rPr>
      <t xml:space="preserve">Total Time (hr) Spent in the System per da</t>
    </r>
    <r>
      <rPr>
        <sz val="10"/>
        <color rgb="FF800000"/>
        <rFont val="Tahoma"/>
        <family val="2"/>
        <charset val="136"/>
      </rPr>
      <t xml:space="preserve">y</t>
    </r>
    <r>
      <rPr>
        <sz val="10"/>
        <rFont val="Tahoma"/>
        <family val="2"/>
        <charset val="136"/>
      </rPr>
      <t xml:space="preserve">: (AD</t>
    </r>
    <r>
      <rPr>
        <vertAlign val="subscript"/>
        <sz val="10"/>
        <rFont val="Tahoma"/>
        <family val="2"/>
        <charset val="136"/>
      </rPr>
      <t xml:space="preserve">1</t>
    </r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l</t>
    </r>
    <r>
      <rPr>
        <vertAlign val="subscript"/>
        <sz val="10"/>
        <rFont val="Tahoma"/>
        <family val="2"/>
        <charset val="136"/>
      </rPr>
      <t xml:space="preserve">1</t>
    </r>
    <r>
      <rPr>
        <sz val="10"/>
        <rFont val="Tahoma"/>
        <family val="2"/>
        <charset val="136"/>
      </rPr>
      <t xml:space="preserve">+AD</t>
    </r>
    <r>
      <rPr>
        <vertAlign val="sub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l</t>
    </r>
    <r>
      <rPr>
        <vertAlign val="subscript"/>
        <sz val="10"/>
        <rFont val="Tahoma"/>
        <family val="2"/>
        <charset val="136"/>
      </rPr>
      <t xml:space="preserve">2</t>
    </r>
    <r>
      <rPr>
        <sz val="10"/>
        <rFont val="Tahoma"/>
        <family val="2"/>
        <charset val="136"/>
      </rPr>
      <t xml:space="preserve">)*T/3600</t>
    </r>
  </si>
  <si>
    <t xml:space="preserve">Given total number of lanes, peak hour traffic and ETC split, we can find out the optimal number of ETC lanes.</t>
  </si>
  <si>
    <t xml:space="preserve">** Delay happens to those people who arrival during the evening peak period.</t>
  </si>
  <si>
    <r>
      <rPr>
        <sz val="10"/>
        <color rgb="FF800000"/>
        <rFont val="Tahoma"/>
        <family val="2"/>
      </rPr>
      <t xml:space="preserve">***Suggested Number of ETC Lanes:</t>
    </r>
    <r>
      <rPr>
        <sz val="10"/>
        <rFont val="Tahoma"/>
        <family val="2"/>
      </rPr>
      <t xml:space="preserve">The number of ETC Lanes, which is close to optimal number of ETC Lanes, such that average delay in ETC lanes is less than average delay in Manual Lanes.</t>
    </r>
  </si>
  <si>
    <t xml:space="preserve">a) Total Time Spent in the System during the Morning Peak per Day (hr)</t>
  </si>
  <si>
    <t xml:space="preserve">Arrival Rate for Manual Users</t>
  </si>
  <si>
    <t xml:space="preserve">** Delay happens to those people who arrival during the morning peak period.</t>
  </si>
  <si>
    <t xml:space="preserve">     Here, the number of ETC lanes is decided corresponding to evening condition.  Therefore, we use the combination got from evening peak to estimate the delay in the morning peak.</t>
  </si>
  <si>
    <t xml:space="preserve">      0.                             &gt;&gt; INSTRUCTION &lt;&lt;</t>
  </si>
  <si>
    <t xml:space="preserve">I.</t>
  </si>
  <si>
    <t xml:space="preserve">TRAFFIC DATA </t>
  </si>
  <si>
    <t xml:space="preserve">IIa.</t>
  </si>
  <si>
    <t xml:space="preserve">COSTS INFORMATION--Baseline (No ETC)  </t>
  </si>
  <si>
    <t xml:space="preserve">IIb.</t>
  </si>
  <si>
    <t xml:space="preserve">   COSTS INFORMATION--ETC Alternative</t>
  </si>
  <si>
    <t xml:space="preserve">III.</t>
  </si>
  <si>
    <t xml:space="preserve">   FACT OF TOLL TRANSACTION</t>
  </si>
  <si>
    <t xml:space="preserve">IV.</t>
  </si>
  <si>
    <t xml:space="preserve">            TRAVEL AT THE TOLL PLAZA</t>
  </si>
  <si>
    <t xml:space="preserve">V.</t>
  </si>
  <si>
    <t xml:space="preserve">      FUEL CONSUMPTION &amp; OTHER ASSUMPTIONS</t>
  </si>
  <si>
    <t xml:space="preserve">This spreadsheet model is designed exclusively for benefit-cost evaluation of </t>
  </si>
  <si>
    <r>
      <rPr>
        <b val="true"/>
        <sz val="10"/>
        <rFont val="Tahoma"/>
        <family val="2"/>
        <charset val="136"/>
      </rPr>
      <t xml:space="preserve">  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</si>
  <si>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r>
      <rPr>
        <b val="true"/>
        <sz val="10"/>
        <rFont val="Tahoma"/>
        <family val="2"/>
        <charset val="136"/>
      </rPr>
      <t xml:space="preserve">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</si>
  <si>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r>
      <rPr>
        <b val="true"/>
        <sz val="10"/>
        <rFont val="Tahoma"/>
        <family val="2"/>
        <charset val="136"/>
      </rPr>
      <t xml:space="preserve">      </t>
    </r>
    <r>
      <rPr>
        <b val="true"/>
        <u val="single"/>
        <sz val="10"/>
        <rFont val="Tahoma"/>
        <family val="2"/>
        <charset val="136"/>
      </rPr>
      <t xml:space="preserve">INSTRUCTION:</t>
    </r>
  </si>
  <si>
    <t xml:space="preserve">Electronic Toll Collection system.</t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</si>
  <si>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i val="true"/>
        <sz val="10"/>
        <color rgb="FF800000"/>
        <rFont val="Tahoma"/>
        <family val="2"/>
        <charset val="136"/>
      </rPr>
      <t xml:space="preserve">annual traffic</t>
    </r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</si>
  <si>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  <charset val="136"/>
      </rPr>
      <t xml:space="preserve">costs for baseline</t>
    </r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</si>
  <si>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  <charset val="136"/>
      </rPr>
      <t xml:space="preserve">costs under ETC scenario.</t>
    </r>
  </si>
  <si>
    <t xml:space="preserve">Required Inputs - white cells</t>
  </si>
  <si>
    <r>
      <rPr>
        <sz val="10"/>
        <rFont val="Tahoma"/>
        <family val="2"/>
        <charset val="136"/>
      </rPr>
      <t xml:space="preserve">In this section, You are asked to give information about </t>
    </r>
    <r>
      <rPr>
        <sz val="10"/>
        <color rgb="FF800000"/>
        <rFont val="Tahoma"/>
        <family val="2"/>
      </rPr>
      <t xml:space="preserve">travel fact</t>
    </r>
    <r>
      <rPr>
        <sz val="10"/>
        <rFont val="Tahoma"/>
        <family val="2"/>
        <charset val="136"/>
      </rPr>
      <t xml:space="preserve"> at the toll plaza</t>
    </r>
  </si>
  <si>
    <t xml:space="preserve">In this section, You are asked to give information about fuel consumption in</t>
  </si>
  <si>
    <r>
      <rPr>
        <i val="true"/>
        <sz val="10"/>
        <color rgb="FF800000"/>
        <rFont val="Tahoma"/>
        <family val="2"/>
      </rPr>
      <t xml:space="preserve"> volume</t>
    </r>
    <r>
      <rPr>
        <sz val="10"/>
        <color rgb="FF800000"/>
        <rFont val="Tahoma"/>
        <family val="2"/>
        <charset val="136"/>
      </rPr>
      <t xml:space="preserve">, </t>
    </r>
    <r>
      <rPr>
        <i val="true"/>
        <sz val="10"/>
        <color rgb="FF800000"/>
        <rFont val="Tahoma"/>
        <family val="2"/>
      </rPr>
      <t xml:space="preserve">peak hour volume</t>
    </r>
    <r>
      <rPr>
        <sz val="10"/>
        <color rgb="FF800000"/>
        <rFont val="Tahoma"/>
        <family val="2"/>
        <charset val="136"/>
      </rPr>
      <t xml:space="preserve">, D</t>
    </r>
    <r>
      <rPr>
        <i val="true"/>
        <sz val="10"/>
        <color rgb="FF800000"/>
        <rFont val="Tahoma"/>
        <family val="2"/>
      </rPr>
      <t xml:space="preserve"> factor</t>
    </r>
    <r>
      <rPr>
        <sz val="10"/>
        <color rgb="FF800000"/>
        <rFont val="Tahoma"/>
        <family val="2"/>
        <charset val="136"/>
      </rPr>
      <t xml:space="preserve"> and </t>
    </r>
    <r>
      <rPr>
        <i val="true"/>
        <sz val="10"/>
        <color rgb="FF800000"/>
        <rFont val="Tahoma"/>
        <family val="2"/>
      </rPr>
      <t xml:space="preserve">duration of peak period</t>
    </r>
    <r>
      <rPr>
        <sz val="10"/>
        <color rgb="FF800000"/>
        <rFont val="Tahoma"/>
        <family val="2"/>
      </rPr>
      <t xml:space="preserve"> and </t>
    </r>
    <r>
      <rPr>
        <i val="true"/>
        <sz val="10"/>
        <color rgb="FF800000"/>
        <rFont val="Tahoma"/>
        <family val="2"/>
        <charset val="136"/>
      </rPr>
      <t xml:space="preserve">ETC</t>
    </r>
  </si>
  <si>
    <r>
      <rPr>
        <sz val="10"/>
        <color rgb="FF800000"/>
        <rFont val="Tahoma"/>
        <family val="2"/>
        <charset val="136"/>
      </rPr>
      <t xml:space="preserve"> operations.</t>
    </r>
    <r>
      <rPr>
        <sz val="10"/>
        <rFont val="Tahoma"/>
        <family val="2"/>
        <charset val="136"/>
      </rPr>
      <t xml:space="preserve">  Costs are broken down into two categories: </t>
    </r>
    <r>
      <rPr>
        <sz val="10"/>
        <color rgb="FF800000"/>
        <rFont val="Tahoma"/>
        <family val="2"/>
        <charset val="136"/>
      </rPr>
      <t xml:space="preserve">one-time costs and</t>
    </r>
  </si>
  <si>
    <r>
      <rPr>
        <sz val="10"/>
        <rFont val="Tahoma"/>
        <family val="2"/>
        <charset val="136"/>
      </rPr>
      <t xml:space="preserve">Costs are broken down into two categories: </t>
    </r>
    <r>
      <rPr>
        <sz val="10"/>
        <color rgb="FF800000"/>
        <rFont val="Tahoma"/>
        <family val="2"/>
        <charset val="136"/>
      </rPr>
      <t xml:space="preserve">capital investment </t>
    </r>
    <r>
      <rPr>
        <sz val="10"/>
        <rFont val="Tahoma"/>
        <family val="2"/>
        <charset val="136"/>
      </rPr>
      <t xml:space="preserve">and</t>
    </r>
    <r>
      <rPr>
        <sz val="10"/>
        <color rgb="FF800000"/>
        <rFont val="Tahoma"/>
        <family val="2"/>
        <charset val="136"/>
      </rPr>
      <t xml:space="preserve"> operating costs.</t>
    </r>
  </si>
  <si>
    <t xml:space="preserve"> If you have more information about payment split other base year and year 20, go to</t>
  </si>
  <si>
    <t xml:space="preserve"> order to estimate the fuel reduction, and other general assumptions.</t>
  </si>
  <si>
    <t xml:space="preserve">Where to Start?</t>
  </si>
  <si>
    <r>
      <rPr>
        <i val="true"/>
        <sz val="10"/>
        <color rgb="FF800000"/>
        <rFont val="Tahoma"/>
        <family val="2"/>
      </rPr>
      <t xml:space="preserve"> Split</t>
    </r>
    <r>
      <rPr>
        <sz val="10"/>
        <rFont val="Tahoma"/>
        <family val="2"/>
      </rPr>
      <t xml:space="preserve"> both in base year and in year 20 or one of them.</t>
    </r>
  </si>
  <si>
    <r>
      <rPr>
        <sz val="10"/>
        <color rgb="FF800000"/>
        <rFont val="Tahoma"/>
        <family val="2"/>
        <charset val="136"/>
      </rPr>
      <t xml:space="preserve"> continuing costs</t>
    </r>
    <r>
      <rPr>
        <sz val="10"/>
        <rFont val="Tahoma"/>
        <family val="2"/>
        <charset val="136"/>
      </rPr>
      <t xml:space="preserve">.  All the costs are presented </t>
    </r>
    <r>
      <rPr>
        <sz val="10"/>
        <color rgb="FF800000"/>
        <rFont val="Tahoma"/>
        <family val="2"/>
        <charset val="136"/>
      </rPr>
      <t xml:space="preserve">in current value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</si>
  <si>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All the costs are presented </t>
    </r>
    <r>
      <rPr>
        <sz val="10"/>
        <color rgb="FF800000"/>
        <rFont val="Tahoma"/>
        <family val="2"/>
        <charset val="136"/>
      </rPr>
      <t xml:space="preserve">in current value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</si>
  <si>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</rPr>
      <t xml:space="preserve">  </t>
    </r>
    <r>
      <rPr>
        <sz val="10"/>
        <color rgb="FF800000"/>
        <rFont val="Tahoma"/>
        <family val="2"/>
      </rPr>
      <t xml:space="preserve">Table IV, </t>
    </r>
    <r>
      <rPr>
        <u val="single"/>
        <sz val="10"/>
        <color rgb="FF800000"/>
        <rFont val="Tahoma"/>
        <family val="2"/>
        <charset val="136"/>
      </rPr>
      <t xml:space="preserve">expected payment split</t>
    </r>
    <r>
      <rPr>
        <sz val="10"/>
        <color rgb="FF800000"/>
        <rFont val="Tahoma"/>
        <family val="2"/>
      </rPr>
      <t xml:space="preserve">, in sheet"Input-Details"</t>
    </r>
    <r>
      <rPr>
        <sz val="10"/>
        <rFont val="Tahoma"/>
        <family val="2"/>
        <charset val="136"/>
      </rPr>
      <t xml:space="preserve"> after completing this table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</si>
  <si>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Ramp Distance prior to (leading from) the Toll Plaza</t>
    </r>
    <r>
      <rPr>
        <sz val="10"/>
        <rFont val="Tahoma"/>
        <family val="2"/>
        <charset val="136"/>
      </rPr>
      <t xml:space="preserve">: </t>
    </r>
    <r>
      <rPr>
        <sz val="10"/>
        <color rgb="FF666699"/>
        <rFont val="Tahoma"/>
        <family val="2"/>
        <charset val="136"/>
      </rPr>
      <t xml:space="preserve">The distance that a vehicle</t>
    </r>
  </si>
  <si>
    <r>
      <rPr>
        <sz val="10"/>
        <rFont val="Tahoma"/>
        <family val="2"/>
        <charset val="136"/>
      </rPr>
      <t xml:space="preserve">The Numbers shown in </t>
    </r>
    <r>
      <rPr>
        <b val="true"/>
        <sz val="10"/>
        <rFont val="Tahoma"/>
        <family val="2"/>
        <charset val="136"/>
      </rPr>
      <t xml:space="preserve">pink cells</t>
    </r>
    <r>
      <rPr>
        <sz val="10"/>
        <rFont val="Tahoma"/>
        <family val="2"/>
        <charset val="136"/>
      </rPr>
      <t xml:space="preserve"> are the values from previously studies and</t>
    </r>
  </si>
  <si>
    <r>
      <rPr>
        <sz val="12"/>
        <rFont val="Tahoma"/>
        <family val="2"/>
        <charset val="136"/>
      </rPr>
      <t xml:space="preserve">Please start with sheet</t>
    </r>
    <r>
      <rPr>
        <b val="true"/>
        <sz val="12"/>
        <rFont val="Tahoma"/>
        <family val="2"/>
        <charset val="136"/>
      </rPr>
      <t xml:space="preserve"> "Input-Start"</t>
    </r>
    <r>
      <rPr>
        <sz val="12"/>
        <rFont val="Tahoma"/>
        <family val="2"/>
        <charset val="136"/>
      </rPr>
      <t xml:space="preserve"> and</t>
    </r>
    <r>
      <rPr>
        <b val="true"/>
        <sz val="12"/>
        <rFont val="Tahoma"/>
        <family val="2"/>
        <charset val="136"/>
      </rPr>
      <t xml:space="preserve"> </t>
    </r>
    <r>
      <rPr>
        <sz val="12"/>
        <rFont val="Tahoma"/>
        <family val="2"/>
        <charset val="136"/>
      </rPr>
      <t xml:space="preserve">fill out all required cells.  You may check</t>
    </r>
  </si>
  <si>
    <r>
      <rPr>
        <sz val="10"/>
        <rFont val="Tahoma"/>
        <family val="2"/>
      </rPr>
      <t xml:space="preserve">If you have information in between, go to sheet "</t>
    </r>
    <r>
      <rPr>
        <sz val="10"/>
        <color rgb="FF800000"/>
        <rFont val="Tahoma"/>
        <family val="2"/>
      </rPr>
      <t xml:space="preserve">Input-Detail" table Ia, Ib, and 1c</t>
    </r>
  </si>
  <si>
    <r>
      <rPr>
        <sz val="10"/>
        <rFont val="Tahoma"/>
        <family val="2"/>
      </rPr>
      <t xml:space="preserve">Go to sheet </t>
    </r>
    <r>
      <rPr>
        <sz val="10"/>
        <color rgb="FF800000"/>
        <rFont val="Tahoma"/>
        <family val="2"/>
      </rPr>
      <t xml:space="preserve">"Input-Detail" table IIa</t>
    </r>
    <r>
      <rPr>
        <sz val="10"/>
        <rFont val="Tahoma"/>
        <family val="2"/>
      </rPr>
      <t xml:space="preserve"> after completing this table if you have</t>
    </r>
  </si>
  <si>
    <r>
      <rPr>
        <sz val="10"/>
        <rFont val="Tahoma"/>
        <family val="2"/>
      </rPr>
      <t xml:space="preserve">If you have more information, go to sheet </t>
    </r>
    <r>
      <rPr>
        <sz val="10"/>
        <color rgb="FF800000"/>
        <rFont val="Tahoma"/>
        <family val="2"/>
      </rPr>
      <t xml:space="preserve">"Input-Detail" table IIb</t>
    </r>
    <r>
      <rPr>
        <sz val="10"/>
        <rFont val="Tahoma"/>
        <family val="2"/>
      </rPr>
      <t xml:space="preserve"> after completing this table.</t>
    </r>
  </si>
  <si>
    <t xml:space="preserve">Default Values - pink cells</t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</si>
  <si>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starts to slow down from the normal speed (to accelerate from complete stop).</t>
    </r>
  </si>
  <si>
    <t xml:space="preserve"> used as default values to run the model.  Please update it if you have</t>
  </si>
  <si>
    <r>
      <rPr>
        <sz val="12"/>
        <rFont val="Tahoma"/>
        <family val="2"/>
        <charset val="136"/>
      </rPr>
      <t xml:space="preserve"> "</t>
    </r>
    <r>
      <rPr>
        <b val="true"/>
        <sz val="12"/>
        <rFont val="Tahoma"/>
        <family val="2"/>
        <charset val="136"/>
      </rPr>
      <t xml:space="preserve">Input-Detail</t>
    </r>
    <r>
      <rPr>
        <sz val="12"/>
        <rFont val="Tahoma"/>
        <family val="2"/>
        <charset val="136"/>
      </rPr>
      <t xml:space="preserve">" and make some changes based on your own knowledge, or go to the</t>
    </r>
  </si>
  <si>
    <t xml:space="preserve"> after completing this table.</t>
  </si>
  <si>
    <t xml:space="preserve"> detailed information regarding baseline costs.</t>
  </si>
  <si>
    <t xml:space="preserve"> The values shown in the pink cells are the default number we used previously to run</t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</si>
  <si>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Prevailing Travel Speed:</t>
    </r>
    <r>
      <rPr>
        <sz val="10"/>
        <rFont val="Tahoma"/>
        <family val="2"/>
        <charset val="136"/>
      </rPr>
      <t xml:space="preserve">  </t>
    </r>
    <r>
      <rPr>
        <sz val="10"/>
        <color rgb="FF666699"/>
        <rFont val="Tahoma"/>
        <family val="2"/>
        <charset val="136"/>
      </rPr>
      <t xml:space="preserve">The travel speed in the adjacent highway sections that </t>
    </r>
  </si>
  <si>
    <t xml:space="preserve"> different values in your case.</t>
  </si>
  <si>
    <r>
      <rPr>
        <sz val="12"/>
        <rFont val="Tahoma"/>
        <family val="2"/>
        <charset val="136"/>
      </rPr>
      <t xml:space="preserve"> "</t>
    </r>
    <r>
      <rPr>
        <b val="true"/>
        <sz val="12"/>
        <rFont val="Tahoma"/>
        <family val="2"/>
        <charset val="136"/>
      </rPr>
      <t xml:space="preserve">Results Summary</t>
    </r>
    <r>
      <rPr>
        <sz val="12"/>
        <rFont val="Tahoma"/>
        <family val="2"/>
        <charset val="136"/>
      </rPr>
      <t xml:space="preserve">" and "</t>
    </r>
    <r>
      <rPr>
        <b val="true"/>
        <sz val="12"/>
        <rFont val="Tahoma"/>
        <family val="2"/>
        <charset val="136"/>
      </rPr>
      <t xml:space="preserve">Results-Detail</t>
    </r>
    <r>
      <rPr>
        <sz val="12"/>
        <rFont val="Tahoma"/>
        <family val="2"/>
        <charset val="136"/>
      </rPr>
      <t xml:space="preserve">" directly to find out the analytical results.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</si>
  <si>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Capital Investment</t>
    </r>
    <r>
      <rPr>
        <sz val="10"/>
        <rFont val="Tahoma"/>
        <family val="2"/>
        <charset val="136"/>
      </rPr>
      <t xml:space="preserve">: Initial investment needed to implement ETC project</t>
    </r>
  </si>
  <si>
    <t xml:space="preserve">  the model, please change it if you have different numbers.</t>
  </si>
  <si>
    <t xml:space="preserve">   is not influenced by the existence of the toll plaza.</t>
  </si>
  <si>
    <r>
      <rPr>
        <b val="true"/>
        <sz val="12"/>
        <rFont val="Tahoma"/>
        <family val="2"/>
        <charset val="136"/>
      </rPr>
      <t xml:space="preserve">Notice that</t>
    </r>
    <r>
      <rPr>
        <sz val="12"/>
        <rFont val="Tahoma"/>
        <family val="2"/>
        <charset val="136"/>
      </rPr>
      <t xml:space="preserve">:always complete this sheet first.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</si>
  <si>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Annual Traffic Volume in Base Year </t>
    </r>
    <r>
      <rPr>
        <sz val="10"/>
        <rFont val="Tahoma"/>
        <family val="2"/>
        <charset val="136"/>
      </rPr>
      <t xml:space="preserve">as well as</t>
    </r>
    <r>
      <rPr>
        <sz val="10"/>
        <color rgb="FF800000"/>
        <rFont val="Tahoma"/>
        <family val="2"/>
        <charset val="136"/>
      </rPr>
      <t xml:space="preserve"> in Year 20: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</si>
  <si>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One-Time Costs</t>
    </r>
    <r>
      <rPr>
        <sz val="10"/>
        <rFont val="Tahoma"/>
        <family val="2"/>
        <charset val="136"/>
      </rPr>
      <t xml:space="preserve">: Costs which occur only once at a specific point of time.</t>
    </r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</si>
  <si>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Operating Costs</t>
    </r>
    <r>
      <rPr>
        <sz val="10"/>
        <rFont val="Tahoma"/>
        <family val="2"/>
        <charset val="136"/>
      </rPr>
      <t xml:space="preserve">: Costs in order to operate the system under ETC scenario</t>
    </r>
  </si>
  <si>
    <r>
      <rPr>
        <sz val="10"/>
        <rFont val="Tahoma"/>
        <family val="2"/>
        <charset val="136"/>
      </rPr>
      <t xml:space="preserve">a) </t>
    </r>
    <r>
      <rPr>
        <sz val="10"/>
        <color rgb="FF800000"/>
        <rFont val="Tahoma"/>
        <family val="2"/>
        <charset val="136"/>
      </rPr>
      <t xml:space="preserve">Avg. Tags per Account</t>
    </r>
    <r>
      <rPr>
        <sz val="10"/>
        <color rgb="FF800000"/>
        <rFont val="Tahoma"/>
        <family val="2"/>
      </rPr>
      <t xml:space="preserve">:</t>
    </r>
    <r>
      <rPr>
        <sz val="10"/>
        <rFont val="Tahoma"/>
        <family val="2"/>
        <charset val="136"/>
      </rPr>
      <t xml:space="preserve">  </t>
    </r>
    <r>
      <rPr>
        <sz val="10"/>
        <color rgb="FF666699"/>
        <rFont val="Tahoma"/>
        <family val="2"/>
        <charset val="136"/>
      </rPr>
      <t xml:space="preserve">The ratio of  the number of transponders issued over</t>
    </r>
  </si>
  <si>
    <t xml:space="preserve">Assumptions about Fuel Consumption</t>
  </si>
  <si>
    <r>
      <rPr>
        <sz val="10"/>
        <color rgb="FF666699"/>
        <rFont val="Tahoma"/>
        <family val="2"/>
        <charset val="136"/>
      </rPr>
      <t xml:space="preserve">    "</t>
    </r>
    <r>
      <rPr>
        <i val="true"/>
        <sz val="10"/>
        <color rgb="FF666699"/>
        <rFont val="Tahoma"/>
        <family val="2"/>
        <charset val="136"/>
      </rPr>
      <t xml:space="preserve">Annual Traffic Volume"</t>
    </r>
    <r>
      <rPr>
        <sz val="10"/>
        <rFont val="Tahoma"/>
        <family val="2"/>
        <charset val="136"/>
      </rPr>
      <t xml:space="preserve"> here is defined as</t>
    </r>
    <r>
      <rPr>
        <sz val="10"/>
        <color rgb="FF666699"/>
        <rFont val="Tahoma"/>
        <family val="2"/>
        <charset val="136"/>
      </rPr>
      <t xml:space="preserve"> the number of traffic goes </t>
    </r>
  </si>
  <si>
    <t xml:space="preserve">      enter "0" if no costs incurred.</t>
  </si>
  <si>
    <r>
      <rPr>
        <sz val="10"/>
        <rFont val="Tahoma"/>
        <family val="2"/>
        <charset val="136"/>
      </rPr>
      <t xml:space="preserve">  1) </t>
    </r>
    <r>
      <rPr>
        <sz val="10"/>
        <color rgb="FF800000"/>
        <rFont val="Tahoma"/>
        <family val="2"/>
        <charset val="136"/>
      </rPr>
      <t xml:space="preserve">One-time costs: </t>
    </r>
    <r>
      <rPr>
        <sz val="10"/>
        <rFont val="Tahoma"/>
        <family val="2"/>
        <charset val="136"/>
      </rPr>
      <t xml:space="preserve">costs which occur only once at a specific point of time</t>
    </r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</si>
  <si>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over the number of accounts open</t>
    </r>
    <r>
      <rPr>
        <sz val="10"/>
        <rFont val="Tahoma"/>
        <family val="2"/>
        <charset val="136"/>
      </rPr>
      <t xml:space="preserve">.  Several cars may share one account.</t>
    </r>
  </si>
  <si>
    <r>
      <rPr>
        <sz val="10"/>
        <rFont val="Tahoma"/>
        <family val="2"/>
        <charset val="136"/>
      </rPr>
      <t xml:space="preserve">The numbers in </t>
    </r>
    <r>
      <rPr>
        <b val="true"/>
        <sz val="10"/>
        <rFont val="Tahoma"/>
        <family val="2"/>
        <charset val="136"/>
      </rPr>
      <t xml:space="preserve">pink cells</t>
    </r>
    <r>
      <rPr>
        <sz val="10"/>
        <rFont val="Tahoma"/>
        <family val="2"/>
        <charset val="136"/>
      </rPr>
      <t xml:space="preserve"> are used previously to run the model, please update it </t>
    </r>
  </si>
  <si>
    <t xml:space="preserve">Other sheets in this files are for the sake of estimation.  You may want to have a</t>
  </si>
  <si>
    <r>
      <rPr>
        <sz val="10"/>
        <rFont val="Tahoma"/>
        <family val="2"/>
        <charset val="136"/>
      </rPr>
      <t xml:space="preserve">    </t>
    </r>
    <r>
      <rPr>
        <sz val="10"/>
        <color rgb="FF666699"/>
        <rFont val="Tahoma"/>
        <family val="2"/>
        <charset val="136"/>
      </rPr>
      <t xml:space="preserve">through the Toll Plaza per year.</t>
    </r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</si>
  <si>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Continuing Costs</t>
    </r>
    <r>
      <rPr>
        <sz val="10"/>
        <rFont val="Tahoma"/>
        <family val="2"/>
        <charset val="136"/>
      </rPr>
      <t xml:space="preserve">: Costs incurred every year</t>
    </r>
  </si>
  <si>
    <r>
      <rPr>
        <sz val="10"/>
        <rFont val="Tahoma"/>
        <family val="2"/>
        <charset val="136"/>
      </rPr>
      <t xml:space="preserve">  2)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</si>
  <si>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Avg. Usage per Year</t>
    </r>
    <r>
      <rPr>
        <sz val="10"/>
        <rFont val="Tahoma"/>
        <family val="2"/>
        <charset val="136"/>
      </rPr>
      <t xml:space="preserve">:  </t>
    </r>
    <r>
      <rPr>
        <sz val="10"/>
        <color rgb="FF666699"/>
        <rFont val="Tahoma"/>
        <family val="2"/>
        <charset val="136"/>
      </rPr>
      <t xml:space="preserve">Total number of transactions divided by the total</t>
    </r>
  </si>
  <si>
    <t xml:space="preserve">if your case has different values .</t>
  </si>
  <si>
    <t xml:space="preserve">Average Milage of Consuming one Gallon of Fuel</t>
  </si>
  <si>
    <t xml:space="preserve"> glance and get a general idea of how to get these numbers.  You can refer to </t>
  </si>
  <si>
    <r>
      <rPr>
        <sz val="10"/>
        <rFont val="Tahoma"/>
        <family val="2"/>
        <charset val="136"/>
      </rPr>
      <t xml:space="preserve">b) </t>
    </r>
    <r>
      <rPr>
        <sz val="10"/>
        <color rgb="FF800000"/>
        <rFont val="Tahoma"/>
        <family val="2"/>
        <charset val="136"/>
      </rPr>
      <t xml:space="preserve">Expected ETC Split in Base Year</t>
    </r>
    <r>
      <rPr>
        <sz val="10"/>
        <rFont val="Tahoma"/>
        <family val="2"/>
        <charset val="136"/>
      </rPr>
      <t xml:space="preserve"> as well as </t>
    </r>
    <r>
      <rPr>
        <sz val="10"/>
        <color rgb="FF800000"/>
        <rFont val="Tahoma"/>
        <family val="2"/>
        <charset val="136"/>
      </rPr>
      <t xml:space="preserve">in Year 20</t>
    </r>
  </si>
  <si>
    <r>
      <rPr>
        <sz val="10"/>
        <rFont val="Tahoma"/>
        <family val="2"/>
        <charset val="136"/>
      </rPr>
      <t xml:space="preserve">  1)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</si>
  <si>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  <charset val="136"/>
      </rPr>
      <t xml:space="preserve">  3) </t>
    </r>
    <r>
      <rPr>
        <sz val="10"/>
        <color rgb="FF800000"/>
        <rFont val="Tahoma"/>
        <family val="2"/>
      </rPr>
      <t xml:space="preserve">Others</t>
    </r>
  </si>
  <si>
    <r>
      <rPr>
        <sz val="10"/>
        <rFont val="Tahoma"/>
        <family val="2"/>
        <charset val="136"/>
      </rPr>
      <t xml:space="preserve">   </t>
    </r>
    <r>
      <rPr>
        <sz val="10"/>
        <color rgb="FF666699"/>
        <rFont val="Tahoma"/>
        <family val="2"/>
        <charset val="136"/>
      </rPr>
      <t xml:space="preserve">number of accounts open.</t>
    </r>
  </si>
  <si>
    <t xml:space="preserve">Fuel Price per Gallon</t>
  </si>
  <si>
    <t xml:space="preserve"> footnotes right below the spreadsheet which provide formula and assumptions </t>
  </si>
  <si>
    <r>
      <rPr>
        <sz val="10"/>
        <rFont val="Tahoma"/>
        <family val="2"/>
        <charset val="136"/>
      </rPr>
      <t xml:space="preserve">c) </t>
    </r>
    <r>
      <rPr>
        <sz val="10"/>
        <color rgb="FF800000"/>
        <rFont val="Tahoma"/>
        <family val="2"/>
        <charset val="136"/>
      </rPr>
      <t xml:space="preserve">Peak Hour Volume (PHV) </t>
    </r>
    <r>
      <rPr>
        <sz val="10"/>
        <color rgb="FF800000"/>
        <rFont val="Tahoma"/>
        <family val="2"/>
      </rPr>
      <t xml:space="preserve">in Base Year.</t>
    </r>
  </si>
  <si>
    <r>
      <rPr>
        <sz val="10"/>
        <rFont val="Tahoma"/>
        <family val="2"/>
        <charset val="136"/>
      </rPr>
      <t xml:space="preserve">  2) </t>
    </r>
    <r>
      <rPr>
        <sz val="10"/>
        <color rgb="FF800000"/>
        <rFont val="Tahoma"/>
        <family val="2"/>
      </rPr>
      <t xml:space="preserve">Others</t>
    </r>
  </si>
  <si>
    <t xml:space="preserve">Staff Costs is estimated automatically by given units of personal year needed for toll</t>
  </si>
  <si>
    <r>
      <rPr>
        <sz val="10"/>
        <rFont val="Tahoma"/>
        <family val="2"/>
        <charset val="136"/>
      </rPr>
      <t xml:space="preserve">c)</t>
    </r>
    <r>
      <rPr>
        <sz val="10"/>
        <color rgb="FF800000"/>
        <rFont val="Tahoma"/>
        <family val="2"/>
        <charset val="136"/>
      </rPr>
      <t xml:space="preserve">Deposits:</t>
    </r>
    <r>
      <rPr>
        <sz val="10"/>
        <color rgb="FF666699"/>
        <rFont val="Tahoma"/>
        <family val="2"/>
        <charset val="136"/>
      </rPr>
      <t xml:space="preserve">  This number refers to the required deposits for transponders.</t>
    </r>
  </si>
  <si>
    <t xml:space="preserve">Federal Tax on Gasoline ($ per Gallon)</t>
  </si>
  <si>
    <t xml:space="preserve"> employed to proceed the clalculation.</t>
  </si>
  <si>
    <r>
      <rPr>
        <sz val="10"/>
        <rFont val="Tahoma"/>
        <family val="2"/>
        <charset val="136"/>
      </rPr>
      <t xml:space="preserve">   </t>
    </r>
    <r>
      <rPr>
        <i val="true"/>
        <sz val="10"/>
        <rFont val="Tahoma"/>
        <family val="2"/>
      </rPr>
      <t xml:space="preserve"> </t>
    </r>
    <r>
      <rPr>
        <i val="true"/>
        <sz val="10"/>
        <color rgb="FF666699"/>
        <rFont val="Tahoma"/>
        <family val="2"/>
        <charset val="136"/>
      </rPr>
      <t xml:space="preserve">"Peak Hour Volume"</t>
    </r>
    <r>
      <rPr>
        <sz val="10"/>
        <rFont val="Tahoma"/>
        <family val="2"/>
        <charset val="136"/>
      </rPr>
      <t xml:space="preserve"> here is defined as</t>
    </r>
    <r>
      <rPr>
        <sz val="10"/>
        <color rgb="FF800000"/>
        <rFont val="Tahoma"/>
        <family val="2"/>
      </rPr>
      <t xml:space="preserve"> </t>
    </r>
    <r>
      <rPr>
        <sz val="10"/>
        <color rgb="FF666699"/>
        <rFont val="Tahoma"/>
        <family val="2"/>
        <charset val="136"/>
      </rPr>
      <t xml:space="preserve">traffic volume in both direction during</t>
    </r>
  </si>
  <si>
    <t xml:space="preserve">Staff Costs is estimated automatically by given units of personal year needed for</t>
  </si>
  <si>
    <t xml:space="preserve"> collection and information technology,  and costs per personal year.</t>
  </si>
  <si>
    <t xml:space="preserve">State Tax on Gasoline ($ per Gallon)</t>
  </si>
  <si>
    <r>
      <rPr>
        <sz val="10"/>
        <color rgb="FF800000"/>
        <rFont val="Tahoma"/>
        <family val="2"/>
      </rPr>
      <t xml:space="preserve">     </t>
    </r>
    <r>
      <rPr>
        <sz val="10"/>
        <color rgb="FF666699"/>
        <rFont val="Tahoma"/>
        <family val="2"/>
        <charset val="136"/>
      </rPr>
      <t xml:space="preserve">the peak period.</t>
    </r>
  </si>
  <si>
    <t xml:space="preserve"> toll collection and information technology,  and costs per personal year.</t>
  </si>
  <si>
    <t xml:space="preserve">Total Number of Lanes (max 22)</t>
  </si>
  <si>
    <t xml:space="preserve">Emission Rates during Acceleration (grams/gallon)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</si>
  <si>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"Input-Start"</t>
    </r>
  </si>
  <si>
    <r>
      <rPr>
        <sz val="10"/>
        <rFont val="Tahoma"/>
        <family val="2"/>
        <charset val="136"/>
      </rPr>
      <t xml:space="preserve">d) </t>
    </r>
    <r>
      <rPr>
        <sz val="10"/>
        <color rgb="FF800000"/>
        <rFont val="Tahoma"/>
        <family val="2"/>
        <charset val="136"/>
      </rPr>
      <t xml:space="preserve">Peak Hour Duration (T) in Base Year</t>
    </r>
  </si>
  <si>
    <t xml:space="preserve">Capital Investment</t>
  </si>
  <si>
    <t xml:space="preserve">Operating Costs</t>
  </si>
  <si>
    <t xml:space="preserve">Nox</t>
  </si>
  <si>
    <r>
      <rPr>
        <sz val="11"/>
        <rFont val="Tahoma"/>
        <family val="2"/>
      </rPr>
      <t xml:space="preserve">    In this Sheet, you are asked to give the </t>
    </r>
    <r>
      <rPr>
        <sz val="11"/>
        <color rgb="FF800000"/>
        <rFont val="Tahoma"/>
        <family val="2"/>
      </rPr>
      <t xml:space="preserve">basic information</t>
    </r>
    <r>
      <rPr>
        <sz val="11"/>
        <rFont val="Tahoma"/>
        <family val="2"/>
      </rPr>
      <t xml:space="preserve"> required for Benefit-Cost analysis.</t>
    </r>
  </si>
  <si>
    <r>
      <rPr>
        <sz val="10"/>
        <rFont val="Tahoma"/>
        <family val="2"/>
        <charset val="136"/>
      </rPr>
      <t xml:space="preserve">e) </t>
    </r>
    <r>
      <rPr>
        <sz val="10"/>
        <color rgb="FF800000"/>
        <rFont val="Tahoma"/>
        <family val="2"/>
        <charset val="136"/>
      </rPr>
      <t xml:space="preserve">D factor (D) in Base Year - directional split</t>
    </r>
  </si>
  <si>
    <t xml:space="preserve">One-Time Costs</t>
  </si>
  <si>
    <t xml:space="preserve">Continuing Costs:</t>
  </si>
  <si>
    <t xml:space="preserve">Staff</t>
  </si>
  <si>
    <t xml:space="preserve">Operations/Materials</t>
  </si>
  <si>
    <t xml:space="preserve">Other</t>
  </si>
  <si>
    <t xml:space="preserve">HC</t>
  </si>
  <si>
    <t xml:space="preserve">     Basically, you have to provide the data for Base Year as well as for Year 20.</t>
  </si>
  <si>
    <t xml:space="preserve"> </t>
  </si>
  <si>
    <t xml:space="preserve">ETC (headway)</t>
  </si>
  <si>
    <t xml:space="preserve">CO</t>
  </si>
  <si>
    <t xml:space="preserve">     Then, the model estimates the numbers in between automatically by linear interpolation.</t>
  </si>
  <si>
    <t xml:space="preserve">Estimated Annual Traffic Volume (ATV)</t>
  </si>
  <si>
    <t xml:space="preserve">Payment Split</t>
  </si>
  <si>
    <t xml:space="preserve">Prevailing Travel Speed (mph)</t>
  </si>
  <si>
    <t xml:space="preserve">Emission Rates during Idling (grams/minute)</t>
  </si>
  <si>
    <t xml:space="preserve">    If you have more data regarding information required other than base in year and in year 20, </t>
  </si>
  <si>
    <t xml:space="preserve">Base Year</t>
  </si>
  <si>
    <t xml:space="preserve">Year 20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</si>
  <si>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Lane-Baseline</t>
    </r>
  </si>
  <si>
    <r>
      <rPr>
        <sz val="11"/>
        <rFont val="Tahoma"/>
        <family val="2"/>
      </rPr>
      <t xml:space="preserve">     </t>
    </r>
    <r>
      <rPr>
        <sz val="11"/>
        <color rgb="FF800000"/>
        <rFont val="Tahoma"/>
        <family val="2"/>
        <charset val="136"/>
      </rPr>
      <t xml:space="preserve">e</t>
    </r>
    <r>
      <rPr>
        <sz val="11"/>
        <color rgb="FF800000"/>
        <rFont val="Tahoma"/>
        <family val="2"/>
      </rPr>
      <t xml:space="preserve">nter the basic data required in this sheet first;</t>
    </r>
  </si>
  <si>
    <t xml:space="preserve">Traffic Volume</t>
  </si>
  <si>
    <t xml:space="preserve">Mode Split among ETC Users</t>
  </si>
  <si>
    <t xml:space="preserve">     then, go to the sheet "Input-Detail" to change the number shown in blue cells. </t>
  </si>
  <si>
    <t xml:space="preserve">ETC Split</t>
  </si>
  <si>
    <t xml:space="preserve">Auto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</si>
  <si>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Lane-ETC Alternative</t>
    </r>
  </si>
  <si>
    <t xml:space="preserve">Truck</t>
  </si>
  <si>
    <t xml:space="preserve">Cost of Air Polution ($/kg of pollutant)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</si>
  <si>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"Input-Detail"</t>
    </r>
  </si>
  <si>
    <t xml:space="preserve">Peak Hour Statistics in Base Year</t>
  </si>
  <si>
    <t xml:space="preserve">Bus</t>
  </si>
  <si>
    <r>
      <rPr>
        <sz val="11"/>
        <rFont val="Tahoma"/>
        <family val="2"/>
      </rPr>
      <t xml:space="preserve">    In this Sheet, you you may change the numbers estimated automatically by this model based</t>
    </r>
    <r>
      <rPr>
        <sz val="11"/>
        <color rgb="FF800000"/>
        <rFont val="Tahoma"/>
        <family val="2"/>
      </rPr>
      <t xml:space="preserve"> </t>
    </r>
  </si>
  <si>
    <t xml:space="preserve">Average Vehicle Occupancy</t>
  </si>
  <si>
    <t xml:space="preserve">     on the numbers you enter in "Input-Start".</t>
  </si>
  <si>
    <t xml:space="preserve">PHV (veh/hr)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</si>
  <si>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  <charset val="136"/>
      </rPr>
      <t xml:space="preserve">ETC Lane-ETC Alternative</t>
    </r>
  </si>
  <si>
    <t xml:space="preserve">Cash, Checks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</si>
  <si>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"Results Summary"</t>
    </r>
  </si>
  <si>
    <t xml:space="preserve">D factor</t>
  </si>
  <si>
    <t xml:space="preserve">Credit Card</t>
  </si>
  <si>
    <t xml:space="preserve">    In this Sheet, , overall analytical results are presented as well as benefit-cost ratio and </t>
  </si>
  <si>
    <t xml:space="preserve">ETC Account Fact</t>
  </si>
  <si>
    <t xml:space="preserve">General Assumptions</t>
  </si>
  <si>
    <t xml:space="preserve">     estimated internal interest rate.</t>
  </si>
  <si>
    <r>
      <rPr>
        <sz val="11"/>
        <color rgb="FF800000"/>
        <rFont val="Tahoma"/>
        <family val="2"/>
        <charset val="136"/>
      </rPr>
      <t xml:space="preserve">     </t>
    </r>
    <r>
      <rPr>
        <u val="single"/>
        <sz val="11"/>
        <color rgb="FF800000"/>
        <rFont val="Tahoma"/>
        <family val="2"/>
      </rPr>
      <t xml:space="preserve">Cash &amp; Checks Account</t>
    </r>
  </si>
  <si>
    <t xml:space="preserve">Time Value for Each Mode ($/hr)</t>
  </si>
  <si>
    <t xml:space="preserve">Avg. Tags per Accout</t>
  </si>
  <si>
    <t xml:space="preserve">Inflation Rate</t>
  </si>
  <si>
    <r>
      <rPr>
        <sz val="10"/>
        <rFont val="Wingdings"/>
        <family val="0"/>
        <charset val="2"/>
      </rPr>
      <t xml:space="preserve">q</t>
    </r>
    <r>
      <rPr>
        <b val="true"/>
        <sz val="10"/>
        <rFont val="Tahoma"/>
        <family val="2"/>
        <charset val="136"/>
      </rPr>
      <t xml:space="preserve"> </t>
    </r>
    <r>
      <rPr>
        <b val="true"/>
        <sz val="11"/>
        <rFont val="Tahoma"/>
        <family val="2"/>
        <charset val="136"/>
      </rPr>
      <t xml:space="preserve">SHEET "Results-Detail"</t>
    </r>
  </si>
  <si>
    <t xml:space="preserve">Avg. Usage per Year</t>
  </si>
  <si>
    <t xml:space="preserve">Annual Interest Rate</t>
  </si>
  <si>
    <t xml:space="preserve">    In this Sheet, benefit-cost analyses are shown for Toll Agency, Users, and Community.</t>
  </si>
  <si>
    <t xml:space="preserve">Deposits</t>
  </si>
  <si>
    <t xml:space="preserve">Bus (per rider)</t>
  </si>
  <si>
    <t xml:space="preserve">Discount Rate</t>
  </si>
  <si>
    <t xml:space="preserve">     respectively.</t>
  </si>
  <si>
    <t xml:space="preserve">Avg. Balance other than Deposit</t>
  </si>
  <si>
    <t xml:space="preserve">Personal Year (PY)</t>
  </si>
  <si>
    <r>
      <rPr>
        <sz val="11"/>
        <color rgb="FF800000"/>
        <rFont val="Tahoma"/>
        <family val="2"/>
        <charset val="136"/>
      </rPr>
      <t xml:space="preserve">     </t>
    </r>
    <r>
      <rPr>
        <u val="single"/>
        <sz val="11"/>
        <color rgb="FF800000"/>
        <rFont val="Tahoma"/>
        <family val="2"/>
      </rPr>
      <t xml:space="preserve">Credit Card Account</t>
    </r>
  </si>
  <si>
    <t xml:space="preserve">Hours per Unit Personal Year</t>
  </si>
  <si>
    <t xml:space="preserve">PY for Information Technology</t>
  </si>
  <si>
    <t xml:space="preserve">PY for Program Costs (Toll Collection)</t>
  </si>
  <si>
    <t xml:space="preserve">Unit Cost per Personal Year</t>
  </si>
  <si>
    <r>
      <rPr>
        <sz val="11"/>
        <color rgb="FF800000"/>
        <rFont val="Tahoma"/>
        <family val="2"/>
        <charset val="136"/>
      </rPr>
      <t xml:space="preserve">     </t>
    </r>
    <r>
      <rPr>
        <u val="single"/>
        <sz val="11"/>
        <color rgb="FF800000"/>
        <rFont val="Tahoma"/>
        <family val="2"/>
      </rPr>
      <t xml:space="preserve">Cost of Transponders</t>
    </r>
  </si>
  <si>
    <t xml:space="preserve">Ia.</t>
  </si>
  <si>
    <t xml:space="preserve">       TRAFFIC DATA - Annual</t>
  </si>
  <si>
    <t xml:space="preserve">Ib.</t>
  </si>
  <si>
    <t xml:space="preserve">   TRAFFIC DATA - Morning Peak</t>
  </si>
  <si>
    <t xml:space="preserve">Ic.</t>
  </si>
  <si>
    <t xml:space="preserve">        TRAFFIC DATA - Evening Peak</t>
  </si>
  <si>
    <t xml:space="preserve">   COSTS INFORMATION--ETC Alternative       </t>
  </si>
  <si>
    <t xml:space="preserve">   FACT OF TOLL TRANSACTION &amp; Travel at Toll Plaza</t>
  </si>
  <si>
    <t xml:space="preserve">EXPECTED PAYMENT SPLIT</t>
  </si>
  <si>
    <t xml:space="preserve">  FUEL CONSUMPTION &amp; OTHER ASSUMPTIONS</t>
  </si>
  <si>
    <t xml:space="preserve">Change the numbers in blue cells only -</t>
  </si>
  <si>
    <t xml:space="preserve">The values shown in pink cells are the default number we used to run the model.</t>
  </si>
  <si>
    <t xml:space="preserve"> The data in Base Year and Year 20 you enter in sheet "Input-Start" are </t>
  </si>
  <si>
    <t xml:space="preserve"> The data in Base Year and Year 20 you enter in sheet "Input-Start" are shown</t>
  </si>
  <si>
    <t xml:space="preserve">  The data in Base Year and Year 20 you enter in sheet "Input-Start" are </t>
  </si>
  <si>
    <t xml:space="preserve">The numbers in white cells are those you entered in Table III &amp;IV in "Input-Start" Sheet.</t>
  </si>
  <si>
    <t xml:space="preserve">the numbers in white cells are those you entered in "Input-Start" Sheet about .</t>
  </si>
  <si>
    <t xml:space="preserve">The numbers in white cells are those you entered in Table V in "Input-Start" Sheet.</t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</si>
  <si>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</si>
  <si>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</si>
  <si>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table</t>
    </r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</si>
  <si>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</t>
    </r>
  </si>
  <si>
    <t xml:space="preserve">You can not make any change here.</t>
  </si>
  <si>
    <t xml:space="preserve">payment split among Manual Users as well as among ETC Users.</t>
  </si>
  <si>
    <t xml:space="preserve"> Based on these data, the model estimated automatically annual traffic volume</t>
  </si>
  <si>
    <r>
      <rPr>
        <sz val="10"/>
        <rFont val="Tahoma"/>
        <family val="2"/>
      </rPr>
      <t xml:space="preserve">  Based on these data, the model estimated automatically </t>
    </r>
    <r>
      <rPr>
        <sz val="10"/>
        <color rgb="FF800000"/>
        <rFont val="Tahoma"/>
        <family val="2"/>
      </rPr>
      <t xml:space="preserve">peak hour traffic</t>
    </r>
  </si>
  <si>
    <r>
      <rPr>
        <sz val="10"/>
        <rFont val="Tahoma"/>
        <family val="2"/>
      </rPr>
      <t xml:space="preserve"> Based on these data, the model estimated automatically </t>
    </r>
    <r>
      <rPr>
        <sz val="10"/>
        <color rgb="FF800000"/>
        <rFont val="Tahoma"/>
        <family val="2"/>
      </rPr>
      <t xml:space="preserve">peak hour traffic</t>
    </r>
    <r>
      <rPr>
        <sz val="10"/>
        <rFont val="Tahoma"/>
        <family val="2"/>
      </rPr>
      <t xml:space="preserve"> </t>
    </r>
  </si>
  <si>
    <r>
      <rPr>
        <sz val="10"/>
        <rFont val="Tahoma"/>
        <family val="2"/>
      </rPr>
      <t xml:space="preserve">  are no longer current value but </t>
    </r>
    <r>
      <rPr>
        <sz val="10"/>
        <color rgb="FF800000"/>
        <rFont val="Tahoma"/>
        <family val="2"/>
      </rPr>
      <t xml:space="preserve">nominal value in year i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</si>
  <si>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  table are no longer current value but </t>
    </r>
    <r>
      <rPr>
        <sz val="10"/>
        <color rgb="FF800000"/>
        <rFont val="Tahoma"/>
        <family val="2"/>
      </rPr>
      <t xml:space="preserve">nominal value</t>
    </r>
    <r>
      <rPr>
        <sz val="10"/>
        <rFont val="Tahoma"/>
        <family val="2"/>
      </rPr>
      <t xml:space="preserve">.  </t>
    </r>
  </si>
  <si>
    <t xml:space="preserve">If you would like to make any change, go back to the sheet "Input-Start".</t>
  </si>
  <si>
    <t xml:space="preserve">  and ETC Split in between by interpolation.</t>
  </si>
  <si>
    <r>
      <rPr>
        <sz val="10"/>
        <rFont val="Tahoma"/>
        <family val="2"/>
      </rPr>
      <t xml:space="preserve">   </t>
    </r>
    <r>
      <rPr>
        <sz val="10"/>
        <color rgb="FF800000"/>
        <rFont val="Tahoma"/>
        <family val="2"/>
        <charset val="136"/>
      </rPr>
      <t xml:space="preserve">volume,  </t>
    </r>
    <r>
      <rPr>
        <sz val="10"/>
        <color rgb="FF800000"/>
        <rFont val="Tahoma"/>
        <family val="2"/>
      </rPr>
      <t xml:space="preserve">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 for each year</t>
    </r>
    <r>
      <rPr>
        <sz val="10"/>
        <rFont val="Tahoma"/>
        <family val="2"/>
      </rPr>
      <t xml:space="preserve">.</t>
    </r>
  </si>
  <si>
    <r>
      <rPr>
        <sz val="10"/>
        <color rgb="FF800000"/>
        <rFont val="Tahoma"/>
        <family val="2"/>
      </rPr>
      <t xml:space="preserve">  volume, 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</si>
  <si>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 Based on these data, the model estimates </t>
    </r>
    <r>
      <rPr>
        <sz val="10"/>
        <color rgb="FF800000"/>
        <rFont val="Tahoma"/>
        <family val="2"/>
      </rPr>
      <t xml:space="preserve">continuing costs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</si>
  <si>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</rPr>
      <t xml:space="preserve">   Based on these data, the model estimated </t>
    </r>
    <r>
      <rPr>
        <sz val="10"/>
        <color rgb="FF800000"/>
        <rFont val="Tahoma"/>
        <family val="2"/>
      </rPr>
      <t xml:space="preserve">continuing cost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</si>
  <si>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  <charset val="136"/>
      </rPr>
      <t xml:space="preserve">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</si>
  <si>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 Peak Hour Volume (PHV): </t>
    </r>
    <r>
      <rPr>
        <sz val="10"/>
        <rFont val="Tahoma"/>
        <family val="2"/>
      </rPr>
      <t xml:space="preserve">assume that ATV/PHV  remains constant over</t>
    </r>
  </si>
  <si>
    <r>
      <rPr>
        <sz val="10"/>
        <rFont val="Tahoma"/>
        <family val="2"/>
        <charset val="136"/>
      </rPr>
      <t xml:space="preserve">a)</t>
    </r>
    <r>
      <rPr>
        <sz val="10"/>
        <color rgb="FF800000"/>
        <rFont val="Tahoma"/>
        <family val="2"/>
        <charset val="136"/>
      </rPr>
      <t xml:space="preserve"> Peak Hour Volume (PHV) - </t>
    </r>
    <r>
      <rPr>
        <sz val="10"/>
        <rFont val="Tahoma"/>
        <family val="2"/>
      </rPr>
      <t xml:space="preserve">assume that ATV/PHV  remains constant over</t>
    </r>
  </si>
  <si>
    <t xml:space="preserve"> For the knowledge of estimation, check the footnote right below the table.</t>
  </si>
  <si>
    <t xml:space="preserve">For the knowledge of estimation, check the footnote right below the table.</t>
  </si>
  <si>
    <t xml:space="preserve">    the analysis period.  Thus, peak hour volume in year i is estimated by</t>
  </si>
  <si>
    <t xml:space="preserve">    the analysis period.  Thus, peak hour volume in year i is estimated by </t>
  </si>
  <si>
    <r>
      <rPr>
        <sz val="10"/>
        <rFont val="Tahoma"/>
        <family val="2"/>
        <charset val="136"/>
      </rPr>
      <t xml:space="preserve">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</si>
  <si>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r>
      <rPr>
        <sz val="10"/>
        <rFont val="Tahoma"/>
        <family val="2"/>
        <charset val="136"/>
      </rPr>
      <t xml:space="preserve"> 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  <charset val="136"/>
      </rPr>
      <t xml:space="preserve">.</t>
    </r>
  </si>
  <si>
    <t xml:space="preserve">Baseline</t>
  </si>
  <si>
    <t xml:space="preserve">ETC Alternative</t>
  </si>
  <si>
    <t xml:space="preserve">    estimated annual traffic volume times ATV/PHV.</t>
  </si>
  <si>
    <t xml:space="preserve">Manual Users</t>
  </si>
  <si>
    <t xml:space="preserve">ETC Users</t>
  </si>
  <si>
    <r>
      <rPr>
        <sz val="10"/>
        <rFont val="Tahoma"/>
        <family val="2"/>
        <charset val="136"/>
      </rPr>
      <t xml:space="preserve">b)</t>
    </r>
    <r>
      <rPr>
        <sz val="10"/>
        <color rgb="FF800000"/>
        <rFont val="Tahoma"/>
        <family val="2"/>
        <charset val="136"/>
      </rPr>
      <t xml:space="preserve"> ATV/PHV - </t>
    </r>
    <r>
      <rPr>
        <sz val="10"/>
        <rFont val="Tahoma"/>
        <family val="2"/>
      </rPr>
      <t xml:space="preserve">the ratio of annual traffic volume over peak hour volume.</t>
    </r>
  </si>
  <si>
    <t xml:space="preserve">Cash &amp;Checks</t>
  </si>
  <si>
    <t xml:space="preserve">Fuel Price per Gallon (excludingTax)</t>
  </si>
  <si>
    <r>
      <rPr>
        <sz val="10"/>
        <rFont val="Tahoma"/>
        <family val="2"/>
        <charset val="136"/>
      </rPr>
      <t xml:space="preserve">c)</t>
    </r>
    <r>
      <rPr>
        <sz val="10"/>
        <color rgb="FF800000"/>
        <rFont val="Tahoma"/>
        <family val="2"/>
        <charset val="136"/>
      </rPr>
      <t xml:space="preserve"> Duration of Peak Period (T) in the morning peak in Based Year, hrs/day.</t>
    </r>
  </si>
  <si>
    <r>
      <rPr>
        <sz val="10"/>
        <rFont val="Tahoma"/>
        <family val="2"/>
        <charset val="136"/>
      </rPr>
      <t xml:space="preserve">c) </t>
    </r>
    <r>
      <rPr>
        <sz val="10"/>
        <color rgb="FF800000"/>
        <rFont val="Tahoma"/>
        <family val="2"/>
        <charset val="136"/>
      </rPr>
      <t xml:space="preserve">Duration of Peak Period (T) in the evening peak in Based Year, hrs/day</t>
    </r>
  </si>
  <si>
    <t xml:space="preserve">Staff*</t>
  </si>
  <si>
    <r>
      <rPr>
        <sz val="10"/>
        <rFont val="Tahoma"/>
        <family val="2"/>
        <charset val="136"/>
      </rPr>
      <t xml:space="preserve">d)</t>
    </r>
    <r>
      <rPr>
        <sz val="10"/>
        <color rgb="FF800000"/>
        <rFont val="Tahoma"/>
        <family val="2"/>
        <charset val="136"/>
      </rPr>
      <t xml:space="preserve"> Direction Factor (D) during the morning peak in Base Year</t>
    </r>
  </si>
  <si>
    <r>
      <rPr>
        <sz val="10"/>
        <rFont val="Tahoma"/>
        <family val="2"/>
        <charset val="136"/>
      </rPr>
      <t xml:space="preserve">d)</t>
    </r>
    <r>
      <rPr>
        <sz val="10"/>
        <color rgb="FF800000"/>
        <rFont val="Tahoma"/>
        <family val="2"/>
        <charset val="136"/>
      </rPr>
      <t xml:space="preserve"> Direction Factor (D) during the evening peak in Base Year</t>
    </r>
  </si>
  <si>
    <t xml:space="preserve">     Cash &amp; Checks</t>
  </si>
  <si>
    <t xml:space="preserve">     Credit Card</t>
  </si>
  <si>
    <t xml:space="preserve">Cost of Transponder ($ per unit)</t>
  </si>
  <si>
    <t xml:space="preserve">For costs other than staff:</t>
  </si>
  <si>
    <r>
      <rPr>
        <sz val="10"/>
        <rFont val="Tahoma"/>
        <family val="2"/>
        <charset val="136"/>
      </rPr>
      <t xml:space="preserve">  </t>
    </r>
    <r>
      <rPr>
        <b val="true"/>
        <i val="true"/>
        <sz val="10"/>
        <color rgb="FF800000"/>
        <rFont val="Tahoma"/>
        <family val="2"/>
        <charset val="136"/>
      </rPr>
      <t xml:space="preserve">C(m,n) of item m in year n</t>
    </r>
    <r>
      <rPr>
        <sz val="10"/>
        <rFont val="Tahoma"/>
        <family val="2"/>
        <charset val="136"/>
      </rPr>
      <t xml:space="preserve"> = C(m,n-1)*(1+ inflation rate), given the amount of cost (m,o)</t>
    </r>
  </si>
  <si>
    <t xml:space="preserve">   in base year</t>
  </si>
  <si>
    <t xml:space="preserve">For staff costs,</t>
  </si>
  <si>
    <r>
      <rPr>
        <sz val="10"/>
        <rFont val="Tahoma"/>
        <family val="2"/>
        <charset val="136"/>
      </rPr>
      <t xml:space="preserve">  </t>
    </r>
    <r>
      <rPr>
        <b val="true"/>
        <i val="true"/>
        <sz val="10"/>
        <color rgb="FF800000"/>
        <rFont val="Tahoma"/>
        <family val="2"/>
        <charset val="136"/>
      </rPr>
      <t xml:space="preserve">SC(n) of staff costs in year n</t>
    </r>
    <r>
      <rPr>
        <sz val="10"/>
        <rFont val="Tahoma"/>
        <family val="2"/>
        <charset val="136"/>
      </rPr>
      <t xml:space="preserve"> =</t>
    </r>
  </si>
  <si>
    <t xml:space="preserve">   ($/PY in base year)*[(PY for technology information)+(PY for toll collection)]*(1+inflation rate)          </t>
  </si>
  <si>
    <t xml:space="preserve">   Assumpions:</t>
  </si>
  <si>
    <t xml:space="preserve">      a. PY needed for technology information doesn't change over time.</t>
  </si>
  <si>
    <t xml:space="preserve">      b. PYs needed for toll collection are estimated in sheet "PY" based on traffic level.</t>
  </si>
  <si>
    <r>
      <rPr>
        <sz val="10"/>
        <rFont val="Tahoma"/>
        <family val="2"/>
        <charset val="136"/>
      </rPr>
      <t xml:space="preserve">Inflation Rate (I</t>
    </r>
    <r>
      <rPr>
        <vertAlign val="subscript"/>
        <sz val="10"/>
        <rFont val="Tahoma"/>
        <family val="2"/>
        <charset val="136"/>
      </rPr>
      <t xml:space="preserve">f</t>
    </r>
    <r>
      <rPr>
        <sz val="10"/>
        <rFont val="Tahoma"/>
        <family val="2"/>
        <charset val="136"/>
      </rPr>
      <t xml:space="preserve">)</t>
    </r>
  </si>
  <si>
    <t xml:space="preserve">$/PY(unit cost of personal year):</t>
  </si>
  <si>
    <t xml:space="preserve">PY for Information Technology:</t>
  </si>
  <si>
    <r>
      <rPr>
        <b val="true"/>
        <sz val="12"/>
        <rFont val="Wingdings"/>
        <family val="0"/>
        <charset val="2"/>
      </rPr>
      <t xml:space="preserve">y</t>
    </r>
    <r>
      <rPr>
        <b val="true"/>
        <sz val="12"/>
        <rFont val="Times New Roman"/>
        <family val="1"/>
      </rPr>
      <t xml:space="preserve"> Analytical Results</t>
    </r>
  </si>
  <si>
    <r>
      <rPr>
        <b val="true"/>
        <sz val="12"/>
        <rFont val="Wingdings"/>
        <family val="0"/>
        <charset val="2"/>
      </rPr>
      <t xml:space="preserve">q </t>
    </r>
    <r>
      <rPr>
        <b val="true"/>
        <sz val="12"/>
        <rFont val="Times New Roman"/>
        <family val="1"/>
      </rPr>
      <t xml:space="preserve">For 20 years</t>
    </r>
  </si>
  <si>
    <r>
      <rPr>
        <sz val="12"/>
        <rFont val="Times New Roman"/>
        <family val="1"/>
      </rPr>
      <t xml:space="preserve">NPV</t>
    </r>
    <r>
      <rPr>
        <vertAlign val="super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</si>
  <si>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PVB</t>
    </r>
    <r>
      <rPr>
        <vertAlign val="super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</si>
  <si>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NPC</t>
    </r>
    <r>
      <rPr>
        <vertAlign val="super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=</t>
    </r>
  </si>
  <si>
    <r>
      <rPr>
        <sz val="12"/>
        <rFont val="Times New Roman"/>
        <family val="1"/>
      </rPr>
      <t xml:space="preserve">B/C</t>
    </r>
    <r>
      <rPr>
        <vertAlign val="superscript"/>
        <sz val="12"/>
        <rFont val="Times New Roman"/>
        <family val="1"/>
      </rPr>
      <t xml:space="preserve">4</t>
    </r>
    <r>
      <rPr>
        <sz val="12"/>
        <rFont val="Times New Roman"/>
        <family val="1"/>
      </rPr>
      <t xml:space="preserve"> = </t>
    </r>
  </si>
  <si>
    <r>
      <rPr>
        <sz val="12"/>
        <rFont val="Times New Roman"/>
        <family val="1"/>
      </rPr>
      <t xml:space="preserve">IRR</t>
    </r>
    <r>
      <rPr>
        <vertAlign val="superscript"/>
        <sz val="12"/>
        <rFont val="Times New Roman"/>
        <family val="1"/>
      </rPr>
      <t xml:space="preserve">5</t>
    </r>
    <r>
      <rPr>
        <sz val="12"/>
        <rFont val="Times New Roman"/>
        <family val="1"/>
      </rPr>
      <t xml:space="preserve"> = </t>
    </r>
  </si>
  <si>
    <t xml:space="preserve">Overall</t>
  </si>
  <si>
    <t xml:space="preserve">Toll Agency</t>
  </si>
  <si>
    <t xml:space="preserve">Users</t>
  </si>
  <si>
    <t xml:space="preserve">Community</t>
  </si>
  <si>
    <r>
      <rPr>
        <vertAlign val="superscript"/>
        <sz val="10"/>
        <rFont val="Times New Roman"/>
        <family val="1"/>
      </rPr>
      <t xml:space="preserve">1</t>
    </r>
    <r>
      <rPr>
        <sz val="10"/>
        <rFont val="Times New Roman"/>
        <family val="1"/>
      </rPr>
      <t xml:space="preserve">NPV: net present value, NPV = PVB - PVC</t>
    </r>
  </si>
  <si>
    <r>
      <rPr>
        <vertAlign val="superscript"/>
        <sz val="10"/>
        <rFont val="Times New Roman"/>
        <family val="1"/>
      </rPr>
      <t xml:space="preserve">2</t>
    </r>
    <r>
      <rPr>
        <sz val="10"/>
        <rFont val="Times New Roman"/>
        <family val="1"/>
      </rPr>
      <t xml:space="preserve">PVB: present value of benefits</t>
    </r>
  </si>
  <si>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PVC: present value of costs</t>
    </r>
  </si>
  <si>
    <r>
      <rPr>
        <vertAlign val="superscript"/>
        <sz val="10"/>
        <rFont val="Times New Roman"/>
        <family val="1"/>
      </rPr>
      <t xml:space="preserve">4</t>
    </r>
    <r>
      <rPr>
        <sz val="10"/>
        <rFont val="Times New Roman"/>
        <family val="1"/>
      </rPr>
      <t xml:space="preserve">B/C: Total benefit over capital investment, B/C = PVB/PVC</t>
    </r>
  </si>
  <si>
    <r>
      <rPr>
        <vertAlign val="superscript"/>
        <sz val="10"/>
        <rFont val="Times New Roman"/>
        <family val="1"/>
      </rPr>
      <t xml:space="preserve">5</t>
    </r>
    <r>
      <rPr>
        <sz val="10"/>
        <rFont val="Times New Roman"/>
        <family val="1"/>
      </rPr>
      <t xml:space="preserve">IRR: Internal Rate of Return</t>
    </r>
  </si>
  <si>
    <r>
      <rPr>
        <b val="true"/>
        <sz val="12"/>
        <rFont val="Wingdings"/>
        <family val="0"/>
        <charset val="2"/>
      </rPr>
      <t xml:space="preserve">q </t>
    </r>
    <r>
      <rPr>
        <b val="true"/>
        <sz val="12"/>
        <rFont val="Times New Roman"/>
        <family val="1"/>
      </rPr>
      <t xml:space="preserve">For 10 years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</si>
  <si>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Cost Streams of Baseline and ETC 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</si>
  <si>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Benefit Streams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</si>
  <si>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Total Net Benefit ($ in base year)</t>
    </r>
  </si>
  <si>
    <t xml:space="preserve">Discount Rate: </t>
  </si>
  <si>
    <t xml:space="preserve">Capital Invesment</t>
  </si>
  <si>
    <t xml:space="preserve">PVC                          ($ in Base Year)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</si>
  <si>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Fuel Value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</si>
  <si>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Time Value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</si>
  <si>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Env Value</t>
    </r>
  </si>
  <si>
    <t xml:space="preserve">Agency Cost Reduction</t>
  </si>
  <si>
    <r>
      <rPr>
        <b val="true"/>
        <sz val="10"/>
        <color rgb="FF800000"/>
        <rFont val="Symbol"/>
        <family val="1"/>
        <charset val="2"/>
      </rPr>
      <t xml:space="preserve">DO</t>
    </r>
    <r>
      <rPr>
        <b val="true"/>
        <sz val="10"/>
        <color rgb="FF800000"/>
        <rFont val="Times New Roman"/>
        <family val="1"/>
      </rPr>
      <t xml:space="preserve">perational Revenue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</si>
  <si>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Interest Gain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</si>
  <si>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  <charset val="136"/>
      </rPr>
      <t xml:space="preserve">Toll Collection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</si>
  <si>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  <charset val="136"/>
      </rPr>
      <t xml:space="preserve">Toll Reduction</t>
    </r>
  </si>
  <si>
    <t xml:space="preserve">Total Benefit</t>
  </si>
  <si>
    <t xml:space="preserve">PVB                          ($ in Base Year)</t>
  </si>
  <si>
    <t xml:space="preserve">B-C</t>
  </si>
  <si>
    <t xml:space="preserve">PVC</t>
  </si>
  <si>
    <t xml:space="preserve">PVB</t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</si>
  <si>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Toll Agency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</si>
  <si>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Toll Agency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</si>
  <si>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Toll Agency ($ in base year)</t>
    </r>
  </si>
  <si>
    <t xml:space="preserve">PVC                           ($ in Base Year)</t>
  </si>
  <si>
    <t xml:space="preserve">Cost Reduction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</si>
  <si>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Operational Revenue*</t>
    </r>
  </si>
  <si>
    <t xml:space="preserve">PVB                    ($ in Base Year)</t>
  </si>
  <si>
    <r>
      <rPr>
        <sz val="10"/>
        <rFont val="Tahoma"/>
        <family val="2"/>
        <charset val="136"/>
      </rPr>
      <t xml:space="preserve">*</t>
    </r>
    <r>
      <rPr>
        <sz val="10"/>
        <rFont val="Symbol"/>
        <family val="1"/>
        <charset val="2"/>
      </rPr>
      <t xml:space="preserve">D</t>
    </r>
    <r>
      <rPr>
        <sz val="10"/>
        <rFont val="Times New Roman"/>
        <family val="1"/>
      </rPr>
      <t xml:space="preserve">Operational Benefit = the amount of DInterest Gain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</si>
  <si>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</si>
  <si>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Users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</si>
  <si>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Users ($ in base year)</t>
    </r>
  </si>
  <si>
    <t xml:space="preserve">PVC                        ($ in Base Year)</t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</si>
  <si>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Total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</si>
  <si>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Cost Streams of Community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</si>
  <si>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 Benefit Streams of Community</t>
    </r>
  </si>
  <si>
    <r>
      <rPr>
        <sz val="10"/>
        <rFont val="Wingdings"/>
        <family val="0"/>
        <charset val="2"/>
      </rPr>
      <t xml:space="preserve">a</t>
    </r>
    <r>
      <rPr>
        <sz val="10"/>
        <rFont val="Tahoma"/>
        <family val="2"/>
        <charset val="136"/>
      </rPr>
      <t xml:space="preserve"> Net Benefit of Community ($ in base year)</t>
    </r>
  </si>
  <si>
    <r>
      <rPr>
        <b val="true"/>
        <sz val="10"/>
        <color rgb="FF800000"/>
        <rFont val="Symbol"/>
        <family val="1"/>
        <charset val="2"/>
      </rPr>
      <t xml:space="preserve">D</t>
    </r>
    <r>
      <rPr>
        <b val="true"/>
        <sz val="10"/>
        <color rgb="FF800000"/>
        <rFont val="Times New Roman"/>
        <family val="1"/>
      </rPr>
      <t xml:space="preserve">Env. Value**</t>
    </r>
  </si>
  <si>
    <t xml:space="preserve">** Environmental value is estimated by the value of emission reduction.</t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</si>
  <si>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Reduction of Operating Costs</t>
    </r>
  </si>
  <si>
    <t xml:space="preserve">Cost Saving</t>
  </si>
  <si>
    <t xml:space="preserve">One-Time</t>
  </si>
  <si>
    <t xml:space="preserve">Others</t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</si>
  <si>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Personal Year Related Information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</si>
  <si>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Personal Year Estimation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</si>
  <si>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Estimates of personal year reduction</t>
    </r>
  </si>
  <si>
    <t xml:space="preserve">Annual Traffic Vol.</t>
  </si>
  <si>
    <t xml:space="preserve">AADT</t>
  </si>
  <si>
    <t xml:space="preserve">Suggested Number of ETC Ln</t>
  </si>
  <si>
    <t xml:space="preserve">PY Reduction</t>
  </si>
  <si>
    <t xml:space="preserve">PHV per year</t>
  </si>
  <si>
    <t xml:space="preserve">Off-Peak Traffic per Year</t>
  </si>
  <si>
    <t xml:space="preserve">PY</t>
  </si>
  <si>
    <t xml:space="preserve">PHV (Manual) per year</t>
  </si>
  <si>
    <t xml:space="preserve">Off-Peak Traffic (Manual)             per Year</t>
  </si>
  <si>
    <r>
      <rPr>
        <b val="true"/>
        <sz val="10"/>
        <rFont val="Times New Roman"/>
        <family val="1"/>
        <charset val="136"/>
      </rPr>
      <t xml:space="preserve">PY for Peak Hour</t>
    </r>
    <r>
      <rPr>
        <b val="true"/>
        <vertAlign val="superscript"/>
        <sz val="10"/>
        <rFont val="Times New Roman"/>
        <family val="1"/>
        <charset val="136"/>
      </rPr>
      <t xml:space="preserve">1</t>
    </r>
  </si>
  <si>
    <r>
      <rPr>
        <b val="true"/>
        <sz val="10"/>
        <rFont val="Times New Roman"/>
        <family val="1"/>
        <charset val="136"/>
      </rPr>
      <t xml:space="preserve">PY for Off-Peak per Year</t>
    </r>
    <r>
      <rPr>
        <b val="true"/>
        <vertAlign val="superscript"/>
        <sz val="10"/>
        <rFont val="Times New Roman"/>
        <family val="1"/>
        <charset val="136"/>
      </rPr>
      <t xml:space="preserve">2</t>
    </r>
  </si>
  <si>
    <t xml:space="preserve">PY for Information Technology in Base Year</t>
  </si>
  <si>
    <t xml:space="preserve">PY for Program Costs (Toll Collection) in Base Year</t>
  </si>
  <si>
    <r>
      <rPr>
        <vertAlign val="superscript"/>
        <sz val="10"/>
        <rFont val="Tahoma"/>
        <family val="2"/>
        <charset val="136"/>
      </rPr>
      <t xml:space="preserve">1  </t>
    </r>
    <r>
      <rPr>
        <b val="true"/>
        <sz val="10"/>
        <color rgb="FF800000"/>
        <rFont val="Tahoma"/>
        <family val="2"/>
        <charset val="136"/>
      </rPr>
      <t xml:space="preserve">PY Estimation for peak hours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</si>
  <si>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Units of PY for peak hour operation per year (H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p</t>
    </r>
    <r>
      <rPr>
        <sz val="10"/>
        <color rgb="FF800000"/>
        <rFont val="Tahoma"/>
        <family val="2"/>
        <charset val="136"/>
      </rPr>
      <t xml:space="preserve">)</t>
    </r>
    <r>
      <rPr>
        <sz val="10"/>
        <rFont val="Tahoma"/>
        <family val="2"/>
      </rPr>
      <t xml:space="preserve">: (T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+T</t>
    </r>
    <r>
      <rPr>
        <vertAlign val="subscript"/>
        <sz val="10"/>
        <rFont val="Tahoma"/>
        <family val="2"/>
        <charset val="136"/>
      </rPr>
      <t xml:space="preserve">e</t>
    </r>
    <r>
      <rPr>
        <sz val="10"/>
        <rFont val="Tahoma"/>
        <family val="2"/>
      </rPr>
      <t xml:space="preserve">)*D</t>
    </r>
    <r>
      <rPr>
        <vertAlign val="subscript"/>
        <sz val="10"/>
        <rFont val="Tahoma"/>
        <family val="2"/>
        <charset val="136"/>
      </rPr>
      <t xml:space="preserve">w</t>
    </r>
    <r>
      <rPr>
        <sz val="10"/>
        <rFont val="Tahoma"/>
        <family val="2"/>
      </rPr>
      <t xml:space="preserve">*N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/H</t>
    </r>
    <r>
      <rPr>
        <vertAlign val="subscript"/>
        <sz val="10"/>
        <rFont val="Tahoma"/>
        <family val="2"/>
        <charset val="136"/>
      </rPr>
      <t xml:space="preserve">py</t>
    </r>
  </si>
  <si>
    <t xml:space="preserve">   Where,</t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</si>
  <si>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: duration of morning peak</t>
    </r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</si>
  <si>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  <charset val="136"/>
      </rPr>
      <t xml:space="preserve">e</t>
    </r>
    <r>
      <rPr>
        <sz val="10"/>
        <rFont val="Tahoma"/>
        <family val="2"/>
        <charset val="136"/>
      </rPr>
      <t xml:space="preserve">:</t>
    </r>
    <r>
      <rPr>
        <vertAlign val="subscript"/>
        <sz val="10"/>
        <rFont val="Tahoma"/>
        <family val="2"/>
        <charset val="136"/>
      </rPr>
      <t xml:space="preserve">  </t>
    </r>
    <r>
      <rPr>
        <sz val="10"/>
        <rFont val="Tahoma"/>
        <family val="2"/>
      </rPr>
      <t xml:space="preserve">duration of morning peak</t>
    </r>
  </si>
  <si>
    <r>
      <rPr>
        <sz val="10"/>
        <rFont val="Tahoma"/>
        <family val="2"/>
      </rPr>
      <t xml:space="preserve">       D</t>
    </r>
    <r>
      <rPr>
        <vertAlign val="subscript"/>
        <sz val="10"/>
        <rFont val="Tahoma"/>
        <family val="2"/>
        <charset val="136"/>
      </rPr>
      <t xml:space="preserve">w</t>
    </r>
    <r>
      <rPr>
        <sz val="10"/>
        <rFont val="Tahoma"/>
        <family val="2"/>
      </rPr>
      <t xml:space="preserve">: number of weekdays per year</t>
    </r>
  </si>
  <si>
    <r>
      <rPr>
        <sz val="10"/>
        <rFont val="Tahoma"/>
        <family val="2"/>
      </rPr>
      <t xml:space="preserve">       N</t>
    </r>
    <r>
      <rPr>
        <vertAlign val="subscript"/>
        <sz val="10"/>
        <rFont val="Tahoma"/>
        <family val="2"/>
        <charset val="136"/>
      </rPr>
      <t xml:space="preserve">m</t>
    </r>
    <r>
      <rPr>
        <sz val="10"/>
        <rFont val="Tahoma"/>
        <family val="2"/>
      </rPr>
      <t xml:space="preserve">: number of manual channels; suppose that all manual channels are open during the peak hours</t>
    </r>
  </si>
  <si>
    <r>
      <rPr>
        <sz val="10"/>
        <rFont val="Tahoma"/>
        <family val="2"/>
      </rPr>
      <t xml:space="preserve">       H</t>
    </r>
    <r>
      <rPr>
        <vertAlign val="subscript"/>
        <sz val="10"/>
        <rFont val="Tahoma"/>
        <family val="2"/>
        <charset val="136"/>
      </rPr>
      <t xml:space="preserve">py</t>
    </r>
    <r>
      <rPr>
        <sz val="10"/>
        <rFont val="Tahoma"/>
        <family val="2"/>
      </rPr>
      <t xml:space="preserve">: hours per unit PY</t>
    </r>
  </si>
  <si>
    <r>
      <rPr>
        <vertAlign val="superscript"/>
        <sz val="10"/>
        <rFont val="Tahoma"/>
        <family val="2"/>
        <charset val="136"/>
      </rPr>
      <t xml:space="preserve">2  </t>
    </r>
    <r>
      <rPr>
        <b val="true"/>
        <sz val="10"/>
        <color rgb="FF800000"/>
        <rFont val="Tahoma"/>
        <family val="2"/>
        <charset val="136"/>
      </rPr>
      <t xml:space="preserve">PY Estimation for off-peak hours</t>
    </r>
  </si>
  <si>
    <r>
      <rPr>
        <sz val="10"/>
        <rFont val="Tahoma"/>
        <family val="2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</rPr>
      <t xml:space="preserve">: </t>
    </r>
  </si>
  <si>
    <t xml:space="preserve">      a. the units of PY needed for off-peak period is uniform across the time,</t>
  </si>
  <si>
    <t xml:space="preserve">      b. the units of PY needed for off-peak period is proportional to annual off-peak traffic volume, </t>
  </si>
  <si>
    <r>
      <rPr>
        <sz val="10"/>
        <rFont val="Tahoma"/>
        <family val="2"/>
      </rPr>
      <t xml:space="preserve">          which we estimate from substracting annual traffic volume by </t>
    </r>
    <r>
      <rPr>
        <sz val="10"/>
        <color rgb="FF800000"/>
        <rFont val="Tahoma"/>
        <family val="2"/>
        <charset val="136"/>
      </rPr>
      <t xml:space="preserve">peak traffic volume.</t>
    </r>
  </si>
  <si>
    <r>
      <rPr>
        <sz val="10"/>
        <rFont val="Tahoma"/>
        <family val="2"/>
      </rPr>
      <t xml:space="preserve">      c.  </t>
    </r>
    <r>
      <rPr>
        <sz val="10"/>
        <color rgb="FF800000"/>
        <rFont val="Tahoma"/>
        <family val="2"/>
        <charset val="136"/>
      </rPr>
      <t xml:space="preserve">Peak traffic volume</t>
    </r>
    <r>
      <rPr>
        <sz val="10"/>
        <rFont val="Tahoma"/>
        <family val="2"/>
      </rPr>
      <t xml:space="preserve"> is estimated by (daily peak volume)*(# of weekdays in a year)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</si>
  <si>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Units of PY for off-peak hour operation per year (H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op</t>
    </r>
    <r>
      <rPr>
        <b val="true"/>
        <i val="true"/>
        <sz val="10"/>
        <color rgb="FF800000"/>
        <rFont val="Tahoma"/>
        <family val="2"/>
        <charset val="136"/>
      </rPr>
      <t xml:space="preserve">):</t>
    </r>
  </si>
  <si>
    <r>
      <rPr>
        <sz val="10"/>
        <rFont val="Tahoma"/>
        <family val="2"/>
      </rPr>
      <t xml:space="preserve">       (H</t>
    </r>
    <r>
      <rPr>
        <vertAlign val="subscript"/>
        <sz val="10"/>
        <rFont val="Tahoma"/>
        <family val="2"/>
        <charset val="136"/>
      </rPr>
      <t xml:space="preserve">op</t>
    </r>
    <r>
      <rPr>
        <sz val="10"/>
        <rFont val="Tahoma"/>
        <family val="2"/>
      </rPr>
      <t xml:space="preserve"> in base year) *(annual off-peak volume in year i)/(annual off-peak volume in base year) </t>
    </r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</si>
  <si>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Payment Facts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</si>
  <si>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User Costs Estimates - Loss of Interests (per year)</t>
    </r>
  </si>
  <si>
    <t xml:space="preserve">ETC Transaction</t>
  </si>
  <si>
    <t xml:space="preserve">Payment Split among ETC Users</t>
  </si>
  <si>
    <r>
      <rPr>
        <b val="true"/>
        <sz val="10"/>
        <color rgb="FF800000"/>
        <rFont val="Times New Roman"/>
        <family val="1"/>
        <charset val="136"/>
      </rPr>
      <t xml:space="preserve">Number of ETC Account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</si>
  <si>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r>
      <rPr>
        <b val="true"/>
        <sz val="10"/>
        <color rgb="FF800000"/>
        <rFont val="Times New Roman"/>
        <family val="1"/>
        <charset val="136"/>
      </rPr>
      <t xml:space="preserve">Total Balance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</si>
  <si>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t xml:space="preserve">Annual Interest*</t>
  </si>
  <si>
    <t xml:space="preserve">Cash &amp; Checks</t>
  </si>
  <si>
    <t xml:space="preserve">*Estimation of the Values of Annual Interest Loss by ETC Users (Nondiscounted) </t>
  </si>
  <si>
    <r>
      <rPr>
        <i val="true"/>
        <sz val="10"/>
        <color rgb="FF800000"/>
        <rFont val="Tahoma"/>
        <family val="2"/>
      </rPr>
      <t xml:space="preserve">  The Values of Interest Generated per Year by the ETC Account (undiscounted) in Year i (I</t>
    </r>
    <r>
      <rPr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):</t>
    </r>
  </si>
  <si>
    <r>
      <rPr>
        <sz val="10"/>
        <rFont val="Tahoma"/>
        <family val="2"/>
      </rPr>
      <t xml:space="preserve">   I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</rPr>
      <t xml:space="preserve"> = (AC</t>
    </r>
    <r>
      <rPr>
        <vertAlign val="subscript"/>
        <sz val="10"/>
        <rFont val="Tahoma"/>
        <family val="2"/>
        <charset val="136"/>
      </rPr>
      <t xml:space="preserve">i1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  <charset val="136"/>
      </rPr>
      <t xml:space="preserve">i1</t>
    </r>
    <r>
      <rPr>
        <sz val="10"/>
        <rFont val="Tahoma"/>
        <family val="2"/>
      </rPr>
      <t xml:space="preserve"> + AC</t>
    </r>
    <r>
      <rPr>
        <vertAlign val="subscript"/>
        <sz val="10"/>
        <rFont val="Tahoma"/>
        <family val="2"/>
        <charset val="136"/>
      </rPr>
      <t xml:space="preserve">i2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  <charset val="136"/>
      </rPr>
      <t xml:space="preserve">i2)</t>
    </r>
    <r>
      <rPr>
        <sz val="10"/>
        <rFont val="Tahoma"/>
        <family val="2"/>
        <charset val="136"/>
      </rPr>
      <t xml:space="preserve">*Iv</t>
    </r>
  </si>
  <si>
    <r>
      <rPr>
        <sz val="10"/>
        <rFont val="Tahoma"/>
        <family val="2"/>
      </rPr>
      <t xml:space="preserve">       AC</t>
    </r>
    <r>
      <rPr>
        <vertAlign val="subscript"/>
        <sz val="10"/>
        <rFont val="Tahoma"/>
        <family val="2"/>
        <charset val="136"/>
      </rPr>
      <t xml:space="preserve">ij</t>
    </r>
    <r>
      <rPr>
        <sz val="10"/>
        <rFont val="Tahoma"/>
        <family val="2"/>
      </rPr>
      <t xml:space="preserve">: number of ETC account set up in payment type j in Year i, where cash &amp; checks = 1, and credit card = 2</t>
    </r>
  </si>
  <si>
    <r>
      <rPr>
        <sz val="10"/>
        <rFont val="Tahoma"/>
        <family val="2"/>
      </rPr>
      <t xml:space="preserve">       AB</t>
    </r>
    <r>
      <rPr>
        <vertAlign val="subscript"/>
        <sz val="10"/>
        <rFont val="Tahoma"/>
        <family val="2"/>
        <charset val="136"/>
      </rPr>
      <t xml:space="preserve">ij</t>
    </r>
    <r>
      <rPr>
        <sz val="10"/>
        <rFont val="Tahoma"/>
        <family val="2"/>
        <charset val="136"/>
      </rPr>
      <t xml:space="preserve">: average balance, including deposits, of payment type j in Year i, where cash &amp; checks = 1, and credit card = 2</t>
    </r>
  </si>
  <si>
    <t xml:space="preserve">        Iv  : annual interest rate</t>
  </si>
  <si>
    <r>
      <rPr>
        <vertAlign val="superscript"/>
        <sz val="10"/>
        <rFont val="Tahoma"/>
        <family val="2"/>
      </rPr>
      <t xml:space="preserve">1  </t>
    </r>
    <r>
      <rPr>
        <i val="true"/>
        <sz val="10"/>
        <color rgb="FF800000"/>
        <rFont val="Tahoma"/>
        <family val="2"/>
      </rPr>
      <t xml:space="preserve">Number of ETC Account set up in Payment Type j in Year I</t>
    </r>
    <r>
      <rPr>
        <sz val="10"/>
        <color rgb="FF800000"/>
        <rFont val="Tahoma"/>
        <family val="2"/>
      </rPr>
      <t xml:space="preserve"> (</t>
    </r>
    <r>
      <rPr>
        <i val="true"/>
        <sz val="10"/>
        <color rgb="FF800000"/>
        <rFont val="Tahoma"/>
        <family val="2"/>
      </rPr>
      <t xml:space="preserve">Ac</t>
    </r>
    <r>
      <rPr>
        <i val="true"/>
        <vertAlign val="subscript"/>
        <sz val="10"/>
        <color rgb="FF800000"/>
        <rFont val="Tahoma"/>
        <family val="2"/>
      </rPr>
      <t xml:space="preserve">ij</t>
    </r>
    <r>
      <rPr>
        <i val="true"/>
        <sz val="10"/>
        <color rgb="FF800000"/>
        <rFont val="Tahoma"/>
        <family val="2"/>
      </rPr>
      <t xml:space="preserve">):</t>
    </r>
    <r>
      <rPr>
        <sz val="10"/>
        <color rgb="FF800000"/>
        <rFont val="Tahoma"/>
        <family val="2"/>
      </rPr>
      <t xml:space="preserve"> AC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= ET</t>
    </r>
    <r>
      <rPr>
        <vertAlign val="subscript"/>
        <sz val="10"/>
        <color rgb="FF800000"/>
        <rFont val="Tahoma"/>
        <family val="2"/>
      </rPr>
      <t xml:space="preserve">i</t>
    </r>
    <r>
      <rPr>
        <sz val="10"/>
        <color rgb="FF800000"/>
        <rFont val="Tahoma"/>
        <family val="2"/>
      </rPr>
      <t xml:space="preserve">*SP</t>
    </r>
    <r>
      <rPr>
        <vertAlign val="subscript"/>
        <sz val="10"/>
        <color rgb="FF800000"/>
        <rFont val="Tahoma"/>
        <family val="2"/>
      </rPr>
      <t xml:space="preserve">j </t>
    </r>
    <r>
      <rPr>
        <sz val="10"/>
        <color rgb="FF800000"/>
        <rFont val="Tahoma"/>
        <family val="2"/>
      </rPr>
      <t xml:space="preserve">/ AU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</si>
  <si>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vertAlign val="superscript"/>
        <sz val="10"/>
        <rFont val="Tahoma"/>
        <family val="2"/>
        <charset val="136"/>
      </rPr>
      <t xml:space="preserve">    </t>
    </r>
    <r>
      <rPr>
        <sz val="10"/>
        <rFont val="Tahoma"/>
        <family val="2"/>
        <charset val="136"/>
      </rPr>
      <t xml:space="preserve">Where,</t>
    </r>
  </si>
  <si>
    <r>
      <rPr>
        <sz val="10"/>
        <rFont val="Tahoma"/>
        <family val="2"/>
        <charset val="136"/>
      </rPr>
      <t xml:space="preserve">       ET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: total number of ETC transaction in year i = (forecast annual traffic volume in year i) *(forecast ETC split in Year i)</t>
    </r>
  </si>
  <si>
    <r>
      <rPr>
        <vertAlign val="superscript"/>
        <sz val="10"/>
        <rFont val="Tahoma"/>
        <family val="2"/>
        <charset val="136"/>
      </rPr>
      <t xml:space="preserve">        </t>
    </r>
    <r>
      <rPr>
        <sz val="10"/>
        <rFont val="Tahoma"/>
        <family val="2"/>
        <charset val="136"/>
      </rPr>
      <t xml:space="preserve"> SP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split of payment type j, where cash &amp; checks = 1, credit card =2</t>
    </r>
  </si>
  <si>
    <r>
      <rPr>
        <vertAlign val="superscript"/>
        <sz val="10"/>
        <rFont val="Tahoma"/>
        <family val="2"/>
        <charset val="136"/>
      </rPr>
      <t xml:space="preserve">        </t>
    </r>
    <r>
      <rPr>
        <sz val="10"/>
        <rFont val="Tahoma"/>
        <family val="2"/>
        <charset val="136"/>
      </rPr>
      <t xml:space="preserve"> AU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usage per account per year, where cash &amp; checks = 1, credit card =2</t>
    </r>
  </si>
  <si>
    <r>
      <rPr>
        <vertAlign val="superscript"/>
        <sz val="10"/>
        <rFont val="Tahoma"/>
        <family val="2"/>
      </rPr>
      <t xml:space="preserve">2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Average Balance for Payment Type j in Year i </t>
    </r>
    <r>
      <rPr>
        <sz val="10"/>
        <color rgb="FF800000"/>
        <rFont val="Tahoma"/>
        <family val="2"/>
      </rPr>
      <t xml:space="preserve">(</t>
    </r>
    <r>
      <rPr>
        <i val="true"/>
        <sz val="10"/>
        <color rgb="FF800000"/>
        <rFont val="Tahoma"/>
        <family val="2"/>
      </rPr>
      <t xml:space="preserve">ABij</t>
    </r>
    <r>
      <rPr>
        <sz val="10"/>
        <color rgb="FF800000"/>
        <rFont val="Tahoma"/>
        <family val="2"/>
      </rPr>
      <t xml:space="preserve">): ABij = ATAG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*DT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 + ABXT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</si>
  <si>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sz val="10"/>
        <rFont val="Tahoma"/>
        <family val="2"/>
        <charset val="136"/>
      </rPr>
      <t xml:space="preserve">       ATAG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tags per account for payment type j, where cash &amp; checks = 1, credit card =2</t>
    </r>
  </si>
  <si>
    <r>
      <rPr>
        <sz val="10"/>
        <rFont val="Tahoma"/>
        <family val="2"/>
        <charset val="136"/>
      </rPr>
      <t xml:space="preserve">       DT</t>
    </r>
    <r>
      <rPr>
        <vertAlign val="subscript"/>
        <sz val="10"/>
        <rFont val="Tahoma"/>
        <family val="2"/>
        <charset val="136"/>
      </rPr>
      <t xml:space="preserve">j     </t>
    </r>
    <r>
      <rPr>
        <sz val="10"/>
        <rFont val="Tahoma"/>
        <family val="2"/>
        <charset val="136"/>
      </rPr>
      <t xml:space="preserve">: required amount of deposits for transponders in payment type j, where cash &amp; checks = 1, credit card =2</t>
    </r>
  </si>
  <si>
    <r>
      <rPr>
        <sz val="10"/>
        <rFont val="Tahoma"/>
        <family val="2"/>
        <charset val="136"/>
      </rPr>
      <t xml:space="preserve">       ABXT</t>
    </r>
    <r>
      <rPr>
        <vertAlign val="subscript"/>
        <sz val="10"/>
        <rFont val="Tahoma"/>
        <family val="2"/>
        <charset val="136"/>
      </rPr>
      <t xml:space="preserve">j</t>
    </r>
    <r>
      <rPr>
        <sz val="10"/>
        <rFont val="Tahoma"/>
        <family val="2"/>
        <charset val="136"/>
      </rPr>
      <t xml:space="preserve">: average amount of balance other than deposits per account in payment type j, where cash &amp; checks = 1, credit card =2</t>
    </r>
  </si>
  <si>
    <r>
      <rPr>
        <vertAlign val="superscript"/>
        <sz val="10"/>
        <rFont val="Tahoma"/>
        <family val="2"/>
      </rPr>
      <t xml:space="preserve"> 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Total Balance for Payment Type j in Year i</t>
    </r>
    <r>
      <rPr>
        <sz val="10"/>
        <color rgb="FF800000"/>
        <rFont val="Tahoma"/>
        <family val="2"/>
      </rPr>
      <t xml:space="preserve"> : AB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* AC</t>
    </r>
    <r>
      <rPr>
        <vertAlign val="subscript"/>
        <sz val="10"/>
        <color rgb="FF800000"/>
        <rFont val="Tahoma"/>
        <family val="2"/>
      </rPr>
      <t xml:space="preserve">ij</t>
    </r>
  </si>
  <si>
    <r>
      <rPr>
        <sz val="10"/>
        <rFont val="Wingdings"/>
        <family val="0"/>
        <charset val="2"/>
      </rPr>
      <t xml:space="preserve">1</t>
    </r>
    <r>
      <rPr>
        <sz val="10"/>
        <rFont val="Tahoma"/>
        <family val="2"/>
      </rPr>
      <t xml:space="preserve"> Transaction and Travel Facts at the Toll Plaza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</si>
  <si>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Valuation of Time Saving per Year</t>
    </r>
  </si>
  <si>
    <t xml:space="preserve">a) Estimation of Time Saving as a Result of Introducing ETC System per Year (hrs)</t>
  </si>
  <si>
    <t xml:space="preserve">Total Time Saving (hrs)</t>
  </si>
  <si>
    <r>
      <rPr>
        <b val="true"/>
        <sz val="10"/>
        <color rgb="FF800000"/>
        <rFont val="Times New Roman"/>
        <family val="1"/>
        <charset val="136"/>
      </rPr>
      <t xml:space="preserve">Factor of Time Value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</si>
  <si>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t xml:space="preserve">Total Value of Time Saving*</t>
  </si>
  <si>
    <t xml:space="preserve">ETC Traffic</t>
  </si>
  <si>
    <r>
      <rPr>
        <b val="true"/>
        <sz val="10"/>
        <color rgb="FF800000"/>
        <rFont val="Times New Roman"/>
        <family val="1"/>
        <charset val="136"/>
      </rPr>
      <t xml:space="preserve">Idling Time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</si>
  <si>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r>
      <rPr>
        <b val="true"/>
        <sz val="10"/>
        <color rgb="FF800000"/>
        <rFont val="Times New Roman"/>
        <family val="1"/>
        <charset val="136"/>
      </rPr>
      <t xml:space="preserve">Time Difference due to Deceleration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3</t>
    </r>
  </si>
  <si>
    <r>
      <rPr>
        <b val="true"/>
        <sz val="10"/>
        <color rgb="FF800000"/>
        <rFont val="Times New Roman"/>
        <family val="1"/>
        <charset val="136"/>
      </rPr>
      <t xml:space="preserve">Time Difference due to Acceleration (hrs/yr)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4</t>
    </r>
  </si>
  <si>
    <t xml:space="preserve">Total Time Saving** (hrs/yr)</t>
  </si>
  <si>
    <t xml:space="preserve"> From Idling</t>
  </si>
  <si>
    <t xml:space="preserve">Deceleration</t>
  </si>
  <si>
    <t xml:space="preserve">Acceleration</t>
  </si>
  <si>
    <r>
      <rPr>
        <b val="true"/>
        <i val="true"/>
        <sz val="10"/>
        <color rgb="FF800000"/>
        <rFont val="Times New Roman"/>
        <family val="1"/>
      </rPr>
      <t xml:space="preserve">Total</t>
    </r>
    <r>
      <rPr>
        <b val="true"/>
        <sz val="10"/>
        <color rgb="FF800000"/>
        <rFont val="Times New Roman"/>
        <family val="1"/>
      </rPr>
      <t xml:space="preserve"> (hrs)</t>
    </r>
  </si>
  <si>
    <t xml:space="preserve">Time Saving</t>
  </si>
  <si>
    <t xml:space="preserve">Avg. Speed (mph)</t>
  </si>
  <si>
    <t xml:space="preserve">Time  Saving</t>
  </si>
  <si>
    <t xml:space="preserve">Split among ETC Users</t>
  </si>
  <si>
    <t xml:space="preserve">* Estimation of the Value of Total Time Saving</t>
  </si>
  <si>
    <t xml:space="preserve">**Estimation the Amount of Time Differences Spent in ETC Alternative and Baseline System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</si>
  <si>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Factor of Time Value</t>
    </r>
  </si>
  <si>
    <r>
      <rPr>
        <vertAlign val="superscript"/>
        <sz val="10"/>
        <color rgb="FF800000"/>
        <rFont val="Tahoma"/>
        <family val="2"/>
        <charset val="136"/>
      </rPr>
      <t xml:space="preserve">2</t>
    </r>
    <r>
      <rPr>
        <b val="true"/>
        <i val="true"/>
        <sz val="10"/>
        <color rgb="FF800000"/>
        <rFont val="Tahoma"/>
        <family val="2"/>
        <charset val="136"/>
      </rPr>
      <t xml:space="preserve"> Idling Time:</t>
    </r>
  </si>
  <si>
    <r>
      <rPr>
        <sz val="10"/>
        <color rgb="FF800000"/>
        <rFont val="Tahoma"/>
        <family val="2"/>
        <charset val="136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  <charset val="136"/>
      </rPr>
      <t xml:space="preserve">:</t>
    </r>
  </si>
  <si>
    <t xml:space="preserve">   This category includes the amount of time to wait in queue and processing transaction.</t>
  </si>
  <si>
    <t xml:space="preserve">   a. Unit time values for each mode don't change over time during the analysis period</t>
  </si>
  <si>
    <r>
      <rPr>
        <sz val="10"/>
        <rFont val="Tahoma"/>
        <family val="2"/>
        <charset val="136"/>
      </rPr>
      <t xml:space="preserve">   The number is calculated by HCM Formula done in Sheet"Optimal ETC Lanes" called "</t>
    </r>
    <r>
      <rPr>
        <u val="single"/>
        <sz val="10"/>
        <color rgb="FF800000"/>
        <rFont val="Tahoma"/>
        <family val="2"/>
        <charset val="136"/>
      </rPr>
      <t xml:space="preserve">queueing delay</t>
    </r>
    <r>
      <rPr>
        <sz val="10"/>
        <rFont val="Tahoma"/>
        <family val="2"/>
        <charset val="136"/>
      </rPr>
      <t xml:space="preserve">".</t>
    </r>
  </si>
  <si>
    <t xml:space="preserve">   b. The percentage of mode split doesn't change significantly during the analysis period</t>
  </si>
  <si>
    <t xml:space="preserve">   c. Average occupancy per vehicle for each mode doesn't change significantly during the analysis period</t>
  </si>
  <si>
    <r>
      <rPr>
        <vertAlign val="superscript"/>
        <sz val="10"/>
        <color rgb="FF800000"/>
        <rFont val="Tahoma"/>
        <family val="2"/>
        <charset val="136"/>
      </rPr>
      <t xml:space="preserve">3</t>
    </r>
    <r>
      <rPr>
        <b val="true"/>
        <i val="true"/>
        <sz val="10"/>
        <color rgb="FF800000"/>
        <rFont val="Tahoma"/>
        <family val="2"/>
        <charset val="136"/>
      </rPr>
      <t xml:space="preserve"> Time Difference due to Decelaration: the difference of time spent during the deceleration process between Baseline and ETC Alternative.</t>
    </r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</si>
  <si>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F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= (U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1</t>
    </r>
    <r>
      <rPr>
        <i val="true"/>
        <sz val="10"/>
        <color rgb="FF800000"/>
        <rFont val="Tahoma"/>
        <family val="2"/>
        <charset val="136"/>
      </rPr>
      <t xml:space="preserve">+ U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2</t>
    </r>
    <r>
      <rPr>
        <i val="true"/>
        <sz val="10"/>
        <color rgb="FF800000"/>
        <rFont val="Tahoma"/>
        <family val="2"/>
        <charset val="136"/>
      </rPr>
      <t xml:space="preserve">+ U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*VOC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*SU</t>
    </r>
    <r>
      <rPr>
        <i val="true"/>
        <vertAlign val="subscript"/>
        <sz val="10"/>
        <color rgb="FF800000"/>
        <rFont val="Tahoma"/>
        <family val="2"/>
        <charset val="136"/>
      </rPr>
      <t xml:space="preserve">3</t>
    </r>
    <r>
      <rPr>
        <i val="true"/>
        <sz val="10"/>
        <color rgb="FF800000"/>
        <rFont val="Tahoma"/>
        <family val="2"/>
        <charset val="136"/>
      </rPr>
      <t xml:space="preserve">)*(1+I</t>
    </r>
    <r>
      <rPr>
        <i val="true"/>
        <vertAlign val="subscript"/>
        <sz val="10"/>
        <color rgb="FF800000"/>
        <rFont val="Tahoma"/>
        <family val="2"/>
        <charset val="136"/>
      </rPr>
      <t xml:space="preserve">f</t>
    </r>
    <r>
      <rPr>
        <i val="true"/>
        <sz val="10"/>
        <color rgb="FF800000"/>
        <rFont val="Tahoma"/>
        <family val="2"/>
        <charset val="136"/>
      </rPr>
      <t xml:space="preserve">)</t>
    </r>
    <r>
      <rPr>
        <i val="true"/>
        <vertAlign val="super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</t>
    </r>
  </si>
  <si>
    <t xml:space="preserve">   Due to the existence of the toll plaza, manual users have to slow down from prevailing travel speed to zero to proceed toll transaction.</t>
  </si>
  <si>
    <t xml:space="preserve">   where,</t>
  </si>
  <si>
    <r>
      <rPr>
        <sz val="10"/>
        <rFont val="Tahoma"/>
        <family val="2"/>
        <charset val="136"/>
      </rPr>
      <t xml:space="preserve">   </t>
    </r>
    <r>
      <rPr>
        <u val="single"/>
        <sz val="10"/>
        <rFont val="Tahoma"/>
        <family val="2"/>
        <charset val="136"/>
      </rPr>
      <t xml:space="preserve">Assumptions</t>
    </r>
    <r>
      <rPr>
        <sz val="10"/>
        <rFont val="Tahoma"/>
        <family val="2"/>
        <charset val="136"/>
      </rPr>
      <t xml:space="preserve">:</t>
    </r>
  </si>
  <si>
    <r>
      <rPr>
        <sz val="10"/>
        <rFont val="Tahoma"/>
        <family val="2"/>
        <charset val="136"/>
      </rPr>
      <t xml:space="preserve">       U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    : time value per hour for mode k, in dollars.  Auto=1, truck=2, and bus=3 </t>
    </r>
  </si>
  <si>
    <t xml:space="preserve">      a. Queue doesn't occupy physical space.</t>
  </si>
  <si>
    <r>
      <rPr>
        <sz val="10"/>
        <rFont val="Tahoma"/>
        <family val="2"/>
        <charset val="136"/>
      </rPr>
      <t xml:space="preserve">       VOC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: average vehicle occupancy for mode k, where auto=1, truck=2, and bus=3</t>
    </r>
  </si>
  <si>
    <t xml:space="preserve">          That is, imagine that drivers who use manual booths begin to decelerate at certain point and stop completely right before toll plaza</t>
  </si>
  <si>
    <r>
      <rPr>
        <sz val="10"/>
        <rFont val="Tahoma"/>
        <family val="2"/>
        <charset val="136"/>
      </rPr>
      <t xml:space="preserve">       SU</t>
    </r>
    <r>
      <rPr>
        <vertAlign val="subscript"/>
        <sz val="10"/>
        <rFont val="Tahoma"/>
        <family val="2"/>
        <charset val="136"/>
      </rPr>
      <t xml:space="preserve">k</t>
    </r>
    <r>
      <rPr>
        <sz val="10"/>
        <rFont val="Tahoma"/>
        <family val="2"/>
        <charset val="136"/>
      </rPr>
      <t xml:space="preserve">   : mode split among ETC Users for mode k, where auto=1, truck=2, and bus=3</t>
    </r>
  </si>
  <si>
    <r>
      <rPr>
        <sz val="10"/>
        <rFont val="Tahoma"/>
        <family val="2"/>
        <charset val="136"/>
      </rPr>
      <t xml:space="preserve">          where vehicle stack one another vertically.  The length of the deceleration process is defined as "</t>
    </r>
    <r>
      <rPr>
        <i val="true"/>
        <sz val="10"/>
        <rFont val="Tahoma"/>
        <family val="2"/>
        <charset val="136"/>
      </rPr>
      <t xml:space="preserve">ramp prior to toll plaza</t>
    </r>
    <r>
      <rPr>
        <sz val="10"/>
        <rFont val="Tahoma"/>
        <family val="2"/>
        <charset val="136"/>
      </rPr>
      <t xml:space="preserve">". </t>
    </r>
  </si>
  <si>
    <r>
      <rPr>
        <sz val="10"/>
        <rFont val="Tahoma"/>
        <family val="2"/>
        <charset val="136"/>
      </rPr>
      <t xml:space="preserve">       I</t>
    </r>
    <r>
      <rPr>
        <vertAlign val="subscript"/>
        <sz val="10"/>
        <rFont val="Tahoma"/>
        <family val="2"/>
        <charset val="136"/>
      </rPr>
      <t xml:space="preserve">f</t>
    </r>
    <r>
      <rPr>
        <sz val="10"/>
        <rFont val="Tahoma"/>
        <family val="2"/>
        <charset val="136"/>
      </rPr>
      <t xml:space="preserve">      : Inflation Rate</t>
    </r>
  </si>
  <si>
    <t xml:space="preserve">      b. Constant deceleration rate.  Hence, average speed during the deceleration process is equal to one half of prevailing travel speed.</t>
  </si>
  <si>
    <r>
      <rPr>
        <sz val="10"/>
        <rFont val="Tahoma"/>
        <family val="2"/>
        <charset val="136"/>
      </rPr>
      <t xml:space="preserve">       ATV</t>
    </r>
    <r>
      <rPr>
        <vertAlign val="subscript"/>
        <sz val="10"/>
        <rFont val="Tahoma"/>
        <family val="2"/>
        <charset val="136"/>
      </rPr>
      <t xml:space="preserve">i </t>
    </r>
    <r>
      <rPr>
        <sz val="10"/>
        <rFont val="Tahoma"/>
        <family val="2"/>
        <charset val="136"/>
      </rPr>
      <t xml:space="preserve">: annual traffic volume in year i </t>
    </r>
  </si>
  <si>
    <r>
      <rPr>
        <sz val="10"/>
        <rFont val="Tahoma"/>
        <family val="2"/>
        <charset val="136"/>
      </rPr>
      <t xml:space="preserve">       ET</t>
    </r>
    <r>
      <rPr>
        <vertAlign val="subscript"/>
        <sz val="10"/>
        <rFont val="Tahoma"/>
        <family val="2"/>
        <charset val="136"/>
      </rPr>
      <t xml:space="preserve">i</t>
    </r>
    <r>
      <rPr>
        <sz val="10"/>
        <rFont val="Tahoma"/>
        <family val="2"/>
        <charset val="136"/>
      </rPr>
      <t xml:space="preserve">   : total number of ETC transaction in year i = ATVi * (forecast ETC split in Year i)</t>
    </r>
  </si>
  <si>
    <r>
      <rPr>
        <sz val="10"/>
        <rFont val="Tahoma"/>
        <family val="2"/>
        <charset val="136"/>
      </rPr>
      <t xml:space="preserve">       D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   : The length of ramp prior to toll plaza, in miles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</si>
  <si>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n</t>
    </r>
    <r>
      <rPr>
        <sz val="10"/>
        <rFont val="Tahoma"/>
        <family val="2"/>
        <charset val="136"/>
      </rPr>
      <t xml:space="preserve">    : Prevailing Travel Speed on highway, in mph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</si>
  <si>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   : Average speed during the deceleration process,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= 0.5 * V</t>
    </r>
    <r>
      <rPr>
        <vertAlign val="subscript"/>
        <sz val="10"/>
        <rFont val="Tahoma"/>
        <family val="2"/>
        <charset val="136"/>
      </rPr>
      <t xml:space="preserve">n</t>
    </r>
  </si>
  <si>
    <t xml:space="preserve">    For ETC Users, they don't need to slow down.</t>
  </si>
  <si>
    <r>
      <rPr>
        <sz val="10"/>
        <rFont val="Tahoma"/>
        <family val="2"/>
        <charset val="136"/>
      </rPr>
      <t xml:space="preserve">    </t>
    </r>
    <r>
      <rPr>
        <b val="true"/>
        <i val="true"/>
        <sz val="10"/>
        <color rgb="FF800000"/>
        <rFont val="Tahoma"/>
        <family val="2"/>
        <charset val="136"/>
      </rPr>
      <t xml:space="preserve">Hence,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dei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i val="true"/>
        <sz val="10"/>
        <color rgb="FF800000"/>
        <rFont val="Tahoma"/>
        <family val="2"/>
        <charset val="136"/>
      </rPr>
      <t xml:space="preserve">: ET</t>
    </r>
    <r>
      <rPr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* D</t>
    </r>
    <r>
      <rPr>
        <i val="true"/>
        <vertAlign val="subscript"/>
        <sz val="10"/>
        <color rgb="FF800000"/>
        <rFont val="Tahoma"/>
        <family val="2"/>
        <charset val="136"/>
      </rPr>
      <t xml:space="preserve">d</t>
    </r>
    <r>
      <rPr>
        <i val="true"/>
        <sz val="10"/>
        <color rgb="FF800000"/>
        <rFont val="Tahoma"/>
        <family val="2"/>
        <charset val="136"/>
      </rPr>
      <t xml:space="preserve"> / V</t>
    </r>
    <r>
      <rPr>
        <i val="true"/>
        <vertAlign val="subscript"/>
        <sz val="10"/>
        <color rgb="FF800000"/>
        <rFont val="Tahoma"/>
        <family val="2"/>
        <charset val="136"/>
      </rPr>
      <t xml:space="preserve">n</t>
    </r>
  </si>
  <si>
    <r>
      <rPr>
        <vertAlign val="superscript"/>
        <sz val="10"/>
        <color rgb="FF800000"/>
        <rFont val="Tahoma"/>
        <family val="2"/>
        <charset val="136"/>
      </rPr>
      <t xml:space="preserve">4</t>
    </r>
    <r>
      <rPr>
        <b val="true"/>
        <i val="true"/>
        <sz val="10"/>
        <color rgb="FF800000"/>
        <rFont val="Tahoma"/>
        <family val="2"/>
        <charset val="136"/>
      </rPr>
      <t xml:space="preserve"> Time Difference due to Accelaration: the difference of time spent during the acceleration process between Baseline and ETC Alternative.</t>
    </r>
  </si>
  <si>
    <t xml:space="preserve">   Due to the existence of the toll plaza, manual users have to accelerate from zero to prevailing travel speed after toll transactions.</t>
  </si>
  <si>
    <t xml:space="preserve">      a. Constant acceleration rate.  Hence, average speed during the deceleration process is equal to one half of prevailing travel speed.</t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</si>
  <si>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For Manual Users, total time spent during the decelaration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ami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sz val="10"/>
        <rFont val="Tahoma"/>
        <family val="2"/>
        <charset val="136"/>
      </rPr>
      <t xml:space="preserve">:</t>
    </r>
    <r>
      <rPr>
        <sz val="10"/>
        <color rgb="FF800000"/>
        <rFont val="Tahoma"/>
        <family val="2"/>
        <charset val="136"/>
      </rPr>
      <t xml:space="preserve"> (ATV</t>
    </r>
    <r>
      <rPr>
        <vertAlign val="subscript"/>
        <sz val="10"/>
        <color rgb="FF800000"/>
        <rFont val="Tahoma"/>
        <family val="2"/>
        <charset val="136"/>
      </rPr>
      <t xml:space="preserve">i </t>
    </r>
    <r>
      <rPr>
        <sz val="10"/>
        <color rgb="FF800000"/>
        <rFont val="Tahoma"/>
        <family val="2"/>
        <charset val="136"/>
      </rPr>
      <t xml:space="preserve">- ET</t>
    </r>
    <r>
      <rPr>
        <vertAlign val="subscript"/>
        <sz val="10"/>
        <color rgb="FF800000"/>
        <rFont val="Tahoma"/>
        <family val="2"/>
        <charset val="136"/>
      </rPr>
      <t xml:space="preserve">i</t>
    </r>
    <r>
      <rPr>
        <sz val="10"/>
        <color rgb="FF800000"/>
        <rFont val="Tahoma"/>
        <family val="2"/>
        <charset val="136"/>
      </rPr>
      <t xml:space="preserve">) * D</t>
    </r>
    <r>
      <rPr>
        <vertAlign val="subscript"/>
        <sz val="10"/>
        <color rgb="FF800000"/>
        <rFont val="Tahoma"/>
        <family val="2"/>
        <charset val="136"/>
      </rPr>
      <t xml:space="preserve">a </t>
    </r>
    <r>
      <rPr>
        <sz val="10"/>
        <color rgb="FF800000"/>
        <rFont val="Tahoma"/>
        <family val="2"/>
        <charset val="136"/>
      </rPr>
      <t xml:space="preserve">/ V</t>
    </r>
    <r>
      <rPr>
        <vertAlign val="subscript"/>
        <sz val="10"/>
        <color rgb="FF800000"/>
        <rFont val="Tahoma"/>
        <family val="2"/>
        <charset val="136"/>
      </rPr>
      <t xml:space="preserve">a</t>
    </r>
  </si>
  <si>
    <r>
      <rPr>
        <sz val="10"/>
        <rFont val="Tahoma"/>
        <family val="2"/>
        <charset val="136"/>
      </rPr>
      <t xml:space="preserve">       D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The length of ramp leading from toll plaza, in miles.  I.e. the distance required to achieve prevailing travel speed</t>
    </r>
  </si>
  <si>
    <r>
      <rPr>
        <sz val="10"/>
        <rFont val="Tahoma"/>
        <family val="2"/>
        <charset val="136"/>
      </rPr>
      <t xml:space="preserve">       V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Average speed during the acceleration process, V</t>
    </r>
    <r>
      <rPr>
        <vertAlign val="subscript"/>
        <sz val="10"/>
        <rFont val="Tahoma"/>
        <family val="2"/>
        <charset val="136"/>
      </rPr>
      <t xml:space="preserve">d</t>
    </r>
    <r>
      <rPr>
        <sz val="10"/>
        <rFont val="Tahoma"/>
        <family val="2"/>
        <charset val="136"/>
      </rPr>
      <t xml:space="preserve"> = 0.5 * V</t>
    </r>
    <r>
      <rPr>
        <vertAlign val="subscript"/>
        <sz val="10"/>
        <rFont val="Tahoma"/>
        <family val="2"/>
        <charset val="136"/>
      </rPr>
      <t xml:space="preserve">n</t>
    </r>
  </si>
  <si>
    <t xml:space="preserve">    For ETC Users, they don't need to slow down, and therefore, they don't need to speed up.</t>
  </si>
  <si>
    <r>
      <rPr>
        <sz val="10"/>
        <rFont val="Tahoma"/>
        <family val="2"/>
        <charset val="136"/>
      </rPr>
      <t xml:space="preserve">   </t>
    </r>
    <r>
      <rPr>
        <b val="true"/>
        <i val="true"/>
        <sz val="10"/>
        <color rgb="FF800000"/>
        <rFont val="Tahoma"/>
        <family val="2"/>
        <charset val="136"/>
      </rPr>
      <t xml:space="preserve">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  <charset val="136"/>
      </rPr>
      <t xml:space="preserve">dei</t>
    </r>
    <r>
      <rPr>
        <b val="true"/>
        <i val="true"/>
        <sz val="10"/>
        <color rgb="FF800000"/>
        <rFont val="Tahoma"/>
        <family val="2"/>
        <charset val="136"/>
      </rPr>
      <t xml:space="preserve">)</t>
    </r>
    <r>
      <rPr>
        <i val="true"/>
        <sz val="10"/>
        <color rgb="FF800000"/>
        <rFont val="Tahoma"/>
        <family val="2"/>
        <charset val="136"/>
      </rPr>
      <t xml:space="preserve">: ET</t>
    </r>
    <r>
      <rPr>
        <i val="true"/>
        <vertAlign val="subscript"/>
        <sz val="10"/>
        <color rgb="FF800000"/>
        <rFont val="Tahoma"/>
        <family val="2"/>
        <charset val="136"/>
      </rPr>
      <t xml:space="preserve">i</t>
    </r>
    <r>
      <rPr>
        <i val="true"/>
        <sz val="10"/>
        <color rgb="FF800000"/>
        <rFont val="Tahoma"/>
        <family val="2"/>
        <charset val="136"/>
      </rPr>
      <t xml:space="preserve"> * D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/ V</t>
    </r>
    <r>
      <rPr>
        <i val="true"/>
        <vertAlign val="subscript"/>
        <sz val="10"/>
        <color rgb="FF800000"/>
        <rFont val="Tahoma"/>
        <family val="2"/>
        <charset val="136"/>
      </rPr>
      <t xml:space="preserve">n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</si>
  <si>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Valuation of Emission Reduction per Year</t>
    </r>
  </si>
  <si>
    <r>
      <rPr>
        <sz val="10"/>
        <rFont val="Wingdings"/>
        <family val="0"/>
        <charset val="2"/>
      </rPr>
      <t xml:space="preserve">y</t>
    </r>
    <r>
      <rPr>
        <sz val="10"/>
        <rFont val="Tahoma"/>
        <family val="2"/>
        <charset val="136"/>
      </rPr>
      <t xml:space="preserve"> Estimates of Vehicle Emissions Reduction per Year</t>
    </r>
  </si>
  <si>
    <t xml:space="preserve">Total Emission Reduction (kgs)</t>
  </si>
  <si>
    <t xml:space="preserve">Value of Emission Reduction</t>
  </si>
  <si>
    <t xml:space="preserve">Value of Fuel Reduction</t>
  </si>
  <si>
    <t xml:space="preserve">Total Time Saving per Year (hrs)</t>
  </si>
  <si>
    <r>
      <rPr>
        <b val="true"/>
        <sz val="10"/>
        <color rgb="FF800000"/>
        <rFont val="Times New Roman"/>
        <family val="1"/>
        <charset val="136"/>
      </rPr>
      <t xml:space="preserve">Emission Reduction from Idling (kgs)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1</t>
    </r>
  </si>
  <si>
    <r>
      <rPr>
        <b val="true"/>
        <sz val="10"/>
        <color rgb="FF800000"/>
        <rFont val="Times New Roman"/>
        <family val="1"/>
        <charset val="136"/>
      </rPr>
      <t xml:space="preserve">Emission Reduction from Acceleration(kgs)</t>
    </r>
    <r>
      <rPr>
        <b val="true"/>
        <vertAlign val="superscript"/>
        <sz val="10"/>
        <color rgb="FF800000"/>
        <rFont val="Times New Roman"/>
        <family val="1"/>
        <charset val="136"/>
      </rPr>
      <t xml:space="preserve">2</t>
    </r>
  </si>
  <si>
    <t xml:space="preserve">Total Emission Reduction (kgs)**</t>
  </si>
  <si>
    <t xml:space="preserve"> Idling</t>
  </si>
  <si>
    <t xml:space="preserve">Average Fuel Consumption per gallon (miles)</t>
  </si>
  <si>
    <t xml:space="preserve">Average Fuel consumption per hour (gallons)</t>
  </si>
  <si>
    <t xml:space="preserve">Acceleration Emissions Rates (grams/gallon)</t>
  </si>
  <si>
    <t xml:space="preserve">Idle Emission Rates (grams/minute)</t>
  </si>
  <si>
    <t xml:space="preserve">Costs of Air Pollution ($ / kg pollutant)</t>
  </si>
  <si>
    <t xml:space="preserve">Fuel Price per Gallon </t>
  </si>
  <si>
    <t xml:space="preserve">** Estimation of the Emission Reduction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</si>
  <si>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Emission Reduction from Idling (ER_</t>
    </r>
    <r>
      <rPr>
        <vertAlign val="subscript"/>
        <sz val="10"/>
        <color rgb="FF800000"/>
        <rFont val="Tahoma"/>
        <family val="2"/>
      </rPr>
      <t xml:space="preserve">idle</t>
    </r>
    <r>
      <rPr>
        <sz val="10"/>
        <color rgb="FF800000"/>
        <rFont val="Tahoma"/>
        <family val="2"/>
      </rPr>
      <t xml:space="preserve">) for pollutant type r : </t>
    </r>
  </si>
  <si>
    <r>
      <rPr>
        <i val="true"/>
        <sz val="10"/>
        <color rgb="FF800000"/>
        <rFont val="Tahoma"/>
        <family val="2"/>
        <charset val="136"/>
      </rPr>
      <t xml:space="preserve">    ER_</t>
    </r>
    <r>
      <rPr>
        <i val="true"/>
        <vertAlign val="subscript"/>
        <sz val="10"/>
        <color rgb="FF800000"/>
        <rFont val="Tahoma"/>
        <family val="2"/>
        <charset val="136"/>
      </rPr>
      <t xml:space="preserve">idle,r</t>
    </r>
    <r>
      <rPr>
        <i val="true"/>
        <sz val="10"/>
        <color rgb="FF800000"/>
        <rFont val="Tahoma"/>
        <family val="2"/>
        <charset val="136"/>
      </rPr>
      <t xml:space="preserve"> = TS</t>
    </r>
    <r>
      <rPr>
        <i val="true"/>
        <vertAlign val="subscript"/>
        <sz val="10"/>
        <color rgb="FF800000"/>
        <rFont val="Tahoma"/>
        <family val="2"/>
        <charset val="136"/>
      </rPr>
      <t xml:space="preserve">idle</t>
    </r>
    <r>
      <rPr>
        <i val="true"/>
        <sz val="10"/>
        <color rgb="FF800000"/>
        <rFont val="Tahoma"/>
        <family val="2"/>
        <charset val="136"/>
      </rPr>
      <t xml:space="preserve"> * E</t>
    </r>
    <r>
      <rPr>
        <i val="true"/>
        <vertAlign val="subscript"/>
        <sz val="10"/>
        <color rgb="FF800000"/>
        <rFont val="Tahoma"/>
        <family val="2"/>
        <charset val="136"/>
      </rPr>
      <t xml:space="preserve">_idle</t>
    </r>
    <r>
      <rPr>
        <i val="true"/>
        <sz val="10"/>
        <color rgb="FF800000"/>
        <rFont val="Tahoma"/>
        <family val="2"/>
        <charset val="136"/>
      </rPr>
      <t xml:space="preserve">* 60 / 1000</t>
    </r>
  </si>
  <si>
    <r>
      <rPr>
        <sz val="10"/>
        <rFont val="Tahoma"/>
        <family val="2"/>
        <charset val="136"/>
      </rPr>
      <t xml:space="preserve">       TS</t>
    </r>
    <r>
      <rPr>
        <vertAlign val="subscript"/>
        <sz val="10"/>
        <rFont val="Tahoma"/>
        <family val="2"/>
        <charset val="136"/>
      </rPr>
      <t xml:space="preserve">idle</t>
    </r>
    <r>
      <rPr>
        <sz val="10"/>
        <rFont val="Tahoma"/>
        <family val="2"/>
        <charset val="136"/>
      </rPr>
      <t xml:space="preserve"> : time saved in the idling event per year, in hr</t>
    </r>
  </si>
  <si>
    <r>
      <rPr>
        <sz val="10"/>
        <rFont val="Tahoma"/>
        <family val="2"/>
        <charset val="136"/>
      </rPr>
      <t xml:space="preserve">       E</t>
    </r>
    <r>
      <rPr>
        <vertAlign val="subscript"/>
        <sz val="10"/>
        <rFont val="Tahoma"/>
        <family val="2"/>
        <charset val="136"/>
      </rPr>
      <t xml:space="preserve">_idle,r</t>
    </r>
    <r>
      <rPr>
        <sz val="10"/>
        <rFont val="Tahoma"/>
        <family val="2"/>
        <charset val="136"/>
      </rPr>
      <t xml:space="preserve"> : Emission rate for pollutant type r during the idling event, in grams per minute</t>
    </r>
  </si>
  <si>
    <r>
      <rPr>
        <vertAlign val="superscript"/>
        <sz val="10"/>
        <color rgb="FF800000"/>
        <rFont val="Tahoma"/>
        <family val="2"/>
      </rPr>
      <t xml:space="preserve">2 </t>
    </r>
    <r>
      <rPr>
        <sz val="10"/>
        <color rgb="FF800000"/>
        <rFont val="Tahoma"/>
        <family val="2"/>
      </rPr>
      <t xml:space="preserve"> Emission Reduction from Acceleration (ER_acc) for pollutant type r : </t>
    </r>
  </si>
  <si>
    <r>
      <rPr>
        <i val="true"/>
        <sz val="10"/>
        <color rgb="FF800000"/>
        <rFont val="Tahoma"/>
        <family val="2"/>
        <charset val="136"/>
      </rPr>
      <t xml:space="preserve">    ET_</t>
    </r>
    <r>
      <rPr>
        <i val="true"/>
        <vertAlign val="subscript"/>
        <sz val="10"/>
        <color rgb="FF800000"/>
        <rFont val="Tahoma"/>
        <family val="2"/>
        <charset val="136"/>
      </rPr>
      <t xml:space="preserve">acc,r</t>
    </r>
    <r>
      <rPr>
        <i val="true"/>
        <sz val="10"/>
        <color rgb="FF800000"/>
        <rFont val="Tahoma"/>
        <family val="2"/>
        <charset val="136"/>
      </rPr>
      <t xml:space="preserve"> = TS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* FG</t>
    </r>
    <r>
      <rPr>
        <i val="true"/>
        <vertAlign val="subscript"/>
        <sz val="10"/>
        <color rgb="FF800000"/>
        <rFont val="Tahoma"/>
        <family val="2"/>
        <charset val="136"/>
      </rPr>
      <t xml:space="preserve">a</t>
    </r>
    <r>
      <rPr>
        <i val="true"/>
        <sz val="10"/>
        <color rgb="FF800000"/>
        <rFont val="Tahoma"/>
        <family val="2"/>
        <charset val="136"/>
      </rPr>
      <t xml:space="preserve"> * E_</t>
    </r>
    <r>
      <rPr>
        <i val="true"/>
        <vertAlign val="subscript"/>
        <sz val="10"/>
        <color rgb="FF800000"/>
        <rFont val="Tahoma"/>
        <family val="2"/>
        <charset val="136"/>
      </rPr>
      <t xml:space="preserve">acc,r</t>
    </r>
    <r>
      <rPr>
        <i val="true"/>
        <sz val="10"/>
        <color rgb="FF800000"/>
        <rFont val="Tahoma"/>
        <family val="2"/>
        <charset val="136"/>
      </rPr>
      <t xml:space="preserve"> / 1000</t>
    </r>
  </si>
  <si>
    <r>
      <rPr>
        <sz val="10"/>
        <rFont val="Tahoma"/>
        <family val="2"/>
        <charset val="136"/>
      </rPr>
      <t xml:space="preserve">       TS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time saved in the acceleration process per year, in hr</t>
    </r>
  </si>
  <si>
    <r>
      <rPr>
        <sz val="10"/>
        <rFont val="Tahoma"/>
        <family val="2"/>
        <charset val="136"/>
      </rPr>
      <t xml:space="preserve">       FG</t>
    </r>
    <r>
      <rPr>
        <vertAlign val="subscript"/>
        <sz val="10"/>
        <rFont val="Tahoma"/>
        <family val="2"/>
        <charset val="136"/>
      </rPr>
      <t xml:space="preserve">a</t>
    </r>
    <r>
      <rPr>
        <sz val="10"/>
        <rFont val="Tahoma"/>
        <family val="2"/>
        <charset val="136"/>
      </rPr>
      <t xml:space="preserve">    : average fuel consumption per hour, in gallon</t>
    </r>
  </si>
  <si>
    <r>
      <rPr>
        <sz val="10"/>
        <rFont val="Tahoma"/>
        <family val="2"/>
        <charset val="136"/>
      </rPr>
      <t xml:space="preserve">       E_</t>
    </r>
    <r>
      <rPr>
        <vertAlign val="subscript"/>
        <sz val="10"/>
        <rFont val="Tahoma"/>
        <family val="2"/>
        <charset val="136"/>
      </rPr>
      <t xml:space="preserve">acc,r</t>
    </r>
    <r>
      <rPr>
        <sz val="10"/>
        <rFont val="Tahoma"/>
        <family val="2"/>
        <charset val="136"/>
      </rPr>
      <t xml:space="preserve"> : Emission rate for pollutant type r during the acceleration process, in grams per gallon</t>
    </r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</si>
</sst>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\$#,##0\ ;&quot;($&quot;#,##0\)"/>
    <numFmt numFmtId="166" formatCode="0.00"/>
    <numFmt numFmtId="167" formatCode="0.00000"/>
    <numFmt numFmtId="168" formatCode="\$#,##0"/>
    <numFmt numFmtId="169" formatCode="0.00%"/>
    <numFmt numFmtId="170" formatCode="#,##0"/>
    <numFmt numFmtId="171" formatCode="\$#,##0.00"/>
    <numFmt numFmtId="172" formatCode="#,##0.00"/>
    <numFmt numFmtId="173" formatCode="0"/>
    <numFmt numFmtId="174" formatCode="0.0000%"/>
    <numFmt numFmtId="175" formatCode="0%"/>
    <numFmt numFmtId="176" formatCode="0.0000"/>
    <numFmt numFmtId="177" formatCode="#,##0;\-#,##0"/>
    <numFmt numFmtId="178" formatCode="#,##0.0"/>
    <numFmt numFmtId="179" formatCode="0.0"/>
    <numFmt numFmtId="180" formatCode="#,##0.0_);\(#,##0.0\)"/>
    <numFmt numFmtId="181" formatCode="\$#,##0.00_);[RED]&quot;($&quot;#,##0.00\)"/>
    <numFmt numFmtId="182" formatCode="0.0%"/>
    <numFmt numFmtId="183" formatCode="#,##0.000"/>
    <numFmt numFmtId="184" formatCode="#,##0.0000"/>
    <numFmt numFmtId="185" formatCode="\$#,##0_);[RED]&quot;($&quot;#,##0\)"/>
    <numFmt numFmtId="186" formatCode="\$#,##0.0_);[RED]&quot;($&quot;#,##0.0\)"/>
    <numFmt numFmtId="187" formatCode="_(* #,##0.00_);_(* \(#,##0.00\);_(* \-??_);_(@_)"/>
    <numFmt numFmtId="188" formatCode="#,##0;[RED]\-#,##0"/>
    <numFmt numFmtId="189" formatCode="\$#,##0.000"/>
    <numFmt numFmtId="190" formatCode="\$#,##0.0000"/>
  </numFmts>
  <fonts count="1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Tahoma"/>
      <family val="2"/>
    </font>
    <font>
      <sz val="10"/>
      <name val="Tahoma"/>
      <family val="2"/>
      <charset val="136"/>
    </font>
    <font>
      <b val="true"/>
      <u val="single"/>
      <sz val="10"/>
      <name val="Tahoma"/>
      <family val="2"/>
    </font>
    <font>
      <u val="single"/>
      <sz val="10"/>
      <name val="Tahoma"/>
      <family val="2"/>
      <charset val="136"/>
    </font>
    <font>
      <sz val="10"/>
      <name val="Wingdings"/>
      <family val="0"/>
      <charset val="2"/>
    </font>
    <font>
      <b val="true"/>
      <sz val="10"/>
      <name val="Tahoma"/>
      <family val="2"/>
      <charset val="136"/>
    </font>
    <font>
      <b val="true"/>
      <sz val="10"/>
      <color rgb="FF800000"/>
      <name val="Times New Roman"/>
      <family val="1"/>
    </font>
    <font>
      <b val="true"/>
      <sz val="10"/>
      <color rgb="FF800000"/>
      <name val="Times New Roman"/>
      <family val="1"/>
      <charset val="136"/>
    </font>
    <font>
      <b val="true"/>
      <sz val="9"/>
      <color rgb="FF800000"/>
      <name val="Times New Roman"/>
      <family val="1"/>
      <charset val="136"/>
    </font>
    <font>
      <b val="true"/>
      <sz val="9"/>
      <color rgb="FF800000"/>
      <name val="Symbol"/>
      <family val="1"/>
      <charset val="2"/>
    </font>
    <font>
      <i val="true"/>
      <u val="single"/>
      <sz val="10"/>
      <name val="Tahoma"/>
      <family val="2"/>
      <charset val="136"/>
    </font>
    <font>
      <b val="true"/>
      <sz val="10"/>
      <color rgb="FF800000"/>
      <name val="Symbol"/>
      <family val="1"/>
      <charset val="2"/>
    </font>
    <font>
      <i val="true"/>
      <sz val="10"/>
      <name val="Tahoma"/>
      <family val="2"/>
      <charset val="136"/>
    </font>
    <font>
      <sz val="10"/>
      <color rgb="FF993300"/>
      <name val="Tahoma"/>
      <family val="2"/>
      <charset val="136"/>
    </font>
    <font>
      <sz val="10"/>
      <color rgb="FF333399"/>
      <name val="Tahoma"/>
      <family val="2"/>
      <charset val="136"/>
    </font>
    <font>
      <vertAlign val="subscript"/>
      <sz val="10"/>
      <name val="Arial"/>
      <family val="2"/>
      <charset val="136"/>
    </font>
    <font>
      <i val="true"/>
      <sz val="10"/>
      <color rgb="FF993300"/>
      <name val="Times New Roman"/>
      <family val="1"/>
    </font>
    <font>
      <i val="true"/>
      <sz val="10"/>
      <color rgb="FF800000"/>
      <name val="Times New Roman"/>
      <family val="1"/>
      <charset val="136"/>
    </font>
    <font>
      <sz val="10"/>
      <color rgb="FF800000"/>
      <name val="Times New Roman"/>
      <family val="1"/>
      <charset val="136"/>
    </font>
    <font>
      <sz val="10"/>
      <name val="Symbol"/>
      <family val="1"/>
      <charset val="2"/>
    </font>
    <font>
      <vertAlign val="subscript"/>
      <sz val="10"/>
      <name val="Tahoma"/>
      <family val="2"/>
      <charset val="136"/>
    </font>
    <font>
      <sz val="10"/>
      <name val="Times New Roman"/>
      <family val="1"/>
      <charset val="136"/>
    </font>
    <font>
      <sz val="10"/>
      <color rgb="FFFF0000"/>
      <name val="Times New Roman"/>
      <family val="1"/>
      <charset val="136"/>
    </font>
    <font>
      <b val="true"/>
      <i val="true"/>
      <sz val="10"/>
      <name val="Bookman"/>
      <family val="1"/>
      <charset val="136"/>
    </font>
    <font>
      <sz val="10"/>
      <color rgb="FF800000"/>
      <name val="Tahoma"/>
      <family val="2"/>
    </font>
    <font>
      <i val="true"/>
      <sz val="10"/>
      <color rgb="FF800000"/>
      <name val="Tahoma"/>
      <family val="2"/>
      <charset val="136"/>
    </font>
    <font>
      <vertAlign val="superscript"/>
      <sz val="10"/>
      <name val="Tahoma"/>
      <family val="2"/>
      <charset val="136"/>
    </font>
    <font>
      <vertAlign val="superscript"/>
      <sz val="10"/>
      <name val="Tahoma"/>
      <family val="2"/>
    </font>
    <font>
      <i val="true"/>
      <sz val="10"/>
      <color rgb="FF993300"/>
      <name val="Times New Roman"/>
      <family val="1"/>
      <charset val="136"/>
    </font>
    <font>
      <sz val="10"/>
      <color rgb="FF800000"/>
      <name val="Tahoma"/>
      <family val="2"/>
      <charset val="136"/>
    </font>
    <font>
      <sz val="10"/>
      <name val="CG Times"/>
      <family val="0"/>
      <charset val="136"/>
    </font>
    <font>
      <b val="true"/>
      <sz val="12"/>
      <name val="Tahoma"/>
      <family val="2"/>
      <charset val="136"/>
    </font>
    <font>
      <b val="true"/>
      <sz val="14"/>
      <color rgb="FF000080"/>
      <name val="Tahoma"/>
      <family val="2"/>
      <charset val="136"/>
    </font>
    <font>
      <sz val="8"/>
      <name val="CG Times"/>
      <family val="0"/>
      <charset val="136"/>
    </font>
    <font>
      <b val="true"/>
      <u val="single"/>
      <sz val="10"/>
      <name val="Tahoma"/>
      <family val="2"/>
      <charset val="136"/>
    </font>
    <font>
      <sz val="8"/>
      <name val="Tahoma"/>
      <family val="2"/>
      <charset val="136"/>
    </font>
    <font>
      <b val="true"/>
      <sz val="10"/>
      <name val="Times New Roman"/>
      <family val="1"/>
      <charset val="136"/>
    </font>
    <font>
      <sz val="12"/>
      <name val="Tahoma"/>
      <family val="2"/>
      <charset val="136"/>
    </font>
    <font>
      <sz val="10"/>
      <name val="NewsGothic"/>
      <family val="2"/>
    </font>
    <font>
      <i val="true"/>
      <sz val="10"/>
      <color rgb="FF800000"/>
      <name val="Tahoma"/>
      <family val="2"/>
    </font>
    <font>
      <u val="single"/>
      <sz val="10"/>
      <color rgb="FF800000"/>
      <name val="Tahoma"/>
      <family val="2"/>
      <charset val="136"/>
    </font>
    <font>
      <sz val="10"/>
      <color rgb="FF666699"/>
      <name val="Tahoma"/>
      <family val="2"/>
      <charset val="136"/>
    </font>
    <font>
      <b val="true"/>
      <sz val="10"/>
      <name val="NewsGothic"/>
      <family val="2"/>
    </font>
    <font>
      <i val="true"/>
      <sz val="10"/>
      <color rgb="FF666699"/>
      <name val="Tahoma"/>
      <family val="2"/>
      <charset val="136"/>
    </font>
    <font>
      <sz val="11"/>
      <name val="Tahoma"/>
      <family val="2"/>
      <charset val="136"/>
    </font>
    <font>
      <i val="true"/>
      <u val="single"/>
      <sz val="11"/>
      <color rgb="FF800000"/>
      <name val="Tahoma"/>
      <family val="2"/>
      <charset val="136"/>
    </font>
    <font>
      <sz val="12"/>
      <color rgb="FF000080"/>
      <name val="Tahoma"/>
      <family val="2"/>
      <charset val="136"/>
    </font>
    <font>
      <i val="true"/>
      <sz val="10"/>
      <name val="Tahoma"/>
      <family val="2"/>
    </font>
    <font>
      <sz val="10"/>
      <color rgb="FF000080"/>
      <name val="Tahoma"/>
      <family val="2"/>
      <charset val="136"/>
    </font>
    <font>
      <b val="true"/>
      <i val="true"/>
      <u val="single"/>
      <sz val="12"/>
      <color rgb="FF800000"/>
      <name val="Times New Roman"/>
      <family val="1"/>
    </font>
    <font>
      <b val="true"/>
      <sz val="11"/>
      <name val="Tahoma"/>
      <family val="2"/>
      <charset val="136"/>
    </font>
    <font>
      <b val="true"/>
      <sz val="11"/>
      <color rgb="FF800000"/>
      <name val="Times New Roman"/>
      <family val="1"/>
      <charset val="136"/>
    </font>
    <font>
      <b val="true"/>
      <sz val="11"/>
      <color rgb="FF800000"/>
      <name val="Times New Roman"/>
      <family val="1"/>
    </font>
    <font>
      <sz val="11"/>
      <name val="Tahoma"/>
      <family val="2"/>
    </font>
    <font>
      <sz val="11"/>
      <color rgb="FF800000"/>
      <name val="Tahoma"/>
      <family val="2"/>
    </font>
    <font>
      <i val="true"/>
      <sz val="11"/>
      <color rgb="FF993300"/>
      <name val="Times New Roman"/>
      <family val="1"/>
      <charset val="136"/>
    </font>
    <font>
      <b val="true"/>
      <u val="single"/>
      <sz val="12"/>
      <color rgb="FF000000"/>
      <name val="Times New Roman"/>
      <family val="1"/>
    </font>
    <font>
      <b val="true"/>
      <i val="true"/>
      <sz val="10"/>
      <name val="Tahoma"/>
      <family val="2"/>
      <charset val="136"/>
    </font>
    <font>
      <sz val="11"/>
      <name val="Times New Roman"/>
      <family val="1"/>
      <charset val="136"/>
    </font>
    <font>
      <b val="true"/>
      <sz val="12"/>
      <color rgb="FF000000"/>
      <name val="Times New Roman"/>
      <family val="1"/>
    </font>
    <font>
      <i val="true"/>
      <sz val="11"/>
      <color rgb="FF800000"/>
      <name val="Times New Roman"/>
      <family val="1"/>
    </font>
    <font>
      <u val="single"/>
      <sz val="11"/>
      <color rgb="FF800000"/>
      <name val="Tahoma"/>
      <family val="2"/>
    </font>
    <font>
      <sz val="12"/>
      <color rgb="FF993300"/>
      <name val="Tahoma"/>
      <family val="2"/>
      <charset val="136"/>
    </font>
    <font>
      <sz val="11"/>
      <color rgb="FF800000"/>
      <name val="Tahoma"/>
      <family val="2"/>
      <charset val="136"/>
    </font>
    <font>
      <b val="true"/>
      <i val="true"/>
      <sz val="11"/>
      <color rgb="FF800000"/>
      <name val="Times New Roman"/>
      <family val="1"/>
    </font>
    <font>
      <sz val="11"/>
      <color rgb="FF333399"/>
      <name val="Times New Roman"/>
      <family val="1"/>
      <charset val="136"/>
    </font>
    <font>
      <i val="true"/>
      <sz val="11"/>
      <name val="Tahoma"/>
      <family val="2"/>
      <charset val="136"/>
    </font>
    <font>
      <sz val="11"/>
      <name val="Times New Roman"/>
      <family val="1"/>
    </font>
    <font>
      <b val="true"/>
      <sz val="12"/>
      <color rgb="FF000000"/>
      <name val="Tahoma"/>
      <family val="2"/>
      <charset val="136"/>
    </font>
    <font>
      <sz val="11"/>
      <color rgb="FF0000FF"/>
      <name val="Times New Roman"/>
      <family val="1"/>
      <charset val="136"/>
    </font>
    <font>
      <u val="single"/>
      <sz val="11"/>
      <color rgb="FF800000"/>
      <name val="Tahoma"/>
      <family val="2"/>
      <charset val="136"/>
    </font>
    <font>
      <sz val="10"/>
      <name val="OG Times"/>
      <family val="0"/>
      <charset val="136"/>
    </font>
    <font>
      <i val="true"/>
      <u val="single"/>
      <sz val="11"/>
      <name val="Tahoma"/>
      <family val="2"/>
      <charset val="136"/>
    </font>
    <font>
      <sz val="12"/>
      <color rgb="FF333399"/>
      <name val="Tahoma"/>
      <family val="2"/>
      <charset val="136"/>
    </font>
    <font>
      <b val="true"/>
      <sz val="10"/>
      <color rgb="FF800000"/>
      <name val="Tahoma"/>
      <family val="2"/>
    </font>
    <font>
      <b val="true"/>
      <sz val="10"/>
      <name val="Tahoma"/>
      <family val="2"/>
    </font>
    <font>
      <sz val="10"/>
      <color rgb="FF800000"/>
      <name val="Arial"/>
      <family val="0"/>
    </font>
    <font>
      <b val="true"/>
      <sz val="12"/>
      <color rgb="FF000000"/>
      <name val="Tahoma"/>
      <family val="2"/>
    </font>
    <font>
      <sz val="12"/>
      <color rgb="FF800000"/>
      <name val="Tahoma"/>
      <family val="2"/>
      <charset val="136"/>
    </font>
    <font>
      <sz val="9"/>
      <color rgb="FFFF0000"/>
      <name val="Tahoma"/>
      <family val="2"/>
      <charset val="136"/>
    </font>
    <font>
      <i val="true"/>
      <sz val="11"/>
      <color rgb="FF800000"/>
      <name val="Tahoma"/>
      <family val="2"/>
    </font>
    <font>
      <b val="true"/>
      <i val="true"/>
      <sz val="10"/>
      <color rgb="FF800000"/>
      <name val="Tahoma"/>
      <family val="2"/>
      <charset val="136"/>
    </font>
    <font>
      <sz val="12"/>
      <name val="Times New Roman"/>
      <family val="1"/>
    </font>
    <font>
      <b val="true"/>
      <sz val="12"/>
      <name val="Wingdings"/>
      <family val="0"/>
      <charset val="2"/>
    </font>
    <font>
      <b val="true"/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rgb="FF333399"/>
      <name val="Times New Roman"/>
      <family val="1"/>
    </font>
    <font>
      <vertAlign val="superscript"/>
      <sz val="10"/>
      <name val="Times New Roman"/>
      <family val="1"/>
    </font>
    <font>
      <b val="true"/>
      <i val="true"/>
      <sz val="12"/>
      <color rgb="FF800000"/>
      <name val="Times New Roman"/>
      <family val="1"/>
    </font>
    <font>
      <sz val="12"/>
      <color rgb="FF993300"/>
      <name val="Times New Roman"/>
      <family val="1"/>
    </font>
    <font>
      <sz val="10"/>
      <name val="Arial"/>
      <family val="2"/>
      <charset val="136"/>
    </font>
    <font>
      <b val="true"/>
      <i val="true"/>
      <sz val="10"/>
      <color rgb="FF800000"/>
      <name val="Times New Roman"/>
      <family val="1"/>
    </font>
    <font>
      <sz val="10"/>
      <color rgb="FF993300"/>
      <name val="Times New Roman"/>
      <family val="1"/>
    </font>
    <font>
      <sz val="10"/>
      <color rgb="FF800000"/>
      <name val="Times New Roman"/>
      <family val="1"/>
    </font>
    <font>
      <u val="single"/>
      <sz val="10"/>
      <name val="Arial"/>
      <family val="2"/>
    </font>
    <font>
      <b val="true"/>
      <i val="true"/>
      <sz val="12"/>
      <color rgb="FF9999FF"/>
      <name val="Times New Roman"/>
      <family val="1"/>
      <charset val="136"/>
    </font>
    <font>
      <b val="true"/>
      <i val="true"/>
      <sz val="10"/>
      <color rgb="FF800000"/>
      <name val="Times New Roman"/>
      <family val="1"/>
      <charset val="136"/>
    </font>
    <font>
      <i val="true"/>
      <u val="single"/>
      <sz val="10"/>
      <name val="Tahoma"/>
      <family val="2"/>
    </font>
    <font>
      <sz val="10"/>
      <color rgb="FF993300"/>
      <name val="Times New Roman"/>
      <family val="1"/>
      <charset val="136"/>
    </font>
    <font>
      <b val="true"/>
      <vertAlign val="superscript"/>
      <sz val="10"/>
      <name val="Times New Roman"/>
      <family val="1"/>
      <charset val="136"/>
    </font>
    <font>
      <b val="true"/>
      <i val="true"/>
      <sz val="10"/>
      <name val="Times New Roman"/>
      <family val="1"/>
      <charset val="136"/>
    </font>
    <font>
      <b val="true"/>
      <sz val="10"/>
      <color rgb="FF800000"/>
      <name val="Tahoma"/>
      <family val="2"/>
      <charset val="136"/>
    </font>
    <font>
      <b val="true"/>
      <i val="true"/>
      <vertAlign val="subscript"/>
      <sz val="10"/>
      <color rgb="FF800000"/>
      <name val="Tahoma"/>
      <family val="2"/>
      <charset val="136"/>
    </font>
    <font>
      <sz val="10"/>
      <color rgb="FF333399"/>
      <name val="Arial"/>
      <family val="2"/>
      <charset val="136"/>
    </font>
    <font>
      <b val="true"/>
      <vertAlign val="superscript"/>
      <sz val="10"/>
      <color rgb="FF800000"/>
      <name val="Times New Roman"/>
      <family val="1"/>
      <charset val="136"/>
    </font>
    <font>
      <b val="true"/>
      <sz val="10"/>
      <name val="Arial"/>
      <family val="2"/>
    </font>
    <font>
      <i val="true"/>
      <vertAlign val="subscript"/>
      <sz val="10"/>
      <color rgb="FF800000"/>
      <name val="Tahoma"/>
      <family val="2"/>
    </font>
    <font>
      <vertAlign val="subscript"/>
      <sz val="10"/>
      <color rgb="FF800000"/>
      <name val="Tahoma"/>
      <family val="2"/>
    </font>
    <font>
      <sz val="10"/>
      <name val="Bookman"/>
      <family val="1"/>
      <charset val="136"/>
    </font>
    <font>
      <vertAlign val="superscript"/>
      <sz val="10"/>
      <color rgb="FF800000"/>
      <name val="Tahoma"/>
      <family val="2"/>
    </font>
    <font>
      <vertAlign val="superscript"/>
      <sz val="10"/>
      <color rgb="FF800000"/>
      <name val="Tahoma"/>
      <family val="2"/>
      <charset val="136"/>
    </font>
    <font>
      <i val="true"/>
      <vertAlign val="subscript"/>
      <sz val="10"/>
      <color rgb="FF800000"/>
      <name val="Tahoma"/>
      <family val="2"/>
      <charset val="136"/>
    </font>
    <font>
      <i val="true"/>
      <vertAlign val="superscript"/>
      <sz val="10"/>
      <color rgb="FF800000"/>
      <name val="Tahoma"/>
      <family val="2"/>
      <charset val="136"/>
    </font>
    <font>
      <vertAlign val="subscript"/>
      <sz val="10"/>
      <color rgb="FF800000"/>
      <name val="Tahoma"/>
      <family val="2"/>
      <charset val="136"/>
    </font>
    <font>
      <b val="true"/>
      <sz val="10"/>
      <color rgb="FF9933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CC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99BFBF"/>
        <bgColor rgb="FF99CCFF"/>
      </patternFill>
    </fill>
    <fill>
      <patternFill patternType="solid">
        <fgColor rgb="FFCCFFFF"/>
        <bgColor rgb="FFCCFFFF"/>
      </patternFill>
    </fill>
  </fills>
  <borders count="9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double"/>
      <right style="double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double"/>
      <top style="hair"/>
      <bottom style="double"/>
      <diagonal/>
    </border>
    <border diagonalUp="false" diagonalDown="false">
      <left/>
      <right style="double"/>
      <top style="hair"/>
      <bottom style="double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 style="double"/>
      <bottom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thin"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hair"/>
      <right style="double"/>
      <top style="hair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 style="hair"/>
      <right style="hair"/>
      <top style="thin"/>
      <bottom style="double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hair"/>
      <top style="double"/>
      <bottom style="thin"/>
      <diagonal/>
    </border>
    <border diagonalUp="false" diagonalDown="false">
      <left style="hair"/>
      <right style="hair"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 style="double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double"/>
      <right style="hair"/>
      <top/>
      <bottom style="double"/>
      <diagonal/>
    </border>
    <border diagonalUp="false" diagonalDown="false">
      <left style="hair"/>
      <right style="hair"/>
      <top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 style="double"/>
      <top style="double"/>
      <bottom style="hair"/>
      <diagonal/>
    </border>
    <border diagonalUp="false" diagonalDown="false">
      <left/>
      <right style="thin"/>
      <top style="double"/>
      <bottom style="hair"/>
      <diagonal/>
    </border>
    <border diagonalUp="false" diagonalDown="false">
      <left style="double"/>
      <right style="thin"/>
      <top style="hair"/>
      <bottom style="double"/>
      <diagonal/>
    </border>
    <border diagonalUp="false" diagonalDown="false">
      <left style="hair"/>
      <right style="thin"/>
      <top/>
      <bottom/>
      <diagonal/>
    </border>
    <border diagonalUp="false" diagonalDown="false">
      <left/>
      <right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8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3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3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4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3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7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4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4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6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0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4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4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6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4" fillId="4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4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1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2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1" fillId="6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1" fontId="51" fillId="6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3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3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51" fillId="2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" borderId="4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3" fillId="7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3" fillId="7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67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7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2" fillId="2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1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3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1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51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3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3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2" fillId="2" borderId="5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9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3" fillId="7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3" fillId="7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7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3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51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3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3" fillId="0" borderId="5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3" fillId="4" borderId="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3" fillId="4" borderId="6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63" fillId="0" borderId="4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3" fillId="0" borderId="5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3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3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3" fillId="8" borderId="6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3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3" fillId="8" borderId="16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63" fillId="8" borderId="6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3" fillId="8" borderId="1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8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3" fillId="8" borderId="6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63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3" fillId="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3" fillId="8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4" borderId="1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8" borderId="1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63" fillId="8" borderId="1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3" fillId="0" borderId="6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3" fillId="4" borderId="6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63" fillId="4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63" fillId="0" borderId="63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63" fillId="4" borderId="65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3" fillId="8" borderId="2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2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8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8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5" fillId="2" borderId="6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6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1" fillId="6" borderId="6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3" fillId="8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4" borderId="2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8" borderId="2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63" fillId="8" borderId="2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2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63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1" fillId="3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1" fillId="3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1" fillId="3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7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1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1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0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4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4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6" fillId="2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8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8" fillId="0" borderId="8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8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2" borderId="6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1" fillId="2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1" fillId="2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3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4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3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2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3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4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4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3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4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3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4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3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3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4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3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3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3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53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4" borderId="3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4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3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4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3" borderId="3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6" fillId="4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3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5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4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5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4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0" borderId="2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19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9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6" fillId="2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5" borderId="3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5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5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8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6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4" borderId="2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6" fillId="4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4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4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6" fillId="4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6" fillId="4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4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2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4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4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2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4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5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3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3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19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2" borderId="8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9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6" fillId="3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3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0" xfId="20"/>
    <cellStyle name="Fixe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482760</xdr:colOff>
      <xdr:row>1</xdr:row>
      <xdr:rowOff>0</xdr:rowOff>
    </xdr:from>
    <xdr:to>
      <xdr:col>4</xdr:col>
      <xdr:colOff>91440</xdr:colOff>
      <xdr:row>1</xdr:row>
      <xdr:rowOff>228600</xdr:rowOff>
    </xdr:to>
    <xdr:sp>
      <xdr:nvSpPr>
        <xdr:cNvPr id="1" name="Oval 1"/>
        <xdr:cNvSpPr/>
      </xdr:nvSpPr>
      <xdr:spPr>
        <a:xfrm>
          <a:off x="7358400" y="171360"/>
          <a:ext cx="59436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181080</xdr:rowOff>
    </xdr:from>
    <xdr:to>
      <xdr:col>0</xdr:col>
      <xdr:colOff>6480</xdr:colOff>
      <xdr:row>18</xdr:row>
      <xdr:rowOff>171720</xdr:rowOff>
    </xdr:to>
    <xdr:sp>
      <xdr:nvSpPr>
        <xdr:cNvPr id="2" name="Oval 2"/>
        <xdr:cNvSpPr/>
      </xdr:nvSpPr>
      <xdr:spPr>
        <a:xfrm>
          <a:off x="0" y="360072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181080</xdr:rowOff>
    </xdr:from>
    <xdr:to>
      <xdr:col>0</xdr:col>
      <xdr:colOff>6480</xdr:colOff>
      <xdr:row>18</xdr:row>
      <xdr:rowOff>171720</xdr:rowOff>
    </xdr:to>
    <xdr:sp>
      <xdr:nvSpPr>
        <xdr:cNvPr id="3" name="Oval 3"/>
        <xdr:cNvSpPr/>
      </xdr:nvSpPr>
      <xdr:spPr>
        <a:xfrm>
          <a:off x="0" y="360072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351720</xdr:colOff>
      <xdr:row>0</xdr:row>
      <xdr:rowOff>162000</xdr:rowOff>
    </xdr:from>
    <xdr:to>
      <xdr:col>13</xdr:col>
      <xdr:colOff>81000</xdr:colOff>
      <xdr:row>1</xdr:row>
      <xdr:rowOff>200160</xdr:rowOff>
    </xdr:to>
    <xdr:sp>
      <xdr:nvSpPr>
        <xdr:cNvPr id="4" name="Oval 4"/>
        <xdr:cNvSpPr/>
      </xdr:nvSpPr>
      <xdr:spPr>
        <a:xfrm>
          <a:off x="13750920" y="162000"/>
          <a:ext cx="644400" cy="2095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311760</xdr:colOff>
      <xdr:row>0</xdr:row>
      <xdr:rowOff>152640</xdr:rowOff>
    </xdr:from>
    <xdr:to>
      <xdr:col>22</xdr:col>
      <xdr:colOff>51120</xdr:colOff>
      <xdr:row>1</xdr:row>
      <xdr:rowOff>228600</xdr:rowOff>
    </xdr:to>
    <xdr:sp>
      <xdr:nvSpPr>
        <xdr:cNvPr id="5" name="Oval 5"/>
        <xdr:cNvSpPr/>
      </xdr:nvSpPr>
      <xdr:spPr>
        <a:xfrm>
          <a:off x="19746720" y="152640"/>
          <a:ext cx="563400" cy="2473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0</xdr:colOff>
      <xdr:row>0</xdr:row>
      <xdr:rowOff>152640</xdr:rowOff>
    </xdr:from>
    <xdr:to>
      <xdr:col>31</xdr:col>
      <xdr:colOff>664560</xdr:colOff>
      <xdr:row>1</xdr:row>
      <xdr:rowOff>228600</xdr:rowOff>
    </xdr:to>
    <xdr:sp>
      <xdr:nvSpPr>
        <xdr:cNvPr id="6" name="Oval 7"/>
        <xdr:cNvSpPr/>
      </xdr:nvSpPr>
      <xdr:spPr>
        <a:xfrm>
          <a:off x="26253360" y="152640"/>
          <a:ext cx="664560" cy="2473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0</xdr:colOff>
      <xdr:row>0</xdr:row>
      <xdr:rowOff>152640</xdr:rowOff>
    </xdr:from>
    <xdr:to>
      <xdr:col>41</xdr:col>
      <xdr:colOff>51480</xdr:colOff>
      <xdr:row>1</xdr:row>
      <xdr:rowOff>228600</xdr:rowOff>
    </xdr:to>
    <xdr:sp>
      <xdr:nvSpPr>
        <xdr:cNvPr id="7" name="Oval 8"/>
        <xdr:cNvSpPr/>
      </xdr:nvSpPr>
      <xdr:spPr>
        <a:xfrm>
          <a:off x="32790600" y="152640"/>
          <a:ext cx="574200" cy="2473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0</xdr:colOff>
      <xdr:row>0</xdr:row>
      <xdr:rowOff>152640</xdr:rowOff>
    </xdr:from>
    <xdr:to>
      <xdr:col>50</xdr:col>
      <xdr:colOff>51840</xdr:colOff>
      <xdr:row>1</xdr:row>
      <xdr:rowOff>228600</xdr:rowOff>
    </xdr:to>
    <xdr:sp>
      <xdr:nvSpPr>
        <xdr:cNvPr id="8" name="Oval 10"/>
        <xdr:cNvSpPr/>
      </xdr:nvSpPr>
      <xdr:spPr>
        <a:xfrm>
          <a:off x="38865960" y="152640"/>
          <a:ext cx="484200" cy="2473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191160</xdr:colOff>
      <xdr:row>1</xdr:row>
      <xdr:rowOff>0</xdr:rowOff>
    </xdr:from>
    <xdr:to>
      <xdr:col>0</xdr:col>
      <xdr:colOff>770760</xdr:colOff>
      <xdr:row>1</xdr:row>
      <xdr:rowOff>218880</xdr:rowOff>
    </xdr:to>
    <xdr:sp>
      <xdr:nvSpPr>
        <xdr:cNvPr id="9" name="Oval 12"/>
        <xdr:cNvSpPr/>
      </xdr:nvSpPr>
      <xdr:spPr>
        <a:xfrm>
          <a:off x="191160" y="171360"/>
          <a:ext cx="579600" cy="218880"/>
        </a:xfrm>
        <a:prstGeom prst="ellipse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29880</xdr:colOff>
      <xdr:row>1</xdr:row>
      <xdr:rowOff>10080</xdr:rowOff>
    </xdr:from>
    <xdr:to>
      <xdr:col>3</xdr:col>
      <xdr:colOff>40320</xdr:colOff>
      <xdr:row>1</xdr:row>
      <xdr:rowOff>228600</xdr:rowOff>
    </xdr:to>
    <xdr:sp>
      <xdr:nvSpPr>
        <xdr:cNvPr id="10" name="Oval 1"/>
        <xdr:cNvSpPr/>
      </xdr:nvSpPr>
      <xdr:spPr>
        <a:xfrm>
          <a:off x="1075680" y="181440"/>
          <a:ext cx="648720" cy="2185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0</xdr:colOff>
      <xdr:row>1</xdr:row>
      <xdr:rowOff>0</xdr:rowOff>
    </xdr:from>
    <xdr:to>
      <xdr:col>30</xdr:col>
      <xdr:colOff>71280</xdr:colOff>
      <xdr:row>2</xdr:row>
      <xdr:rowOff>10080</xdr:rowOff>
    </xdr:to>
    <xdr:sp>
      <xdr:nvSpPr>
        <xdr:cNvPr id="11" name="Oval 7"/>
        <xdr:cNvSpPr/>
      </xdr:nvSpPr>
      <xdr:spPr>
        <a:xfrm>
          <a:off x="19407600" y="171360"/>
          <a:ext cx="709200" cy="23868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0</xdr:colOff>
      <xdr:row>1</xdr:row>
      <xdr:rowOff>10080</xdr:rowOff>
    </xdr:from>
    <xdr:to>
      <xdr:col>12</xdr:col>
      <xdr:colOff>51120</xdr:colOff>
      <xdr:row>1</xdr:row>
      <xdr:rowOff>228600</xdr:rowOff>
    </xdr:to>
    <xdr:sp>
      <xdr:nvSpPr>
        <xdr:cNvPr id="12" name="Oval 9"/>
        <xdr:cNvSpPr/>
      </xdr:nvSpPr>
      <xdr:spPr>
        <a:xfrm>
          <a:off x="7230600" y="181440"/>
          <a:ext cx="689400" cy="2185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0</xdr:colOff>
      <xdr:row>0</xdr:row>
      <xdr:rowOff>162000</xdr:rowOff>
    </xdr:from>
    <xdr:to>
      <xdr:col>49</xdr:col>
      <xdr:colOff>111240</xdr:colOff>
      <xdr:row>1</xdr:row>
      <xdr:rowOff>228600</xdr:rowOff>
    </xdr:to>
    <xdr:sp>
      <xdr:nvSpPr>
        <xdr:cNvPr id="13" name="Oval 10"/>
        <xdr:cNvSpPr/>
      </xdr:nvSpPr>
      <xdr:spPr>
        <a:xfrm>
          <a:off x="32040720" y="162000"/>
          <a:ext cx="523440" cy="2379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231120</xdr:colOff>
      <xdr:row>1</xdr:row>
      <xdr:rowOff>10080</xdr:rowOff>
    </xdr:from>
    <xdr:to>
      <xdr:col>58</xdr:col>
      <xdr:colOff>80640</xdr:colOff>
      <xdr:row>1</xdr:row>
      <xdr:rowOff>228600</xdr:rowOff>
    </xdr:to>
    <xdr:sp>
      <xdr:nvSpPr>
        <xdr:cNvPr id="14" name="Oval 12"/>
        <xdr:cNvSpPr/>
      </xdr:nvSpPr>
      <xdr:spPr>
        <a:xfrm>
          <a:off x="38277000" y="181440"/>
          <a:ext cx="512640" cy="21852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70</xdr:col>
      <xdr:colOff>0</xdr:colOff>
      <xdr:row>0</xdr:row>
      <xdr:rowOff>162000</xdr:rowOff>
    </xdr:from>
    <xdr:to>
      <xdr:col>70</xdr:col>
      <xdr:colOff>637920</xdr:colOff>
      <xdr:row>1</xdr:row>
      <xdr:rowOff>228600</xdr:rowOff>
    </xdr:to>
    <xdr:sp>
      <xdr:nvSpPr>
        <xdr:cNvPr id="15" name="Oval 13"/>
        <xdr:cNvSpPr/>
      </xdr:nvSpPr>
      <xdr:spPr>
        <a:xfrm>
          <a:off x="44862840" y="162000"/>
          <a:ext cx="637920" cy="2379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473040</xdr:colOff>
      <xdr:row>0</xdr:row>
      <xdr:rowOff>152640</xdr:rowOff>
    </xdr:from>
    <xdr:to>
      <xdr:col>21</xdr:col>
      <xdr:colOff>51120</xdr:colOff>
      <xdr:row>1</xdr:row>
      <xdr:rowOff>218880</xdr:rowOff>
    </xdr:to>
    <xdr:sp>
      <xdr:nvSpPr>
        <xdr:cNvPr id="16" name="Oval 15"/>
        <xdr:cNvSpPr/>
      </xdr:nvSpPr>
      <xdr:spPr>
        <a:xfrm>
          <a:off x="13341960" y="152640"/>
          <a:ext cx="684360" cy="237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0</xdr:colOff>
      <xdr:row>1</xdr:row>
      <xdr:rowOff>0</xdr:rowOff>
    </xdr:from>
    <xdr:to>
      <xdr:col>38</xdr:col>
      <xdr:colOff>442800</xdr:colOff>
      <xdr:row>2</xdr:row>
      <xdr:rowOff>10080</xdr:rowOff>
    </xdr:to>
    <xdr:sp>
      <xdr:nvSpPr>
        <xdr:cNvPr id="17" name="Oval 16"/>
        <xdr:cNvSpPr/>
      </xdr:nvSpPr>
      <xdr:spPr>
        <a:xfrm>
          <a:off x="25562520" y="171360"/>
          <a:ext cx="442800" cy="23868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../../../A:/Market1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ce"/>
      <sheetName val="ETCLANE"/>
      <sheetName val="Input-Start"/>
      <sheetName val="Input-Detail"/>
      <sheetName val="Results Summary"/>
      <sheetName val="Results-Detail"/>
      <sheetName val="Agency Costs Reduction"/>
      <sheetName val="Delay"/>
      <sheetName val="PY"/>
      <sheetName val="Interest Gain"/>
      <sheetName val="Time Value"/>
      <sheetName val="Fuel &amp; Emission"/>
    </sheetNames>
    <sheetDataSet>
      <sheetData sheetId="0"/>
      <sheetData sheetId="1"/>
      <sheetData sheetId="2">
        <row r="41">
          <cell r="AI41">
            <v>38.7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7.85"/>
    <col collapsed="false" customWidth="true" hidden="false" outlineLevel="0" max="3" min="3" style="1" width="43.99"/>
    <col collapsed="false" customWidth="false" hidden="false" outlineLevel="0" max="4" min="4" style="1" width="8.85"/>
    <col collapsed="false" customWidth="true" hidden="false" outlineLevel="0" max="5" min="5" style="1" width="5.13"/>
    <col collapsed="false" customWidth="true" hidden="false" outlineLevel="0" max="6" min="6" style="1" width="6.41"/>
    <col collapsed="false" customWidth="true" hidden="false" outlineLevel="0" max="7" min="7" style="2" width="9.41"/>
    <col collapsed="false" customWidth="true" hidden="false" outlineLevel="0" max="8" min="8" style="2" width="10.41"/>
    <col collapsed="false" customWidth="true" hidden="false" outlineLevel="0" max="9" min="9" style="2" width="11.13"/>
    <col collapsed="false" customWidth="true" hidden="false" outlineLevel="0" max="10" min="10" style="2" width="10.99"/>
    <col collapsed="false" customWidth="true" hidden="false" outlineLevel="0" max="11" min="11" style="2" width="13.7"/>
    <col collapsed="false" customWidth="true" hidden="false" outlineLevel="0" max="12" min="12" style="2" width="12.14"/>
    <col collapsed="false" customWidth="true" hidden="false" outlineLevel="0" max="13" min="13" style="2" width="10.28"/>
    <col collapsed="false" customWidth="true" hidden="false" outlineLevel="0" max="14" min="14" style="2" width="9.85"/>
    <col collapsed="false" customWidth="true" hidden="false" outlineLevel="0" max="15" min="15" style="2" width="8.28"/>
    <col collapsed="false" customWidth="true" hidden="false" outlineLevel="0" max="17" min="16" style="2" width="8.41"/>
    <col collapsed="false" customWidth="true" hidden="false" outlineLevel="0" max="18" min="18" style="2" width="7.42"/>
    <col collapsed="false" customWidth="true" hidden="false" outlineLevel="0" max="19" min="19" style="2" width="8.28"/>
    <col collapsed="false" customWidth="true" hidden="false" outlineLevel="0" max="20" min="20" style="2" width="7.42"/>
    <col collapsed="false" customWidth="true" hidden="false" outlineLevel="0" max="21" min="21" style="2" width="9.56"/>
    <col collapsed="false" customWidth="true" hidden="false" outlineLevel="0" max="22" min="22" style="2" width="8.41"/>
    <col collapsed="false" customWidth="true" hidden="false" outlineLevel="0" max="23" min="23" style="2" width="7.99"/>
    <col collapsed="false" customWidth="true" hidden="false" outlineLevel="0" max="24" min="24" style="2" width="6.56"/>
    <col collapsed="false" customWidth="true" hidden="false" outlineLevel="0" max="25" min="25" style="2" width="7.56"/>
    <col collapsed="false" customWidth="true" hidden="false" outlineLevel="0" max="26" min="26" style="2" width="9.28"/>
    <col collapsed="false" customWidth="true" hidden="false" outlineLevel="0" max="27" min="27" style="2" width="8.41"/>
    <col collapsed="false" customWidth="true" hidden="false" outlineLevel="0" max="28" min="28" style="2" width="8.14"/>
    <col collapsed="false" customWidth="true" hidden="false" outlineLevel="0" max="29" min="29" style="2" width="7.56"/>
    <col collapsed="false" customWidth="true" hidden="false" outlineLevel="0" max="30" min="30" style="2" width="7.99"/>
    <col collapsed="false" customWidth="true" hidden="false" outlineLevel="0" max="31" min="31" style="2" width="7.7"/>
    <col collapsed="false" customWidth="true" hidden="false" outlineLevel="0" max="32" min="32" style="2" width="7.42"/>
    <col collapsed="false" customWidth="true" hidden="false" outlineLevel="0" max="33" min="33" style="2" width="7.7"/>
    <col collapsed="false" customWidth="true" hidden="false" outlineLevel="0" max="34" min="34" style="2" width="7.56"/>
    <col collapsed="false" customWidth="true" hidden="false" outlineLevel="0" max="35" min="35" style="2" width="7.85"/>
    <col collapsed="false" customWidth="true" hidden="false" outlineLevel="0" max="36" min="36" style="2" width="10.28"/>
    <col collapsed="false" customWidth="true" hidden="false" outlineLevel="0" max="37" min="37" style="2" width="9.99"/>
    <col collapsed="false" customWidth="true" hidden="false" outlineLevel="0" max="38" min="38" style="2" width="12.28"/>
    <col collapsed="false" customWidth="true" hidden="false" outlineLevel="0" max="39" min="39" style="2" width="9.56"/>
    <col collapsed="false" customWidth="false" hidden="false" outlineLevel="0" max="44" min="40" style="2" width="8.85"/>
    <col collapsed="false" customWidth="true" hidden="false" outlineLevel="0" max="45" min="45" style="2" width="10.85"/>
    <col collapsed="false" customWidth="true" hidden="false" outlineLevel="0" max="46" min="46" style="2" width="8.14"/>
    <col collapsed="false" customWidth="true" hidden="false" outlineLevel="0" max="47" min="47" style="2" width="7.42"/>
    <col collapsed="false" customWidth="true" hidden="false" outlineLevel="0" max="48" min="48" style="2" width="10.71"/>
    <col collapsed="false" customWidth="true" hidden="false" outlineLevel="0" max="49" min="49" style="2" width="6.41"/>
    <col collapsed="false" customWidth="true" hidden="false" outlineLevel="0" max="50" min="50" style="2" width="6.56"/>
    <col collapsed="false" customWidth="true" hidden="false" outlineLevel="0" max="51" min="51" style="2" width="5.56"/>
    <col collapsed="false" customWidth="true" hidden="false" outlineLevel="0" max="52" min="52" style="2" width="5.99"/>
    <col collapsed="false" customWidth="true" hidden="false" outlineLevel="0" max="53" min="53" style="2" width="5.85"/>
    <col collapsed="false" customWidth="true" hidden="false" outlineLevel="0" max="54" min="54" style="2" width="7.85"/>
    <col collapsed="false" customWidth="true" hidden="false" outlineLevel="0" max="56" min="55" style="2" width="6.41"/>
    <col collapsed="false" customWidth="true" hidden="false" outlineLevel="0" max="57" min="57" style="2" width="6.99"/>
    <col collapsed="false" customWidth="true" hidden="false" outlineLevel="0" max="58" min="58" style="2" width="5.99"/>
    <col collapsed="false" customWidth="true" hidden="false" outlineLevel="0" max="59" min="59" style="2" width="7.42"/>
    <col collapsed="false" customWidth="true" hidden="false" outlineLevel="0" max="60" min="60" style="2" width="6.13"/>
    <col collapsed="false" customWidth="true" hidden="false" outlineLevel="0" max="61" min="61" style="2" width="5.85"/>
    <col collapsed="false" customWidth="true" hidden="false" outlineLevel="0" max="62" min="62" style="2" width="6.13"/>
    <col collapsed="false" customWidth="true" hidden="false" outlineLevel="0" max="63" min="63" style="2" width="6.41"/>
    <col collapsed="false" customWidth="true" hidden="false" outlineLevel="0" max="64" min="64" style="2" width="5.56"/>
    <col collapsed="false" customWidth="true" hidden="false" outlineLevel="0" max="65" min="65" style="2" width="5.71"/>
    <col collapsed="false" customWidth="true" hidden="false" outlineLevel="0" max="66" min="66" style="2" width="5.56"/>
    <col collapsed="false" customWidth="true" hidden="false" outlineLevel="0" max="67" min="67" style="2" width="5.13"/>
    <col collapsed="false" customWidth="true" hidden="false" outlineLevel="0" max="68" min="68" style="1" width="10.13"/>
    <col collapsed="false" customWidth="false" hidden="false" outlineLevel="0" max="73" min="69" style="2" width="8.85"/>
    <col collapsed="false" customWidth="true" hidden="false" outlineLevel="0" max="74" min="74" style="2" width="7.99"/>
    <col collapsed="false" customWidth="true" hidden="false" outlineLevel="0" max="75" min="75" style="2" width="10.71"/>
    <col collapsed="false" customWidth="true" hidden="false" outlineLevel="0" max="76" min="76" style="2" width="10.13"/>
    <col collapsed="false" customWidth="true" hidden="false" outlineLevel="0" max="77" min="77" style="2" width="7.14"/>
    <col collapsed="false" customWidth="false" hidden="false" outlineLevel="0" max="78" min="78" style="2" width="8.85"/>
    <col collapsed="false" customWidth="true" hidden="false" outlineLevel="0" max="79" min="79" style="2" width="6.41"/>
    <col collapsed="false" customWidth="true" hidden="false" outlineLevel="0" max="80" min="80" style="2" width="6.99"/>
    <col collapsed="false" customWidth="true" hidden="false" outlineLevel="0" max="81" min="81" style="1" width="6.56"/>
    <col collapsed="false" customWidth="true" hidden="false" outlineLevel="0" max="82" min="82" style="1" width="6.7"/>
    <col collapsed="false" customWidth="true" hidden="false" outlineLevel="0" max="83" min="83" style="1" width="6.28"/>
    <col collapsed="false" customWidth="true" hidden="false" outlineLevel="0" max="84" min="84" style="1" width="6.13"/>
    <col collapsed="false" customWidth="true" hidden="false" outlineLevel="0" max="85" min="85" style="1" width="5.99"/>
    <col collapsed="false" customWidth="true" hidden="false" outlineLevel="0" max="86" min="86" style="1" width="6.85"/>
    <col collapsed="false" customWidth="true" hidden="false" outlineLevel="0" max="88" min="87" style="1" width="6.41"/>
    <col collapsed="false" customWidth="true" hidden="false" outlineLevel="0" max="89" min="89" style="1" width="6.13"/>
    <col collapsed="false" customWidth="true" hidden="false" outlineLevel="0" max="90" min="90" style="1" width="6.28"/>
    <col collapsed="false" customWidth="true" hidden="false" outlineLevel="0" max="91" min="91" style="1" width="6.7"/>
    <col collapsed="false" customWidth="true" hidden="false" outlineLevel="0" max="93" min="92" style="1" width="6.56"/>
    <col collapsed="false" customWidth="true" hidden="false" outlineLevel="0" max="94" min="94" style="1" width="6.28"/>
    <col collapsed="false" customWidth="true" hidden="false" outlineLevel="0" max="95" min="95" style="1" width="11.13"/>
    <col collapsed="false" customWidth="false" hidden="false" outlineLevel="0" max="257" min="96" style="1" width="8.85"/>
  </cols>
  <sheetData>
    <row r="1" customFormat="false" ht="12.75" hidden="false" customHeight="false" outlineLevel="0" collapsed="false">
      <c r="B1" s="3"/>
      <c r="C1" s="3"/>
      <c r="D1" s="3"/>
      <c r="E1" s="3"/>
      <c r="F1" s="3"/>
      <c r="G1" s="3"/>
      <c r="H1" s="4"/>
      <c r="I1" s="4"/>
      <c r="J1" s="4"/>
      <c r="K1" s="5" t="s">
        <v>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Q1" s="4"/>
      <c r="BR1" s="4"/>
      <c r="BS1" s="4"/>
      <c r="BT1" s="4"/>
      <c r="BU1" s="4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</row>
    <row r="2" customFormat="false" ht="12.75" hidden="false" customHeight="false" outlineLevel="0" collapsed="false">
      <c r="B2" s="3"/>
      <c r="C2" s="3"/>
      <c r="D2" s="3"/>
      <c r="E2" s="3"/>
      <c r="F2" s="3"/>
      <c r="G2" s="4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Q2" s="4"/>
    </row>
    <row r="3" customFormat="false" ht="14.25" hidden="false" customHeight="true" outlineLevel="0" collapsed="false">
      <c r="B3" s="7" t="s">
        <v>1</v>
      </c>
      <c r="C3" s="3"/>
      <c r="D3" s="3"/>
      <c r="E3" s="3"/>
      <c r="F3" s="3"/>
      <c r="G3" s="3"/>
      <c r="H3" s="8" t="s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Q3" s="1"/>
      <c r="BR3" s="1"/>
      <c r="BS3" s="4"/>
      <c r="BT3" s="3" t="s">
        <v>3</v>
      </c>
      <c r="BU3" s="4"/>
      <c r="BV3" s="4"/>
      <c r="BW3" s="4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customFormat="false" ht="12.75" hidden="false" customHeight="false" outlineLevel="0" collapsed="false">
      <c r="B4" s="3"/>
      <c r="C4" s="3"/>
      <c r="D4" s="3"/>
      <c r="E4" s="3"/>
      <c r="F4" s="3"/>
    </row>
    <row r="5" customFormat="false" ht="12.75" hidden="false" customHeight="true" outlineLevel="0" collapsed="false">
      <c r="B5" s="9"/>
      <c r="C5" s="10"/>
      <c r="D5" s="10"/>
      <c r="E5" s="11"/>
      <c r="G5" s="1"/>
      <c r="H5" s="12" t="s">
        <v>4</v>
      </c>
      <c r="I5" s="13" t="s">
        <v>5</v>
      </c>
      <c r="J5" s="14" t="s">
        <v>6</v>
      </c>
      <c r="K5" s="15" t="s">
        <v>7</v>
      </c>
      <c r="L5" s="16" t="s">
        <v>8</v>
      </c>
      <c r="M5" s="13" t="s">
        <v>9</v>
      </c>
      <c r="N5" s="17" t="s">
        <v>10</v>
      </c>
      <c r="O5" s="13" t="s">
        <v>11</v>
      </c>
      <c r="P5" s="17" t="s">
        <v>12</v>
      </c>
      <c r="Q5" s="18" t="s">
        <v>13</v>
      </c>
      <c r="R5" s="18"/>
      <c r="S5" s="18"/>
      <c r="T5" s="18"/>
      <c r="U5" s="18"/>
      <c r="V5" s="18"/>
      <c r="W5" s="18" t="s">
        <v>14</v>
      </c>
      <c r="X5" s="18"/>
      <c r="Y5" s="18"/>
      <c r="Z5" s="18"/>
      <c r="AA5" s="18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customFormat="false" ht="42" hidden="false" customHeight="true" outlineLevel="0" collapsed="false">
      <c r="B6" s="19" t="s">
        <v>15</v>
      </c>
      <c r="C6" s="20"/>
      <c r="D6" s="21"/>
      <c r="E6" s="22"/>
      <c r="G6" s="1" t="n">
        <v>0.0655879211562568</v>
      </c>
      <c r="H6" s="12"/>
      <c r="I6" s="13"/>
      <c r="J6" s="14"/>
      <c r="K6" s="15"/>
      <c r="L6" s="16"/>
      <c r="M6" s="13"/>
      <c r="N6" s="17"/>
      <c r="O6" s="13"/>
      <c r="P6" s="17"/>
      <c r="Q6" s="23" t="s">
        <v>16</v>
      </c>
      <c r="R6" s="24" t="s">
        <v>17</v>
      </c>
      <c r="S6" s="25" t="s">
        <v>18</v>
      </c>
      <c r="T6" s="26" t="s">
        <v>19</v>
      </c>
      <c r="U6" s="23" t="s">
        <v>20</v>
      </c>
      <c r="V6" s="27" t="s">
        <v>21</v>
      </c>
      <c r="W6" s="23" t="s">
        <v>16</v>
      </c>
      <c r="X6" s="24" t="s">
        <v>17</v>
      </c>
      <c r="Y6" s="25" t="s">
        <v>18</v>
      </c>
      <c r="Z6" s="26" t="s">
        <v>19</v>
      </c>
      <c r="AA6" s="28" t="s">
        <v>20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customFormat="false" ht="16.5" hidden="false" customHeight="false" outlineLevel="0" collapsed="false">
      <c r="B7" s="29"/>
      <c r="C7" s="30" t="s">
        <v>22</v>
      </c>
      <c r="D7" s="31" t="n">
        <f aca="false">'Input-Detail'!AZ10</f>
        <v>7</v>
      </c>
      <c r="E7" s="22"/>
      <c r="F7" s="32"/>
      <c r="G7" s="33" t="s">
        <v>23</v>
      </c>
      <c r="H7" s="34"/>
      <c r="I7" s="35"/>
      <c r="J7" s="36"/>
      <c r="K7" s="37"/>
      <c r="L7" s="38"/>
      <c r="M7" s="39"/>
      <c r="N7" s="40" t="n">
        <v>0</v>
      </c>
      <c r="O7" s="39"/>
      <c r="P7" s="41"/>
      <c r="Q7" s="42"/>
      <c r="R7" s="36"/>
      <c r="S7" s="43"/>
      <c r="T7" s="44"/>
      <c r="U7" s="36"/>
      <c r="V7" s="45"/>
      <c r="W7" s="46"/>
      <c r="X7" s="47"/>
      <c r="Y7" s="43"/>
      <c r="Z7" s="44"/>
      <c r="AA7" s="48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customFormat="false" ht="12.75" hidden="false" customHeight="false" outlineLevel="0" collapsed="false">
      <c r="B8" s="29"/>
      <c r="C8" s="30" t="s">
        <v>24</v>
      </c>
      <c r="D8" s="31" t="n">
        <f aca="false">'Input-Detail'!AZ11</f>
        <v>4.5</v>
      </c>
      <c r="E8" s="22"/>
      <c r="G8" s="49" t="n">
        <v>22059</v>
      </c>
      <c r="H8" s="50" t="n">
        <v>1</v>
      </c>
      <c r="I8" s="51" t="n">
        <v>0</v>
      </c>
      <c r="J8" s="52" t="n">
        <v>-1.07272078880243</v>
      </c>
      <c r="K8" s="53" t="n">
        <v>0.0752505729679851</v>
      </c>
      <c r="L8" s="53" t="n">
        <v>7.42157313080027E-006</v>
      </c>
      <c r="M8" s="54" t="n">
        <v>31729.96</v>
      </c>
      <c r="N8" s="55" t="n">
        <v>0.0699842202922738</v>
      </c>
      <c r="O8" s="56" t="n">
        <f aca="false">'Input-Detail'!X18</f>
        <v>2</v>
      </c>
      <c r="P8" s="57" t="n">
        <f aca="false">'Input-Detail'!V19*'Input-Detail'!Y19</f>
        <v>5905.7724900273</v>
      </c>
      <c r="Q8" s="58" t="n">
        <f aca="false">P8*(1-N8)</f>
        <v>5492.46160708918</v>
      </c>
      <c r="R8" s="59" t="n">
        <f aca="false">$D$12-X8</f>
        <v>11</v>
      </c>
      <c r="S8" s="60" t="n">
        <f aca="false">Delay!$N41</f>
        <v>545.764638999432</v>
      </c>
      <c r="T8" s="61" t="n">
        <f aca="false">Q8/(R8*S8)</f>
        <v>0.914890148377829</v>
      </c>
      <c r="U8" s="62" t="n">
        <v>12.912106697303</v>
      </c>
      <c r="V8" s="62" t="n">
        <v>52.3636363636364</v>
      </c>
      <c r="W8" s="58" t="n">
        <f aca="false">P8-Q8</f>
        <v>413.310882938121</v>
      </c>
      <c r="X8" s="59" t="n">
        <f aca="false">ETCLANE!BB8</f>
        <v>1</v>
      </c>
      <c r="Y8" s="60" t="n">
        <f aca="false">Delay!$O41</f>
        <v>1500</v>
      </c>
      <c r="Z8" s="61" t="n">
        <f aca="false">W8/(X8*Y8)</f>
        <v>0.275540588625414</v>
      </c>
      <c r="AA8" s="63" t="n">
        <v>0.912495732793595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customFormat="false" ht="14.25" hidden="false" customHeight="true" outlineLevel="0" collapsed="false">
      <c r="B9" s="29"/>
      <c r="C9" s="30" t="s">
        <v>25</v>
      </c>
      <c r="D9" s="31" t="n">
        <f aca="false">'Input-Detail'!AZ12</f>
        <v>2.4</v>
      </c>
      <c r="E9" s="22" t="n">
        <v>0</v>
      </c>
      <c r="G9" s="64"/>
      <c r="H9" s="50" t="n">
        <v>2</v>
      </c>
      <c r="I9" s="51" t="n">
        <v>0</v>
      </c>
      <c r="J9" s="52" t="n">
        <v>-1.00831824180384</v>
      </c>
      <c r="K9" s="53" t="n">
        <v>0.154049738103922</v>
      </c>
      <c r="L9" s="53" t="n">
        <v>8.98496832404949E-006</v>
      </c>
      <c r="M9" s="54" t="n">
        <v>783006.26</v>
      </c>
      <c r="N9" s="55" t="n">
        <v>0.133486220755981</v>
      </c>
      <c r="O9" s="56" t="n">
        <f aca="false">'Input-Detail'!X19</f>
        <v>2</v>
      </c>
      <c r="P9" s="57" t="n">
        <f aca="false">'Input-Detail'!V20*'Input-Detail'!Y20</f>
        <v>6071.54498005461</v>
      </c>
      <c r="Q9" s="58" t="n">
        <f aca="false">P9*(1-N9)</f>
        <v>5261.07738651717</v>
      </c>
      <c r="R9" s="59" t="n">
        <f aca="false">$D$12-X9</f>
        <v>11</v>
      </c>
      <c r="S9" s="60" t="n">
        <f aca="false">Delay!$N42</f>
        <v>544.012089157537</v>
      </c>
      <c r="T9" s="61" t="n">
        <f aca="false">Q9/(R9*S9)</f>
        <v>0.879171202153469</v>
      </c>
      <c r="U9" s="62" t="n">
        <v>10.9515952512366</v>
      </c>
      <c r="V9" s="62" t="n">
        <v>52.3636363636364</v>
      </c>
      <c r="W9" s="58" t="n">
        <f aca="false">P9-Q9</f>
        <v>810.467593537436</v>
      </c>
      <c r="X9" s="59" t="n">
        <f aca="false">ETCLANE!BB9</f>
        <v>1</v>
      </c>
      <c r="Y9" s="59" t="n">
        <f aca="false">Delay!$O42</f>
        <v>1500</v>
      </c>
      <c r="Z9" s="61" t="n">
        <f aca="false">W9/(X9*Y9)</f>
        <v>0.540311729024958</v>
      </c>
      <c r="AA9" s="63" t="n">
        <v>2.8161371066426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customFormat="false" ht="12.75" hidden="false" customHeight="false" outlineLevel="0" collapsed="false">
      <c r="B10" s="65" t="s">
        <v>26</v>
      </c>
      <c r="C10" s="30"/>
      <c r="D10" s="66" t="n">
        <f aca="false">'Input-Detail'!AZ25</f>
        <v>12</v>
      </c>
      <c r="E10" s="67"/>
      <c r="G10" s="64"/>
      <c r="H10" s="50" t="n">
        <v>3</v>
      </c>
      <c r="I10" s="51" t="n">
        <v>0</v>
      </c>
      <c r="J10" s="52" t="n">
        <v>-1.11030718395886</v>
      </c>
      <c r="K10" s="53" t="n">
        <v>0.238070430614952</v>
      </c>
      <c r="L10" s="53" t="n">
        <v>5.78074391900663E-006</v>
      </c>
      <c r="M10" s="54" t="n">
        <v>1245032.77</v>
      </c>
      <c r="N10" s="55" t="n">
        <v>0.192291508405303</v>
      </c>
      <c r="O10" s="56" t="n">
        <f aca="false">'Input-Detail'!X20</f>
        <v>2</v>
      </c>
      <c r="P10" s="57" t="n">
        <f aca="false">'Input-Detail'!V21*'Input-Detail'!Y21</f>
        <v>6237.31747008191</v>
      </c>
      <c r="Q10" s="58" t="n">
        <f aca="false">P10*(1-N10)</f>
        <v>5037.93428535712</v>
      </c>
      <c r="R10" s="59" t="n">
        <f aca="false">$D$12-X10</f>
        <v>10</v>
      </c>
      <c r="S10" s="60" t="n">
        <f aca="false">Delay!$N43</f>
        <v>542.270758802485</v>
      </c>
      <c r="T10" s="61" t="n">
        <f aca="false">Q10/(R10*S10)</f>
        <v>0.929044062136515</v>
      </c>
      <c r="U10" s="62" t="n">
        <v>15.0538140892292</v>
      </c>
      <c r="V10" s="62" t="n">
        <v>52.3636363636364</v>
      </c>
      <c r="W10" s="58" t="n">
        <f aca="false">P10-Q10</f>
        <v>1199.3831847248</v>
      </c>
      <c r="X10" s="59" t="n">
        <f aca="false">ETCLANE!BB10</f>
        <v>2</v>
      </c>
      <c r="Y10" s="60" t="n">
        <f aca="false">Delay!$O43</f>
        <v>1500</v>
      </c>
      <c r="Z10" s="61" t="n">
        <f aca="false">W10/(X10*Y10)</f>
        <v>0.399794394908266</v>
      </c>
      <c r="AA10" s="63" t="n">
        <v>0.799019415333779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customFormat="false" ht="12.75" hidden="false" customHeight="false" outlineLevel="0" collapsed="false">
      <c r="B11" s="65" t="s">
        <v>27</v>
      </c>
      <c r="C11" s="30"/>
      <c r="D11" s="68"/>
      <c r="E11" s="67"/>
      <c r="F11" s="69"/>
      <c r="G11" s="70"/>
      <c r="H11" s="50" t="n">
        <v>4</v>
      </c>
      <c r="I11" s="51" t="n">
        <v>0</v>
      </c>
      <c r="J11" s="52" t="n">
        <v>-1.05167068079716</v>
      </c>
      <c r="K11" s="53" t="n">
        <v>0.328262745418281</v>
      </c>
      <c r="L11" s="53" t="n">
        <v>5.08095044124413E-006</v>
      </c>
      <c r="M11" s="54" t="n">
        <v>1786952.77</v>
      </c>
      <c r="N11" s="55" t="n">
        <v>0.247136906120865</v>
      </c>
      <c r="O11" s="56" t="n">
        <f aca="false">'Input-Detail'!X21</f>
        <v>2</v>
      </c>
      <c r="P11" s="57" t="n">
        <f aca="false">'Input-Detail'!V22*'Input-Detail'!Y22</f>
        <v>6403.08996010922</v>
      </c>
      <c r="Q11" s="58" t="n">
        <f aca="false">P11*(1-N11)</f>
        <v>4820.65011775425</v>
      </c>
      <c r="R11" s="59" t="n">
        <f aca="false">$D$12-X11</f>
        <v>10</v>
      </c>
      <c r="S11" s="60" t="n">
        <f aca="false">Delay!$N44</f>
        <v>540.540540540541</v>
      </c>
      <c r="T11" s="61" t="n">
        <f aca="false">Q11/(R11*S11)</f>
        <v>0.891820271784536</v>
      </c>
      <c r="U11" s="62" t="n">
        <v>12.0751260046911</v>
      </c>
      <c r="V11" s="62" t="n">
        <v>52.3636363636364</v>
      </c>
      <c r="W11" s="58" t="n">
        <f aca="false">P11-Q11</f>
        <v>1582.43984235497</v>
      </c>
      <c r="X11" s="59" t="n">
        <f aca="false">ETCLANE!BB11</f>
        <v>2</v>
      </c>
      <c r="Y11" s="60" t="n">
        <f aca="false">Delay!$O44</f>
        <v>1500</v>
      </c>
      <c r="Z11" s="61" t="n">
        <f aca="false">W11/(X11*Y11)</f>
        <v>0.527479947451656</v>
      </c>
      <c r="AA11" s="63" t="n">
        <v>1.33852152049806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customFormat="false" ht="12.75" hidden="false" customHeight="false" outlineLevel="0" collapsed="false">
      <c r="B12" s="65"/>
      <c r="C12" s="30" t="s">
        <v>26</v>
      </c>
      <c r="D12" s="66" t="n">
        <f aca="false">'Input-Detail'!AZ25</f>
        <v>12</v>
      </c>
      <c r="E12" s="67"/>
      <c r="G12" s="64"/>
      <c r="H12" s="50" t="n">
        <v>5</v>
      </c>
      <c r="I12" s="51" t="n">
        <v>0</v>
      </c>
      <c r="J12" s="52" t="n">
        <v>-1.01121194209218</v>
      </c>
      <c r="K12" s="53" t="n">
        <v>0.426502010762311</v>
      </c>
      <c r="L12" s="53" t="n">
        <v>8.26299465023217E-006</v>
      </c>
      <c r="M12" s="54" t="n">
        <v>2290995.55</v>
      </c>
      <c r="N12" s="55" t="n">
        <v>0.298984514248523</v>
      </c>
      <c r="O12" s="56" t="n">
        <f aca="false">'Input-Detail'!X22</f>
        <v>2</v>
      </c>
      <c r="P12" s="57" t="n">
        <f aca="false">'Input-Detail'!V23*'Input-Detail'!Y23</f>
        <v>6568.86245013652</v>
      </c>
      <c r="Q12" s="58" t="n">
        <f aca="false">P12*(1-N12)</f>
        <v>4604.87430131709</v>
      </c>
      <c r="R12" s="59" t="n">
        <f aca="false">$D$12-X12</f>
        <v>10</v>
      </c>
      <c r="S12" s="60" t="n">
        <f aca="false">Delay!$N45</f>
        <v>538.821328344247</v>
      </c>
      <c r="T12" s="61" t="n">
        <f aca="false">Q12/(R12*S12)</f>
        <v>0.85461990071319</v>
      </c>
      <c r="U12" s="62" t="n">
        <v>10.5797964497302</v>
      </c>
      <c r="V12" s="62" t="n">
        <v>52.3636363636364</v>
      </c>
      <c r="W12" s="58" t="n">
        <f aca="false">P12-Q12</f>
        <v>1963.98814881943</v>
      </c>
      <c r="X12" s="59" t="n">
        <f aca="false">ETCLANE!BB12</f>
        <v>2</v>
      </c>
      <c r="Y12" s="60" t="n">
        <f aca="false">Delay!$O45</f>
        <v>1500</v>
      </c>
      <c r="Z12" s="61" t="n">
        <f aca="false">W12/(X12*Y12)</f>
        <v>0.654662716273144</v>
      </c>
      <c r="AA12" s="63" t="n">
        <v>2.27071628783593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customFormat="false" ht="12.75" hidden="false" customHeight="false" outlineLevel="0" collapsed="false">
      <c r="B13" s="65"/>
      <c r="C13" s="30" t="s">
        <v>28</v>
      </c>
      <c r="D13" s="71" t="n">
        <f aca="false">'Input-Detail'!AZ26</f>
        <v>0.2</v>
      </c>
      <c r="E13" s="67"/>
      <c r="G13" s="1"/>
      <c r="H13" s="50" t="n">
        <v>6</v>
      </c>
      <c r="I13" s="51" t="n">
        <v>0</v>
      </c>
      <c r="J13" s="52" t="n">
        <v>-1.08870938474083</v>
      </c>
      <c r="K13" s="53" t="n">
        <v>0.53565597416861</v>
      </c>
      <c r="L13" s="53" t="n">
        <v>5.25650505051045E-006</v>
      </c>
      <c r="M13" s="54" t="n">
        <v>2774294.28</v>
      </c>
      <c r="N13" s="55" t="n">
        <v>0.34881248351123</v>
      </c>
      <c r="O13" s="56" t="n">
        <f aca="false">'Input-Detail'!X23</f>
        <v>2</v>
      </c>
      <c r="P13" s="57" t="n">
        <f aca="false">'Input-Detail'!V24*'Input-Detail'!Y24</f>
        <v>6734.63494016383</v>
      </c>
      <c r="Q13" s="58" t="n">
        <f aca="false">P13*(1-N13)</f>
        <v>4385.51020114378</v>
      </c>
      <c r="R13" s="59" t="n">
        <f aca="false">$D$12-X13</f>
        <v>9</v>
      </c>
      <c r="S13" s="60" t="n">
        <f aca="false">Delay!$N46</f>
        <v>537.113017530772</v>
      </c>
      <c r="T13" s="61" t="n">
        <f aca="false">Q13/(R13*S13)</f>
        <v>0.907218584048339</v>
      </c>
      <c r="U13" s="62" t="n">
        <v>13.8322207338369</v>
      </c>
      <c r="V13" s="62" t="n">
        <v>52.3636363636364</v>
      </c>
      <c r="W13" s="58" t="n">
        <f aca="false">P13-Q13</f>
        <v>2349.12473902005</v>
      </c>
      <c r="X13" s="59" t="n">
        <f aca="false">ETCLANE!BB13</f>
        <v>3</v>
      </c>
      <c r="Y13" s="60" t="n">
        <f aca="false">Delay!$O46</f>
        <v>1500</v>
      </c>
      <c r="Z13" s="61" t="n">
        <f aca="false">W13/(X13*Y13)</f>
        <v>0.522027719782233</v>
      </c>
      <c r="AA13" s="63" t="n">
        <v>0.873294013023751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customFormat="false" ht="12.75" hidden="false" customHeight="false" outlineLevel="0" collapsed="false">
      <c r="B14" s="65"/>
      <c r="C14" s="30" t="s">
        <v>29</v>
      </c>
      <c r="D14" s="71" t="n">
        <f aca="false">'Input-Detail'!AZ27</f>
        <v>0.2</v>
      </c>
      <c r="E14" s="67"/>
      <c r="G14" s="1"/>
      <c r="H14" s="50" t="n">
        <v>7</v>
      </c>
      <c r="I14" s="51" t="n">
        <v>0</v>
      </c>
      <c r="J14" s="52" t="n">
        <v>-1.04238433247077</v>
      </c>
      <c r="K14" s="53" t="n">
        <v>0.657591714080716</v>
      </c>
      <c r="L14" s="53" t="n">
        <v>9.52342780008442E-006</v>
      </c>
      <c r="M14" s="54" t="n">
        <v>3297579.62</v>
      </c>
      <c r="N14" s="55" t="n">
        <v>0.39671513105108</v>
      </c>
      <c r="O14" s="56" t="n">
        <f aca="false">'Input-Detail'!X24</f>
        <v>2</v>
      </c>
      <c r="P14" s="57" t="n">
        <f aca="false">'Input-Detail'!V25*'Input-Detail'!Y25</f>
        <v>6900.40743019113</v>
      </c>
      <c r="Q14" s="58" t="n">
        <f aca="false">P14*(1-N14)</f>
        <v>4162.91139221701</v>
      </c>
      <c r="R14" s="59" t="n">
        <f aca="false">$D$12-X14</f>
        <v>9</v>
      </c>
      <c r="S14" s="60" t="n">
        <f aca="false">Delay!$N47</f>
        <v>535.415504740658</v>
      </c>
      <c r="T14" s="61" t="n">
        <f aca="false">Q14/(R14*S14)</f>
        <v>0.863900477574664</v>
      </c>
      <c r="U14" s="62" t="n">
        <v>11.4208791289304</v>
      </c>
      <c r="V14" s="62" t="n">
        <v>52.3636363636364</v>
      </c>
      <c r="W14" s="58" t="n">
        <f aca="false">P14-Q14</f>
        <v>2737.49603797412</v>
      </c>
      <c r="X14" s="59" t="n">
        <f aca="false">ETCLANE!BB14</f>
        <v>3</v>
      </c>
      <c r="Y14" s="60" t="n">
        <f aca="false">Delay!$O47</f>
        <v>1500</v>
      </c>
      <c r="Z14" s="61" t="n">
        <f aca="false">W14/(X14*Y14)</f>
        <v>0.608332452883138</v>
      </c>
      <c r="AA14" s="63" t="n">
        <v>1.2414555443203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customFormat="false" ht="12.75" hidden="false" customHeight="false" outlineLevel="0" collapsed="false">
      <c r="B15" s="65" t="s">
        <v>30</v>
      </c>
      <c r="C15" s="30"/>
      <c r="D15" s="72" t="n">
        <f aca="false">'Input-Detail'!AZ29</f>
        <v>55</v>
      </c>
      <c r="E15" s="73"/>
      <c r="G15" s="1"/>
      <c r="H15" s="50" t="n">
        <v>8</v>
      </c>
      <c r="I15" s="51" t="n">
        <v>0</v>
      </c>
      <c r="J15" s="52" t="n">
        <v>-1.01105769000039</v>
      </c>
      <c r="K15" s="53" t="n">
        <v>0.795453060038326</v>
      </c>
      <c r="L15" s="53" t="n">
        <v>8.09313195265782E-006</v>
      </c>
      <c r="M15" s="54" t="n">
        <v>3803281.44</v>
      </c>
      <c r="N15" s="55" t="n">
        <v>0.443037513897103</v>
      </c>
      <c r="O15" s="56" t="n">
        <f aca="false">'Input-Detail'!X25</f>
        <v>2</v>
      </c>
      <c r="P15" s="57" t="n">
        <f aca="false">'Input-Detail'!V26*'Input-Detail'!Y26</f>
        <v>7066.17992021844</v>
      </c>
      <c r="Q15" s="58" t="n">
        <f aca="false">P15*(1-N15)</f>
        <v>3935.59713561523</v>
      </c>
      <c r="R15" s="59" t="n">
        <f aca="false">$D$12-X15</f>
        <v>9</v>
      </c>
      <c r="S15" s="60" t="n">
        <f aca="false">Delay!$N48</f>
        <v>533.728687916976</v>
      </c>
      <c r="T15" s="61" t="n">
        <f aca="false">Q15/(R15*S15)</f>
        <v>0.819308724682862</v>
      </c>
      <c r="U15" s="62" t="n">
        <v>10.1256376593796</v>
      </c>
      <c r="V15" s="62" t="n">
        <v>52.3636363636364</v>
      </c>
      <c r="W15" s="58" t="n">
        <f aca="false">P15-Q15</f>
        <v>3130.58278460321</v>
      </c>
      <c r="X15" s="59" t="n">
        <f aca="false">ETCLANE!BB15</f>
        <v>3</v>
      </c>
      <c r="Y15" s="60" t="n">
        <f aca="false">Delay!$O48</f>
        <v>1500</v>
      </c>
      <c r="Z15" s="61" t="n">
        <f aca="false">W15/(X15*Y15)</f>
        <v>0.695685063245157</v>
      </c>
      <c r="AA15" s="63" t="n">
        <v>1.82581262299256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customFormat="false" ht="12.75" hidden="false" customHeight="false" outlineLevel="0" collapsed="false">
      <c r="B16" s="65" t="s">
        <v>31</v>
      </c>
      <c r="C16" s="30"/>
      <c r="D16" s="74" t="n">
        <v>0.84</v>
      </c>
      <c r="E16" s="73"/>
      <c r="G16" s="1"/>
      <c r="H16" s="50" t="n">
        <v>9</v>
      </c>
      <c r="I16" s="51" t="n">
        <v>0</v>
      </c>
      <c r="J16" s="52" t="n">
        <v>-1.06416476129803</v>
      </c>
      <c r="K16" s="53" t="n">
        <v>0.953707639624543</v>
      </c>
      <c r="L16" s="53" t="n">
        <v>7.93258925022022E-006</v>
      </c>
      <c r="M16" s="54" t="n">
        <v>4324612.4</v>
      </c>
      <c r="N16" s="55" t="n">
        <v>0.488152689932575</v>
      </c>
      <c r="O16" s="56" t="n">
        <f aca="false">'Input-Detail'!X26</f>
        <v>2</v>
      </c>
      <c r="P16" s="57" t="n">
        <f aca="false">'Input-Detail'!V27*'Input-Detail'!Y27</f>
        <v>7231.95241024574</v>
      </c>
      <c r="Q16" s="58" t="n">
        <f aca="false">P16*(1-N16)</f>
        <v>3701.65538771991</v>
      </c>
      <c r="R16" s="59" t="n">
        <f aca="false">$D$12-X16</f>
        <v>8</v>
      </c>
      <c r="S16" s="60" t="n">
        <f aca="false">Delay!$N49</f>
        <v>532.05246628487</v>
      </c>
      <c r="T16" s="61" t="n">
        <f aca="false">Q16/(R16*S16)</f>
        <v>0.869664089137495</v>
      </c>
      <c r="U16" s="62" t="n">
        <v>12.3434186448847</v>
      </c>
      <c r="V16" s="62" t="n">
        <v>52.3636363636364</v>
      </c>
      <c r="W16" s="58" t="n">
        <f aca="false">P16-Q16</f>
        <v>3530.29702252583</v>
      </c>
      <c r="X16" s="59" t="n">
        <f aca="false">ETCLANE!BB16</f>
        <v>4</v>
      </c>
      <c r="Y16" s="60" t="n">
        <f aca="false">Delay!$O49</f>
        <v>1500</v>
      </c>
      <c r="Z16" s="61" t="n">
        <f aca="false">W16/(X16*Y16)</f>
        <v>0.588382837087638</v>
      </c>
      <c r="AA16" s="63" t="n">
        <v>0.857169330639429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customFormat="false" ht="12.75" hidden="false" customHeight="false" outlineLevel="0" collapsed="false">
      <c r="B17" s="65"/>
      <c r="C17" s="30"/>
      <c r="D17" s="75"/>
      <c r="E17" s="73"/>
      <c r="G17" s="1"/>
      <c r="H17" s="50" t="n">
        <v>10</v>
      </c>
      <c r="I17" s="51" t="n">
        <v>0</v>
      </c>
      <c r="J17" s="52" t="n">
        <v>-1.02936300612798</v>
      </c>
      <c r="K17" s="53" t="n">
        <v>1.13552525125249</v>
      </c>
      <c r="L17" s="53" t="n">
        <v>7.10610149923241E-006</v>
      </c>
      <c r="M17" s="54" t="n">
        <v>4853905.72</v>
      </c>
      <c r="N17" s="55" t="n">
        <v>0.531731128248894</v>
      </c>
      <c r="O17" s="56" t="n">
        <f aca="false">'Input-Detail'!X27</f>
        <v>2</v>
      </c>
      <c r="P17" s="57" t="n">
        <f aca="false">'Input-Detail'!V28*'Input-Detail'!Y28</f>
        <v>7397.72490027305</v>
      </c>
      <c r="Q17" s="58" t="n">
        <f aca="false">P17*(1-N17)</f>
        <v>3464.12429257592</v>
      </c>
      <c r="R17" s="59" t="n">
        <f aca="false">$D$12-X17</f>
        <v>8</v>
      </c>
      <c r="S17" s="60" t="n">
        <f aca="false">Delay!$N50</f>
        <v>530.386740331492</v>
      </c>
      <c r="T17" s="61" t="n">
        <f aca="false">Q17/(R17*S17)</f>
        <v>0.816414709578441</v>
      </c>
      <c r="U17" s="62" t="n">
        <v>10.5392545518214</v>
      </c>
      <c r="V17" s="62" t="n">
        <v>52.3636363636364</v>
      </c>
      <c r="W17" s="58" t="n">
        <f aca="false">P17-Q17</f>
        <v>3933.60060769712</v>
      </c>
      <c r="X17" s="59" t="n">
        <f aca="false">ETCLANE!BB17</f>
        <v>4</v>
      </c>
      <c r="Y17" s="60" t="n">
        <f aca="false">Delay!$O50</f>
        <v>1500</v>
      </c>
      <c r="Z17" s="61" t="n">
        <f aca="false">W17/(X17*Y17)</f>
        <v>0.655600101282854</v>
      </c>
      <c r="AA17" s="63" t="n">
        <v>1.14111054777911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customFormat="false" ht="12.75" hidden="false" customHeight="false" outlineLevel="0" collapsed="false">
      <c r="B18" s="65"/>
      <c r="C18" s="30"/>
      <c r="D18" s="75"/>
      <c r="E18" s="73"/>
      <c r="G18" s="1"/>
      <c r="H18" s="50" t="n">
        <v>11</v>
      </c>
      <c r="I18" s="51" t="n">
        <v>0</v>
      </c>
      <c r="J18" s="52" t="n">
        <v>-1.00545562640738</v>
      </c>
      <c r="K18" s="53" t="n">
        <v>1.34581962400142</v>
      </c>
      <c r="L18" s="53" t="n">
        <v>6.01716268078256E-006</v>
      </c>
      <c r="M18" s="54" t="n">
        <v>5368564.06</v>
      </c>
      <c r="N18" s="55" t="n">
        <v>0.57370976448128</v>
      </c>
      <c r="O18" s="56" t="n">
        <f aca="false">'Input-Detail'!X28</f>
        <v>2</v>
      </c>
      <c r="P18" s="57" t="n">
        <f aca="false">'Input-Detail'!V29*'Input-Detail'!Y29</f>
        <v>7563.49739030035</v>
      </c>
      <c r="Q18" s="58" t="n">
        <f aca="false">P18*(1-N18)</f>
        <v>3224.24508385636</v>
      </c>
      <c r="R18" s="59" t="n">
        <f aca="false">$D$12-X18</f>
        <v>8</v>
      </c>
      <c r="S18" s="60" t="n">
        <f aca="false">Delay!$N51</f>
        <v>528.731411786304</v>
      </c>
      <c r="T18" s="61" t="n">
        <f aca="false">Q18/(R18*S18)</f>
        <v>0.762259677593992</v>
      </c>
      <c r="U18" s="62" t="n">
        <v>9.52894084279255</v>
      </c>
      <c r="V18" s="62" t="n">
        <v>52.3636363636364</v>
      </c>
      <c r="W18" s="58" t="n">
        <f aca="false">P18-Q18</f>
        <v>4339.25230644399</v>
      </c>
      <c r="X18" s="59" t="n">
        <f aca="false">ETCLANE!BB18</f>
        <v>4</v>
      </c>
      <c r="Y18" s="60" t="n">
        <f aca="false">Delay!$O51</f>
        <v>1500</v>
      </c>
      <c r="Z18" s="61" t="n">
        <f aca="false">W18/(X18*Y18)</f>
        <v>0.723208717740666</v>
      </c>
      <c r="AA18" s="63" t="n">
        <v>1.56523962198611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customFormat="false" ht="12.75" hidden="false" customHeight="false" outlineLevel="0" collapsed="false">
      <c r="B19" s="65"/>
      <c r="C19" s="30"/>
      <c r="D19" s="75"/>
      <c r="E19" s="73"/>
      <c r="G19" s="1"/>
      <c r="H19" s="50" t="n">
        <v>12</v>
      </c>
      <c r="I19" s="51" t="n">
        <v>0</v>
      </c>
      <c r="J19" s="52" t="n">
        <v>-1.04101053484639</v>
      </c>
      <c r="K19" s="53" t="n">
        <v>1.59121605949081</v>
      </c>
      <c r="L19" s="53" t="n">
        <v>5.45680025859641E-006</v>
      </c>
      <c r="M19" s="54" t="n">
        <v>5915262.31</v>
      </c>
      <c r="N19" s="55" t="n">
        <v>0.614080811078137</v>
      </c>
      <c r="O19" s="56" t="n">
        <f aca="false">'Input-Detail'!X29</f>
        <v>2</v>
      </c>
      <c r="P19" s="57" t="n">
        <f aca="false">'Input-Detail'!V30*'Input-Detail'!Y30</f>
        <v>7729.26988032766</v>
      </c>
      <c r="Q19" s="58" t="n">
        <f aca="false">P19*(1-N19)</f>
        <v>2982.87356317423</v>
      </c>
      <c r="R19" s="59" t="n">
        <f aca="false">$D$12-X19</f>
        <v>7</v>
      </c>
      <c r="S19" s="60" t="n">
        <f aca="false">Delay!$N52</f>
        <v>527.086383601757</v>
      </c>
      <c r="T19" s="61" t="n">
        <f aca="false">Q19/(R19*S19)</f>
        <v>0.808453430019047</v>
      </c>
      <c r="U19" s="62" t="n">
        <v>10.9238561338597</v>
      </c>
      <c r="V19" s="62" t="n">
        <v>52.3636363636364</v>
      </c>
      <c r="W19" s="58" t="n">
        <f aca="false">P19-Q19</f>
        <v>4746.39631715343</v>
      </c>
      <c r="X19" s="59" t="n">
        <f aca="false">ETCLANE!BB19</f>
        <v>5</v>
      </c>
      <c r="Y19" s="60" t="n">
        <f aca="false">Delay!$O52</f>
        <v>1500</v>
      </c>
      <c r="Z19" s="61" t="n">
        <f aca="false">W19/(X19*Y19)</f>
        <v>0.632852842287123</v>
      </c>
      <c r="AA19" s="63" t="n">
        <v>0.826860406712993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customFormat="false" ht="12.75" hidden="false" customHeight="false" outlineLevel="0" collapsed="false">
      <c r="B20" s="65"/>
      <c r="C20" s="30"/>
      <c r="D20" s="75"/>
      <c r="E20" s="73"/>
      <c r="G20" s="1"/>
      <c r="H20" s="50" t="n">
        <v>13</v>
      </c>
      <c r="I20" s="51" t="n">
        <v>0</v>
      </c>
      <c r="J20" s="52" t="n">
        <v>-1.01719371200637</v>
      </c>
      <c r="K20" s="53" t="n">
        <v>1.87668078860416</v>
      </c>
      <c r="L20" s="53" t="n">
        <v>9.57943686025198E-006</v>
      </c>
      <c r="M20" s="54" t="n">
        <v>6434905.64</v>
      </c>
      <c r="N20" s="55" t="n">
        <v>0.652377141057342</v>
      </c>
      <c r="O20" s="56" t="n">
        <f aca="false">'Input-Detail'!X30</f>
        <v>2</v>
      </c>
      <c r="P20" s="57" t="n">
        <f aca="false">'Input-Detail'!V31*'Input-Detail'!Y31</f>
        <v>7895.04237035496</v>
      </c>
      <c r="Q20" s="58" t="n">
        <f aca="false">P20*(1-N20)</f>
        <v>2744.49720025621</v>
      </c>
      <c r="R20" s="59" t="n">
        <f aca="false">$D$12-X20</f>
        <v>7</v>
      </c>
      <c r="S20" s="60" t="n">
        <f aca="false">Delay!$N53</f>
        <v>525.451559934319</v>
      </c>
      <c r="T20" s="61" t="n">
        <f aca="false">Q20/(R20*S20)</f>
        <v>0.746160176319658</v>
      </c>
      <c r="U20" s="62" t="n">
        <v>9.71927669292238</v>
      </c>
      <c r="V20" s="62" t="n">
        <v>52.3636363636364</v>
      </c>
      <c r="W20" s="58" t="n">
        <f aca="false">P20-Q20</f>
        <v>5150.54517009875</v>
      </c>
      <c r="X20" s="59" t="n">
        <f aca="false">ETCLANE!BB20</f>
        <v>5</v>
      </c>
      <c r="Y20" s="60" t="n">
        <f aca="false">Delay!$O53</f>
        <v>1500</v>
      </c>
      <c r="Z20" s="61" t="n">
        <f aca="false">W20/(X20*Y20)</f>
        <v>0.686739356013166</v>
      </c>
      <c r="AA20" s="63" t="n">
        <v>1.05129033617629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customFormat="false" ht="12.75" hidden="false" customHeight="false" outlineLevel="0" collapsed="false">
      <c r="B21" s="65"/>
      <c r="C21" s="30"/>
      <c r="D21" s="75"/>
      <c r="E21" s="73"/>
      <c r="G21" s="1"/>
      <c r="H21" s="50" t="n">
        <v>14</v>
      </c>
      <c r="I21" s="51" t="n">
        <v>0</v>
      </c>
      <c r="J21" s="52" t="n">
        <v>-1.05184879309894</v>
      </c>
      <c r="K21" s="53" t="n">
        <v>2.21089435261861</v>
      </c>
      <c r="L21" s="53" t="n">
        <v>7.9857442812914E-006</v>
      </c>
      <c r="M21" s="54" t="n">
        <v>6972281.38</v>
      </c>
      <c r="N21" s="55" t="n">
        <v>0.688560291874923</v>
      </c>
      <c r="O21" s="56" t="n">
        <f aca="false">'Input-Detail'!X31</f>
        <v>2</v>
      </c>
      <c r="P21" s="57" t="n">
        <f aca="false">'Input-Detail'!V32*'Input-Detail'!Y32</f>
        <v>8060.81486038226</v>
      </c>
      <c r="Q21" s="58" t="n">
        <f aca="false">P21*(1-N21)</f>
        <v>2510.45782736774</v>
      </c>
      <c r="R21" s="59" t="n">
        <f aca="false">$D$12-X21</f>
        <v>6</v>
      </c>
      <c r="S21" s="60" t="n">
        <f aca="false">Delay!$N54</f>
        <v>523.826846125864</v>
      </c>
      <c r="T21" s="61" t="n">
        <f aca="false">Q21/(R21*S21)</f>
        <v>0.798755621230777</v>
      </c>
      <c r="U21" s="62" t="n">
        <v>11.3905775829727</v>
      </c>
      <c r="V21" s="62" t="n">
        <v>52.3636363636364</v>
      </c>
      <c r="W21" s="58" t="n">
        <f aca="false">P21-Q21</f>
        <v>5550.35703301453</v>
      </c>
      <c r="X21" s="59" t="n">
        <f aca="false">ETCLANE!BB21</f>
        <v>6</v>
      </c>
      <c r="Y21" s="60" t="n">
        <f aca="false">Delay!$O54</f>
        <v>1500</v>
      </c>
      <c r="Z21" s="61" t="n">
        <f aca="false">W21/(X21*Y21)</f>
        <v>0.616706337001614</v>
      </c>
      <c r="AA21" s="63" t="n">
        <v>0.64328636067239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customFormat="false" ht="12.75" hidden="false" customHeight="false" outlineLevel="0" collapsed="false">
      <c r="B22" s="76"/>
      <c r="C22" s="77"/>
      <c r="D22" s="78"/>
      <c r="E22" s="79"/>
      <c r="G22" s="1"/>
      <c r="H22" s="50" t="n">
        <v>15</v>
      </c>
      <c r="I22" s="51" t="n">
        <v>0</v>
      </c>
      <c r="J22" s="52" t="n">
        <v>-1.02613453540718</v>
      </c>
      <c r="K22" s="53" t="n">
        <v>2.59964382888671</v>
      </c>
      <c r="L22" s="53" t="n">
        <v>7.15293406250428E-006</v>
      </c>
      <c r="M22" s="54" t="n">
        <v>7480146.26</v>
      </c>
      <c r="N22" s="55" t="n">
        <v>0.72219473716396</v>
      </c>
      <c r="O22" s="56" t="n">
        <f aca="false">'Input-Detail'!X32</f>
        <v>2</v>
      </c>
      <c r="P22" s="57" t="n">
        <f aca="false">'Input-Detail'!V33*'Input-Detail'!Y33</f>
        <v>8226.58735040957</v>
      </c>
      <c r="Q22" s="58" t="n">
        <f aca="false">P22*(1-N22)</f>
        <v>2285.38926112417</v>
      </c>
      <c r="R22" s="59" t="n">
        <f aca="false">$D$12-X22</f>
        <v>6</v>
      </c>
      <c r="S22" s="60" t="n">
        <f aca="false">Delay!$N55</f>
        <v>522.212148685403</v>
      </c>
      <c r="T22" s="61" t="n">
        <f aca="false">Q22/(R22*S22)</f>
        <v>0.729393621244202</v>
      </c>
      <c r="U22" s="62" t="n">
        <v>9.98087443270308</v>
      </c>
      <c r="V22" s="62" t="n">
        <v>52.3636363636364</v>
      </c>
      <c r="W22" s="58" t="n">
        <f aca="false">P22-Q22</f>
        <v>5941.1980892854</v>
      </c>
      <c r="X22" s="59" t="n">
        <f aca="false">ETCLANE!BB22</f>
        <v>6</v>
      </c>
      <c r="Y22" s="60" t="n">
        <f aca="false">Delay!$O55</f>
        <v>1500</v>
      </c>
      <c r="Z22" s="61" t="n">
        <f aca="false">W22/(X22*Y22)</f>
        <v>0.660133121031711</v>
      </c>
      <c r="AA22" s="63" t="n">
        <v>0.776438671908386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customFormat="false" ht="12.75" hidden="false" customHeight="false" outlineLevel="0" collapsed="false">
      <c r="G23" s="1"/>
      <c r="H23" s="50" t="n">
        <v>16</v>
      </c>
      <c r="I23" s="51" t="n">
        <v>0</v>
      </c>
      <c r="J23" s="52" t="n">
        <v>-1.00999044067107</v>
      </c>
      <c r="K23" s="53" t="n">
        <v>3.05196156749199</v>
      </c>
      <c r="L23" s="53" t="n">
        <v>6.0726046079429E-006</v>
      </c>
      <c r="M23" s="54" t="n">
        <v>7967363.75</v>
      </c>
      <c r="N23" s="55" t="n">
        <v>0.753205951403196</v>
      </c>
      <c r="O23" s="56" t="n">
        <f aca="false">'Input-Detail'!X33</f>
        <v>2</v>
      </c>
      <c r="P23" s="57" t="n">
        <f aca="false">'Input-Detail'!V34*'Input-Detail'!Y34</f>
        <v>8392.35984043687</v>
      </c>
      <c r="Q23" s="58" t="n">
        <f aca="false">P23*(1-N23)</f>
        <v>2071.18446230264</v>
      </c>
      <c r="R23" s="59" t="n">
        <f aca="false">$D$12-X23</f>
        <v>6</v>
      </c>
      <c r="S23" s="60" t="n">
        <f aca="false">Delay!$N56</f>
        <v>520.60737527115</v>
      </c>
      <c r="T23" s="61" t="n">
        <f aca="false">Q23/(R23*S23)</f>
        <v>0.663066692445499</v>
      </c>
      <c r="U23" s="62" t="n">
        <v>9.17883308338222</v>
      </c>
      <c r="V23" s="62" t="n">
        <v>52.3636363636364</v>
      </c>
      <c r="W23" s="58" t="n">
        <f aca="false">P23-Q23</f>
        <v>6321.17537813423</v>
      </c>
      <c r="X23" s="59" t="n">
        <f aca="false">ETCLANE!BB23</f>
        <v>6</v>
      </c>
      <c r="Y23" s="60" t="n">
        <f aca="false">Delay!$O56</f>
        <v>1500</v>
      </c>
      <c r="Z23" s="61" t="n">
        <f aca="false">W23/(X23*Y23)</f>
        <v>0.702352819792692</v>
      </c>
      <c r="AA23" s="63" t="n">
        <v>0.94304300675444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customFormat="false" ht="12.75" hidden="false" customHeight="false" outlineLevel="0" collapsed="false">
      <c r="G24" s="1"/>
      <c r="H24" s="50" t="n">
        <v>17</v>
      </c>
      <c r="I24" s="51" t="n">
        <v>0</v>
      </c>
      <c r="J24" s="52" t="n">
        <v>-1.03757284492809</v>
      </c>
      <c r="K24" s="53" t="n">
        <v>3.5798342355225</v>
      </c>
      <c r="L24" s="53" t="n">
        <v>5.27068623779048E-006</v>
      </c>
      <c r="M24" s="54" t="n">
        <v>8474466.12</v>
      </c>
      <c r="N24" s="55" t="n">
        <v>0.781651485932894</v>
      </c>
      <c r="O24" s="56" t="n">
        <f aca="false">'Input-Detail'!X34</f>
        <v>2</v>
      </c>
      <c r="P24" s="57" t="n">
        <f aca="false">'Input-Detail'!V35*'Input-Detail'!Y35</f>
        <v>8558.13233046418</v>
      </c>
      <c r="Q24" s="58" t="n">
        <f aca="false">P24*(1-N24)</f>
        <v>1868.65547754652</v>
      </c>
      <c r="R24" s="59" t="n">
        <f aca="false">$D$12-X24</f>
        <v>5</v>
      </c>
      <c r="S24" s="60" t="n">
        <f aca="false">Delay!$N57</f>
        <v>519.012434672914</v>
      </c>
      <c r="T24" s="61" t="n">
        <f aca="false">Q24/(R24*S24)</f>
        <v>0.72008119756289</v>
      </c>
      <c r="U24" s="62" t="n">
        <v>10.4923523151803</v>
      </c>
      <c r="V24" s="62" t="n">
        <v>52.3636363636364</v>
      </c>
      <c r="W24" s="58" t="n">
        <f aca="false">P24-Q24</f>
        <v>6689.47685291766</v>
      </c>
      <c r="X24" s="59" t="n">
        <f aca="false">ETCLANE!BB24</f>
        <v>7</v>
      </c>
      <c r="Y24" s="60" t="n">
        <f aca="false">Delay!$O57</f>
        <v>1500</v>
      </c>
      <c r="Z24" s="61" t="n">
        <f aca="false">W24/(X24*Y24)</f>
        <v>0.637093033611206</v>
      </c>
      <c r="AA24" s="63" t="n">
        <v>0.601617983131608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customFormat="false" ht="14.25" hidden="false" customHeight="false" outlineLevel="0" collapsed="false">
      <c r="B25" s="7" t="s">
        <v>32</v>
      </c>
      <c r="G25" s="1"/>
      <c r="H25" s="50" t="n">
        <v>18</v>
      </c>
      <c r="I25" s="51" t="n">
        <v>0</v>
      </c>
      <c r="J25" s="52" t="n">
        <v>-1.01995647345965</v>
      </c>
      <c r="K25" s="53" t="n">
        <v>4.19092339078288</v>
      </c>
      <c r="L25" s="53" t="n">
        <v>9.19933631149394E-006</v>
      </c>
      <c r="M25" s="54" t="n">
        <v>8931657.9</v>
      </c>
      <c r="N25" s="55" t="n">
        <v>0.807356047331459</v>
      </c>
      <c r="O25" s="56" t="n">
        <f aca="false">'Input-Detail'!X35</f>
        <v>2</v>
      </c>
      <c r="P25" s="57" t="n">
        <f aca="false">'Input-Detail'!V36*'Input-Detail'!Y36</f>
        <v>8723.90482049148</v>
      </c>
      <c r="Q25" s="58" t="n">
        <f aca="false">P25*(1-N25)</f>
        <v>1680.60750732362</v>
      </c>
      <c r="R25" s="59" t="n">
        <f aca="false">$D$12-X25</f>
        <v>5</v>
      </c>
      <c r="S25" s="60" t="n">
        <f aca="false">Delay!$N58</f>
        <v>517.427236794826</v>
      </c>
      <c r="T25" s="61" t="n">
        <f aca="false">Q25/(R25*S25)</f>
        <v>0.649601485122449</v>
      </c>
      <c r="U25" s="62" t="n">
        <v>9.53193850680984</v>
      </c>
      <c r="V25" s="62" t="n">
        <v>52.3636363636364</v>
      </c>
      <c r="W25" s="58" t="n">
        <f aca="false">P25-Q25</f>
        <v>7043.29731316786</v>
      </c>
      <c r="X25" s="59" t="n">
        <f aca="false">ETCLANE!BB25</f>
        <v>7</v>
      </c>
      <c r="Y25" s="60" t="n">
        <f aca="false">Delay!$O58</f>
        <v>1500</v>
      </c>
      <c r="Z25" s="61" t="n">
        <f aca="false">W25/(X25*Y25)</f>
        <v>0.670790220301701</v>
      </c>
      <c r="AA25" s="63" t="n">
        <v>0.698186462867323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customFormat="false" ht="12.75" hidden="false" customHeight="false" outlineLevel="0" collapsed="false">
      <c r="G26" s="1"/>
      <c r="H26" s="50" t="n">
        <v>19</v>
      </c>
      <c r="I26" s="51" t="n">
        <v>0</v>
      </c>
      <c r="J26" s="52" t="n">
        <v>-1.05927607441002</v>
      </c>
      <c r="K26" s="53" t="n">
        <v>4.90193173251022</v>
      </c>
      <c r="L26" s="53" t="n">
        <v>7.92224995338486E-006</v>
      </c>
      <c r="M26" s="54" t="n">
        <v>9398822.54</v>
      </c>
      <c r="N26" s="55" t="n">
        <v>0.830563950021381</v>
      </c>
      <c r="O26" s="56" t="n">
        <f aca="false">'Input-Detail'!X36</f>
        <v>2</v>
      </c>
      <c r="P26" s="57" t="n">
        <f aca="false">'Input-Detail'!V37*'Input-Detail'!Y37</f>
        <v>8889.67731051879</v>
      </c>
      <c r="Q26" s="58" t="n">
        <f aca="false">P26*(1-N26)</f>
        <v>1506.23180907886</v>
      </c>
      <c r="R26" s="59" t="n">
        <f aca="false">$D$12-X26</f>
        <v>4</v>
      </c>
      <c r="S26" s="60" t="n">
        <f aca="false">Delay!$N59</f>
        <v>515.851692638366</v>
      </c>
      <c r="T26" s="61" t="n">
        <f aca="false">Q26/(R26*S26)</f>
        <v>0.72997328038952</v>
      </c>
      <c r="U26" s="62" t="n">
        <v>11.6725643350291</v>
      </c>
      <c r="V26" s="62" t="n">
        <v>52.3636363636364</v>
      </c>
      <c r="W26" s="58" t="n">
        <f aca="false">P26-Q26</f>
        <v>7383.44550143993</v>
      </c>
      <c r="X26" s="59" t="n">
        <f aca="false">ETCLANE!BB26</f>
        <v>8</v>
      </c>
      <c r="Y26" s="60" t="n">
        <f aca="false">Delay!$O59</f>
        <v>1500</v>
      </c>
      <c r="Z26" s="61" t="n">
        <f aca="false">W26/(X26*Y26)</f>
        <v>0.615287125119994</v>
      </c>
      <c r="AA26" s="63" t="n">
        <v>0.479636234064273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customFormat="false" ht="12.75" hidden="false" customHeight="false" outlineLevel="0" collapsed="false">
      <c r="B27" s="80" t="s">
        <v>33</v>
      </c>
      <c r="C27" s="81" t="n">
        <v>19016173</v>
      </c>
      <c r="G27" s="1"/>
      <c r="H27" s="82" t="n">
        <v>20</v>
      </c>
      <c r="I27" s="83" t="n">
        <v>0</v>
      </c>
      <c r="J27" s="84" t="n">
        <v>-1.03566385315901</v>
      </c>
      <c r="K27" s="85" t="n">
        <v>5.71977552223451</v>
      </c>
      <c r="L27" s="85" t="n">
        <v>7.12606094999124E-006</v>
      </c>
      <c r="M27" s="86" t="n">
        <v>9820875.8</v>
      </c>
      <c r="N27" s="87" t="n">
        <v>0.85118550512719</v>
      </c>
      <c r="O27" s="88" t="n">
        <f aca="false">'Input-Detail'!X37</f>
        <v>2</v>
      </c>
      <c r="P27" s="89" t="n">
        <f aca="false">'Input-Detail'!V38*'Input-Detail'!Y38</f>
        <v>9055.44980054609</v>
      </c>
      <c r="Q27" s="90" t="n">
        <f aca="false">P27*(1-N27)</f>
        <v>1347.58218791435</v>
      </c>
      <c r="R27" s="91" t="n">
        <f aca="false">$D$12-X27</f>
        <v>4</v>
      </c>
      <c r="S27" s="92" t="n">
        <f aca="false">Delay!$N60</f>
        <v>514.285714285714</v>
      </c>
      <c r="T27" s="93" t="n">
        <f aca="false">Q27/(R27*S27)</f>
        <v>0.655074674680588</v>
      </c>
      <c r="U27" s="94" t="n">
        <v>10.3147135388664</v>
      </c>
      <c r="V27" s="94" t="n">
        <v>52.3636363636364</v>
      </c>
      <c r="W27" s="90" t="n">
        <f aca="false">P27-Q27</f>
        <v>7707.86761263174</v>
      </c>
      <c r="X27" s="91" t="n">
        <f aca="false">ETCLANE!BB27</f>
        <v>8</v>
      </c>
      <c r="Y27" s="92" t="n">
        <f aca="false">Delay!$O60</f>
        <v>1500</v>
      </c>
      <c r="Z27" s="93" t="n">
        <f aca="false">W27/(X27*Y27)</f>
        <v>0.642322301052645</v>
      </c>
      <c r="AA27" s="95" t="n">
        <v>0.53851871296221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customFormat="false" ht="12.75" hidden="false" customHeight="false" outlineLevel="0" collapsed="false">
      <c r="B28" s="1" t="s">
        <v>34</v>
      </c>
      <c r="C28" s="96" t="n">
        <v>0.06</v>
      </c>
      <c r="K28" s="97"/>
    </row>
    <row r="29" customFormat="false" ht="12.75" hidden="false" customHeight="false" outlineLevel="0" collapsed="false">
      <c r="B29" s="1" t="s">
        <v>35</v>
      </c>
      <c r="C29" s="98" t="n">
        <f aca="false">C28/(1-C28)</f>
        <v>0.0638297872340426</v>
      </c>
      <c r="K29" s="97"/>
    </row>
    <row r="30" customFormat="false" ht="12.75" hidden="false" customHeight="false" outlineLevel="0" collapsed="false">
      <c r="A30" s="4"/>
      <c r="B30" s="1" t="s">
        <v>36</v>
      </c>
      <c r="C30" s="98" t="n">
        <f aca="false">-11.06/60</f>
        <v>-0.184333333333333</v>
      </c>
      <c r="F30" s="4"/>
      <c r="K30" s="97"/>
      <c r="BP30" s="2"/>
      <c r="BQ30" s="4"/>
      <c r="CC30" s="2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</row>
    <row r="31" customFormat="false" ht="12.75" hidden="false" customHeight="false" outlineLevel="0" collapsed="false">
      <c r="A31" s="4"/>
      <c r="B31" s="1" t="s">
        <v>37</v>
      </c>
      <c r="C31" s="1" t="n">
        <v>0</v>
      </c>
      <c r="F31" s="4"/>
      <c r="BP31" s="2"/>
      <c r="BQ31" s="4"/>
      <c r="CC31" s="2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</row>
    <row r="32" customFormat="false" ht="15.75" hidden="false" customHeight="false" outlineLevel="0" collapsed="false">
      <c r="A32" s="4"/>
      <c r="B32" s="99" t="s">
        <v>38</v>
      </c>
      <c r="C32" s="98" t="n">
        <f aca="false">LN(C29)-C33*C30-C34*C31</f>
        <v>-2.75706531304195</v>
      </c>
      <c r="F32" s="4"/>
      <c r="BP32" s="2"/>
      <c r="BQ32" s="4"/>
      <c r="CC32" s="2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</row>
    <row r="33" customFormat="false" ht="15.75" hidden="false" customHeight="false" outlineLevel="0" collapsed="false">
      <c r="A33" s="4"/>
      <c r="B33" s="99" t="s">
        <v>39</v>
      </c>
      <c r="C33" s="98" t="n">
        <v>-0.03</v>
      </c>
      <c r="F33" s="4"/>
      <c r="BP33" s="2"/>
      <c r="BQ33" s="4"/>
      <c r="CC33" s="2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customFormat="false" ht="15.75" hidden="false" customHeight="false" outlineLevel="0" collapsed="false">
      <c r="A34" s="4"/>
      <c r="B34" s="99" t="s">
        <v>40</v>
      </c>
      <c r="C34" s="98" t="n">
        <f aca="false">C33/('Input-Detail'!AZ39/60)</f>
        <v>-0.141176470588235</v>
      </c>
      <c r="F34" s="4"/>
      <c r="BP34" s="2"/>
      <c r="BQ34" s="4"/>
      <c r="CC34" s="2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</row>
    <row r="35" customFormat="false" ht="12.75" hidden="false" customHeight="false" outlineLevel="0" collapsed="false">
      <c r="A35" s="4"/>
      <c r="F35" s="4"/>
      <c r="BP35" s="2"/>
      <c r="BQ35" s="4"/>
      <c r="CC35" s="2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BP36" s="2"/>
      <c r="BQ36" s="4"/>
      <c r="CC36" s="2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BP37" s="2"/>
      <c r="BQ37" s="4"/>
      <c r="CC37" s="2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  <c r="BP38" s="2"/>
      <c r="BQ38" s="4"/>
      <c r="CC38" s="2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  <c r="BP39" s="2"/>
      <c r="BQ39" s="4"/>
      <c r="CC39" s="2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customFormat="false" ht="12.75" hidden="false" customHeight="false" outlineLevel="0" collapsed="false">
      <c r="A40" s="4"/>
      <c r="B40" s="4"/>
      <c r="C40" s="4"/>
      <c r="D40" s="4"/>
      <c r="E40" s="4"/>
      <c r="F40" s="4"/>
      <c r="BP40" s="2"/>
      <c r="BQ40" s="4"/>
      <c r="CC40" s="2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customFormat="false" ht="12.75" hidden="false" customHeight="false" outlineLevel="0" collapsed="false">
      <c r="A41" s="4"/>
      <c r="B41" s="4"/>
      <c r="C41" s="4"/>
      <c r="D41" s="4"/>
      <c r="E41" s="4"/>
      <c r="F41" s="4"/>
      <c r="BP41" s="2"/>
      <c r="BQ41" s="4"/>
      <c r="CC41" s="2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customFormat="false" ht="12.75" hidden="false" customHeight="false" outlineLevel="0" collapsed="false">
      <c r="A42" s="4"/>
      <c r="B42" s="4"/>
      <c r="C42" s="4"/>
      <c r="D42" s="4"/>
      <c r="E42" s="4"/>
      <c r="F42" s="4"/>
      <c r="BP42" s="2"/>
      <c r="BQ42" s="4"/>
      <c r="CC42" s="2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customFormat="false" ht="12.75" hidden="false" customHeight="false" outlineLevel="0" collapsed="false">
      <c r="A43" s="4"/>
      <c r="B43" s="4"/>
      <c r="C43" s="4"/>
      <c r="D43" s="4"/>
      <c r="E43" s="4"/>
      <c r="F43" s="4"/>
      <c r="BP43" s="2"/>
      <c r="BQ43" s="4"/>
      <c r="CC43" s="2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customFormat="false" ht="12.75" hidden="false" customHeight="false" outlineLevel="0" collapsed="false">
      <c r="A44" s="4"/>
      <c r="B44" s="4"/>
      <c r="C44" s="4"/>
      <c r="D44" s="4"/>
      <c r="E44" s="4"/>
      <c r="F44" s="4"/>
      <c r="BP44" s="2"/>
      <c r="BQ44" s="4"/>
      <c r="CC44" s="2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customFormat="false" ht="12.75" hidden="false" customHeight="false" outlineLevel="0" collapsed="false">
      <c r="A45" s="4"/>
      <c r="B45" s="4"/>
      <c r="C45" s="4"/>
      <c r="D45" s="4"/>
      <c r="E45" s="4"/>
      <c r="F45" s="4"/>
      <c r="BP45" s="2"/>
      <c r="BQ45" s="4"/>
      <c r="CC45" s="2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</row>
    <row r="46" customFormat="false" ht="12.75" hidden="false" customHeight="false" outlineLevel="0" collapsed="false">
      <c r="A46" s="4"/>
      <c r="B46" s="4"/>
      <c r="C46" s="4"/>
      <c r="D46" s="4"/>
      <c r="E46" s="4"/>
      <c r="F46" s="4"/>
      <c r="BP46" s="2"/>
      <c r="BQ46" s="4"/>
      <c r="CC46" s="2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customFormat="false" ht="12.75" hidden="false" customHeight="false" outlineLevel="0" collapsed="false">
      <c r="A47" s="4"/>
      <c r="B47" s="4"/>
      <c r="C47" s="4"/>
      <c r="D47" s="4"/>
      <c r="E47" s="4"/>
      <c r="F47" s="4"/>
      <c r="BP47" s="2"/>
      <c r="BQ47" s="4"/>
      <c r="CC47" s="2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customFormat="false" ht="12.75" hidden="false" customHeight="false" outlineLevel="0" collapsed="false">
      <c r="A48" s="4"/>
      <c r="B48" s="4"/>
      <c r="C48" s="4"/>
      <c r="D48" s="4"/>
      <c r="E48" s="4"/>
      <c r="F48" s="4"/>
      <c r="BP48" s="2"/>
      <c r="BQ48" s="4"/>
      <c r="CC48" s="2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</row>
    <row r="49" customFormat="false" ht="12.75" hidden="false" customHeight="false" outlineLevel="0" collapsed="false">
      <c r="A49" s="4"/>
      <c r="B49" s="4"/>
      <c r="C49" s="4"/>
      <c r="D49" s="4"/>
      <c r="E49" s="4"/>
      <c r="F49" s="4"/>
      <c r="BP49" s="2"/>
      <c r="BQ49" s="4"/>
      <c r="CC49" s="2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customFormat="false" ht="12.75" hidden="false" customHeight="false" outlineLevel="0" collapsed="false">
      <c r="A50" s="4"/>
      <c r="B50" s="4"/>
      <c r="C50" s="4"/>
      <c r="D50" s="4"/>
      <c r="E50" s="4"/>
      <c r="F50" s="4"/>
      <c r="BP50" s="2"/>
      <c r="BQ50" s="4"/>
      <c r="CC50" s="2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customFormat="false" ht="12.75" hidden="false" customHeight="false" outlineLevel="0" collapsed="false">
      <c r="A51" s="4"/>
      <c r="B51" s="4"/>
      <c r="C51" s="4"/>
      <c r="D51" s="4"/>
      <c r="E51" s="4"/>
      <c r="F51" s="4"/>
      <c r="BP51" s="2"/>
      <c r="BQ51" s="4"/>
      <c r="CC51" s="2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customFormat="false" ht="12.75" hidden="false" customHeight="false" outlineLevel="0" collapsed="false">
      <c r="A52" s="4"/>
      <c r="B52" s="4"/>
      <c r="C52" s="4"/>
      <c r="D52" s="4"/>
      <c r="E52" s="4"/>
      <c r="F52" s="4"/>
      <c r="BP52" s="2"/>
      <c r="BQ52" s="4"/>
      <c r="CC52" s="2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customFormat="false" ht="12.75" hidden="false" customHeight="false" outlineLevel="0" collapsed="false">
      <c r="A53" s="4"/>
      <c r="B53" s="4"/>
      <c r="C53" s="4"/>
      <c r="D53" s="4"/>
      <c r="E53" s="4"/>
      <c r="F53" s="4"/>
      <c r="BP53" s="2"/>
      <c r="BQ53" s="4"/>
      <c r="CC53" s="2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customFormat="false" ht="12.75" hidden="false" customHeight="false" outlineLevel="0" collapsed="false">
      <c r="A54" s="4"/>
      <c r="B54" s="4"/>
      <c r="C54" s="4"/>
      <c r="D54" s="4"/>
      <c r="E54" s="4"/>
      <c r="F54" s="4"/>
      <c r="BP54" s="2"/>
      <c r="BQ54" s="4"/>
      <c r="CC54" s="2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customFormat="false" ht="12.75" hidden="false" customHeight="false" outlineLevel="0" collapsed="false">
      <c r="A55" s="4"/>
      <c r="B55" s="4"/>
      <c r="C55" s="4"/>
      <c r="D55" s="4"/>
      <c r="E55" s="4"/>
      <c r="F55" s="4"/>
      <c r="BP55" s="2"/>
      <c r="BQ55" s="4"/>
      <c r="CC55" s="2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customFormat="false" ht="12.75" hidden="false" customHeight="false" outlineLevel="0" collapsed="false">
      <c r="A56" s="4"/>
      <c r="B56" s="4"/>
      <c r="C56" s="4"/>
      <c r="D56" s="4"/>
      <c r="E56" s="4"/>
      <c r="F56" s="4"/>
      <c r="BP56" s="2"/>
      <c r="BQ56" s="4"/>
      <c r="CC56" s="2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customFormat="false" ht="12.75" hidden="false" customHeight="false" outlineLevel="0" collapsed="false">
      <c r="A57" s="4"/>
      <c r="B57" s="4"/>
      <c r="C57" s="4"/>
      <c r="D57" s="4"/>
      <c r="E57" s="4"/>
      <c r="F57" s="4"/>
      <c r="BP57" s="2"/>
      <c r="BQ57" s="4"/>
      <c r="CC57" s="2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customFormat="false" ht="12.75" hidden="false" customHeight="false" outlineLevel="0" collapsed="false">
      <c r="A58" s="4"/>
      <c r="B58" s="4"/>
      <c r="C58" s="4"/>
      <c r="D58" s="4"/>
      <c r="E58" s="4"/>
      <c r="F58" s="4"/>
      <c r="BP58" s="2"/>
      <c r="BQ58" s="4"/>
      <c r="CC58" s="2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customFormat="false" ht="12.75" hidden="false" customHeight="false" outlineLevel="0" collapsed="false">
      <c r="A59" s="4"/>
      <c r="B59" s="4"/>
      <c r="C59" s="4"/>
      <c r="D59" s="4"/>
      <c r="E59" s="4"/>
      <c r="F59" s="4"/>
      <c r="BP59" s="2"/>
      <c r="BQ59" s="4"/>
      <c r="CC59" s="2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  <c r="BP60" s="2"/>
      <c r="BQ60" s="4"/>
      <c r="CC60" s="2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customFormat="false" ht="12.75" hidden="false" customHeight="false" outlineLevel="0" collapsed="false">
      <c r="A61" s="4"/>
      <c r="B61" s="4"/>
      <c r="C61" s="4"/>
      <c r="D61" s="4"/>
      <c r="E61" s="4"/>
      <c r="F61" s="4"/>
      <c r="BP61" s="2"/>
      <c r="BQ61" s="4"/>
      <c r="CC61" s="2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customFormat="false" ht="12.75" hidden="false" customHeight="false" outlineLevel="0" collapsed="false">
      <c r="A62" s="4"/>
      <c r="B62" s="4"/>
      <c r="C62" s="4"/>
      <c r="D62" s="4"/>
      <c r="E62" s="4"/>
      <c r="F62" s="4"/>
      <c r="BP62" s="2"/>
      <c r="BQ62" s="4"/>
      <c r="CC62" s="2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customFormat="false" ht="12.75" hidden="false" customHeight="false" outlineLevel="0" collapsed="false">
      <c r="A63" s="4"/>
      <c r="B63" s="4"/>
      <c r="C63" s="4"/>
      <c r="D63" s="4"/>
      <c r="E63" s="4"/>
      <c r="F63" s="4"/>
      <c r="BP63" s="2"/>
      <c r="BQ63" s="4"/>
      <c r="CC63" s="2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</row>
    <row r="64" customFormat="false" ht="12.75" hidden="false" customHeight="false" outlineLevel="0" collapsed="false">
      <c r="A64" s="4"/>
      <c r="B64" s="4"/>
      <c r="C64" s="4"/>
      <c r="D64" s="4"/>
      <c r="E64" s="4"/>
      <c r="F64" s="4"/>
      <c r="BP64" s="2"/>
      <c r="BQ64" s="4"/>
      <c r="CC64" s="2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customFormat="false" ht="12.75" hidden="false" customHeight="false" outlineLevel="0" collapsed="false">
      <c r="A65" s="4"/>
      <c r="B65" s="4"/>
      <c r="C65" s="4"/>
      <c r="D65" s="4"/>
      <c r="E65" s="4"/>
      <c r="F65" s="4"/>
      <c r="BP65" s="2"/>
      <c r="BQ65" s="4"/>
      <c r="CC65" s="2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customFormat="false" ht="12.75" hidden="false" customHeight="false" outlineLevel="0" collapsed="false">
      <c r="A66" s="4"/>
      <c r="B66" s="4"/>
      <c r="C66" s="4"/>
      <c r="D66" s="4"/>
      <c r="E66" s="4"/>
      <c r="F66" s="4"/>
      <c r="BP66" s="2"/>
      <c r="BQ66" s="4"/>
      <c r="CC66" s="2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</row>
    <row r="67" customFormat="false" ht="12.75" hidden="false" customHeight="false" outlineLevel="0" collapsed="false">
      <c r="A67" s="4"/>
      <c r="B67" s="4"/>
      <c r="C67" s="4"/>
      <c r="D67" s="4"/>
      <c r="E67" s="4"/>
      <c r="F67" s="4"/>
      <c r="BP67" s="2"/>
      <c r="BQ67" s="4"/>
      <c r="CC67" s="2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customFormat="false" ht="12.75" hidden="false" customHeight="false" outlineLevel="0" collapsed="false">
      <c r="A68" s="4"/>
      <c r="B68" s="4"/>
      <c r="C68" s="4"/>
      <c r="D68" s="4"/>
      <c r="E68" s="4"/>
      <c r="F68" s="4"/>
      <c r="BP68" s="2"/>
      <c r="BQ68" s="4"/>
      <c r="CC68" s="2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customFormat="false" ht="12.75" hidden="false" customHeight="false" outlineLevel="0" collapsed="false">
      <c r="A69" s="4"/>
      <c r="B69" s="4"/>
      <c r="C69" s="4"/>
      <c r="D69" s="4"/>
      <c r="E69" s="4"/>
      <c r="F69" s="4"/>
      <c r="BP69" s="2"/>
      <c r="BQ69" s="4"/>
      <c r="CC69" s="2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customFormat="false" ht="12.75" hidden="false" customHeight="false" outlineLevel="0" collapsed="false">
      <c r="B70" s="4"/>
      <c r="C70" s="4"/>
      <c r="D70" s="4"/>
      <c r="E70" s="4"/>
    </row>
    <row r="71" customFormat="false" ht="12.75" hidden="false" customHeight="false" outlineLevel="0" collapsed="false">
      <c r="B71" s="4"/>
      <c r="C71" s="4"/>
      <c r="D71" s="4"/>
      <c r="E71" s="4"/>
    </row>
    <row r="72" customFormat="false" ht="12.75" hidden="false" customHeight="false" outlineLevel="0" collapsed="false">
      <c r="B72" s="4"/>
      <c r="C72" s="4"/>
      <c r="D72" s="4"/>
      <c r="E72" s="4"/>
    </row>
    <row r="73" customFormat="false" ht="12.75" hidden="false" customHeight="false" outlineLevel="0" collapsed="false">
      <c r="B73" s="4"/>
      <c r="C73" s="4"/>
      <c r="D73" s="4"/>
      <c r="E73" s="4"/>
    </row>
    <row r="74" customFormat="false" ht="12.75" hidden="false" customHeight="false" outlineLevel="0" collapsed="false">
      <c r="B74" s="4"/>
      <c r="C74" s="4"/>
      <c r="D74" s="4"/>
      <c r="E74" s="4"/>
    </row>
    <row r="75" customFormat="false" ht="12.75" hidden="false" customHeight="false" outlineLevel="0" collapsed="false">
      <c r="B75" s="4"/>
    </row>
  </sheetData>
  <mergeCells count="11"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V5"/>
    <mergeCell ref="W5:AA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P4" colorId="64" zoomScale="75" zoomScaleNormal="75" zoomScalePageLayoutView="100" workbookViewId="0">
      <selection pane="topLeft" activeCell="X19" activeCellId="0" sqref="X19:X27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9.28"/>
    <col collapsed="false" customWidth="true" hidden="false" outlineLevel="0" max="3" min="3" style="1" width="13.85"/>
    <col collapsed="false" customWidth="false" hidden="false" outlineLevel="0" max="4" min="4" style="1" width="8.85"/>
    <col collapsed="false" customWidth="true" hidden="false" outlineLevel="0" max="5" min="5" style="1" width="5.13"/>
    <col collapsed="false" customWidth="true" hidden="false" outlineLevel="0" max="7" min="6" style="1" width="1.7"/>
    <col collapsed="false" customWidth="true" hidden="false" outlineLevel="0" max="8" min="8" style="1" width="5.85"/>
    <col collapsed="false" customWidth="true" hidden="false" outlineLevel="0" max="9" min="9" style="1" width="11.28"/>
    <col collapsed="false" customWidth="true" hidden="false" outlineLevel="0" max="10" min="10" style="1" width="9.85"/>
    <col collapsed="false" customWidth="true" hidden="false" outlineLevel="0" max="11" min="11" style="1" width="16.13"/>
    <col collapsed="false" customWidth="true" hidden="false" outlineLevel="0" max="12" min="12" style="1" width="11.7"/>
    <col collapsed="false" customWidth="true" hidden="false" outlineLevel="0" max="13" min="13" style="1" width="8.28"/>
    <col collapsed="false" customWidth="true" hidden="false" outlineLevel="0" max="14" min="14" style="1" width="15.99"/>
    <col collapsed="false" customWidth="true" hidden="false" outlineLevel="0" max="15" min="15" style="1" width="12.28"/>
    <col collapsed="false" customWidth="true" hidden="false" outlineLevel="0" max="16" min="16" style="1" width="7.85"/>
    <col collapsed="false" customWidth="true" hidden="false" outlineLevel="0" max="17" min="17" style="1" width="7.14"/>
    <col collapsed="false" customWidth="true" hidden="false" outlineLevel="0" max="18" min="18" style="2" width="5.85"/>
    <col collapsed="false" customWidth="true" hidden="false" outlineLevel="0" max="19" min="19" style="2" width="12.56"/>
    <col collapsed="false" customWidth="true" hidden="false" outlineLevel="0" max="20" min="20" style="2" width="9.56"/>
    <col collapsed="false" customWidth="true" hidden="false" outlineLevel="0" max="21" min="21" style="2" width="7.28"/>
    <col collapsed="false" customWidth="true" hidden="false" outlineLevel="0" max="22" min="22" style="2" width="10.41"/>
    <col collapsed="false" customWidth="true" hidden="false" outlineLevel="0" max="23" min="23" style="2" width="10.56"/>
    <col collapsed="false" customWidth="true" hidden="false" outlineLevel="0" max="24" min="24" style="2" width="5.99"/>
    <col collapsed="false" customWidth="true" hidden="false" outlineLevel="0" max="25" min="25" style="2" width="7.14"/>
    <col collapsed="false" customWidth="true" hidden="false" outlineLevel="0" max="26" min="26" style="2" width="11.13"/>
    <col collapsed="false" customWidth="true" hidden="false" outlineLevel="0" max="30" min="27" style="2" width="8.28"/>
    <col collapsed="false" customWidth="true" hidden="false" outlineLevel="0" max="31" min="31" style="2" width="6.41"/>
    <col collapsed="false" customWidth="true" hidden="false" outlineLevel="0" max="32" min="32" style="2" width="6.7"/>
    <col collapsed="false" customWidth="true" hidden="false" outlineLevel="0" max="33" min="33" style="2" width="6.41"/>
    <col collapsed="false" customWidth="true" hidden="false" outlineLevel="0" max="34" min="34" style="2" width="5.85"/>
    <col collapsed="false" customWidth="true" hidden="false" outlineLevel="0" max="35" min="35" style="2" width="6.41"/>
    <col collapsed="false" customWidth="true" hidden="false" outlineLevel="0" max="36" min="36" style="2" width="6.28"/>
    <col collapsed="false" customWidth="true" hidden="false" outlineLevel="0" max="37" min="37" style="2" width="6.7"/>
    <col collapsed="false" customWidth="true" hidden="false" outlineLevel="0" max="38" min="38" style="2" width="7.14"/>
    <col collapsed="false" customWidth="true" hidden="false" outlineLevel="0" max="39" min="39" style="2" width="6.56"/>
    <col collapsed="false" customWidth="true" hidden="false" outlineLevel="0" max="40" min="40" style="2" width="6.41"/>
    <col collapsed="false" customWidth="true" hidden="false" outlineLevel="0" max="42" min="41" style="2" width="7.42"/>
    <col collapsed="false" customWidth="true" hidden="false" outlineLevel="0" max="43" min="43" style="2" width="7.28"/>
    <col collapsed="false" customWidth="true" hidden="false" outlineLevel="0" max="44" min="44" style="2" width="8.14"/>
    <col collapsed="false" customWidth="true" hidden="false" outlineLevel="0" max="45" min="45" style="2" width="7.56"/>
    <col collapsed="false" customWidth="true" hidden="false" outlineLevel="0" max="46" min="46" style="2" width="7.99"/>
    <col collapsed="false" customWidth="true" hidden="false" outlineLevel="0" max="47" min="47" style="2" width="7.7"/>
    <col collapsed="false" customWidth="true" hidden="false" outlineLevel="0" max="48" min="48" style="2" width="7.42"/>
    <col collapsed="false" customWidth="true" hidden="false" outlineLevel="0" max="49" min="49" style="2" width="7.7"/>
    <col collapsed="false" customWidth="true" hidden="false" outlineLevel="0" max="50" min="50" style="2" width="7.56"/>
    <col collapsed="false" customWidth="true" hidden="false" outlineLevel="0" max="51" min="51" style="2" width="7.85"/>
    <col collapsed="false" customWidth="true" hidden="false" outlineLevel="0" max="52" min="52" style="2" width="10.28"/>
    <col collapsed="false" customWidth="true" hidden="false" outlineLevel="0" max="53" min="53" style="2" width="9.99"/>
    <col collapsed="false" customWidth="true" hidden="false" outlineLevel="0" max="54" min="54" style="2" width="12.28"/>
    <col collapsed="false" customWidth="true" hidden="false" outlineLevel="0" max="55" min="55" style="2" width="9.56"/>
    <col collapsed="false" customWidth="false" hidden="false" outlineLevel="0" max="60" min="56" style="2" width="8.85"/>
    <col collapsed="false" customWidth="true" hidden="false" outlineLevel="0" max="61" min="61" style="2" width="10.85"/>
    <col collapsed="false" customWidth="true" hidden="false" outlineLevel="0" max="62" min="62" style="2" width="8.14"/>
    <col collapsed="false" customWidth="true" hidden="false" outlineLevel="0" max="63" min="63" style="2" width="7.42"/>
    <col collapsed="false" customWidth="true" hidden="false" outlineLevel="0" max="64" min="64" style="2" width="10.71"/>
    <col collapsed="false" customWidth="true" hidden="false" outlineLevel="0" max="65" min="65" style="2" width="6.41"/>
    <col collapsed="false" customWidth="true" hidden="false" outlineLevel="0" max="66" min="66" style="2" width="6.56"/>
    <col collapsed="false" customWidth="true" hidden="false" outlineLevel="0" max="67" min="67" style="2" width="5.56"/>
    <col collapsed="false" customWidth="true" hidden="false" outlineLevel="0" max="68" min="68" style="2" width="5.99"/>
    <col collapsed="false" customWidth="true" hidden="false" outlineLevel="0" max="69" min="69" style="2" width="5.85"/>
    <col collapsed="false" customWidth="true" hidden="false" outlineLevel="0" max="70" min="70" style="2" width="7.85"/>
    <col collapsed="false" customWidth="true" hidden="false" outlineLevel="0" max="72" min="71" style="2" width="6.41"/>
    <col collapsed="false" customWidth="true" hidden="false" outlineLevel="0" max="73" min="73" style="2" width="6.99"/>
    <col collapsed="false" customWidth="true" hidden="false" outlineLevel="0" max="74" min="74" style="2" width="5.99"/>
    <col collapsed="false" customWidth="true" hidden="false" outlineLevel="0" max="75" min="75" style="2" width="7.42"/>
    <col collapsed="false" customWidth="true" hidden="false" outlineLevel="0" max="76" min="76" style="2" width="6.13"/>
    <col collapsed="false" customWidth="true" hidden="false" outlineLevel="0" max="77" min="77" style="2" width="5.85"/>
    <col collapsed="false" customWidth="true" hidden="false" outlineLevel="0" max="78" min="78" style="2" width="6.13"/>
    <col collapsed="false" customWidth="true" hidden="false" outlineLevel="0" max="79" min="79" style="2" width="6.41"/>
    <col collapsed="false" customWidth="true" hidden="false" outlineLevel="0" max="80" min="80" style="2" width="5.56"/>
    <col collapsed="false" customWidth="true" hidden="false" outlineLevel="0" max="81" min="81" style="2" width="5.71"/>
    <col collapsed="false" customWidth="true" hidden="false" outlineLevel="0" max="82" min="82" style="2" width="5.56"/>
    <col collapsed="false" customWidth="true" hidden="false" outlineLevel="0" max="83" min="83" style="2" width="5.13"/>
    <col collapsed="false" customWidth="true" hidden="false" outlineLevel="0" max="84" min="84" style="1" width="10.13"/>
    <col collapsed="false" customWidth="false" hidden="false" outlineLevel="0" max="89" min="85" style="2" width="8.85"/>
    <col collapsed="false" customWidth="true" hidden="false" outlineLevel="0" max="90" min="90" style="2" width="7.99"/>
    <col collapsed="false" customWidth="true" hidden="false" outlineLevel="0" max="91" min="91" style="2" width="10.71"/>
    <col collapsed="false" customWidth="true" hidden="false" outlineLevel="0" max="92" min="92" style="2" width="10.13"/>
    <col collapsed="false" customWidth="true" hidden="false" outlineLevel="0" max="93" min="93" style="2" width="7.14"/>
    <col collapsed="false" customWidth="false" hidden="false" outlineLevel="0" max="94" min="94" style="2" width="8.85"/>
    <col collapsed="false" customWidth="true" hidden="false" outlineLevel="0" max="95" min="95" style="2" width="6.41"/>
    <col collapsed="false" customWidth="true" hidden="false" outlineLevel="0" max="96" min="96" style="2" width="6.99"/>
    <col collapsed="false" customWidth="true" hidden="false" outlineLevel="0" max="97" min="97" style="1" width="6.56"/>
    <col collapsed="false" customWidth="true" hidden="false" outlineLevel="0" max="98" min="98" style="1" width="6.7"/>
    <col collapsed="false" customWidth="true" hidden="false" outlineLevel="0" max="99" min="99" style="1" width="6.28"/>
    <col collapsed="false" customWidth="true" hidden="false" outlineLevel="0" max="100" min="100" style="1" width="6.13"/>
    <col collapsed="false" customWidth="true" hidden="false" outlineLevel="0" max="101" min="101" style="1" width="5.99"/>
    <col collapsed="false" customWidth="true" hidden="false" outlineLevel="0" max="102" min="102" style="1" width="6.85"/>
    <col collapsed="false" customWidth="true" hidden="false" outlineLevel="0" max="104" min="103" style="1" width="6.41"/>
    <col collapsed="false" customWidth="true" hidden="false" outlineLevel="0" max="105" min="105" style="1" width="6.13"/>
    <col collapsed="false" customWidth="true" hidden="false" outlineLevel="0" max="106" min="106" style="1" width="6.28"/>
    <col collapsed="false" customWidth="true" hidden="false" outlineLevel="0" max="107" min="107" style="1" width="6.7"/>
    <col collapsed="false" customWidth="true" hidden="false" outlineLevel="0" max="109" min="108" style="1" width="6.56"/>
    <col collapsed="false" customWidth="true" hidden="false" outlineLevel="0" max="110" min="110" style="1" width="6.28"/>
    <col collapsed="false" customWidth="true" hidden="false" outlineLevel="0" max="111" min="111" style="1" width="11.13"/>
    <col collapsed="false" customWidth="false" hidden="false" outlineLevel="0" max="257" min="112" style="1" width="8.85"/>
  </cols>
  <sheetData>
    <row r="1" customFormat="false" ht="12.75" hidden="false" customHeight="fals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5" t="s">
        <v>0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G1" s="4"/>
      <c r="CH1" s="4"/>
      <c r="CI1" s="4"/>
      <c r="CJ1" s="4"/>
      <c r="CK1" s="4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2.75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6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G2" s="4"/>
    </row>
    <row r="3" customFormat="false" ht="14.25" hidden="false" customHeight="true" outlineLevel="0" collapsed="false">
      <c r="B3" s="7" t="s">
        <v>1</v>
      </c>
      <c r="C3" s="3"/>
      <c r="D3" s="3"/>
      <c r="E3" s="3"/>
      <c r="F3" s="3"/>
      <c r="G3" s="3"/>
      <c r="J3" s="3"/>
      <c r="K3" s="7" t="s">
        <v>41</v>
      </c>
      <c r="M3" s="3"/>
      <c r="N3" s="3"/>
      <c r="O3" s="3"/>
      <c r="P3" s="3"/>
      <c r="Q3" s="3"/>
      <c r="R3" s="3"/>
      <c r="S3" s="3"/>
      <c r="T3" s="3"/>
      <c r="U3" s="3"/>
      <c r="V3" s="8" t="s">
        <v>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3" t="s">
        <v>42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G3" s="1"/>
      <c r="CH3" s="1"/>
      <c r="CI3" s="4"/>
      <c r="CJ3" s="3" t="s">
        <v>3</v>
      </c>
      <c r="CK3" s="4"/>
      <c r="CL3" s="4"/>
      <c r="CM3" s="4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customFormat="false" ht="12.7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T4" s="100"/>
    </row>
    <row r="5" customFormat="false" ht="18.75" hidden="false" customHeight="true" outlineLevel="0" collapsed="false">
      <c r="B5" s="9"/>
      <c r="C5" s="10"/>
      <c r="D5" s="10"/>
      <c r="E5" s="11"/>
      <c r="H5" s="12" t="s">
        <v>4</v>
      </c>
      <c r="I5" s="12" t="s">
        <v>43</v>
      </c>
      <c r="J5" s="101" t="s">
        <v>10</v>
      </c>
      <c r="K5" s="17" t="s">
        <v>44</v>
      </c>
      <c r="L5" s="102" t="s">
        <v>45</v>
      </c>
      <c r="M5" s="102"/>
      <c r="N5" s="102"/>
      <c r="O5" s="17" t="s">
        <v>46</v>
      </c>
      <c r="P5" s="103" t="s">
        <v>47</v>
      </c>
      <c r="Q5" s="103"/>
      <c r="R5" s="103"/>
      <c r="S5" s="12" t="s">
        <v>46</v>
      </c>
      <c r="T5" s="1"/>
      <c r="U5" s="1"/>
      <c r="V5" s="12" t="s">
        <v>4</v>
      </c>
      <c r="W5" s="12" t="s">
        <v>43</v>
      </c>
      <c r="X5" s="12" t="s">
        <v>10</v>
      </c>
      <c r="Y5" s="12" t="s">
        <v>48</v>
      </c>
      <c r="Z5" s="12" t="s">
        <v>49</v>
      </c>
      <c r="AA5" s="12" t="s">
        <v>11</v>
      </c>
      <c r="AB5" s="104" t="s">
        <v>50</v>
      </c>
      <c r="AC5" s="17" t="s">
        <v>12</v>
      </c>
      <c r="AD5" s="105" t="s">
        <v>14</v>
      </c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6" t="s">
        <v>51</v>
      </c>
      <c r="BA5" s="107" t="s">
        <v>52</v>
      </c>
      <c r="BB5" s="106" t="s">
        <v>53</v>
      </c>
      <c r="BC5" s="107" t="s">
        <v>52</v>
      </c>
      <c r="BF5" s="14" t="s">
        <v>4</v>
      </c>
      <c r="BG5" s="108" t="s">
        <v>10</v>
      </c>
      <c r="BH5" s="109" t="s">
        <v>12</v>
      </c>
      <c r="BI5" s="110" t="s">
        <v>54</v>
      </c>
      <c r="BJ5" s="111" t="s">
        <v>14</v>
      </c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4" t="s">
        <v>55</v>
      </c>
      <c r="CJ5" s="14" t="s">
        <v>4</v>
      </c>
      <c r="CK5" s="108" t="s">
        <v>10</v>
      </c>
      <c r="CL5" s="109" t="s">
        <v>12</v>
      </c>
      <c r="CM5" s="107" t="s">
        <v>56</v>
      </c>
      <c r="CN5" s="111" t="s">
        <v>14</v>
      </c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111"/>
      <c r="CZ5" s="111"/>
      <c r="DA5" s="111"/>
      <c r="DB5" s="111"/>
      <c r="DC5" s="111"/>
      <c r="DD5" s="111"/>
      <c r="DE5" s="111"/>
      <c r="DF5" s="111"/>
      <c r="DG5" s="111"/>
      <c r="DH5" s="111"/>
      <c r="DI5" s="111"/>
      <c r="DJ5" s="14" t="s">
        <v>57</v>
      </c>
    </row>
    <row r="6" customFormat="false" ht="33.75" hidden="false" customHeight="true" outlineLevel="0" collapsed="false">
      <c r="B6" s="19" t="s">
        <v>15</v>
      </c>
      <c r="C6" s="20"/>
      <c r="D6" s="21"/>
      <c r="E6" s="22"/>
      <c r="H6" s="12"/>
      <c r="I6" s="12"/>
      <c r="J6" s="101"/>
      <c r="K6" s="17"/>
      <c r="L6" s="112" t="s">
        <v>58</v>
      </c>
      <c r="M6" s="113" t="s">
        <v>59</v>
      </c>
      <c r="N6" s="113" t="s">
        <v>60</v>
      </c>
      <c r="O6" s="17"/>
      <c r="P6" s="112" t="s">
        <v>58</v>
      </c>
      <c r="Q6" s="113" t="s">
        <v>59</v>
      </c>
      <c r="R6" s="113" t="s">
        <v>60</v>
      </c>
      <c r="S6" s="12"/>
      <c r="T6" s="1"/>
      <c r="U6" s="1"/>
      <c r="V6" s="12"/>
      <c r="W6" s="12"/>
      <c r="X6" s="12"/>
      <c r="Y6" s="12"/>
      <c r="Z6" s="12"/>
      <c r="AA6" s="12"/>
      <c r="AB6" s="104"/>
      <c r="AC6" s="17"/>
      <c r="AD6" s="114" t="s">
        <v>61</v>
      </c>
      <c r="AE6" s="115" t="n">
        <v>1</v>
      </c>
      <c r="AF6" s="115" t="n">
        <v>2</v>
      </c>
      <c r="AG6" s="115" t="n">
        <v>3</v>
      </c>
      <c r="AH6" s="115" t="n">
        <v>4</v>
      </c>
      <c r="AI6" s="115" t="n">
        <v>5</v>
      </c>
      <c r="AJ6" s="115" t="n">
        <v>6</v>
      </c>
      <c r="AK6" s="115" t="n">
        <v>7</v>
      </c>
      <c r="AL6" s="115" t="n">
        <v>8</v>
      </c>
      <c r="AM6" s="115" t="n">
        <v>9</v>
      </c>
      <c r="AN6" s="115" t="n">
        <v>10</v>
      </c>
      <c r="AO6" s="115" t="n">
        <v>11</v>
      </c>
      <c r="AP6" s="115" t="n">
        <v>12</v>
      </c>
      <c r="AQ6" s="115" t="n">
        <v>13</v>
      </c>
      <c r="AR6" s="115" t="n">
        <v>14</v>
      </c>
      <c r="AS6" s="115" t="n">
        <v>15</v>
      </c>
      <c r="AT6" s="115" t="n">
        <v>16</v>
      </c>
      <c r="AU6" s="115" t="n">
        <v>17</v>
      </c>
      <c r="AV6" s="115" t="n">
        <v>18</v>
      </c>
      <c r="AW6" s="115" t="n">
        <v>19</v>
      </c>
      <c r="AX6" s="115" t="n">
        <v>20</v>
      </c>
      <c r="AY6" s="116" t="n">
        <v>21</v>
      </c>
      <c r="AZ6" s="106"/>
      <c r="BA6" s="107"/>
      <c r="BB6" s="106"/>
      <c r="BC6" s="107"/>
      <c r="BF6" s="14"/>
      <c r="BG6" s="108"/>
      <c r="BH6" s="109"/>
      <c r="BI6" s="110"/>
      <c r="BJ6" s="117" t="s">
        <v>62</v>
      </c>
      <c r="BK6" s="118" t="s">
        <v>61</v>
      </c>
      <c r="BL6" s="117" t="s">
        <v>63</v>
      </c>
      <c r="BM6" s="119" t="n">
        <v>1</v>
      </c>
      <c r="BN6" s="119" t="n">
        <v>2</v>
      </c>
      <c r="BO6" s="119" t="n">
        <v>3</v>
      </c>
      <c r="BP6" s="119" t="n">
        <v>4</v>
      </c>
      <c r="BQ6" s="119" t="n">
        <v>5</v>
      </c>
      <c r="BR6" s="119" t="n">
        <v>6</v>
      </c>
      <c r="BS6" s="119" t="n">
        <v>7</v>
      </c>
      <c r="BT6" s="119" t="n">
        <v>8</v>
      </c>
      <c r="BU6" s="119" t="n">
        <v>9</v>
      </c>
      <c r="BV6" s="119" t="n">
        <v>10</v>
      </c>
      <c r="BW6" s="119" t="n">
        <v>11</v>
      </c>
      <c r="BX6" s="119" t="n">
        <v>12</v>
      </c>
      <c r="BY6" s="119" t="n">
        <v>13</v>
      </c>
      <c r="BZ6" s="119" t="n">
        <v>14</v>
      </c>
      <c r="CA6" s="119" t="n">
        <v>15</v>
      </c>
      <c r="CB6" s="119" t="n">
        <v>16</v>
      </c>
      <c r="CC6" s="119" t="n">
        <v>17</v>
      </c>
      <c r="CD6" s="119" t="n">
        <v>18</v>
      </c>
      <c r="CE6" s="119" t="n">
        <v>19</v>
      </c>
      <c r="CF6" s="119" t="n">
        <v>20</v>
      </c>
      <c r="CG6" s="120" t="n">
        <v>21</v>
      </c>
      <c r="CH6" s="14"/>
      <c r="CJ6" s="14"/>
      <c r="CK6" s="108"/>
      <c r="CL6" s="109"/>
      <c r="CM6" s="107"/>
      <c r="CN6" s="121" t="s">
        <v>63</v>
      </c>
      <c r="CO6" s="122" t="n">
        <v>1</v>
      </c>
      <c r="CP6" s="122" t="n">
        <v>2</v>
      </c>
      <c r="CQ6" s="122" t="n">
        <v>3</v>
      </c>
      <c r="CR6" s="122" t="n">
        <v>4</v>
      </c>
      <c r="CS6" s="122" t="n">
        <v>5</v>
      </c>
      <c r="CT6" s="122" t="n">
        <v>6</v>
      </c>
      <c r="CU6" s="122" t="n">
        <v>7</v>
      </c>
      <c r="CV6" s="122" t="n">
        <v>8</v>
      </c>
      <c r="CW6" s="122" t="n">
        <v>9</v>
      </c>
      <c r="CX6" s="122" t="n">
        <v>10</v>
      </c>
      <c r="CY6" s="122" t="n">
        <v>11</v>
      </c>
      <c r="CZ6" s="122" t="n">
        <v>12</v>
      </c>
      <c r="DA6" s="122" t="n">
        <v>13</v>
      </c>
      <c r="DB6" s="122" t="n">
        <v>14</v>
      </c>
      <c r="DC6" s="122" t="n">
        <v>15</v>
      </c>
      <c r="DD6" s="122" t="n">
        <v>16</v>
      </c>
      <c r="DE6" s="122" t="n">
        <v>17</v>
      </c>
      <c r="DF6" s="122" t="n">
        <v>18</v>
      </c>
      <c r="DG6" s="122" t="n">
        <v>19</v>
      </c>
      <c r="DH6" s="122" t="n">
        <v>20</v>
      </c>
      <c r="DI6" s="123" t="n">
        <v>21</v>
      </c>
      <c r="DJ6" s="14"/>
    </row>
    <row r="7" customFormat="false" ht="13.5" hidden="false" customHeight="false" outlineLevel="0" collapsed="false">
      <c r="B7" s="29"/>
      <c r="C7" s="30" t="s">
        <v>22</v>
      </c>
      <c r="D7" s="31" t="n">
        <f aca="false">'Input-Detail'!AZ10</f>
        <v>7</v>
      </c>
      <c r="E7" s="22"/>
      <c r="H7" s="50" t="s">
        <v>64</v>
      </c>
      <c r="I7" s="124" t="n">
        <f aca="false">'Input-Detail'!E14</f>
        <v>19016173</v>
      </c>
      <c r="J7" s="125" t="n">
        <f aca="false">'Input-Detail'!F14</f>
        <v>0</v>
      </c>
      <c r="K7" s="126" t="n">
        <f aca="false">AC7</f>
        <v>5740</v>
      </c>
      <c r="L7" s="127"/>
      <c r="M7" s="128"/>
      <c r="N7" s="128"/>
      <c r="O7" s="129"/>
      <c r="P7" s="127"/>
      <c r="Q7" s="128"/>
      <c r="R7" s="128"/>
      <c r="S7" s="130"/>
      <c r="T7" s="1"/>
      <c r="U7" s="1"/>
      <c r="V7" s="50" t="s">
        <v>64</v>
      </c>
      <c r="W7" s="124" t="n">
        <f aca="false">'Input-Detail'!E14</f>
        <v>19016173</v>
      </c>
      <c r="X7" s="131" t="n">
        <f aca="false">J7</f>
        <v>0</v>
      </c>
      <c r="Y7" s="132" t="n">
        <f aca="false">'Input-Detail'!V18</f>
        <v>8200</v>
      </c>
      <c r="Z7" s="133" t="n">
        <f aca="false">'Input-Detail'!W18</f>
        <v>2319.04548780488</v>
      </c>
      <c r="AA7" s="132" t="n">
        <f aca="false">'Input-Detail'!X18</f>
        <v>2</v>
      </c>
      <c r="AB7" s="134" t="n">
        <f aca="false">'Input-Detail'!Y18</f>
        <v>0.7</v>
      </c>
      <c r="AC7" s="57" t="n">
        <f aca="false">Y7*AB7</f>
        <v>5740</v>
      </c>
      <c r="AD7" s="135" t="n">
        <f aca="false">Peak_Time_Eve*$BH7*(3600/K40+BK7)/3600</f>
        <v>32.9464087601818</v>
      </c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7"/>
      <c r="AZ7" s="138"/>
      <c r="BA7" s="139"/>
      <c r="BB7" s="140"/>
      <c r="BC7" s="140"/>
      <c r="BF7" s="50" t="s">
        <v>64</v>
      </c>
      <c r="BG7" s="131" t="n">
        <f aca="false">$X7</f>
        <v>0</v>
      </c>
      <c r="BH7" s="141" t="n">
        <f aca="false">$AC7</f>
        <v>5740</v>
      </c>
      <c r="BI7" s="142" t="n">
        <f aca="false">BH7*(1-BG7)</f>
        <v>5740</v>
      </c>
      <c r="BJ7" s="143" t="n">
        <f aca="false">Peak_Arrival_Manual/K40</f>
        <v>10.4834722222222</v>
      </c>
      <c r="BK7" s="144" t="n">
        <f aca="false">900*Peak_Time_Eve*(BJ7/Total_Lanes-1+SQRT((BJ7/Total_Lanes-1)^2+8*(BJ7/Total_Lanes)/(Peak_Time_Eve*$K40*Total_Lanes)))</f>
        <v>3.75662644047512</v>
      </c>
      <c r="BL7" s="145" t="n">
        <f aca="false">Peak_Arrival_Manual/N40</f>
        <v>10.4834722222222</v>
      </c>
      <c r="BM7" s="146" t="n">
        <f aca="false">IF(BM$6&lt;Total_Lanes,900*Peak_Time_Eve*(($BL7/(Total_Lanes-BM$6))-1+SQRT((($BL7/(Total_Lanes-BM$6))-1)^2+8*($BL7/(Total_Lanes-BM$6))/(Peak_Time_Eve*$N40*(Total_Lanes-BM$6)))),"-")</f>
        <v>11.3671393917207</v>
      </c>
      <c r="BN7" s="146" t="n">
        <f aca="false">IF(BN$6&lt;Total_Lanes,900*Peak_Time_Eve*(($BL7/(Total_Lanes-BN$6))-1+SQRT((($BL7/(Total_Lanes-BN$6))-1)^2+8*($BL7/(Total_Lanes-BN$6))/(Peak_Time_Eve*$N40*(Total_Lanes-BN$6)))),"-")</f>
        <v>187.29856830192</v>
      </c>
      <c r="BO7" s="146" t="n">
        <f aca="false">IF(BO$6&lt;Total_Lanes,900*Peak_Time_Eve*(($BL7/(Total_Lanes-BO$6))-1+SQRT((($BL7/(Total_Lanes-BO$6))-1)^2+8*($BL7/(Total_Lanes-BO$6))/(Peak_Time_Eve*$N40*(Total_Lanes-BO$6)))),"-")</f>
        <v>598.507460919182</v>
      </c>
      <c r="BP7" s="146" t="n">
        <f aca="false">IF(BP$6&lt;Total_Lanes,900*Peak_Time_Eve*(($BL7/(Total_Lanes-BP$6))-1+SQRT((($BL7/(Total_Lanes-BP$6))-1)^2+8*($BL7/(Total_Lanes-BP$6))/(Peak_Time_Eve*$N40*(Total_Lanes-BP$6)))),"-")</f>
        <v>1121.02117390371</v>
      </c>
      <c r="BQ7" s="146" t="n">
        <f aca="false">IF(BQ$6&lt;Total_Lanes,900*Peak_Time_Eve*(($BL7/(Total_Lanes-BQ$6))-1+SQRT((($BL7/(Total_Lanes-BQ$6))-1)^2+8*($BL7/(Total_Lanes-BQ$6))/(Peak_Time_Eve*$N40*(Total_Lanes-BQ$6)))),"-")</f>
        <v>1794.3223239832</v>
      </c>
      <c r="BR7" s="146" t="n">
        <f aca="false">IF(BR$6&lt;Total_Lanes,900*Peak_Time_Eve*(($BL7/(Total_Lanes-BR$6))-1+SQRT((($BL7/(Total_Lanes-BR$6))-1)^2+8*($BL7/(Total_Lanes-BR$6))/(Peak_Time_Eve*$N40*(Total_Lanes-BR$6)))),"-")</f>
        <v>2692.64322798053</v>
      </c>
      <c r="BS7" s="146" t="n">
        <f aca="false">IF(BS$6&lt;Total_Lanes,900*Peak_Time_Eve*(($BL7/(Total_Lanes-BS$6))-1+SQRT((($BL7/(Total_Lanes-BS$6))-1)^2+8*($BL7/(Total_Lanes-BS$6))/(Peak_Time_Eve*$N40*(Total_Lanes-BS$6)))),"-")</f>
        <v>3950.612458917</v>
      </c>
      <c r="BT7" s="146" t="n">
        <f aca="false">IF(BT$6&lt;Total_Lanes,900*Peak_Time_Eve*(($BL7/(Total_Lanes-BT$6))-1+SQRT((($BL7/(Total_Lanes-BT$6))-1)^2+8*($BL7/(Total_Lanes-BT$6))/(Peak_Time_Eve*$N40*(Total_Lanes-BT$6)))),"-")</f>
        <v>5837.78165755051</v>
      </c>
      <c r="BU7" s="146" t="n">
        <f aca="false">IF(BU$6&lt;Total_Lanes,900*Peak_Time_Eve*(($BL7/(Total_Lanes-BU$6))-1+SQRT((($BL7/(Total_Lanes-BU$6))-1)^2+8*($BL7/(Total_Lanes-BU$6))/(Peak_Time_Eve*$N40*(Total_Lanes-BU$6)))),"-")</f>
        <v>8983.23588718928</v>
      </c>
      <c r="BV7" s="146" t="n">
        <f aca="false">IF(BV$6&lt;Total_Lanes,900*Peak_Time_Eve*(($BL7/(Total_Lanes-BV$6))-1+SQRT((($BL7/(Total_Lanes-BV$6))-1)^2+8*($BL7/(Total_Lanes-BV$6))/(Peak_Time_Eve*$N40*(Total_Lanes-BV$6)))),"-")</f>
        <v>15274.3114561941</v>
      </c>
      <c r="BW7" s="146" t="n">
        <f aca="false">IF(BW$6&lt;Total_Lanes,900*Peak_Time_Eve*(($BL7/(Total_Lanes-BW$6))-1+SQRT((($BL7/(Total_Lanes-BW$6))-1)^2+8*($BL7/(Total_Lanes-BW$6))/(Peak_Time_Eve*$N40*(Total_Lanes-BW$6)))),"-")</f>
        <v>34147.7667647407</v>
      </c>
      <c r="BX7" s="136" t="str">
        <f aca="false">IF(BX$6&lt;Total_Lanes,900*Peak_Time_Eve*(($BL7/(Total_Lanes-BX$6))-1+SQRT((($BL7/(Total_Lanes-BX$6))-1)^2+8*($BL7/(Total_Lanes-BX$6))/(Peak_Time_Eve*$N40*(Total_Lanes-BX$6)))),"-")</f>
        <v>-</v>
      </c>
      <c r="BY7" s="136" t="str">
        <f aca="false">IF(BY$6&lt;Total_Lanes,900*Peak_Time_Eve*(($BL7/(Total_Lanes-BY$6))-1+SQRT((($BL7/(Total_Lanes-BY$6))-1)^2+8*($BL7/(Total_Lanes-BY$6))/(Peak_Time_Eve*$N40*(Total_Lanes-BY$6)))),"-")</f>
        <v>-</v>
      </c>
      <c r="BZ7" s="136" t="str">
        <f aca="false">IF(BZ$6&lt;Total_Lanes,900*Peak_Time_Eve*(($BL7/(Total_Lanes-BZ$6))-1+SQRT((($BL7/(Total_Lanes-BZ$6))-1)^2+8*($BL7/(Total_Lanes-BZ$6))/(Peak_Time_Eve*$N40*(Total_Lanes-BZ$6)))),"-")</f>
        <v>-</v>
      </c>
      <c r="CA7" s="136" t="str">
        <f aca="false">IF(CA$6&lt;Total_Lanes,900*Peak_Time_Eve*(($BL7/(Total_Lanes-CA$6))-1+SQRT((($BL7/(Total_Lanes-CA$6))-1)^2+8*($BL7/(Total_Lanes-CA$6))/(Peak_Time_Eve*$N40*(Total_Lanes-CA$6)))),"-")</f>
        <v>-</v>
      </c>
      <c r="CB7" s="136" t="str">
        <f aca="false">IF(CB$6&lt;Total_Lanes,900*Peak_Time_Eve*(($BL7/(Total_Lanes-CB$6))-1+SQRT((($BL7/(Total_Lanes-CB$6))-1)^2+8*($BL7/(Total_Lanes-CB$6))/(Peak_Time_Eve*$N40*(Total_Lanes-CB$6)))),"-")</f>
        <v>-</v>
      </c>
      <c r="CC7" s="136" t="str">
        <f aca="false">IF(CC$6&lt;Total_Lanes,900*Peak_Time_Eve*(($BL7/(Total_Lanes-CC$6))-1+SQRT((($BL7/(Total_Lanes-CC$6))-1)^2+8*($BL7/(Total_Lanes-CC$6))/(Peak_Time_Eve*$N40*(Total_Lanes-CC$6)))),"-")</f>
        <v>-</v>
      </c>
      <c r="CD7" s="136" t="str">
        <f aca="false">IF(CD$6&lt;Total_Lanes,900*Peak_Time_Eve*(($BL7/(Total_Lanes-CD$6))-1+SQRT((($BL7/(Total_Lanes-CD$6))-1)^2+8*($BL7/(Total_Lanes-CD$6))/(Peak_Time_Eve*$N40*(Total_Lanes-CD$6)))),"-")</f>
        <v>-</v>
      </c>
      <c r="CE7" s="136" t="str">
        <f aca="false">IF(CE$6&lt;Total_Lanes,900*Peak_Time_Eve*(($BL7/(Total_Lanes-CE$6))-1+SQRT((($BL7/(Total_Lanes-CE$6))-1)^2+8*($BL7/(Total_Lanes-CE$6))/(Peak_Time_Eve*$N40*(Total_Lanes-CE$6)))),"-")</f>
        <v>-</v>
      </c>
      <c r="CF7" s="136" t="str">
        <f aca="false">IF(CF$6&lt;Total_Lanes,900*Peak_Time_Eve*(($BL7/(Total_Lanes-CF$6))-1+SQRT((($BL7/(Total_Lanes-CF$6))-1)^2+8*($BL7/(Total_Lanes-CF$6))/(Peak_Time_Eve*$N40*(Total_Lanes-CF$6)))),"-")</f>
        <v>-</v>
      </c>
      <c r="CG7" s="147" t="str">
        <f aca="false">IF(CG$6&lt;Total_Lanes,900*Peak_Time_Eve*(($BL7/(Total_Lanes-CG$6))-1+SQRT((($BL7/(Total_Lanes-CG$6))-1)^2+8*($BL7/(Total_Lanes-CG$6))/(Peak_Time_Eve*$N40*(Total_Lanes-CG$6)))),"-")</f>
        <v>-</v>
      </c>
      <c r="CH7" s="148" t="n">
        <f aca="false">3600/N40</f>
        <v>6.575</v>
      </c>
      <c r="CJ7" s="50" t="s">
        <v>64</v>
      </c>
      <c r="CK7" s="131" t="n">
        <f aca="false">$X7</f>
        <v>0</v>
      </c>
      <c r="CL7" s="57" t="n">
        <f aca="false">$AC7</f>
        <v>5740</v>
      </c>
      <c r="CM7" s="149" t="n">
        <f aca="false">CL7*CK7</f>
        <v>0</v>
      </c>
      <c r="CN7" s="150"/>
      <c r="CO7" s="151"/>
      <c r="CP7" s="152"/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3"/>
      <c r="DJ7" s="148"/>
    </row>
    <row r="8" customFormat="false" ht="12.75" hidden="false" customHeight="false" outlineLevel="0" collapsed="false">
      <c r="B8" s="29"/>
      <c r="C8" s="30" t="s">
        <v>24</v>
      </c>
      <c r="D8" s="31" t="n">
        <f aca="false">'Input-Detail'!AZ11</f>
        <v>4.5</v>
      </c>
      <c r="E8" s="22"/>
      <c r="H8" s="50" t="n">
        <v>1</v>
      </c>
      <c r="I8" s="124" t="n">
        <f aca="false">'Input-Detail'!E15</f>
        <v>19565364.35</v>
      </c>
      <c r="J8" s="131" t="n">
        <v>0.0699842202922738</v>
      </c>
      <c r="K8" s="57" t="n">
        <f aca="false">AC8</f>
        <v>5905.7724900273</v>
      </c>
      <c r="L8" s="135" t="n">
        <f aca="false">AD55</f>
        <v>9.70528734148185</v>
      </c>
      <c r="M8" s="150" t="n">
        <f aca="false">AD8</f>
        <v>30.6899877326321</v>
      </c>
      <c r="N8" s="150" t="n">
        <f aca="false">SUM(L8:M8)</f>
        <v>40.395275074114</v>
      </c>
      <c r="O8" s="154" t="n">
        <f aca="false">$S$34*N8</f>
        <v>10502.7715192696</v>
      </c>
      <c r="P8" s="135" t="n">
        <f aca="false">BC55</f>
        <v>9.16343938312437</v>
      </c>
      <c r="Q8" s="150" t="n">
        <f aca="false">BC8</f>
        <v>39.6091081769857</v>
      </c>
      <c r="R8" s="150" t="n">
        <f aca="false">SUM(P8:Q8)</f>
        <v>48.77254756011</v>
      </c>
      <c r="S8" s="155" t="n">
        <f aca="false">$S$34*R8</f>
        <v>12680.8623656286</v>
      </c>
      <c r="T8" s="1"/>
      <c r="U8" s="1"/>
      <c r="V8" s="50" t="n">
        <v>1</v>
      </c>
      <c r="W8" s="132" t="n">
        <f aca="false">W$7+(W$27-W$7)*$V8/20</f>
        <v>19565364.35</v>
      </c>
      <c r="X8" s="131" t="n">
        <f aca="false">J8</f>
        <v>0.0699842202922738</v>
      </c>
      <c r="Y8" s="132" t="n">
        <f aca="false">'Input-Detail'!E15/Z8</f>
        <v>8436.81784289615</v>
      </c>
      <c r="Z8" s="156" t="n">
        <f aca="false">Z7</f>
        <v>2319.04548780488</v>
      </c>
      <c r="AA8" s="156" t="n">
        <f aca="false">AA7</f>
        <v>2</v>
      </c>
      <c r="AB8" s="157" t="n">
        <f aca="false">AB7</f>
        <v>0.7</v>
      </c>
      <c r="AC8" s="57" t="n">
        <f aca="false">Y8*AB8</f>
        <v>5905.7724900273</v>
      </c>
      <c r="AD8" s="135" t="n">
        <f aca="false">Peak_Time_Eve*$BH8*(3600/K41+BK8)/3600</f>
        <v>30.6899877326321</v>
      </c>
      <c r="AE8" s="136" t="n">
        <f aca="false">IF(AE$6&lt;Total_Lanes,($BI8*($CH8+BM8)+$CM8*CO8)*Peak_Time_Eve/3600,"-")</f>
        <v>39.6091081769857</v>
      </c>
      <c r="AF8" s="136" t="n">
        <f aca="false">IF(AF$6&lt;Total_Lanes,($BI8*($CH8+BN8)+$CM8*CP8)*Peak_Time_Eve/3600,"-")</f>
        <v>208.436368221008</v>
      </c>
      <c r="AG8" s="136" t="n">
        <f aca="false">IF(AG$6&lt;Total_Lanes,($BI8*($CH8+BO8)+$CM8*CQ8)*Peak_Time_Eve/3600,"-")</f>
        <v>1339.37692912301</v>
      </c>
      <c r="AH8" s="136" t="n">
        <f aca="false">IF(AH$6&lt;Total_Lanes,($BI8*($CH8+BP8)+$CM8*CR8)*Peak_Time_Eve/3600,"-")</f>
        <v>2866.17785969119</v>
      </c>
      <c r="AI8" s="136" t="n">
        <f aca="false">IF(AI$6&lt;Total_Lanes,($BI8*($CH8+BQ8)+$CM8*CS8)*Peak_Time_Eve/3600,"-")</f>
        <v>4837.49123227174</v>
      </c>
      <c r="AJ8" s="136" t="n">
        <f aca="false">IF(AJ$6&lt;Total_Lanes,($BI8*($CH8+BR8)+$CM8*CT8)*Peak_Time_Eve/3600,"-")</f>
        <v>7468.50342623548</v>
      </c>
      <c r="AK8" s="136" t="n">
        <f aca="false">IF(AK$6&lt;Total_Lanes,($BI8*($CH8+BS8)+$CM8*CU8)*Peak_Time_Eve/3600,"-")</f>
        <v>11153.1978359542</v>
      </c>
      <c r="AL8" s="136" t="n">
        <f aca="false">IF(AL$6&lt;Total_Lanes,($BI8*($CH8+BT8)+$CM8*CV8)*Peak_Time_Eve/3600,"-")</f>
        <v>16681.048425436</v>
      </c>
      <c r="AM8" s="136" t="n">
        <f aca="false">IF(AM$6&lt;Total_Lanes,($BI8*($CH8+BU8)+$CM8*CW8)*Peak_Time_Eve/3600,"-")</f>
        <v>25894.7541439311</v>
      </c>
      <c r="AN8" s="136" t="n">
        <f aca="false">IF(AN$6&lt;Total_Lanes,($BI8*($CH8+BV8)+$CM8*CX8)*Peak_Time_Eve/3600,"-")</f>
        <v>44322.7513684023</v>
      </c>
      <c r="AO8" s="136" t="n">
        <f aca="false">IF(AO$6&lt;Total_Lanes,($BI8*($CH8+BW8)+$CM8*CY8)*Peak_Time_Eve/3600,"-")</f>
        <v>99607.5272064351</v>
      </c>
      <c r="AP8" s="136" t="str">
        <f aca="false">IF(AP$6&lt;Total_Lanes,($BI8*($CH8+BX8)+$CM8*CZ8)*Peak_Time_Eve/3600,"-")</f>
        <v>-</v>
      </c>
      <c r="AQ8" s="136" t="str">
        <f aca="false">IF(AQ$6&lt;Total_Lanes,($BI8*($CH8+BY8)+$CM8*DA8)*Peak_Time_Eve/3600,"-")</f>
        <v>-</v>
      </c>
      <c r="AR8" s="136" t="str">
        <f aca="false">IF(AR$6&lt;Total_Lanes,($BI8*($CH8+BZ8)+$CM8*DB8)*Peak_Time_Eve/3600,"-")</f>
        <v>-</v>
      </c>
      <c r="AS8" s="136" t="str">
        <f aca="false">IF(AS$6&lt;Total_Lanes,($BI8*($CH8+CA8)+$CM8*DC8)*Peak_Time_Eve/3600,"-")</f>
        <v>-</v>
      </c>
      <c r="AT8" s="136" t="str">
        <f aca="false">IF(AT$6&lt;Total_Lanes,($BI8*($CH8+CB8)+$CM8*DD8)*Peak_Time_Eve/3600,"-")</f>
        <v>-</v>
      </c>
      <c r="AU8" s="136" t="str">
        <f aca="false">IF(AU$6&lt;Total_Lanes,($BI8*($CH8+CC8)+$CM8*DE8)*Peak_Time_Eve/3600,"-")</f>
        <v>-</v>
      </c>
      <c r="AV8" s="136" t="str">
        <f aca="false">IF(AV$6&lt;Total_Lanes,($BI8*($CH8+CD8)+$CM8*DF8)*Peak_Time_Eve/3600,"-")</f>
        <v>-</v>
      </c>
      <c r="AW8" s="136" t="str">
        <f aca="false">IF(AW$6&lt;Total_Lanes,($BI8*($CH8+CE8)+$CM8*DG8)*Peak_Time_Eve/3600,"-")</f>
        <v>-</v>
      </c>
      <c r="AX8" s="136" t="str">
        <f aca="false">IF(AX$6&lt;Total_Lanes,($BI8*($CH8+CF8)+$CM8*DH8)*Peak_Time_Eve/3600,"-")</f>
        <v>-</v>
      </c>
      <c r="AY8" s="137" t="str">
        <f aca="false">IF(AY$6&lt;Total_Lanes,($BI8*($CH8+CG8)+$CM8*DI8)*Peak_Time_Eve/3600,"-")</f>
        <v>-</v>
      </c>
      <c r="AZ8" s="158" t="n">
        <f aca="false">SUMIF(AE8:AY8,BA8,$AE$6:$AY$6)</f>
        <v>1</v>
      </c>
      <c r="BA8" s="159" t="n">
        <f aca="false">MIN(AE8:AY8)</f>
        <v>39.6091081769857</v>
      </c>
      <c r="BB8" s="158" t="n">
        <f aca="false">IF((SUMIF($BM6:$CG6,$AZ8,$BM8:$CG8)+$CH8)&lt;(SUMIF($CO6:$DI6,$AZ8,$CO8:$DI8)+$DJ8),AZ8+1,AZ8)</f>
        <v>1</v>
      </c>
      <c r="BC8" s="159" t="n">
        <f aca="false">SUMIF($AE$6:$AY$6,$BB8,$AE8:$AY8)</f>
        <v>39.6091081769857</v>
      </c>
      <c r="BF8" s="50" t="n">
        <v>1</v>
      </c>
      <c r="BG8" s="131" t="n">
        <f aca="false">$X8</f>
        <v>0.0699842202922738</v>
      </c>
      <c r="BH8" s="141" t="n">
        <f aca="false">$AC8</f>
        <v>5905.7724900273</v>
      </c>
      <c r="BI8" s="58" t="n">
        <f aca="false">BH8*(1-BG8)</f>
        <v>5492.46160708918</v>
      </c>
      <c r="BJ8" s="143" t="n">
        <f aca="false">Peak_Arrival_Manual/K41</f>
        <v>10.0313708518365</v>
      </c>
      <c r="BK8" s="144" t="n">
        <f aca="false">900*Peak_Time_Eve*(BJ8/Total_Lanes-1+SQRT((BJ8/Total_Lanes-1)^2+8*(BJ8/Total_Lanes)/(Peak_Time_Eve*$K41*Total_Lanes)))</f>
        <v>2.77889536458124</v>
      </c>
      <c r="BL8" s="145" t="n">
        <f aca="false">Peak_Arrival_Manual/N41</f>
        <v>10.0637916321561</v>
      </c>
      <c r="BM8" s="146" t="n">
        <f aca="false">IF(BM$6&lt;Total_Lanes,900*Peak_Time_Eve*(($BL8/(Total_Lanes-BM$6))-1+SQRT((($BL8/(Total_Lanes-BM$6))-1)^2+8*($BL8/(Total_Lanes-BM$6))/(Peak_Time_Eve*$N41*(Total_Lanes-BM$6)))),"-")</f>
        <v>6.31585669730303</v>
      </c>
      <c r="BN8" s="146" t="n">
        <f aca="false">IF(BN$6&lt;Total_Lanes,900*Peak_Time_Eve*(($BL8/(Total_Lanes-BN$6))-1+SQRT((($BL8/(Total_Lanes-BN$6))-1)^2+8*($BL8/(Total_Lanes-BN$6))/(Peak_Time_Eve*$N41*(Total_Lanes-BN$6)))),"-")</f>
        <v>61.6984866939847</v>
      </c>
      <c r="BO8" s="146" t="n">
        <f aca="false">IF(BO$6&lt;Total_Lanes,900*Peak_Time_Eve*(($BL8/(Total_Lanes-BO$6))-1+SQRT((($BL8/(Total_Lanes-BO$6))-1)^2+8*($BL8/(Total_Lanes-BO$6))/(Peak_Time_Eve*$N41*(Total_Lanes-BO$6)))),"-")</f>
        <v>432.340825079549</v>
      </c>
      <c r="BP8" s="146" t="n">
        <f aca="false">IF(BP$6&lt;Total_Lanes,900*Peak_Time_Eve*(($BL8/(Total_Lanes-BP$6))-1+SQRT((($BL8/(Total_Lanes-BP$6))-1)^2+8*($BL8/(Total_Lanes-BP$6))/(Peak_Time_Eve*$N41*(Total_Lanes-BP$6)))),"-")</f>
        <v>932.709687914315</v>
      </c>
      <c r="BQ8" s="146" t="n">
        <f aca="false">IF(BQ$6&lt;Total_Lanes,900*Peak_Time_Eve*(($BL8/(Total_Lanes-BQ$6))-1+SQRT((($BL8/(Total_Lanes-BQ$6))-1)^2+8*($BL8/(Total_Lanes-BQ$6))/(Peak_Time_Eve*$N41*(Total_Lanes-BQ$6)))),"-")</f>
        <v>1578.75350218784</v>
      </c>
      <c r="BR8" s="146" t="n">
        <f aca="false">IF(BR$6&lt;Total_Lanes,900*Peak_Time_Eve*(($BL8/(Total_Lanes-BR$6))-1+SQRT((($BL8/(Total_Lanes-BR$6))-1)^2+8*($BL8/(Total_Lanes-BR$6))/(Peak_Time_Eve*$N41*(Total_Lanes-BR$6)))),"-")</f>
        <v>2440.99449732726</v>
      </c>
      <c r="BS8" s="146" t="n">
        <f aca="false">IF(BS$6&lt;Total_Lanes,900*Peak_Time_Eve*(($BL8/(Total_Lanes-BS$6))-1+SQRT((($BL8/(Total_Lanes-BS$6))-1)^2+8*($BL8/(Total_Lanes-BS$6))/(Peak_Time_Eve*$N41*(Total_Lanes-BS$6)))),"-")</f>
        <v>3648.54997301195</v>
      </c>
      <c r="BT8" s="146" t="n">
        <f aca="false">IF(BT$6&lt;Total_Lanes,900*Peak_Time_Eve*(($BL8/(Total_Lanes-BT$6))-1+SQRT((($BL8/(Total_Lanes-BT$6))-1)^2+8*($BL8/(Total_Lanes-BT$6))/(Peak_Time_Eve*$N41*(Total_Lanes-BT$6)))),"-")</f>
        <v>5460.14796976068</v>
      </c>
      <c r="BU8" s="146" t="n">
        <f aca="false">IF(BU$6&lt;Total_Lanes,900*Peak_Time_Eve*(($BL8/(Total_Lanes-BU$6))-1+SQRT((($BL8/(Total_Lanes-BU$6))-1)^2+8*($BL8/(Total_Lanes-BU$6))/(Peak_Time_Eve*$N41*(Total_Lanes-BU$6)))),"-")</f>
        <v>8479.68136330455</v>
      </c>
      <c r="BV8" s="146" t="n">
        <f aca="false">IF(BV$6&lt;Total_Lanes,900*Peak_Time_Eve*(($BL8/(Total_Lanes-BV$6))-1+SQRT((($BL8/(Total_Lanes-BV$6))-1)^2+8*($BL8/(Total_Lanes-BV$6))/(Peak_Time_Eve*$N41*(Total_Lanes-BV$6)))),"-")</f>
        <v>14518.9399047719</v>
      </c>
      <c r="BW8" s="146" t="n">
        <f aca="false">IF(BW$6&lt;Total_Lanes,900*Peak_Time_Eve*(($BL8/(Total_Lanes-BW$6))-1+SQRT((($BL8/(Total_Lanes-BW$6))-1)^2+8*($BL8/(Total_Lanes-BW$6))/(Peak_Time_Eve*$N41*(Total_Lanes-BW$6)))),"-")</f>
        <v>32636.9722409076</v>
      </c>
      <c r="BX8" s="136" t="str">
        <f aca="false">IF(BX$6&lt;Total_Lanes,900*Peak_Time_Eve*(($BL8/(Total_Lanes-BX$6))-1+SQRT((($BL8/(Total_Lanes-BX$6))-1)^2+8*($BL8/(Total_Lanes-BX$6))/(Peak_Time_Eve*$N41*(Total_Lanes-BX$6)))),"-")</f>
        <v>-</v>
      </c>
      <c r="BY8" s="136" t="str">
        <f aca="false">IF(BY$6&lt;Total_Lanes,900*Peak_Time_Eve*(($BL8/(Total_Lanes-BY$6))-1+SQRT((($BL8/(Total_Lanes-BY$6))-1)^2+8*($BL8/(Total_Lanes-BY$6))/(Peak_Time_Eve*$N41*(Total_Lanes-BY$6)))),"-")</f>
        <v>-</v>
      </c>
      <c r="BZ8" s="136" t="str">
        <f aca="false">IF(BZ$6&lt;Total_Lanes,900*Peak_Time_Eve*(($BL8/(Total_Lanes-BZ$6))-1+SQRT((($BL8/(Total_Lanes-BZ$6))-1)^2+8*($BL8/(Total_Lanes-BZ$6))/(Peak_Time_Eve*$N41*(Total_Lanes-BZ$6)))),"-")</f>
        <v>-</v>
      </c>
      <c r="CA8" s="136" t="str">
        <f aca="false">IF(CA$6&lt;Total_Lanes,900*Peak_Time_Eve*(($BL8/(Total_Lanes-CA$6))-1+SQRT((($BL8/(Total_Lanes-CA$6))-1)^2+8*($BL8/(Total_Lanes-CA$6))/(Peak_Time_Eve*$N41*(Total_Lanes-CA$6)))),"-")</f>
        <v>-</v>
      </c>
      <c r="CB8" s="136" t="str">
        <f aca="false">IF(CB$6&lt;Total_Lanes,900*Peak_Time_Eve*(($BL8/(Total_Lanes-CB$6))-1+SQRT((($BL8/(Total_Lanes-CB$6))-1)^2+8*($BL8/(Total_Lanes-CB$6))/(Peak_Time_Eve*$N41*(Total_Lanes-CB$6)))),"-")</f>
        <v>-</v>
      </c>
      <c r="CC8" s="136" t="str">
        <f aca="false">IF(CC$6&lt;Total_Lanes,900*Peak_Time_Eve*(($BL8/(Total_Lanes-CC$6))-1+SQRT((($BL8/(Total_Lanes-CC$6))-1)^2+8*($BL8/(Total_Lanes-CC$6))/(Peak_Time_Eve*$N41*(Total_Lanes-CC$6)))),"-")</f>
        <v>-</v>
      </c>
      <c r="CD8" s="136" t="str">
        <f aca="false">IF(CD$6&lt;Total_Lanes,900*Peak_Time_Eve*(($BL8/(Total_Lanes-CD$6))-1+SQRT((($BL8/(Total_Lanes-CD$6))-1)^2+8*($BL8/(Total_Lanes-CD$6))/(Peak_Time_Eve*$N41*(Total_Lanes-CD$6)))),"-")</f>
        <v>-</v>
      </c>
      <c r="CE8" s="136" t="str">
        <f aca="false">IF(CE$6&lt;Total_Lanes,900*Peak_Time_Eve*(($BL8/(Total_Lanes-CE$6))-1+SQRT((($BL8/(Total_Lanes-CE$6))-1)^2+8*($BL8/(Total_Lanes-CE$6))/(Peak_Time_Eve*$N41*(Total_Lanes-CE$6)))),"-")</f>
        <v>-</v>
      </c>
      <c r="CF8" s="136" t="str">
        <f aca="false">IF(CF$6&lt;Total_Lanes,900*Peak_Time_Eve*(($BL8/(Total_Lanes-CF$6))-1+SQRT((($BL8/(Total_Lanes-CF$6))-1)^2+8*($BL8/(Total_Lanes-CF$6))/(Peak_Time_Eve*$N41*(Total_Lanes-CF$6)))),"-")</f>
        <v>-</v>
      </c>
      <c r="CG8" s="147" t="str">
        <f aca="false">IF(CG$6&lt;Total_Lanes,900*Peak_Time_Eve*(($BL8/(Total_Lanes-CG$6))-1+SQRT((($BL8/(Total_Lanes-CG$6))-1)^2+8*($BL8/(Total_Lanes-CG$6))/(Peak_Time_Eve*$N41*(Total_Lanes-CG$6)))),"-")</f>
        <v>-</v>
      </c>
      <c r="CH8" s="160" t="n">
        <f aca="false">3600/N41</f>
        <v>6.59625</v>
      </c>
      <c r="CJ8" s="50" t="n">
        <v>1</v>
      </c>
      <c r="CK8" s="131" t="n">
        <f aca="false">$X8</f>
        <v>0.0699842202922738</v>
      </c>
      <c r="CL8" s="57" t="n">
        <f aca="false">$AC8</f>
        <v>5905.7724900273</v>
      </c>
      <c r="CM8" s="135" t="n">
        <f aca="false">CL8*CK8</f>
        <v>413.310882938121</v>
      </c>
      <c r="CN8" s="161" t="n">
        <f aca="false">CM8/O40</f>
        <v>0.275540588625414</v>
      </c>
      <c r="CO8" s="151" t="n">
        <f aca="false">IF(CO$6&lt;Total_Lanes,900*Peak_Time_Eve*(($CN8/CO$6-1)+SQRT(($CN8/CO$6-1)^2+8*($CN8/CO$6)/(Peak_Time_Eve*$O41*CO$6))),"-")</f>
        <v>0.912495732793595</v>
      </c>
      <c r="CP8" s="151" t="n">
        <f aca="false">IF(CP$6&lt;Total_Lanes,900*Peak_Time_Eve*(($CN8/CP$6-1)+SQRT(($CN8/CP$6-1)^2+8*($CN8/CP$6)/(Peak_Time_Eve*$O41*CP$6))),"-")</f>
        <v>0.191728655377688</v>
      </c>
      <c r="CQ8" s="151" t="n">
        <f aca="false">IF(CQ$6&lt;Total_Lanes,900*Peak_Time_Eve*(($CN8/CQ$6-1)+SQRT(($CN8/CQ$6-1)^2+8*($CN8/CQ$6)/(Peak_Time_Eve*$O41*CQ$6))),"-")</f>
        <v>0.0809066984328588</v>
      </c>
      <c r="CR8" s="151" t="n">
        <f aca="false">IF(CR$6&lt;Total_Lanes,900*Peak_Time_Eve*(($CN8/CR$6-1)+SQRT(($CN8/CR$6-1)^2+8*($CN8/CR$6)/(Peak_Time_Eve*$O41*CR$6))),"-")</f>
        <v>0.044388230794401</v>
      </c>
      <c r="CS8" s="151" t="n">
        <f aca="false">IF(CS$6&lt;Total_Lanes,900*Peak_Time_Eve*(($CN8/CS$6-1)+SQRT(($CN8/CS$6-1)^2+8*($CN8/CS$6)/(Peak_Time_Eve*$O41*CS$6))),"-")</f>
        <v>0.0279943973630292</v>
      </c>
      <c r="CT8" s="151" t="n">
        <f aca="false">IF(CT$6&lt;Total_Lanes,900*Peak_Time_Eve*(($CN8/CT$6-1)+SQRT(($CN8/CT$6-1)^2+8*($CN8/CT$6)/(Peak_Time_Eve*$O41*CT$6))),"-")</f>
        <v>0.0192534542920786</v>
      </c>
      <c r="CU8" s="151" t="n">
        <f aca="false">IF(CU$6&lt;Total_Lanes,900*Peak_Time_Eve*(($CN8/CU$6-1)+SQRT(($CN8/CU$6-1)^2+8*($CN8/CU$6)/(Peak_Time_Eve*$O41*CU$6))),"-")</f>
        <v>0.0140488133550498</v>
      </c>
      <c r="CV8" s="151" t="n">
        <f aca="false">IF(CV$6&lt;Total_Lanes,900*Peak_Time_Eve*(($CN8/CV$6-1)+SQRT(($CN8/CV$6-1)^2+8*($CN8/CV$6)/(Peak_Time_Eve*$O41*CV$6))),"-")</f>
        <v>0.010701321309492</v>
      </c>
      <c r="CW8" s="151" t="n">
        <f aca="false">IF(CW$6&lt;Total_Lanes,900*Peak_Time_Eve*(($CN8/CW$6-1)+SQRT(($CN8/CW$6-1)^2+8*($CN8/CW$6)/(Peak_Time_Eve*$O41*CW$6))),"-")</f>
        <v>0.00842199035031577</v>
      </c>
      <c r="CX8" s="151" t="n">
        <f aca="false">IF(CX$6&lt;Total_Lanes,900*Peak_Time_Eve*(($CN8/CX$6-1)+SQRT(($CN8/CX$6-1)^2+8*($CN8/CX$6)/(Peak_Time_Eve*$O41*CX$6))),"-")</f>
        <v>0.00680033820035231</v>
      </c>
      <c r="CY8" s="151" t="n">
        <f aca="false">IF(CY$6&lt;Total_Lanes,900*Peak_Time_Eve*(($CN8/CY$6-1)+SQRT(($CN8/CY$6-1)^2+8*($CN8/CY$6)/(Peak_Time_Eve*$O41*CY$6))),"-")</f>
        <v>0.00560567654614985</v>
      </c>
      <c r="CZ8" s="162" t="str">
        <f aca="false">IF(CZ$6&lt;Total_Lanes,900*Peak_Time_Eve*(($CN8/CZ$6-1)+SQRT(($CN8/CZ$6-1)^2+8*($CN8/CZ$6)/(Peak_Time_Eve*$O41*CZ$6))),"-")</f>
        <v>-</v>
      </c>
      <c r="DA8" s="162" t="str">
        <f aca="false">IF(DA$6&lt;Total_Lanes,900*Peak_Time_Eve*(($CN8/DA$6-1)+SQRT(($CN8/DA$6-1)^2+8*($CN8/DA$6)/(Peak_Time_Eve*$O41*DA$6))),"-")</f>
        <v>-</v>
      </c>
      <c r="DB8" s="162" t="str">
        <f aca="false">IF(DB$6&lt;Total_Lanes,900*Peak_Time_Eve*(($CN8/DB$6-1)+SQRT(($CN8/DB$6-1)^2+8*($CN8/DB$6)/(Peak_Time_Eve*$O41*DB$6))),"-")</f>
        <v>-</v>
      </c>
      <c r="DC8" s="162" t="str">
        <f aca="false">IF(DC$6&lt;Total_Lanes,900*Peak_Time_Eve*(($CN8/DC$6-1)+SQRT(($CN8/DC$6-1)^2+8*($CN8/DC$6)/(Peak_Time_Eve*$O41*DC$6))),"-")</f>
        <v>-</v>
      </c>
      <c r="DD8" s="162" t="str">
        <f aca="false">IF(DD$6&lt;Total_Lanes,900*Peak_Time_Eve*(($CN8/DD$6-1)+SQRT(($CN8/DD$6-1)^2+8*($CN8/DD$6)/(Peak_Time_Eve*$O41*DD$6))),"-")</f>
        <v>-</v>
      </c>
      <c r="DE8" s="162" t="str">
        <f aca="false">IF(DE$6&lt;Total_Lanes,900*Peak_Time_Eve*(($CN8/DE$6-1)+SQRT(($CN8/DE$6-1)^2+8*($CN8/DE$6)/(Peak_Time_Eve*$O41*DE$6))),"-")</f>
        <v>-</v>
      </c>
      <c r="DF8" s="162" t="str">
        <f aca="false">IF(DF$6&lt;Total_Lanes,900*Peak_Time_Eve*(($CN8/DF$6-1)+SQRT(($CN8/DF$6-1)^2+8*($CN8/DF$6)/(Peak_Time_Eve*$O41*DF$6))),"-")</f>
        <v>-</v>
      </c>
      <c r="DG8" s="162" t="str">
        <f aca="false">IF(DG$6&lt;Total_Lanes,900*Peak_Time_Eve*(($CN8/DG$6-1)+SQRT(($CN8/DG$6-1)^2+8*($CN8/DG$6)/(Peak_Time_Eve*$O41*DG$6))),"-")</f>
        <v>-</v>
      </c>
      <c r="DH8" s="162" t="str">
        <f aca="false">IF(DH$6&lt;Total_Lanes,900*Peak_Time_Eve*(($CN8/DH$6-1)+SQRT(($CN8/DH$6-1)^2+8*($CN8/DH$6)/(Peak_Time_Eve*$O41*DH$6))),"-")</f>
        <v>-</v>
      </c>
      <c r="DI8" s="163" t="str">
        <f aca="false">IF(DI$6&lt;Total_Lanes,900*Peak_Time_Eve*(($CN8/DI$6-1)+SQRT(($CN8/DI$6-1)^2+8*($CN8/DI$6)/(Peak_Time_Eve*$O41*DI$6))),"-")</f>
        <v>-</v>
      </c>
      <c r="DJ8" s="160" t="n">
        <f aca="false">3600/O41</f>
        <v>2.4</v>
      </c>
    </row>
    <row r="9" customFormat="false" ht="14.25" hidden="false" customHeight="true" outlineLevel="0" collapsed="false">
      <c r="B9" s="29"/>
      <c r="C9" s="30" t="s">
        <v>25</v>
      </c>
      <c r="D9" s="31" t="n">
        <f aca="false">'Input-Detail'!AZ12</f>
        <v>2.4</v>
      </c>
      <c r="E9" s="22"/>
      <c r="H9" s="50" t="n">
        <v>2</v>
      </c>
      <c r="I9" s="124" t="n">
        <f aca="false">'Input-Detail'!E16</f>
        <v>20114555.7</v>
      </c>
      <c r="J9" s="131" t="n">
        <v>0.133486220755981</v>
      </c>
      <c r="K9" s="57" t="n">
        <f aca="false">AC9</f>
        <v>6071.54498005461</v>
      </c>
      <c r="L9" s="135" t="n">
        <f aca="false">AD56</f>
        <v>9.95411780051124</v>
      </c>
      <c r="M9" s="150" t="n">
        <f aca="false">AD9</f>
        <v>28.2489910639668</v>
      </c>
      <c r="N9" s="150" t="n">
        <f aca="false">SUM(L9:M9)</f>
        <v>38.203108864478</v>
      </c>
      <c r="O9" s="154" t="n">
        <f aca="false">$S$34*N9</f>
        <v>9932.80830476428</v>
      </c>
      <c r="P9" s="135" t="n">
        <f aca="false">BC56</f>
        <v>8.5138446630388</v>
      </c>
      <c r="Q9" s="150" t="n">
        <f aca="false">BC9</f>
        <v>30.4829943116878</v>
      </c>
      <c r="R9" s="150" t="n">
        <f aca="false">SUM(P9:Q9)</f>
        <v>38.9968389747266</v>
      </c>
      <c r="S9" s="155" t="n">
        <f aca="false">$S$34*R9</f>
        <v>10139.1781334289</v>
      </c>
      <c r="T9" s="1"/>
      <c r="U9" s="1"/>
      <c r="V9" s="50" t="n">
        <v>2</v>
      </c>
      <c r="W9" s="132" t="n">
        <f aca="false">W$7+(W$27-W$7)*$V9/20</f>
        <v>20114555.7</v>
      </c>
      <c r="X9" s="131" t="n">
        <f aca="false">MIN((J8+0.1),0.95)</f>
        <v>0.169984220292274</v>
      </c>
      <c r="Y9" s="132" t="n">
        <f aca="false">'Input-Detail'!E16/Z9</f>
        <v>8673.6356857923</v>
      </c>
      <c r="Z9" s="156" t="n">
        <f aca="false">Z8</f>
        <v>2319.04548780488</v>
      </c>
      <c r="AA9" s="156" t="n">
        <f aca="false">AA8</f>
        <v>2</v>
      </c>
      <c r="AB9" s="157" t="n">
        <f aca="false">AB8</f>
        <v>0.7</v>
      </c>
      <c r="AC9" s="57" t="n">
        <f aca="false">Y9*AB9</f>
        <v>6071.54498005461</v>
      </c>
      <c r="AD9" s="135" t="n">
        <f aca="false">Peak_Time_Eve*$BH9*(3600/K42+BK9)/3600</f>
        <v>28.2489910639668</v>
      </c>
      <c r="AE9" s="136" t="n">
        <f aca="false">IF(AE$6&lt;Total_Lanes,($BI9*($CH9+BM9)+$CM9*CO9)*Peak_Time_Eve/3600,"-")</f>
        <v>30.4829943116878</v>
      </c>
      <c r="AF9" s="136" t="n">
        <f aca="false">IF(AF$6&lt;Total_Lanes,($BI9*($CH9+BN9)+$CM9*CP9)*Peak_Time_Eve/3600,"-")</f>
        <v>41.5030539196488</v>
      </c>
      <c r="AG9" s="136" t="n">
        <f aca="false">IF(AG$6&lt;Total_Lanes,($BI9*($CH9+BO9)+$CM9*CQ9)*Peak_Time_Eve/3600,"-")</f>
        <v>373.913337068497</v>
      </c>
      <c r="AH9" s="136" t="n">
        <f aca="false">IF(AH$6&lt;Total_Lanes,($BI9*($CH9+BP9)+$CM9*CR9)*Peak_Time_Eve/3600,"-")</f>
        <v>1627.29639536461</v>
      </c>
      <c r="AI9" s="136" t="n">
        <f aca="false">IF(AI$6&lt;Total_Lanes,($BI9*($CH9+BQ9)+$CM9*CS9)*Peak_Time_Eve/3600,"-")</f>
        <v>3288.52809888904</v>
      </c>
      <c r="AJ9" s="136" t="n">
        <f aca="false">IF(AJ$6&lt;Total_Lanes,($BI9*($CH9+BR9)+$CM9*CT9)*Peak_Time_Eve/3600,"-")</f>
        <v>5509.48836255887</v>
      </c>
      <c r="AK9" s="136" t="n">
        <f aca="false">IF(AK$6&lt;Total_Lanes,($BI9*($CH9+BS9)+$CM9*CU9)*Peak_Time_Eve/3600,"-")</f>
        <v>8620.99997338941</v>
      </c>
      <c r="AL9" s="136" t="n">
        <f aca="false">IF(AL$6&lt;Total_Lanes,($BI9*($CH9+BT9)+$CM9*CV9)*Peak_Time_Eve/3600,"-")</f>
        <v>13289.4391260837</v>
      </c>
      <c r="AM9" s="136" t="n">
        <f aca="false">IF(AM$6&lt;Total_Lanes,($BI9*($CH9+BU9)+$CM9*CW9)*Peak_Time_Eve/3600,"-")</f>
        <v>21070.9870933634</v>
      </c>
      <c r="AN9" s="136" t="n">
        <f aca="false">IF(AN$6&lt;Total_Lanes,($BI9*($CH9+BV9)+$CM9*CX9)*Peak_Time_Eve/3600,"-")</f>
        <v>36634.802362198</v>
      </c>
      <c r="AO9" s="136" t="n">
        <f aca="false">IF(AO$6&lt;Total_Lanes,($BI9*($CH9+BW9)+$CM9*CY9)*Peak_Time_Eve/3600,"-")</f>
        <v>83327.1650164624</v>
      </c>
      <c r="AP9" s="136" t="str">
        <f aca="false">IF(AP$6&lt;Total_Lanes,($BI9*($CH9+BX9)+$CM9*CZ9)*Peak_Time_Eve/3600,"-")</f>
        <v>-</v>
      </c>
      <c r="AQ9" s="136" t="str">
        <f aca="false">IF(AQ$6&lt;Total_Lanes,($BI9*($CH9+BY9)+$CM9*DA9)*Peak_Time_Eve/3600,"-")</f>
        <v>-</v>
      </c>
      <c r="AR9" s="136" t="str">
        <f aca="false">IF(AR$6&lt;Total_Lanes,($BI9*($CH9+BZ9)+$CM9*DB9)*Peak_Time_Eve/3600,"-")</f>
        <v>-</v>
      </c>
      <c r="AS9" s="136" t="str">
        <f aca="false">IF(AS$6&lt;Total_Lanes,($BI9*($CH9+CA9)+$CM9*DC9)*Peak_Time_Eve/3600,"-")</f>
        <v>-</v>
      </c>
      <c r="AT9" s="136" t="str">
        <f aca="false">IF(AT$6&lt;Total_Lanes,($BI9*($CH9+CB9)+$CM9*DD9)*Peak_Time_Eve/3600,"-")</f>
        <v>-</v>
      </c>
      <c r="AU9" s="136" t="str">
        <f aca="false">IF(AU$6&lt;Total_Lanes,($BI9*($CH9+CC9)+$CM9*DE9)*Peak_Time_Eve/3600,"-")</f>
        <v>-</v>
      </c>
      <c r="AV9" s="136" t="str">
        <f aca="false">IF(AV$6&lt;Total_Lanes,($BI9*($CH9+CD9)+$CM9*DF9)*Peak_Time_Eve/3600,"-")</f>
        <v>-</v>
      </c>
      <c r="AW9" s="136" t="str">
        <f aca="false">IF(AW$6&lt;Total_Lanes,($BI9*($CH9+CE9)+$CM9*DG9)*Peak_Time_Eve/3600,"-")</f>
        <v>-</v>
      </c>
      <c r="AX9" s="136" t="str">
        <f aca="false">IF(AX$6&lt;Total_Lanes,($BI9*($CH9+CF9)+$CM9*DH9)*Peak_Time_Eve/3600,"-")</f>
        <v>-</v>
      </c>
      <c r="AY9" s="137" t="str">
        <f aca="false">IF(AY$6&lt;Total_Lanes,($BI9*($CH9+CG9)+$CM9*DI9)*Peak_Time_Eve/3600,"-")</f>
        <v>-</v>
      </c>
      <c r="AZ9" s="158" t="n">
        <f aca="false">SUMIF(AE9:AY9,BA9,$AE$6:$AY$6)</f>
        <v>1</v>
      </c>
      <c r="BA9" s="159" t="n">
        <f aca="false">MIN(AE9:AY9)</f>
        <v>30.4829943116878</v>
      </c>
      <c r="BB9" s="158" t="n">
        <f aca="false">IF((SUMIF($BM7:$CG7,$AZ9,$BM9:$CG9)+$CH9)&lt;(SUMIF($CO7:$DI7,$AZ9,$CO9:$DI9)+$DJ9),AZ9+1,AZ9)</f>
        <v>1</v>
      </c>
      <c r="BC9" s="159" t="n">
        <f aca="false">SUMIF($AE$6:$AY$6,$BB9,$AE9:$AY9)</f>
        <v>30.4829943116878</v>
      </c>
      <c r="BF9" s="50" t="n">
        <v>2</v>
      </c>
      <c r="BG9" s="131" t="n">
        <f aca="false">$X9</f>
        <v>0.169984220292274</v>
      </c>
      <c r="BH9" s="141" t="n">
        <f aca="false">$AC9</f>
        <v>6071.54498005461</v>
      </c>
      <c r="BI9" s="58" t="n">
        <f aca="false">BH9*(1-BG9)</f>
        <v>5039.47814065056</v>
      </c>
      <c r="BJ9" s="143" t="n">
        <f aca="false">Peak_Arrival_Manual/K42</f>
        <v>9.20404688188262</v>
      </c>
      <c r="BK9" s="144" t="n">
        <f aca="false">900*Peak_Time_Eve*(BJ9/Total_Lanes-1+SQRT((BJ9/Total_Lanes-1)^2+8*(BJ9/Total_Lanes)/(Peak_Time_Eve*$K42*Total_Lanes)))</f>
        <v>1.79983442553411</v>
      </c>
      <c r="BL9" s="145" t="n">
        <f aca="false">Peak_Arrival_Manual/N42</f>
        <v>9.26354072104307</v>
      </c>
      <c r="BM9" s="146" t="n">
        <f aca="false">IF(BM$6&lt;Total_Lanes,900*Peak_Time_Eve*(($BL9/(Total_Lanes-BM$6))-1+SQRT((($BL9/(Total_Lanes-BM$6))-1)^2+8*($BL9/(Total_Lanes-BM$6))/(Peak_Time_Eve*$N42*(Total_Lanes-BM$6)))),"-")</f>
        <v>3.19140273571355</v>
      </c>
      <c r="BN9" s="146" t="n">
        <f aca="false">IF(BN$6&lt;Total_Lanes,900*Peak_Time_Eve*(($BL9/(Total_Lanes-BN$6))-1+SQRT((($BL9/(Total_Lanes-BN$6))-1)^2+8*($BL9/(Total_Lanes-BN$6))/(Peak_Time_Eve*$N42*(Total_Lanes-BN$6)))),"-")</f>
        <v>8.07770393321328</v>
      </c>
      <c r="BO9" s="146" t="n">
        <f aca="false">IF(BO$6&lt;Total_Lanes,900*Peak_Time_Eve*(($BL9/(Total_Lanes-BO$6))-1+SQRT((($BL9/(Total_Lanes-BO$6))-1)^2+8*($BL9/(Total_Lanes-BO$6))/(Peak_Time_Eve*$N42*(Total_Lanes-BO$6)))),"-")</f>
        <v>126.888052001798</v>
      </c>
      <c r="BP9" s="146" t="n">
        <f aca="false">IF(BP$6&lt;Total_Lanes,900*Peak_Time_Eve*(($BL9/(Total_Lanes-BP$6))-1+SQRT((($BL9/(Total_Lanes-BP$6))-1)^2+8*($BL9/(Total_Lanes-BP$6))/(Peak_Time_Eve*$N42*(Total_Lanes-BP$6)))),"-")</f>
        <v>574.594441158973</v>
      </c>
      <c r="BQ9" s="146" t="n">
        <f aca="false">IF(BQ$6&lt;Total_Lanes,900*Peak_Time_Eve*(($BL9/(Total_Lanes-BQ$6))-1+SQRT((($BL9/(Total_Lanes-BQ$6))-1)^2+8*($BL9/(Total_Lanes-BQ$6))/(Peak_Time_Eve*$N42*(Total_Lanes-BQ$6)))),"-")</f>
        <v>1167.96275745092</v>
      </c>
      <c r="BR9" s="146" t="n">
        <f aca="false">IF(BR$6&lt;Total_Lanes,900*Peak_Time_Eve*(($BL9/(Total_Lanes-BR$6))-1+SQRT((($BL9/(Total_Lanes-BR$6))-1)^2+8*($BL9/(Total_Lanes-BR$6))/(Peak_Time_Eve*$N42*(Total_Lanes-BR$6)))),"-")</f>
        <v>1961.25006570005</v>
      </c>
      <c r="BS9" s="146" t="n">
        <f aca="false">IF(BS$6&lt;Total_Lanes,900*Peak_Time_Eve*(($BL9/(Total_Lanes-BS$6))-1+SQRT((($BL9/(Total_Lanes-BS$6))-1)^2+8*($BL9/(Total_Lanes-BS$6))/(Peak_Time_Eve*$N42*(Total_Lanes-BS$6)))),"-")</f>
        <v>3072.62224413902</v>
      </c>
      <c r="BT9" s="146" t="n">
        <f aca="false">IF(BT$6&lt;Total_Lanes,900*Peak_Time_Eve*(($BL9/(Total_Lanes-BT$6))-1+SQRT((($BL9/(Total_Lanes-BT$6))-1)^2+8*($BL9/(Total_Lanes-BT$6))/(Peak_Time_Eve*$N42*(Total_Lanes-BT$6)))),"-")</f>
        <v>4740.09647013107</v>
      </c>
      <c r="BU9" s="146" t="n">
        <f aca="false">IF(BU$6&lt;Total_Lanes,900*Peak_Time_Eve*(($BL9/(Total_Lanes-BU$6))-1+SQRT((($BL9/(Total_Lanes-BU$6))-1)^2+8*($BL9/(Total_Lanes-BU$6))/(Peak_Time_Eve*$N42*(Total_Lanes-BU$6)))),"-")</f>
        <v>7519.50979488108</v>
      </c>
      <c r="BV9" s="146" t="n">
        <f aca="false">IF(BV$6&lt;Total_Lanes,900*Peak_Time_Eve*(($BL9/(Total_Lanes-BV$6))-1+SQRT((($BL9/(Total_Lanes-BV$6))-1)^2+8*($BL9/(Total_Lanes-BV$6))/(Peak_Time_Eve*$N42*(Total_Lanes-BV$6)))),"-")</f>
        <v>13078.5917438486</v>
      </c>
      <c r="BW9" s="146" t="n">
        <f aca="false">IF(BW$6&lt;Total_Lanes,900*Peak_Time_Eve*(($BL9/(Total_Lanes-BW$6))-1+SQRT((($BL9/(Total_Lanes-BW$6))-1)^2+8*($BL9/(Total_Lanes-BW$6))/(Peak_Time_Eve*$N42*(Total_Lanes-BW$6)))),"-")</f>
        <v>29756.1630536566</v>
      </c>
      <c r="BX9" s="136" t="str">
        <f aca="false">IF(BX$6&lt;Total_Lanes,900*Peak_Time_Eve*(($BL9/(Total_Lanes-BX$6))-1+SQRT((($BL9/(Total_Lanes-BX$6))-1)^2+8*($BL9/(Total_Lanes-BX$6))/(Peak_Time_Eve*$N42*(Total_Lanes-BX$6)))),"-")</f>
        <v>-</v>
      </c>
      <c r="BY9" s="136" t="str">
        <f aca="false">IF(BY$6&lt;Total_Lanes,900*Peak_Time_Eve*(($BL9/(Total_Lanes-BY$6))-1+SQRT((($BL9/(Total_Lanes-BY$6))-1)^2+8*($BL9/(Total_Lanes-BY$6))/(Peak_Time_Eve*$N42*(Total_Lanes-BY$6)))),"-")</f>
        <v>-</v>
      </c>
      <c r="BZ9" s="136" t="str">
        <f aca="false">IF(BZ$6&lt;Total_Lanes,900*Peak_Time_Eve*(($BL9/(Total_Lanes-BZ$6))-1+SQRT((($BL9/(Total_Lanes-BZ$6))-1)^2+8*($BL9/(Total_Lanes-BZ$6))/(Peak_Time_Eve*$N42*(Total_Lanes-BZ$6)))),"-")</f>
        <v>-</v>
      </c>
      <c r="CA9" s="136" t="str">
        <f aca="false">IF(CA$6&lt;Total_Lanes,900*Peak_Time_Eve*(($BL9/(Total_Lanes-CA$6))-1+SQRT((($BL9/(Total_Lanes-CA$6))-1)^2+8*($BL9/(Total_Lanes-CA$6))/(Peak_Time_Eve*$N42*(Total_Lanes-CA$6)))),"-")</f>
        <v>-</v>
      </c>
      <c r="CB9" s="136" t="str">
        <f aca="false">IF(CB$6&lt;Total_Lanes,900*Peak_Time_Eve*(($BL9/(Total_Lanes-CB$6))-1+SQRT((($BL9/(Total_Lanes-CB$6))-1)^2+8*($BL9/(Total_Lanes-CB$6))/(Peak_Time_Eve*$N42*(Total_Lanes-CB$6)))),"-")</f>
        <v>-</v>
      </c>
      <c r="CC9" s="136" t="str">
        <f aca="false">IF(CC$6&lt;Total_Lanes,900*Peak_Time_Eve*(($BL9/(Total_Lanes-CC$6))-1+SQRT((($BL9/(Total_Lanes-CC$6))-1)^2+8*($BL9/(Total_Lanes-CC$6))/(Peak_Time_Eve*$N42*(Total_Lanes-CC$6)))),"-")</f>
        <v>-</v>
      </c>
      <c r="CD9" s="136" t="str">
        <f aca="false">IF(CD$6&lt;Total_Lanes,900*Peak_Time_Eve*(($BL9/(Total_Lanes-CD$6))-1+SQRT((($BL9/(Total_Lanes-CD$6))-1)^2+8*($BL9/(Total_Lanes-CD$6))/(Peak_Time_Eve*$N42*(Total_Lanes-CD$6)))),"-")</f>
        <v>-</v>
      </c>
      <c r="CE9" s="136" t="str">
        <f aca="false">IF(CE$6&lt;Total_Lanes,900*Peak_Time_Eve*(($BL9/(Total_Lanes-CE$6))-1+SQRT((($BL9/(Total_Lanes-CE$6))-1)^2+8*($BL9/(Total_Lanes-CE$6))/(Peak_Time_Eve*$N42*(Total_Lanes-CE$6)))),"-")</f>
        <v>-</v>
      </c>
      <c r="CF9" s="136" t="str">
        <f aca="false">IF(CF$6&lt;Total_Lanes,900*Peak_Time_Eve*(($BL9/(Total_Lanes-CF$6))-1+SQRT((($BL9/(Total_Lanes-CF$6))-1)^2+8*($BL9/(Total_Lanes-CF$6))/(Peak_Time_Eve*$N42*(Total_Lanes-CF$6)))),"-")</f>
        <v>-</v>
      </c>
      <c r="CG9" s="147" t="str">
        <f aca="false">IF(CG$6&lt;Total_Lanes,900*Peak_Time_Eve*(($BL9/(Total_Lanes-CG$6))-1+SQRT((($BL9/(Total_Lanes-CG$6))-1)^2+8*($BL9/(Total_Lanes-CG$6))/(Peak_Time_Eve*$N42*(Total_Lanes-CG$6)))),"-")</f>
        <v>-</v>
      </c>
      <c r="CH9" s="160" t="n">
        <f aca="false">3600/N42</f>
        <v>6.6175</v>
      </c>
      <c r="CJ9" s="50" t="n">
        <v>2</v>
      </c>
      <c r="CK9" s="131" t="n">
        <f aca="false">$X9</f>
        <v>0.169984220292274</v>
      </c>
      <c r="CL9" s="57" t="n">
        <f aca="false">$AC9</f>
        <v>6071.54498005461</v>
      </c>
      <c r="CM9" s="135" t="n">
        <f aca="false">CL9*CK9</f>
        <v>1032.06683940405</v>
      </c>
      <c r="CN9" s="161" t="n">
        <f aca="false">CM9/O41</f>
        <v>0.688044559602701</v>
      </c>
      <c r="CO9" s="164" t="n">
        <f aca="false">IF(CO$6&lt;Total_Lanes,900*Peak_Time_Eve*(($CN9/CO$6-1)+SQRT(($CN9/CO$6-1)^2+8*($CN9/CO$6)/(Peak_Time_Eve*$O42*CO$6))),"-")</f>
        <v>5.26868864790004</v>
      </c>
      <c r="CP9" s="164" t="n">
        <f aca="false">IF(CP$6&lt;Total_Lanes,900*Peak_Time_Eve*(($CN9/CP$6-1)+SQRT(($CN9/CP$6-1)^2+8*($CN9/CP$6)/(Peak_Time_Eve*$O42*CP$6))),"-")</f>
        <v>0.629162799099725</v>
      </c>
      <c r="CQ9" s="164" t="n">
        <f aca="false">IF(CQ$6&lt;Total_Lanes,900*Peak_Time_Eve*(($CN9/CQ$6-1)+SQRT(($CN9/CQ$6-1)^2+8*($CN9/CQ$6)/(Peak_Time_Eve*$O42*CQ$6))),"-")</f>
        <v>0.238061863212913</v>
      </c>
      <c r="CR9" s="164" t="n">
        <f aca="false">IF(CR$6&lt;Total_Lanes,900*Peak_Time_Eve*(($CN9/CR$6-1)+SQRT(($CN9/CR$6-1)^2+8*($CN9/CR$6)/(Peak_Time_Eve*$O42*CR$6))),"-")</f>
        <v>0.124642218568738</v>
      </c>
      <c r="CS9" s="164" t="n">
        <f aca="false">IF(CS$6&lt;Total_Lanes,900*Peak_Time_Eve*(($CN9/CS$6-1)+SQRT(($CN9/CS$6-1)^2+8*($CN9/CS$6)/(Peak_Time_Eve*$O42*CS$6))),"-")</f>
        <v>0.0765901331506447</v>
      </c>
      <c r="CT9" s="164" t="n">
        <f aca="false">IF(CT$6&lt;Total_Lanes,900*Peak_Time_Eve*(($CN9/CT$6-1)+SQRT(($CN9/CT$6-1)^2+8*($CN9/CT$6)/(Peak_Time_Eve*$O42*CT$6))),"-")</f>
        <v>0.0518101767052581</v>
      </c>
      <c r="CU9" s="164" t="n">
        <f aca="false">IF(CU$6&lt;Total_Lanes,900*Peak_Time_Eve*(($CN9/CU$6-1)+SQRT(($CN9/CU$6-1)^2+8*($CN9/CU$6)/(Peak_Time_Eve*$O42*CU$6))),"-")</f>
        <v>0.0373732479845623</v>
      </c>
      <c r="CV9" s="164" t="n">
        <f aca="false">IF(CV$6&lt;Total_Lanes,900*Peak_Time_Eve*(($CN9/CV$6-1)+SQRT(($CN9/CV$6-1)^2+8*($CN9/CV$6)/(Peak_Time_Eve*$O42*CV$6))),"-")</f>
        <v>0.0282293291698377</v>
      </c>
      <c r="CW9" s="164" t="n">
        <f aca="false">IF(CW$6&lt;Total_Lanes,900*Peak_Time_Eve*(($CN9/CW$6-1)+SQRT(($CN9/CW$6-1)^2+8*($CN9/CW$6)/(Peak_Time_Eve*$O42*CW$6))),"-")</f>
        <v>0.0220739069642928</v>
      </c>
      <c r="CX9" s="164" t="n">
        <f aca="false">IF(CX$6&lt;Total_Lanes,900*Peak_Time_Eve*(($CN9/CX$6-1)+SQRT(($CN9/CX$6-1)^2+8*($CN9/CX$6)/(Peak_Time_Eve*$O42*CX$6))),"-")</f>
        <v>0.0177330982578106</v>
      </c>
      <c r="CY9" s="164" t="n">
        <f aca="false">IF(CY$6&lt;Total_Lanes,900*Peak_Time_Eve*(($CN9/CY$6-1)+SQRT(($CN9/CY$6-1)^2+8*($CN9/CY$6)/(Peak_Time_Eve*$O42*CY$6))),"-")</f>
        <v>0.0145576817432769</v>
      </c>
      <c r="CZ9" s="165" t="str">
        <f aca="false">IF(CZ$6&lt;Total_Lanes,900*Peak_Time_Eve*(($CN9/CZ$6-1)+SQRT(($CN9/CZ$6-1)^2+8*($CN9/CZ$6)/(Peak_Time_Eve*$O42*CZ$6))),"-")</f>
        <v>-</v>
      </c>
      <c r="DA9" s="165" t="str">
        <f aca="false">IF(DA$6&lt;Total_Lanes,900*Peak_Time_Eve*(($CN9/DA$6-1)+SQRT(($CN9/DA$6-1)^2+8*($CN9/DA$6)/(Peak_Time_Eve*$O42*DA$6))),"-")</f>
        <v>-</v>
      </c>
      <c r="DB9" s="165" t="str">
        <f aca="false">IF(DB$6&lt;Total_Lanes,900*Peak_Time_Eve*(($CN9/DB$6-1)+SQRT(($CN9/DB$6-1)^2+8*($CN9/DB$6)/(Peak_Time_Eve*$O42*DB$6))),"-")</f>
        <v>-</v>
      </c>
      <c r="DC9" s="165" t="str">
        <f aca="false">IF(DC$6&lt;Total_Lanes,900*Peak_Time_Eve*(($CN9/DC$6-1)+SQRT(($CN9/DC$6-1)^2+8*($CN9/DC$6)/(Peak_Time_Eve*$O42*DC$6))),"-")</f>
        <v>-</v>
      </c>
      <c r="DD9" s="165" t="str">
        <f aca="false">IF(DD$6&lt;Total_Lanes,900*Peak_Time_Eve*(($CN9/DD$6-1)+SQRT(($CN9/DD$6-1)^2+8*($CN9/DD$6)/(Peak_Time_Eve*$O42*DD$6))),"-")</f>
        <v>-</v>
      </c>
      <c r="DE9" s="165" t="str">
        <f aca="false">IF(DE$6&lt;Total_Lanes,900*Peak_Time_Eve*(($CN9/DE$6-1)+SQRT(($CN9/DE$6-1)^2+8*($CN9/DE$6)/(Peak_Time_Eve*$O42*DE$6))),"-")</f>
        <v>-</v>
      </c>
      <c r="DF9" s="165" t="str">
        <f aca="false">IF(DF$6&lt;Total_Lanes,900*Peak_Time_Eve*(($CN9/DF$6-1)+SQRT(($CN9/DF$6-1)^2+8*($CN9/DF$6)/(Peak_Time_Eve*$O42*DF$6))),"-")</f>
        <v>-</v>
      </c>
      <c r="DG9" s="165" t="str">
        <f aca="false">IF(DG$6&lt;Total_Lanes,900*Peak_Time_Eve*(($CN9/DG$6-1)+SQRT(($CN9/DG$6-1)^2+8*($CN9/DG$6)/(Peak_Time_Eve*$O42*DG$6))),"-")</f>
        <v>-</v>
      </c>
      <c r="DH9" s="165" t="str">
        <f aca="false">IF(DH$6&lt;Total_Lanes,900*Peak_Time_Eve*(($CN9/DH$6-1)+SQRT(($CN9/DH$6-1)^2+8*($CN9/DH$6)/(Peak_Time_Eve*$O42*DH$6))),"-")</f>
        <v>-</v>
      </c>
      <c r="DI9" s="166" t="str">
        <f aca="false">IF(DI$6&lt;Total_Lanes,900*Peak_Time_Eve*(($CN9/DI$6-1)+SQRT(($CN9/DI$6-1)^2+8*($CN9/DI$6)/(Peak_Time_Eve*$O42*DI$6))),"-")</f>
        <v>-</v>
      </c>
      <c r="DJ9" s="167" t="n">
        <f aca="false">3600/O42</f>
        <v>2.4</v>
      </c>
    </row>
    <row r="10" customFormat="false" ht="12.75" hidden="false" customHeight="false" outlineLevel="0" collapsed="false">
      <c r="B10" s="65" t="s">
        <v>26</v>
      </c>
      <c r="C10" s="30"/>
      <c r="D10" s="66" t="n">
        <f aca="false">'Input-Detail'!AZ25</f>
        <v>12</v>
      </c>
      <c r="E10" s="67"/>
      <c r="H10" s="50" t="n">
        <v>3</v>
      </c>
      <c r="I10" s="124" t="n">
        <f aca="false">'Input-Detail'!E17</f>
        <v>20663747.05</v>
      </c>
      <c r="J10" s="131" t="n">
        <v>0.192291508405303</v>
      </c>
      <c r="K10" s="57" t="n">
        <f aca="false">AC10</f>
        <v>6237.31747008191</v>
      </c>
      <c r="L10" s="135" t="n">
        <f aca="false">AD57</f>
        <v>10.2277622351818</v>
      </c>
      <c r="M10" s="150" t="n">
        <f aca="false">AD10</f>
        <v>27.8489461696129</v>
      </c>
      <c r="N10" s="150" t="n">
        <f aca="false">SUM(L10:M10)</f>
        <v>38.0767084047946</v>
      </c>
      <c r="O10" s="154" t="n">
        <f aca="false">$S$34*N10</f>
        <v>9899.94418524661</v>
      </c>
      <c r="P10" s="135" t="n">
        <f aca="false">BC57</f>
        <v>8.12528153361015</v>
      </c>
      <c r="Q10" s="150" t="n">
        <f aca="false">BC10</f>
        <v>31.5368070368375</v>
      </c>
      <c r="R10" s="150" t="n">
        <f aca="false">SUM(P10:Q10)</f>
        <v>39.6620885704477</v>
      </c>
      <c r="S10" s="155" t="n">
        <f aca="false">$S$34*R10</f>
        <v>10312.1430283164</v>
      </c>
      <c r="T10" s="1"/>
      <c r="U10" s="1"/>
      <c r="V10" s="50" t="n">
        <v>3</v>
      </c>
      <c r="W10" s="132" t="n">
        <f aca="false">W$7+(W$27-W$7)*$V10/20</f>
        <v>20663747.05</v>
      </c>
      <c r="X10" s="131" t="n">
        <f aca="false">MIN((J9+0.1),0.95)</f>
        <v>0.233486220755981</v>
      </c>
      <c r="Y10" s="132" t="n">
        <f aca="false">'Input-Detail'!E17/Z10</f>
        <v>8910.45352868845</v>
      </c>
      <c r="Z10" s="156" t="n">
        <f aca="false">Z9</f>
        <v>2319.04548780488</v>
      </c>
      <c r="AA10" s="156" t="n">
        <f aca="false">AA9</f>
        <v>2</v>
      </c>
      <c r="AB10" s="157" t="n">
        <f aca="false">AB9</f>
        <v>0.7</v>
      </c>
      <c r="AC10" s="57" t="n">
        <f aca="false">Y10*AB10</f>
        <v>6237.31747008191</v>
      </c>
      <c r="AD10" s="135" t="n">
        <f aca="false">Peak_Time_Eve*$BH10*(3600/K43+BK10)/3600</f>
        <v>27.8489461696129</v>
      </c>
      <c r="AE10" s="136" t="n">
        <f aca="false">IF(AE$6&lt;Total_Lanes,($BI10*($CH10+BM10)+$CM10*CO10)*Peak_Time_Eve/3600,"-")</f>
        <v>67.0584259186815</v>
      </c>
      <c r="AF10" s="136" t="n">
        <f aca="false">IF(AF$6&lt;Total_Lanes,($BI10*($CH10+BN10)+$CM10*CP10)*Peak_Time_Eve/3600,"-")</f>
        <v>31.5368070368375</v>
      </c>
      <c r="AG10" s="136" t="n">
        <f aca="false">IF(AG$6&lt;Total_Lanes,($BI10*($CH10+BO10)+$CM10*CQ10)*Peak_Time_Eve/3600,"-")</f>
        <v>87.3853915091304</v>
      </c>
      <c r="AH10" s="136" t="n">
        <f aca="false">IF(AH$6&lt;Total_Lanes,($BI10*($CH10+BP10)+$CM10*CR10)*Peak_Time_Eve/3600,"-")</f>
        <v>1017.08361828487</v>
      </c>
      <c r="AI10" s="136" t="n">
        <f aca="false">IF(AI$6&lt;Total_Lanes,($BI10*($CH10+BQ10)+$CM10*CS10)*Peak_Time_Eve/3600,"-")</f>
        <v>2511.37678148914</v>
      </c>
      <c r="AJ10" s="136" t="n">
        <f aca="false">IF(AJ$6&lt;Total_Lanes,($BI10*($CH10+BR10)+$CM10*CT10)*Peak_Time_Eve/3600,"-")</f>
        <v>4515.60408603645</v>
      </c>
      <c r="AK10" s="136" t="n">
        <f aca="false">IF(AK$6&lt;Total_Lanes,($BI10*($CH10+BS10)+$CM10*CU10)*Peak_Time_Eve/3600,"-")</f>
        <v>7324.68492794505</v>
      </c>
      <c r="AL10" s="136" t="n">
        <f aca="false">IF(AL$6&lt;Total_Lanes,($BI10*($CH10+BT10)+$CM10*CV10)*Peak_Time_Eve/3600,"-")</f>
        <v>11539.8118923268</v>
      </c>
      <c r="AM10" s="136" t="n">
        <f aca="false">IF(AM$6&lt;Total_Lanes,($BI10*($CH10+BU10)+$CM10*CW10)*Peak_Time_Eve/3600,"-")</f>
        <v>18565.9995844815</v>
      </c>
      <c r="AN10" s="136" t="n">
        <f aca="false">IF(AN$6&lt;Total_Lanes,($BI10*($CH10+BV10)+$CM10*CX10)*Peak_Time_Eve/3600,"-")</f>
        <v>32619.1962370815</v>
      </c>
      <c r="AO10" s="136" t="n">
        <f aca="false">IF(AO$6&lt;Total_Lanes,($BI10*($CH10+BW10)+$CM10*CY10)*Peak_Time_Eve/3600,"-")</f>
        <v>74779.7991032051</v>
      </c>
      <c r="AP10" s="136" t="str">
        <f aca="false">IF(AP$6&lt;Total_Lanes,($BI10*($CH10+BX10)+$CM10*CZ10)*Peak_Time_Eve/3600,"-")</f>
        <v>-</v>
      </c>
      <c r="AQ10" s="136" t="str">
        <f aca="false">IF(AQ$6&lt;Total_Lanes,($BI10*($CH10+BY10)+$CM10*DA10)*Peak_Time_Eve/3600,"-")</f>
        <v>-</v>
      </c>
      <c r="AR10" s="136" t="str">
        <f aca="false">IF(AR$6&lt;Total_Lanes,($BI10*($CH10+BZ10)+$CM10*DB10)*Peak_Time_Eve/3600,"-")</f>
        <v>-</v>
      </c>
      <c r="AS10" s="136" t="str">
        <f aca="false">IF(AS$6&lt;Total_Lanes,($BI10*($CH10+CA10)+$CM10*DC10)*Peak_Time_Eve/3600,"-")</f>
        <v>-</v>
      </c>
      <c r="AT10" s="136" t="str">
        <f aca="false">IF(AT$6&lt;Total_Lanes,($BI10*($CH10+CB10)+$CM10*DD10)*Peak_Time_Eve/3600,"-")</f>
        <v>-</v>
      </c>
      <c r="AU10" s="136" t="str">
        <f aca="false">IF(AU$6&lt;Total_Lanes,($BI10*($CH10+CC10)+$CM10*DE10)*Peak_Time_Eve/3600,"-")</f>
        <v>-</v>
      </c>
      <c r="AV10" s="136" t="str">
        <f aca="false">IF(AV$6&lt;Total_Lanes,($BI10*($CH10+CD10)+$CM10*DF10)*Peak_Time_Eve/3600,"-")</f>
        <v>-</v>
      </c>
      <c r="AW10" s="136" t="str">
        <f aca="false">IF(AW$6&lt;Total_Lanes,($BI10*($CH10+CE10)+$CM10*DG10)*Peak_Time_Eve/3600,"-")</f>
        <v>-</v>
      </c>
      <c r="AX10" s="136" t="str">
        <f aca="false">IF(AX$6&lt;Total_Lanes,($BI10*($CH10+CF10)+$CM10*DH10)*Peak_Time_Eve/3600,"-")</f>
        <v>-</v>
      </c>
      <c r="AY10" s="137" t="str">
        <f aca="false">IF(AY$6&lt;Total_Lanes,($BI10*($CH10+CG10)+$CM10*DI10)*Peak_Time_Eve/3600,"-")</f>
        <v>-</v>
      </c>
      <c r="AZ10" s="158" t="n">
        <f aca="false">SUMIF(AE10:AY10,BA10,$AE$6:$AY$6)</f>
        <v>2</v>
      </c>
      <c r="BA10" s="159" t="n">
        <f aca="false">MIN(AE10:AY10)</f>
        <v>31.5368070368375</v>
      </c>
      <c r="BB10" s="158" t="n">
        <f aca="false">IF((SUMIF($BM8:$CG8,$AZ10,$BM10:$CG10)+$CH10)&lt;(SUMIF($CO8:$DI8,$AZ10,$CO10:$DI10)+$DJ10),AZ10+1,AZ10)</f>
        <v>2</v>
      </c>
      <c r="BC10" s="159" t="n">
        <f aca="false">SUMIF($AE$6:$AY$6,$BB10,$AE10:$AY10)</f>
        <v>31.5368070368375</v>
      </c>
      <c r="BF10" s="50" t="n">
        <v>3</v>
      </c>
      <c r="BG10" s="131" t="n">
        <f aca="false">$X10</f>
        <v>0.233486220755981</v>
      </c>
      <c r="BH10" s="141" t="n">
        <f aca="false">$AC10</f>
        <v>6237.31747008191</v>
      </c>
      <c r="BI10" s="58" t="n">
        <f aca="false">BH10*(1-BG10)</f>
        <v>4780.98978633723</v>
      </c>
      <c r="BJ10" s="143" t="n">
        <f aca="false">Peak_Arrival_Manual/K43</f>
        <v>8.73194662365759</v>
      </c>
      <c r="BK10" s="144" t="n">
        <f aca="false">900*Peak_Time_Eve*(BJ10/Total_Lanes-1+SQRT((BJ10/Total_Lanes-1)^2+8*(BJ10/Total_Lanes)/(Peak_Time_Eve*$K43*Total_Lanes)))</f>
        <v>1.4618048196599</v>
      </c>
      <c r="BL10" s="145" t="n">
        <f aca="false">Peak_Arrival_Manual/N43</f>
        <v>8.81660998445731</v>
      </c>
      <c r="BM10" s="146" t="n">
        <f aca="false">IF(BM$6&lt;Total_Lanes,900*Peak_Time_Eve*(($BL10/(Total_Lanes-BM$6))-1+SQRT((($BL10/(Total_Lanes-BM$6))-1)^2+8*($BL10/(Total_Lanes-BM$6))/(Peak_Time_Eve*$N43*(Total_Lanes-BM$6)))),"-")</f>
        <v>2.42879176564392</v>
      </c>
      <c r="BN10" s="146" t="n">
        <f aca="false">IF(BN$6&lt;Total_Lanes,900*Peak_Time_Eve*(($BL10/(Total_Lanes-BN$6))-1+SQRT((($BL10/(Total_Lanes-BN$6))-1)^2+8*($BL10/(Total_Lanes-BN$6))/(Peak_Time_Eve*$N43*(Total_Lanes-BN$6)))),"-")</f>
        <v>4.88993992633037</v>
      </c>
      <c r="BO10" s="146" t="n">
        <f aca="false">IF(BO$6&lt;Total_Lanes,900*Peak_Time_Eve*(($BL10/(Total_Lanes-BO$6))-1+SQRT((($BL10/(Total_Lanes-BO$6))-1)^2+8*($BL10/(Total_Lanes-BO$6))/(Peak_Time_Eve*$N43*(Total_Lanes-BO$6)))),"-")</f>
        <v>26.1444902287263</v>
      </c>
      <c r="BP10" s="146" t="n">
        <f aca="false">IF(BP$6&lt;Total_Lanes,900*Peak_Time_Eve*(($BL10/(Total_Lanes-BP$6))-1+SQRT((($BL10/(Total_Lanes-BP$6))-1)^2+8*($BL10/(Total_Lanes-BP$6))/(Peak_Time_Eve*$N43*(Total_Lanes-BP$6)))),"-")</f>
        <v>376.225582938562</v>
      </c>
      <c r="BQ10" s="146" t="n">
        <f aca="false">IF(BQ$6&lt;Total_Lanes,900*Peak_Time_Eve*(($BL10/(Total_Lanes-BQ$6))-1+SQRT((($BL10/(Total_Lanes-BQ$6))-1)^2+8*($BL10/(Total_Lanes-BQ$6))/(Peak_Time_Eve*$N43*(Total_Lanes-BQ$6)))),"-")</f>
        <v>938.836971607494</v>
      </c>
      <c r="BR10" s="146" t="n">
        <f aca="false">IF(BR$6&lt;Total_Lanes,900*Peak_Time_Eve*(($BL10/(Total_Lanes-BR$6))-1+SQRT((($BL10/(Total_Lanes-BR$6))-1)^2+8*($BL10/(Total_Lanes-BR$6))/(Peak_Time_Eve*$N43*(Total_Lanes-BR$6)))),"-")</f>
        <v>1693.42237995017</v>
      </c>
      <c r="BS10" s="146" t="n">
        <f aca="false">IF(BS$6&lt;Total_Lanes,900*Peak_Time_Eve*(($BL10/(Total_Lanes-BS$6))-1+SQRT((($BL10/(Total_Lanes-BS$6))-1)^2+8*($BL10/(Total_Lanes-BS$6))/(Peak_Time_Eve*$N43*(Total_Lanes-BS$6)))),"-")</f>
        <v>2751.02295924586</v>
      </c>
      <c r="BT10" s="146" t="n">
        <f aca="false">IF(BT$6&lt;Total_Lanes,900*Peak_Time_Eve*(($BL10/(Total_Lanes-BT$6))-1+SQRT((($BL10/(Total_Lanes-BT$6))-1)^2+8*($BL10/(Total_Lanes-BT$6))/(Peak_Time_Eve*$N43*(Total_Lanes-BT$6)))),"-")</f>
        <v>4337.98485084238</v>
      </c>
      <c r="BU10" s="146" t="n">
        <f aca="false">IF(BU$6&lt;Total_Lanes,900*Peak_Time_Eve*(($BL10/(Total_Lanes-BU$6))-1+SQRT((($BL10/(Total_Lanes-BU$6))-1)^2+8*($BL10/(Total_Lanes-BU$6))/(Peak_Time_Eve*$N43*(Total_Lanes-BU$6)))),"-")</f>
        <v>6983.28463114759</v>
      </c>
      <c r="BV10" s="146" t="n">
        <f aca="false">IF(BV$6&lt;Total_Lanes,900*Peak_Time_Eve*(($BL10/(Total_Lanes-BV$6))-1+SQRT((($BL10/(Total_Lanes-BV$6))-1)^2+8*($BL10/(Total_Lanes-BV$6))/(Peak_Time_Eve*$N43*(Total_Lanes-BV$6)))),"-")</f>
        <v>12274.1897536917</v>
      </c>
      <c r="BW10" s="146" t="n">
        <f aca="false">IF(BW$6&lt;Total_Lanes,900*Peak_Time_Eve*(($BL10/(Total_Lanes-BW$6))-1+SQRT((($BL10/(Total_Lanes-BW$6))-1)^2+8*($BL10/(Total_Lanes-BW$6))/(Peak_Time_Eve*$N43*(Total_Lanes-BW$6)))),"-")</f>
        <v>28147.2820157106</v>
      </c>
      <c r="BX10" s="136" t="str">
        <f aca="false">IF(BX$6&lt;Total_Lanes,900*Peak_Time_Eve*(($BL10/(Total_Lanes-BX$6))-1+SQRT((($BL10/(Total_Lanes-BX$6))-1)^2+8*($BL10/(Total_Lanes-BX$6))/(Peak_Time_Eve*$N43*(Total_Lanes-BX$6)))),"-")</f>
        <v>-</v>
      </c>
      <c r="BY10" s="136" t="str">
        <f aca="false">IF(BY$6&lt;Total_Lanes,900*Peak_Time_Eve*(($BL10/(Total_Lanes-BY$6))-1+SQRT((($BL10/(Total_Lanes-BY$6))-1)^2+8*($BL10/(Total_Lanes-BY$6))/(Peak_Time_Eve*$N43*(Total_Lanes-BY$6)))),"-")</f>
        <v>-</v>
      </c>
      <c r="BZ10" s="136" t="str">
        <f aca="false">IF(BZ$6&lt;Total_Lanes,900*Peak_Time_Eve*(($BL10/(Total_Lanes-BZ$6))-1+SQRT((($BL10/(Total_Lanes-BZ$6))-1)^2+8*($BL10/(Total_Lanes-BZ$6))/(Peak_Time_Eve*$N43*(Total_Lanes-BZ$6)))),"-")</f>
        <v>-</v>
      </c>
      <c r="CA10" s="136" t="str">
        <f aca="false">IF(CA$6&lt;Total_Lanes,900*Peak_Time_Eve*(($BL10/(Total_Lanes-CA$6))-1+SQRT((($BL10/(Total_Lanes-CA$6))-1)^2+8*($BL10/(Total_Lanes-CA$6))/(Peak_Time_Eve*$N43*(Total_Lanes-CA$6)))),"-")</f>
        <v>-</v>
      </c>
      <c r="CB10" s="136" t="str">
        <f aca="false">IF(CB$6&lt;Total_Lanes,900*Peak_Time_Eve*(($BL10/(Total_Lanes-CB$6))-1+SQRT((($BL10/(Total_Lanes-CB$6))-1)^2+8*($BL10/(Total_Lanes-CB$6))/(Peak_Time_Eve*$N43*(Total_Lanes-CB$6)))),"-")</f>
        <v>-</v>
      </c>
      <c r="CC10" s="136" t="str">
        <f aca="false">IF(CC$6&lt;Total_Lanes,900*Peak_Time_Eve*(($BL10/(Total_Lanes-CC$6))-1+SQRT((($BL10/(Total_Lanes-CC$6))-1)^2+8*($BL10/(Total_Lanes-CC$6))/(Peak_Time_Eve*$N43*(Total_Lanes-CC$6)))),"-")</f>
        <v>-</v>
      </c>
      <c r="CD10" s="136" t="str">
        <f aca="false">IF(CD$6&lt;Total_Lanes,900*Peak_Time_Eve*(($BL10/(Total_Lanes-CD$6))-1+SQRT((($BL10/(Total_Lanes-CD$6))-1)^2+8*($BL10/(Total_Lanes-CD$6))/(Peak_Time_Eve*$N43*(Total_Lanes-CD$6)))),"-")</f>
        <v>-</v>
      </c>
      <c r="CE10" s="136" t="str">
        <f aca="false">IF(CE$6&lt;Total_Lanes,900*Peak_Time_Eve*(($BL10/(Total_Lanes-CE$6))-1+SQRT((($BL10/(Total_Lanes-CE$6))-1)^2+8*($BL10/(Total_Lanes-CE$6))/(Peak_Time_Eve*$N43*(Total_Lanes-CE$6)))),"-")</f>
        <v>-</v>
      </c>
      <c r="CF10" s="136" t="str">
        <f aca="false">IF(CF$6&lt;Total_Lanes,900*Peak_Time_Eve*(($BL10/(Total_Lanes-CF$6))-1+SQRT((($BL10/(Total_Lanes-CF$6))-1)^2+8*($BL10/(Total_Lanes-CF$6))/(Peak_Time_Eve*$N43*(Total_Lanes-CF$6)))),"-")</f>
        <v>-</v>
      </c>
      <c r="CG10" s="147" t="str">
        <f aca="false">IF(CG$6&lt;Total_Lanes,900*Peak_Time_Eve*(($BL10/(Total_Lanes-CG$6))-1+SQRT((($BL10/(Total_Lanes-CG$6))-1)^2+8*($BL10/(Total_Lanes-CG$6))/(Peak_Time_Eve*$N43*(Total_Lanes-CG$6)))),"-")</f>
        <v>-</v>
      </c>
      <c r="CH10" s="160" t="n">
        <f aca="false">3600/N43</f>
        <v>6.63875</v>
      </c>
      <c r="CJ10" s="50" t="n">
        <v>3</v>
      </c>
      <c r="CK10" s="131" t="n">
        <f aca="false">$X10</f>
        <v>0.233486220755981</v>
      </c>
      <c r="CL10" s="57" t="n">
        <f aca="false">$AC10</f>
        <v>6237.31747008191</v>
      </c>
      <c r="CM10" s="135" t="n">
        <f aca="false">CL10*CK10</f>
        <v>1456.32768374468</v>
      </c>
      <c r="CN10" s="161" t="n">
        <f aca="false">CM10/O42</f>
        <v>0.970885122496454</v>
      </c>
      <c r="CO10" s="164" t="n">
        <f aca="false">IF(CO$6&lt;Total_Lanes,900*Peak_Time_Eve*(($CN10/CO$6-1)+SQRT(($CN10/CO$6-1)^2+8*($CN10/CO$6)/(Peak_Time_Eve*$O43*CO$6))),"-")</f>
        <v>53.1153413811354</v>
      </c>
      <c r="CP10" s="164" t="n">
        <f aca="false">IF(CP$6&lt;Total_Lanes,900*Peak_Time_Eve*(($CN10/CP$6-1)+SQRT(($CN10/CP$6-1)^2+8*($CN10/CP$6)/(Peak_Time_Eve*$O43*CP$6))),"-")</f>
        <v>1.13141011948379</v>
      </c>
      <c r="CQ10" s="164" t="n">
        <f aca="false">IF(CQ$6&lt;Total_Lanes,900*Peak_Time_Eve*(($CN10/CQ$6-1)+SQRT(($CN10/CQ$6-1)^2+8*($CN10/CQ$6)/(Peak_Time_Eve*$O43*CQ$6))),"-")</f>
        <v>0.382721571577394</v>
      </c>
      <c r="CR10" s="164" t="n">
        <f aca="false">IF(CR$6&lt;Total_Lanes,900*Peak_Time_Eve*(($CN10/CR$6-1)+SQRT(($CN10/CR$6-1)^2+8*($CN10/CR$6)/(Peak_Time_Eve*$O43*CR$6))),"-")</f>
        <v>0.192297093440108</v>
      </c>
      <c r="CS10" s="164" t="n">
        <f aca="false">IF(CS$6&lt;Total_Lanes,900*Peak_Time_Eve*(($CN10/CS$6-1)+SQRT(($CN10/CS$6-1)^2+8*($CN10/CS$6)/(Peak_Time_Eve*$O43*CS$6))),"-")</f>
        <v>0.115659715238592</v>
      </c>
      <c r="CT10" s="164" t="n">
        <f aca="false">IF(CT$6&lt;Total_Lanes,900*Peak_Time_Eve*(($CN10/CT$6-1)+SQRT(($CN10/CT$6-1)^2+8*($CN10/CT$6)/(Peak_Time_Eve*$O43*CT$6))),"-")</f>
        <v>0.0772191768245945</v>
      </c>
      <c r="CU10" s="164" t="n">
        <f aca="false">IF(CU$6&lt;Total_Lanes,900*Peak_Time_Eve*(($CN10/CU$6-1)+SQRT(($CN10/CU$6-1)^2+8*($CN10/CU$6)/(Peak_Time_Eve*$O43*CU$6))),"-")</f>
        <v>0.0552102553862621</v>
      </c>
      <c r="CV10" s="164" t="n">
        <f aca="false">IF(CV$6&lt;Total_Lanes,900*Peak_Time_Eve*(($CN10/CV$6-1)+SQRT(($CN10/CV$6-1)^2+8*($CN10/CV$6)/(Peak_Time_Eve*$O43*CV$6))),"-")</f>
        <v>0.0414364719186766</v>
      </c>
      <c r="CW10" s="164" t="n">
        <f aca="false">IF(CW$6&lt;Total_Lanes,900*Peak_Time_Eve*(($CN10/CW$6-1)+SQRT(($CN10/CW$6-1)^2+8*($CN10/CW$6)/(Peak_Time_Eve*$O43*CW$6))),"-")</f>
        <v>0.0322451607563057</v>
      </c>
      <c r="CX10" s="164" t="n">
        <f aca="false">IF(CX$6&lt;Total_Lanes,900*Peak_Time_Eve*(($CN10/CX$6-1)+SQRT(($CN10/CX$6-1)^2+8*($CN10/CX$6)/(Peak_Time_Eve*$O43*CX$6))),"-")</f>
        <v>0.025806580447596</v>
      </c>
      <c r="CY10" s="164" t="n">
        <f aca="false">IF(CY$6&lt;Total_Lanes,900*Peak_Time_Eve*(($CN10/CY$6-1)+SQRT(($CN10/CY$6-1)^2+8*($CN10/CY$6)/(Peak_Time_Eve*$O43*CY$6))),"-")</f>
        <v>0.0211213173588964</v>
      </c>
      <c r="CZ10" s="165" t="str">
        <f aca="false">IF(CZ$6&lt;Total_Lanes,900*Peak_Time_Eve*(($CN10/CZ$6-1)+SQRT(($CN10/CZ$6-1)^2+8*($CN10/CZ$6)/(Peak_Time_Eve*$O43*CZ$6))),"-")</f>
        <v>-</v>
      </c>
      <c r="DA10" s="165" t="str">
        <f aca="false">IF(DA$6&lt;Total_Lanes,900*Peak_Time_Eve*(($CN10/DA$6-1)+SQRT(($CN10/DA$6-1)^2+8*($CN10/DA$6)/(Peak_Time_Eve*$O43*DA$6))),"-")</f>
        <v>-</v>
      </c>
      <c r="DB10" s="165" t="str">
        <f aca="false">IF(DB$6&lt;Total_Lanes,900*Peak_Time_Eve*(($CN10/DB$6-1)+SQRT(($CN10/DB$6-1)^2+8*($CN10/DB$6)/(Peak_Time_Eve*$O43*DB$6))),"-")</f>
        <v>-</v>
      </c>
      <c r="DC10" s="165" t="str">
        <f aca="false">IF(DC$6&lt;Total_Lanes,900*Peak_Time_Eve*(($CN10/DC$6-1)+SQRT(($CN10/DC$6-1)^2+8*($CN10/DC$6)/(Peak_Time_Eve*$O43*DC$6))),"-")</f>
        <v>-</v>
      </c>
      <c r="DD10" s="165" t="str">
        <f aca="false">IF(DD$6&lt;Total_Lanes,900*Peak_Time_Eve*(($CN10/DD$6-1)+SQRT(($CN10/DD$6-1)^2+8*($CN10/DD$6)/(Peak_Time_Eve*$O43*DD$6))),"-")</f>
        <v>-</v>
      </c>
      <c r="DE10" s="165" t="str">
        <f aca="false">IF(DE$6&lt;Total_Lanes,900*Peak_Time_Eve*(($CN10/DE$6-1)+SQRT(($CN10/DE$6-1)^2+8*($CN10/DE$6)/(Peak_Time_Eve*$O43*DE$6))),"-")</f>
        <v>-</v>
      </c>
      <c r="DF10" s="165" t="str">
        <f aca="false">IF(DF$6&lt;Total_Lanes,900*Peak_Time_Eve*(($CN10/DF$6-1)+SQRT(($CN10/DF$6-1)^2+8*($CN10/DF$6)/(Peak_Time_Eve*$O43*DF$6))),"-")</f>
        <v>-</v>
      </c>
      <c r="DG10" s="165" t="str">
        <f aca="false">IF(DG$6&lt;Total_Lanes,900*Peak_Time_Eve*(($CN10/DG$6-1)+SQRT(($CN10/DG$6-1)^2+8*($CN10/DG$6)/(Peak_Time_Eve*$O43*DG$6))),"-")</f>
        <v>-</v>
      </c>
      <c r="DH10" s="165" t="str">
        <f aca="false">IF(DH$6&lt;Total_Lanes,900*Peak_Time_Eve*(($CN10/DH$6-1)+SQRT(($CN10/DH$6-1)^2+8*($CN10/DH$6)/(Peak_Time_Eve*$O43*DH$6))),"-")</f>
        <v>-</v>
      </c>
      <c r="DI10" s="166" t="str">
        <f aca="false">IF(DI$6&lt;Total_Lanes,900*Peak_Time_Eve*(($CN10/DI$6-1)+SQRT(($CN10/DI$6-1)^2+8*($CN10/DI$6)/(Peak_Time_Eve*$O43*DI$6))),"-")</f>
        <v>-</v>
      </c>
      <c r="DJ10" s="167" t="n">
        <f aca="false">3600/O43</f>
        <v>2.4</v>
      </c>
    </row>
    <row r="11" customFormat="false" ht="12.75" hidden="false" customHeight="false" outlineLevel="0" collapsed="false">
      <c r="B11" s="76"/>
      <c r="C11" s="77"/>
      <c r="D11" s="78"/>
      <c r="E11" s="79"/>
      <c r="F11" s="69"/>
      <c r="G11" s="69"/>
      <c r="H11" s="50" t="n">
        <v>4</v>
      </c>
      <c r="I11" s="124" t="n">
        <f aca="false">'Input-Detail'!E18</f>
        <v>21212938.4</v>
      </c>
      <c r="J11" s="131" t="n">
        <v>0.247136906120865</v>
      </c>
      <c r="K11" s="57" t="n">
        <f aca="false">AC11</f>
        <v>6403.08996010922</v>
      </c>
      <c r="L11" s="135" t="n">
        <f aca="false">AD58</f>
        <v>10.5039524573916</v>
      </c>
      <c r="M11" s="150" t="n">
        <f aca="false">AD11</f>
        <v>27.7164327587008</v>
      </c>
      <c r="N11" s="150" t="n">
        <f aca="false">SUM(L11:M11)</f>
        <v>38.2203852160924</v>
      </c>
      <c r="O11" s="154" t="n">
        <f aca="false">$S$34*N11</f>
        <v>9937.30015618402</v>
      </c>
      <c r="P11" s="135" t="n">
        <f aca="false">BC58</f>
        <v>7.78368828003676</v>
      </c>
      <c r="Q11" s="150" t="n">
        <f aca="false">BC11</f>
        <v>27.4763360621201</v>
      </c>
      <c r="R11" s="150" t="n">
        <f aca="false">SUM(P11:Q11)</f>
        <v>35.2600243421569</v>
      </c>
      <c r="S11" s="155" t="n">
        <f aca="false">$S$34*R11</f>
        <v>9167.60632896079</v>
      </c>
      <c r="T11" s="69"/>
      <c r="U11" s="69"/>
      <c r="V11" s="50" t="n">
        <v>4</v>
      </c>
      <c r="W11" s="132" t="n">
        <f aca="false">W$7+(W$27-W$7)*$V11/20</f>
        <v>21212938.4</v>
      </c>
      <c r="X11" s="131" t="n">
        <f aca="false">MIN((J10+0.1),0.95)</f>
        <v>0.292291508405303</v>
      </c>
      <c r="Y11" s="132" t="n">
        <f aca="false">'Input-Detail'!E18/Z11</f>
        <v>9147.2713715846</v>
      </c>
      <c r="Z11" s="156" t="n">
        <f aca="false">Z10</f>
        <v>2319.04548780488</v>
      </c>
      <c r="AA11" s="156" t="n">
        <f aca="false">AA10</f>
        <v>2</v>
      </c>
      <c r="AB11" s="157" t="n">
        <f aca="false">AB10</f>
        <v>0.7</v>
      </c>
      <c r="AC11" s="57" t="n">
        <f aca="false">Y11*AB11</f>
        <v>6403.08996010922</v>
      </c>
      <c r="AD11" s="135" t="n">
        <f aca="false">Peak_Time_Eve*$BH11*(3600/K44+BK11)/3600</f>
        <v>27.7164327587008</v>
      </c>
      <c r="AE11" s="136" t="n">
        <f aca="false">IF(AE$6&lt;Total_Lanes,($BI11*($CH11+BM11)+$CM11*CO11)*Peak_Time_Eve/3600,"-")</f>
        <v>961.264505841674</v>
      </c>
      <c r="AF11" s="136" t="n">
        <f aca="false">IF(AF$6&lt;Total_Lanes,($BI11*($CH11+BN11)+$CM11*CP11)*Peak_Time_Eve/3600,"-")</f>
        <v>27.4763360621201</v>
      </c>
      <c r="AG11" s="136" t="n">
        <f aca="false">IF(AG$6&lt;Total_Lanes,($BI11*($CH11+BO11)+$CM11*CQ11)*Peak_Time_Eve/3600,"-")</f>
        <v>41.7278031607009</v>
      </c>
      <c r="AH11" s="136" t="n">
        <f aca="false">IF(AH$6&lt;Total_Lanes,($BI11*($CH11+BP11)+$CM11*CR11)*Peak_Time_Eve/3600,"-")</f>
        <v>493.109693977964</v>
      </c>
      <c r="AI11" s="136" t="n">
        <f aca="false">IF(AI$6&lt;Total_Lanes,($BI11*($CH11+BQ11)+$CM11*CS11)*Peak_Time_Eve/3600,"-")</f>
        <v>1822.33753582912</v>
      </c>
      <c r="AJ11" s="136" t="n">
        <f aca="false">IF(AJ$6&lt;Total_Lanes,($BI11*($CH11+BR11)+$CM11*CT11)*Peak_Time_Eve/3600,"-")</f>
        <v>3626.69131688024</v>
      </c>
      <c r="AK11" s="136" t="n">
        <f aca="false">IF(AK$6&lt;Total_Lanes,($BI11*($CH11+BS11)+$CM11*CU11)*Peak_Time_Eve/3600,"-")</f>
        <v>6157.76548163203</v>
      </c>
      <c r="AL11" s="136" t="n">
        <f aca="false">IF(AL$6&lt;Total_Lanes,($BI11*($CH11+BT11)+$CM11*CV11)*Peak_Time_Eve/3600,"-")</f>
        <v>9956.37482209567</v>
      </c>
      <c r="AM11" s="136" t="n">
        <f aca="false">IF(AM$6&lt;Total_Lanes,($BI11*($CH11+BU11)+$CM11*CW11)*Peak_Time_Eve/3600,"-")</f>
        <v>16288.5777983588</v>
      </c>
      <c r="AN11" s="136" t="n">
        <f aca="false">IF(AN$6&lt;Total_Lanes,($BI11*($CH11+BV11)+$CM11*CX11)*Peak_Time_Eve/3600,"-")</f>
        <v>28953.9307496628</v>
      </c>
      <c r="AO11" s="136" t="n">
        <f aca="false">IF(AO$6&lt;Total_Lanes,($BI11*($CH11+BW11)+$CM11*CY11)*Peak_Time_Eve/3600,"-")</f>
        <v>66951.1155968187</v>
      </c>
      <c r="AP11" s="136" t="str">
        <f aca="false">IF(AP$6&lt;Total_Lanes,($BI11*($CH11+BX11)+$CM11*CZ11)*Peak_Time_Eve/3600,"-")</f>
        <v>-</v>
      </c>
      <c r="AQ11" s="136" t="str">
        <f aca="false">IF(AQ$6&lt;Total_Lanes,($BI11*($CH11+BY11)+$CM11*DA11)*Peak_Time_Eve/3600,"-")</f>
        <v>-</v>
      </c>
      <c r="AR11" s="136" t="str">
        <f aca="false">IF(AR$6&lt;Total_Lanes,($BI11*($CH11+BZ11)+$CM11*DB11)*Peak_Time_Eve/3600,"-")</f>
        <v>-</v>
      </c>
      <c r="AS11" s="136" t="str">
        <f aca="false">IF(AS$6&lt;Total_Lanes,($BI11*($CH11+CA11)+$CM11*DC11)*Peak_Time_Eve/3600,"-")</f>
        <v>-</v>
      </c>
      <c r="AT11" s="136" t="str">
        <f aca="false">IF(AT$6&lt;Total_Lanes,($BI11*($CH11+CB11)+$CM11*DD11)*Peak_Time_Eve/3600,"-")</f>
        <v>-</v>
      </c>
      <c r="AU11" s="136" t="str">
        <f aca="false">IF(AU$6&lt;Total_Lanes,($BI11*($CH11+CC11)+$CM11*DE11)*Peak_Time_Eve/3600,"-")</f>
        <v>-</v>
      </c>
      <c r="AV11" s="136" t="str">
        <f aca="false">IF(AV$6&lt;Total_Lanes,($BI11*($CH11+CD11)+$CM11*DF11)*Peak_Time_Eve/3600,"-")</f>
        <v>-</v>
      </c>
      <c r="AW11" s="136" t="str">
        <f aca="false">IF(AW$6&lt;Total_Lanes,($BI11*($CH11+CE11)+$CM11*DG11)*Peak_Time_Eve/3600,"-")</f>
        <v>-</v>
      </c>
      <c r="AX11" s="136" t="str">
        <f aca="false">IF(AX$6&lt;Total_Lanes,($BI11*($CH11+CF11)+$CM11*DH11)*Peak_Time_Eve/3600,"-")</f>
        <v>-</v>
      </c>
      <c r="AY11" s="137" t="str">
        <f aca="false">IF(AY$6&lt;Total_Lanes,($BI11*($CH11+CG11)+$CM11*DI11)*Peak_Time_Eve/3600,"-")</f>
        <v>-</v>
      </c>
      <c r="AZ11" s="158" t="n">
        <f aca="false">SUMIF(AE11:AY11,BA11,$AE$6:$AY$6)</f>
        <v>2</v>
      </c>
      <c r="BA11" s="159" t="n">
        <f aca="false">MIN(AE11:AY11)</f>
        <v>27.4763360621201</v>
      </c>
      <c r="BB11" s="158" t="n">
        <f aca="false">IF((SUMIF($BM9:$CG9,$AZ11,$BM11:$CG11)+$CH11)&lt;(SUMIF($CO9:$DI9,$AZ11,$CO11:$DI11)+$DJ11),AZ11+1,AZ11)</f>
        <v>2</v>
      </c>
      <c r="BC11" s="159" t="n">
        <f aca="false">SUMIF($AE$6:$AY$6,$BB11,$AE11:$AY11)</f>
        <v>27.4763360621201</v>
      </c>
      <c r="BF11" s="50" t="n">
        <v>4</v>
      </c>
      <c r="BG11" s="131" t="n">
        <f aca="false">$X11</f>
        <v>0.292291508405303</v>
      </c>
      <c r="BH11" s="141" t="n">
        <f aca="false">$AC11</f>
        <v>6403.08996010922</v>
      </c>
      <c r="BI11" s="58" t="n">
        <f aca="false">BH11*(1-BG11)</f>
        <v>4531.52113721404</v>
      </c>
      <c r="BJ11" s="143" t="n">
        <f aca="false">Peak_Arrival_Manual/K44</f>
        <v>8.27631985477287</v>
      </c>
      <c r="BK11" s="144" t="n">
        <f aca="false">900*Peak_Time_Eve*(BJ11/Total_Lanes-1+SQRT((BJ11/Total_Lanes-1)^2+8*(BJ11/Total_Lanes)/(Peak_Time_Eve*$K44*Total_Lanes)))</f>
        <v>1.21648493562793</v>
      </c>
      <c r="BL11" s="145" t="n">
        <f aca="false">Peak_Arrival_Manual/N44</f>
        <v>8.38331410384598</v>
      </c>
      <c r="BM11" s="146" t="n">
        <f aca="false">IF(BM$6&lt;Total_Lanes,900*Peak_Time_Eve*(($BL11/(Total_Lanes-BM$6))-1+SQRT((($BL11/(Total_Lanes-BM$6))-1)^2+8*($BL11/(Total_Lanes-BM$6))/(Peak_Time_Eve*$N44*(Total_Lanes-BM$6)))),"-")</f>
        <v>1.93537577670254</v>
      </c>
      <c r="BN11" s="146" t="n">
        <f aca="false">IF(BN$6&lt;Total_Lanes,900*Peak_Time_Eve*(($BL11/(Total_Lanes-BN$6))-1+SQRT((($BL11/(Total_Lanes-BN$6))-1)^2+8*($BL11/(Total_Lanes-BN$6))/(Peak_Time_Eve*$N44*(Total_Lanes-BN$6)))),"-")</f>
        <v>3.43328552020529</v>
      </c>
      <c r="BO11" s="146" t="n">
        <f aca="false">IF(BO$6&lt;Total_Lanes,900*Peak_Time_Eve*(($BL11/(Total_Lanes-BO$6))-1+SQRT((($BL11/(Total_Lanes-BO$6))-1)^2+8*($BL11/(Total_Lanes-BO$6))/(Peak_Time_Eve*$N44*(Total_Lanes-BO$6)))),"-")</f>
        <v>9.67981500433078</v>
      </c>
      <c r="BP11" s="146" t="n">
        <f aca="false">IF(BP$6&lt;Total_Lanes,900*Peak_Time_Eve*(($BL11/(Total_Lanes-BP$6))-1+SQRT((($BL11/(Total_Lanes-BP$6))-1)^2+8*($BL11/(Total_Lanes-BP$6))/(Peak_Time_Eve*$N44*(Total_Lanes-BP$6)))),"-")</f>
        <v>189.099527062692</v>
      </c>
      <c r="BQ11" s="146" t="n">
        <f aca="false">IF(BQ$6&lt;Total_Lanes,900*Peak_Time_Eve*(($BL11/(Total_Lanes-BQ$6))-1+SQRT((($BL11/(Total_Lanes-BQ$6))-1)^2+8*($BL11/(Total_Lanes-BQ$6))/(Peak_Time_Eve*$N44*(Total_Lanes-BQ$6)))),"-")</f>
        <v>717.138645534446</v>
      </c>
      <c r="BR11" s="146" t="n">
        <f aca="false">IF(BR$6&lt;Total_Lanes,900*Peak_Time_Eve*(($BL11/(Total_Lanes-BR$6))-1+SQRT((($BL11/(Total_Lanes-BR$6))-1)^2+8*($BL11/(Total_Lanes-BR$6))/(Peak_Time_Eve*$N44*(Total_Lanes-BR$6)))),"-")</f>
        <v>1433.88228765242</v>
      </c>
      <c r="BS11" s="146" t="n">
        <f aca="false">IF(BS$6&lt;Total_Lanes,900*Peak_Time_Eve*(($BL11/(Total_Lanes-BS$6))-1+SQRT((($BL11/(Total_Lanes-BS$6))-1)^2+8*($BL11/(Total_Lanes-BS$6))/(Peak_Time_Eve*$N44*(Total_Lanes-BS$6)))),"-")</f>
        <v>2439.28217915974</v>
      </c>
      <c r="BT11" s="146" t="n">
        <f aca="false">IF(BT$6&lt;Total_Lanes,900*Peak_Time_Eve*(($BL11/(Total_Lanes-BT$6))-1+SQRT((($BL11/(Total_Lanes-BT$6))-1)^2+8*($BL11/(Total_Lanes-BT$6))/(Peak_Time_Eve*$N44*(Total_Lanes-BT$6)))),"-")</f>
        <v>3948.16452545031</v>
      </c>
      <c r="BU11" s="146" t="n">
        <f aca="false">IF(BU$6&lt;Total_Lanes,900*Peak_Time_Eve*(($BL11/(Total_Lanes-BU$6))-1+SQRT((($BL11/(Total_Lanes-BU$6))-1)^2+8*($BL11/(Total_Lanes-BU$6))/(Peak_Time_Eve*$N44*(Total_Lanes-BU$6)))),"-")</f>
        <v>6463.43223256443</v>
      </c>
      <c r="BV11" s="146" t="n">
        <f aca="false">IF(BV$6&lt;Total_Lanes,900*Peak_Time_Eve*(($BL11/(Total_Lanes-BV$6))-1+SQRT((($BL11/(Total_Lanes-BV$6))-1)^2+8*($BL11/(Total_Lanes-BV$6))/(Peak_Time_Eve*$N44*(Total_Lanes-BV$6)))),"-")</f>
        <v>11494.3370687725</v>
      </c>
      <c r="BW11" s="146" t="n">
        <f aca="false">IF(BW$6&lt;Total_Lanes,900*Peak_Time_Eve*(($BL11/(Total_Lanes-BW$6))-1+SQRT((($BL11/(Total_Lanes-BW$6))-1)^2+8*($BL11/(Total_Lanes-BW$6))/(Peak_Time_Eve*$N44*(Total_Lanes-BW$6)))),"-")</f>
        <v>26587.4906576097</v>
      </c>
      <c r="BX11" s="136" t="str">
        <f aca="false">IF(BX$6&lt;Total_Lanes,900*Peak_Time_Eve*(($BL11/(Total_Lanes-BX$6))-1+SQRT((($BL11/(Total_Lanes-BX$6))-1)^2+8*($BL11/(Total_Lanes-BX$6))/(Peak_Time_Eve*$N44*(Total_Lanes-BX$6)))),"-")</f>
        <v>-</v>
      </c>
      <c r="BY11" s="136" t="str">
        <f aca="false">IF(BY$6&lt;Total_Lanes,900*Peak_Time_Eve*(($BL11/(Total_Lanes-BY$6))-1+SQRT((($BL11/(Total_Lanes-BY$6))-1)^2+8*($BL11/(Total_Lanes-BY$6))/(Peak_Time_Eve*$N44*(Total_Lanes-BY$6)))),"-")</f>
        <v>-</v>
      </c>
      <c r="BZ11" s="136" t="str">
        <f aca="false">IF(BZ$6&lt;Total_Lanes,900*Peak_Time_Eve*(($BL11/(Total_Lanes-BZ$6))-1+SQRT((($BL11/(Total_Lanes-BZ$6))-1)^2+8*($BL11/(Total_Lanes-BZ$6))/(Peak_Time_Eve*$N44*(Total_Lanes-BZ$6)))),"-")</f>
        <v>-</v>
      </c>
      <c r="CA11" s="136" t="str">
        <f aca="false">IF(CA$6&lt;Total_Lanes,900*Peak_Time_Eve*(($BL11/(Total_Lanes-CA$6))-1+SQRT((($BL11/(Total_Lanes-CA$6))-1)^2+8*($BL11/(Total_Lanes-CA$6))/(Peak_Time_Eve*$N44*(Total_Lanes-CA$6)))),"-")</f>
        <v>-</v>
      </c>
      <c r="CB11" s="136" t="str">
        <f aca="false">IF(CB$6&lt;Total_Lanes,900*Peak_Time_Eve*(($BL11/(Total_Lanes-CB$6))-1+SQRT((($BL11/(Total_Lanes-CB$6))-1)^2+8*($BL11/(Total_Lanes-CB$6))/(Peak_Time_Eve*$N44*(Total_Lanes-CB$6)))),"-")</f>
        <v>-</v>
      </c>
      <c r="CC11" s="136" t="str">
        <f aca="false">IF(CC$6&lt;Total_Lanes,900*Peak_Time_Eve*(($BL11/(Total_Lanes-CC$6))-1+SQRT((($BL11/(Total_Lanes-CC$6))-1)^2+8*($BL11/(Total_Lanes-CC$6))/(Peak_Time_Eve*$N44*(Total_Lanes-CC$6)))),"-")</f>
        <v>-</v>
      </c>
      <c r="CD11" s="136" t="str">
        <f aca="false">IF(CD$6&lt;Total_Lanes,900*Peak_Time_Eve*(($BL11/(Total_Lanes-CD$6))-1+SQRT((($BL11/(Total_Lanes-CD$6))-1)^2+8*($BL11/(Total_Lanes-CD$6))/(Peak_Time_Eve*$N44*(Total_Lanes-CD$6)))),"-")</f>
        <v>-</v>
      </c>
      <c r="CE11" s="136" t="str">
        <f aca="false">IF(CE$6&lt;Total_Lanes,900*Peak_Time_Eve*(($BL11/(Total_Lanes-CE$6))-1+SQRT((($BL11/(Total_Lanes-CE$6))-1)^2+8*($BL11/(Total_Lanes-CE$6))/(Peak_Time_Eve*$N44*(Total_Lanes-CE$6)))),"-")</f>
        <v>-</v>
      </c>
      <c r="CF11" s="136" t="str">
        <f aca="false">IF(CF$6&lt;Total_Lanes,900*Peak_Time_Eve*(($BL11/(Total_Lanes-CF$6))-1+SQRT((($BL11/(Total_Lanes-CF$6))-1)^2+8*($BL11/(Total_Lanes-CF$6))/(Peak_Time_Eve*$N44*(Total_Lanes-CF$6)))),"-")</f>
        <v>-</v>
      </c>
      <c r="CG11" s="147" t="str">
        <f aca="false">IF(CG$6&lt;Total_Lanes,900*Peak_Time_Eve*(($BL11/(Total_Lanes-CG$6))-1+SQRT((($BL11/(Total_Lanes-CG$6))-1)^2+8*($BL11/(Total_Lanes-CG$6))/(Peak_Time_Eve*$N44*(Total_Lanes-CG$6)))),"-")</f>
        <v>-</v>
      </c>
      <c r="CH11" s="160" t="n">
        <f aca="false">3600/N44</f>
        <v>6.66</v>
      </c>
      <c r="CJ11" s="50" t="n">
        <v>4</v>
      </c>
      <c r="CK11" s="131" t="n">
        <f aca="false">$X11</f>
        <v>0.292291508405303</v>
      </c>
      <c r="CL11" s="57" t="n">
        <f aca="false">$AC11</f>
        <v>6403.08996010922</v>
      </c>
      <c r="CM11" s="135" t="n">
        <f aca="false">CL11*CK11</f>
        <v>1871.56882289517</v>
      </c>
      <c r="CN11" s="161" t="n">
        <f aca="false">CM11/O43</f>
        <v>1.24771254859678</v>
      </c>
      <c r="CO11" s="146" t="n">
        <f aca="false">IF(CO$6&lt;Total_Lanes,900*Peak_Time_Eve*(($CN11/CO$6-1)+SQRT(($CN11/CO$6-1)^2+8*($CN11/CO$6)/(Peak_Time_Eve*$O44*CO$6))),"-")</f>
        <v>903.694249877616</v>
      </c>
      <c r="CP11" s="164" t="n">
        <f aca="false">IF(CP$6&lt;Total_Lanes,900*Peak_Time_Eve*(($CN11/CP$6-1)+SQRT(($CN11/CP$6-1)^2+8*($CN11/CP$6)/(Peak_Time_Eve*$O44*CP$6))),"-")</f>
        <v>1.98735317000837</v>
      </c>
      <c r="CQ11" s="164" t="n">
        <f aca="false">IF(CQ$6&lt;Total_Lanes,900*Peak_Time_Eve*(($CN11/CQ$6-1)+SQRT(($CN11/CQ$6-1)^2+8*($CN11/CQ$6)/(Peak_Time_Eve*$O44*CQ$6))),"-")</f>
        <v>0.569484063813763</v>
      </c>
      <c r="CR11" s="164" t="n">
        <f aca="false">IF(CR$6&lt;Total_Lanes,900*Peak_Time_Eve*(($CN11/CR$6-1)+SQRT(($CN11/CR$6-1)^2+8*($CN11/CR$6)/(Peak_Time_Eve*$O44*CR$6))),"-")</f>
        <v>0.271972079517857</v>
      </c>
      <c r="CS11" s="164" t="n">
        <f aca="false">IF(CS$6&lt;Total_Lanes,900*Peak_Time_Eve*(($CN11/CS$6-1)+SQRT(($CN11/CS$6-1)^2+8*($CN11/CS$6)/(Peak_Time_Eve*$O44*CS$6))),"-")</f>
        <v>0.15960041785088</v>
      </c>
      <c r="CT11" s="164" t="n">
        <f aca="false">IF(CT$6&lt;Total_Lanes,900*Peak_Time_Eve*(($CN11/CT$6-1)+SQRT(($CN11/CT$6-1)^2+8*($CN11/CT$6)/(Peak_Time_Eve*$O44*CT$6))),"-")</f>
        <v>0.10501608833875</v>
      </c>
      <c r="CU11" s="164" t="n">
        <f aca="false">IF(CU$6&lt;Total_Lanes,900*Peak_Time_Eve*(($CN11/CU$6-1)+SQRT(($CN11/CU$6-1)^2+8*($CN11/CU$6)/(Peak_Time_Eve*$O44*CU$6))),"-")</f>
        <v>0.0743663124760374</v>
      </c>
      <c r="CV11" s="164" t="n">
        <f aca="false">IF(CV$6&lt;Total_Lanes,900*Peak_Time_Eve*(($CN11/CV$6-1)+SQRT(($CN11/CV$6-1)^2+8*($CN11/CV$6)/(Peak_Time_Eve*$O44*CV$6))),"-")</f>
        <v>0.0554340937822806</v>
      </c>
      <c r="CW11" s="164" t="n">
        <f aca="false">IF(CW$6&lt;Total_Lanes,900*Peak_Time_Eve*(($CN11/CW$6-1)+SQRT(($CN11/CW$6-1)^2+8*($CN11/CW$6)/(Peak_Time_Eve*$O44*CW$6))),"-")</f>
        <v>0.0429187827881261</v>
      </c>
      <c r="CX11" s="164" t="n">
        <f aca="false">IF(CX$6&lt;Total_Lanes,900*Peak_Time_Eve*(($CN11/CX$6-1)+SQRT(($CN11/CX$6-1)^2+8*($CN11/CX$6)/(Peak_Time_Eve*$O44*CX$6))),"-")</f>
        <v>0.0342136569131846</v>
      </c>
      <c r="CY11" s="164" t="n">
        <f aca="false">IF(CY$6&lt;Total_Lanes,900*Peak_Time_Eve*(($CN11/CY$6-1)+SQRT(($CN11/CY$6-1)^2+8*($CN11/CY$6)/(Peak_Time_Eve*$O44*CY$6))),"-")</f>
        <v>0.0279140471307615</v>
      </c>
      <c r="CZ11" s="165" t="str">
        <f aca="false">IF(CZ$6&lt;Total_Lanes,900*Peak_Time_Eve*(($CN11/CZ$6-1)+SQRT(($CN11/CZ$6-1)^2+8*($CN11/CZ$6)/(Peak_Time_Eve*$O44*CZ$6))),"-")</f>
        <v>-</v>
      </c>
      <c r="DA11" s="165" t="str">
        <f aca="false">IF(DA$6&lt;Total_Lanes,900*Peak_Time_Eve*(($CN11/DA$6-1)+SQRT(($CN11/DA$6-1)^2+8*($CN11/DA$6)/(Peak_Time_Eve*$O44*DA$6))),"-")</f>
        <v>-</v>
      </c>
      <c r="DB11" s="165" t="str">
        <f aca="false">IF(DB$6&lt;Total_Lanes,900*Peak_Time_Eve*(($CN11/DB$6-1)+SQRT(($CN11/DB$6-1)^2+8*($CN11/DB$6)/(Peak_Time_Eve*$O44*DB$6))),"-")</f>
        <v>-</v>
      </c>
      <c r="DC11" s="165" t="str">
        <f aca="false">IF(DC$6&lt;Total_Lanes,900*Peak_Time_Eve*(($CN11/DC$6-1)+SQRT(($CN11/DC$6-1)^2+8*($CN11/DC$6)/(Peak_Time_Eve*$O44*DC$6))),"-")</f>
        <v>-</v>
      </c>
      <c r="DD11" s="165" t="str">
        <f aca="false">IF(DD$6&lt;Total_Lanes,900*Peak_Time_Eve*(($CN11/DD$6-1)+SQRT(($CN11/DD$6-1)^2+8*($CN11/DD$6)/(Peak_Time_Eve*$O44*DD$6))),"-")</f>
        <v>-</v>
      </c>
      <c r="DE11" s="165" t="str">
        <f aca="false">IF(DE$6&lt;Total_Lanes,900*Peak_Time_Eve*(($CN11/DE$6-1)+SQRT(($CN11/DE$6-1)^2+8*($CN11/DE$6)/(Peak_Time_Eve*$O44*DE$6))),"-")</f>
        <v>-</v>
      </c>
      <c r="DF11" s="165" t="str">
        <f aca="false">IF(DF$6&lt;Total_Lanes,900*Peak_Time_Eve*(($CN11/DF$6-1)+SQRT(($CN11/DF$6-1)^2+8*($CN11/DF$6)/(Peak_Time_Eve*$O44*DF$6))),"-")</f>
        <v>-</v>
      </c>
      <c r="DG11" s="165" t="str">
        <f aca="false">IF(DG$6&lt;Total_Lanes,900*Peak_Time_Eve*(($CN11/DG$6-1)+SQRT(($CN11/DG$6-1)^2+8*($CN11/DG$6)/(Peak_Time_Eve*$O44*DG$6))),"-")</f>
        <v>-</v>
      </c>
      <c r="DH11" s="165" t="str">
        <f aca="false">IF(DH$6&lt;Total_Lanes,900*Peak_Time_Eve*(($CN11/DH$6-1)+SQRT(($CN11/DH$6-1)^2+8*($CN11/DH$6)/(Peak_Time_Eve*$O44*DH$6))),"-")</f>
        <v>-</v>
      </c>
      <c r="DI11" s="166" t="str">
        <f aca="false">IF(DI$6&lt;Total_Lanes,900*Peak_Time_Eve*(($CN11/DI$6-1)+SQRT(($CN11/DI$6-1)^2+8*($CN11/DI$6)/(Peak_Time_Eve*$O44*DI$6))),"-")</f>
        <v>-</v>
      </c>
      <c r="DJ11" s="167" t="n">
        <f aca="false">3600/O44</f>
        <v>2.4</v>
      </c>
    </row>
    <row r="12" customFormat="false" ht="12.75" hidden="false" customHeight="false" outlineLevel="0" collapsed="false">
      <c r="H12" s="50" t="n">
        <v>5</v>
      </c>
      <c r="I12" s="124" t="n">
        <f aca="false">'Input-Detail'!E19</f>
        <v>21762129.75</v>
      </c>
      <c r="J12" s="131" t="n">
        <v>0.298984514248523</v>
      </c>
      <c r="K12" s="57" t="n">
        <f aca="false">AC12</f>
        <v>6568.86245013652</v>
      </c>
      <c r="L12" s="135" t="n">
        <f aca="false">AD59</f>
        <v>10.78236814265</v>
      </c>
      <c r="M12" s="150" t="n">
        <f aca="false">AD12</f>
        <v>27.7496340505673</v>
      </c>
      <c r="N12" s="150" t="n">
        <f aca="false">SUM(L12:M12)</f>
        <v>38.5320021932173</v>
      </c>
      <c r="O12" s="154" t="n">
        <f aca="false">$S$34*N12</f>
        <v>10018.3205702365</v>
      </c>
      <c r="P12" s="135" t="n">
        <f aca="false">BC59</f>
        <v>7.4051694355708</v>
      </c>
      <c r="Q12" s="150" t="n">
        <f aca="false">BC12</f>
        <v>26.9000734918739</v>
      </c>
      <c r="R12" s="150" t="n">
        <f aca="false">SUM(P12:Q12)</f>
        <v>34.3052429274447</v>
      </c>
      <c r="S12" s="155" t="n">
        <f aca="false">$S$34*R12</f>
        <v>8919.36316113563</v>
      </c>
      <c r="T12" s="1"/>
      <c r="U12" s="1"/>
      <c r="V12" s="50" t="n">
        <v>5</v>
      </c>
      <c r="W12" s="132" t="n">
        <f aca="false">W$7+(W$27-W$7)*$V12/20</f>
        <v>21762129.75</v>
      </c>
      <c r="X12" s="131" t="n">
        <f aca="false">MIN((J11+0.1),0.95)</f>
        <v>0.347136906120865</v>
      </c>
      <c r="Y12" s="132" t="n">
        <f aca="false">'Input-Detail'!E19/Z12</f>
        <v>9384.08921448075</v>
      </c>
      <c r="Z12" s="156" t="n">
        <f aca="false">Z11</f>
        <v>2319.04548780488</v>
      </c>
      <c r="AA12" s="156" t="n">
        <f aca="false">AA11</f>
        <v>2</v>
      </c>
      <c r="AB12" s="157" t="n">
        <f aca="false">AB11</f>
        <v>0.7</v>
      </c>
      <c r="AC12" s="57" t="n">
        <f aca="false">Y12*AB12</f>
        <v>6568.86245013652</v>
      </c>
      <c r="AD12" s="135" t="n">
        <f aca="false">Peak_Time_Eve*$BH12*(3600/K45+BK12)/3600</f>
        <v>27.7496340505673</v>
      </c>
      <c r="AE12" s="136" t="n">
        <f aca="false">IF(AE$6&lt;Total_Lanes,($BI12*($CH12+BM12)+$CM12*CO12)*Peak_Time_Eve/3600,"-")</f>
        <v>2400.95413100845</v>
      </c>
      <c r="AF12" s="136" t="n">
        <f aca="false">IF(AF$6&lt;Total_Lanes,($BI12*($CH12+BN12)+$CM12*CP12)*Peak_Time_Eve/3600,"-")</f>
        <v>26.9000734918739</v>
      </c>
      <c r="AG12" s="136" t="n">
        <f aca="false">IF(AG$6&lt;Total_Lanes,($BI12*($CH12+BO12)+$CM12*CQ12)*Peak_Time_Eve/3600,"-")</f>
        <v>30.3045281511013</v>
      </c>
      <c r="AH12" s="136" t="n">
        <f aca="false">IF(AH$6&lt;Total_Lanes,($BI12*($CH12+BP12)+$CM12*CR12)*Peak_Time_Eve/3600,"-")</f>
        <v>126.62546527705</v>
      </c>
      <c r="AI12" s="136" t="n">
        <f aca="false">IF(AI$6&lt;Total_Lanes,($BI12*($CH12+BQ12)+$CM12*CS12)*Peak_Time_Eve/3600,"-")</f>
        <v>1210.03018906379</v>
      </c>
      <c r="AJ12" s="136" t="n">
        <f aca="false">IF(AJ$6&lt;Total_Lanes,($BI12*($CH12+BR12)+$CM12*CT12)*Peak_Time_Eve/3600,"-")</f>
        <v>2827.49792685096</v>
      </c>
      <c r="AK12" s="136" t="n">
        <f aca="false">IF(AK$6&lt;Total_Lanes,($BI12*($CH12+BS12)+$CM12*CU12)*Peak_Time_Eve/3600,"-")</f>
        <v>5100.81940394528</v>
      </c>
      <c r="AL12" s="136" t="n">
        <f aca="false">IF(AL$6&lt;Total_Lanes,($BI12*($CH12+BT12)+$CM12*CV12)*Peak_Time_Eve/3600,"-")</f>
        <v>8513.57408421665</v>
      </c>
      <c r="AM12" s="136" t="n">
        <f aca="false">IF(AM$6&lt;Total_Lanes,($BI12*($CH12+BU12)+$CM12*CW12)*Peak_Time_Eve/3600,"-")</f>
        <v>14202.9749903916</v>
      </c>
      <c r="AN12" s="136" t="n">
        <f aca="false">IF(AN$6&lt;Total_Lanes,($BI12*($CH12+BV12)+$CM12*CX12)*Peak_Time_Eve/3600,"-")</f>
        <v>25582.8823601317</v>
      </c>
      <c r="AO12" s="136" t="n">
        <f aca="false">IF(AO$6&lt;Total_Lanes,($BI12*($CH12+BW12)+$CM12*CY12)*Peak_Time_Eve/3600,"-")</f>
        <v>59723.8656358973</v>
      </c>
      <c r="AP12" s="136" t="str">
        <f aca="false">IF(AP$6&lt;Total_Lanes,($BI12*($CH12+BX12)+$CM12*CZ12)*Peak_Time_Eve/3600,"-")</f>
        <v>-</v>
      </c>
      <c r="AQ12" s="136" t="str">
        <f aca="false">IF(AQ$6&lt;Total_Lanes,($BI12*($CH12+BY12)+$CM12*DA12)*Peak_Time_Eve/3600,"-")</f>
        <v>-</v>
      </c>
      <c r="AR12" s="136" t="str">
        <f aca="false">IF(AR$6&lt;Total_Lanes,($BI12*($CH12+BZ12)+$CM12*DB12)*Peak_Time_Eve/3600,"-")</f>
        <v>-</v>
      </c>
      <c r="AS12" s="136" t="str">
        <f aca="false">IF(AS$6&lt;Total_Lanes,($BI12*($CH12+CA12)+$CM12*DC12)*Peak_Time_Eve/3600,"-")</f>
        <v>-</v>
      </c>
      <c r="AT12" s="136" t="str">
        <f aca="false">IF(AT$6&lt;Total_Lanes,($BI12*($CH12+CB12)+$CM12*DD12)*Peak_Time_Eve/3600,"-")</f>
        <v>-</v>
      </c>
      <c r="AU12" s="136" t="str">
        <f aca="false">IF(AU$6&lt;Total_Lanes,($BI12*($CH12+CC12)+$CM12*DE12)*Peak_Time_Eve/3600,"-")</f>
        <v>-</v>
      </c>
      <c r="AV12" s="136" t="str">
        <f aca="false">IF(AV$6&lt;Total_Lanes,($BI12*($CH12+CD12)+$CM12*DF12)*Peak_Time_Eve/3600,"-")</f>
        <v>-</v>
      </c>
      <c r="AW12" s="136" t="str">
        <f aca="false">IF(AW$6&lt;Total_Lanes,($BI12*($CH12+CE12)+$CM12*DG12)*Peak_Time_Eve/3600,"-")</f>
        <v>-</v>
      </c>
      <c r="AX12" s="136" t="str">
        <f aca="false">IF(AX$6&lt;Total_Lanes,($BI12*($CH12+CF12)+$CM12*DH12)*Peak_Time_Eve/3600,"-")</f>
        <v>-</v>
      </c>
      <c r="AY12" s="137" t="str">
        <f aca="false">IF(AY$6&lt;Total_Lanes,($BI12*($CH12+CG12)+$CM12*DI12)*Peak_Time_Eve/3600,"-")</f>
        <v>-</v>
      </c>
      <c r="AZ12" s="158" t="n">
        <f aca="false">SUMIF(AE12:AY12,BA12,$AE$6:$AY$6)</f>
        <v>2</v>
      </c>
      <c r="BA12" s="159" t="n">
        <f aca="false">MIN(AE12:AY12)</f>
        <v>26.9000734918739</v>
      </c>
      <c r="BB12" s="158" t="n">
        <f aca="false">IF((SUMIF($BM10:$CG10,$AZ12,$BM12:$CG12)+$CH12)&lt;(SUMIF($CO10:$DI10,$AZ12,$CO12:$DI12)+$DJ12),AZ12+1,AZ12)</f>
        <v>2</v>
      </c>
      <c r="BC12" s="159" t="n">
        <f aca="false">SUMIF($AE$6:$AY$6,$BB12,$AE12:$AY12)</f>
        <v>26.9000734918739</v>
      </c>
      <c r="BF12" s="50" t="n">
        <v>5</v>
      </c>
      <c r="BG12" s="131" t="n">
        <f aca="false">$X12</f>
        <v>0.347136906120865</v>
      </c>
      <c r="BH12" s="141" t="n">
        <f aca="false">$AC12</f>
        <v>6568.86245013652</v>
      </c>
      <c r="BI12" s="58" t="n">
        <f aca="false">BH12*(1-BG12)</f>
        <v>4288.5678624626</v>
      </c>
      <c r="BJ12" s="143" t="n">
        <f aca="false">Peak_Arrival_Manual/K45</f>
        <v>7.83259269324767</v>
      </c>
      <c r="BK12" s="144" t="n">
        <f aca="false">900*Peak_Time_Eve*(BJ12/Total_Lanes-1+SQRT((BJ12/Total_Lanes-1)^2+8*(BJ12/Total_Lanes)/(Peak_Time_Eve*$K45*Total_Lanes)))</f>
        <v>1.02895603807824</v>
      </c>
      <c r="BL12" s="145" t="n">
        <f aca="false">Peak_Arrival_Manual/N45</f>
        <v>7.95916500863285</v>
      </c>
      <c r="BM12" s="146" t="n">
        <f aca="false">IF(BM$6&lt;Total_Lanes,900*Peak_Time_Eve*(($BL12/(Total_Lanes-BM$6))-1+SQRT((($BL12/(Total_Lanes-BM$6))-1)^2+8*($BL12/(Total_Lanes-BM$6))/(Peak_Time_Eve*$N45*(Total_Lanes-BM$6)))),"-")</f>
        <v>1.58725816245492</v>
      </c>
      <c r="BN12" s="146" t="n">
        <f aca="false">IF(BN$6&lt;Total_Lanes,900*Peak_Time_Eve*(($BL12/(Total_Lanes-BN$6))-1+SQRT((($BL12/(Total_Lanes-BN$6))-1)^2+8*($BL12/(Total_Lanes-BN$6))/(Peak_Time_Eve*$N45*(Total_Lanes-BN$6)))),"-")</f>
        <v>2.59648141843709</v>
      </c>
      <c r="BO12" s="146" t="n">
        <f aca="false">IF(BO$6&lt;Total_Lanes,900*Peak_Time_Eve*(($BL12/(Total_Lanes-BO$6))-1+SQRT((($BL12/(Total_Lanes-BO$6))-1)^2+8*($BL12/(Total_Lanes-BO$6))/(Peak_Time_Eve*$N45*(Total_Lanes-BO$6)))),"-")</f>
        <v>5.60140210861982</v>
      </c>
      <c r="BP12" s="146" t="n">
        <f aca="false">IF(BP$6&lt;Total_Lanes,900*Peak_Time_Eve*(($BL12/(Total_Lanes-BP$6))-1+SQRT((($BL12/(Total_Lanes-BP$6))-1)^2+8*($BL12/(Total_Lanes-BP$6))/(Peak_Time_Eve*$N45*(Total_Lanes-BP$6)))),"-")</f>
        <v>46.2705157767801</v>
      </c>
      <c r="BQ12" s="146" t="n">
        <f aca="false">IF(BQ$6&lt;Total_Lanes,900*Peak_Time_Eve*(($BL12/(Total_Lanes-BQ$6))-1+SQRT((($BL12/(Total_Lanes-BQ$6))-1)^2+8*($BL12/(Total_Lanes-BQ$6))/(Peak_Time_Eve*$N45*(Total_Lanes-BQ$6)))),"-")</f>
        <v>501.081780889279</v>
      </c>
      <c r="BR12" s="146" t="n">
        <f aca="false">IF(BR$6&lt;Total_Lanes,900*Peak_Time_Eve*(($BL12/(Total_Lanes-BR$6))-1+SQRT((($BL12/(Total_Lanes-BR$6))-1)^2+8*($BL12/(Total_Lanes-BR$6))/(Peak_Time_Eve*$N45*(Total_Lanes-BR$6)))),"-")</f>
        <v>1180.00552401641</v>
      </c>
      <c r="BS12" s="146" t="n">
        <f aca="false">IF(BS$6&lt;Total_Lanes,900*Peak_Time_Eve*(($BL12/(Total_Lanes-BS$6))-1+SQRT((($BL12/(Total_Lanes-BS$6))-1)^2+8*($BL12/(Total_Lanes-BS$6))/(Peak_Time_Eve*$N45*(Total_Lanes-BS$6)))),"-")</f>
        <v>2134.18682978881</v>
      </c>
      <c r="BT12" s="146" t="n">
        <f aca="false">IF(BT$6&lt;Total_Lanes,900*Peak_Time_Eve*(($BL12/(Total_Lanes-BT$6))-1+SQRT((($BL12/(Total_Lanes-BT$6))-1)^2+8*($BL12/(Total_Lanes-BT$6))/(Peak_Time_Eve*$N45*(Total_Lanes-BT$6)))),"-")</f>
        <v>3566.603202095</v>
      </c>
      <c r="BU12" s="146" t="n">
        <f aca="false">IF(BU$6&lt;Total_Lanes,900*Peak_Time_Eve*(($BL12/(Total_Lanes-BU$6))-1+SQRT((($BL12/(Total_Lanes-BU$6))-1)^2+8*($BL12/(Total_Lanes-BU$6))/(Peak_Time_Eve*$N45*(Total_Lanes-BU$6)))),"-")</f>
        <v>5954.57020243416</v>
      </c>
      <c r="BV12" s="146" t="n">
        <f aca="false">IF(BV$6&lt;Total_Lanes,900*Peak_Time_Eve*(($BL12/(Total_Lanes-BV$6))-1+SQRT((($BL12/(Total_Lanes-BV$6))-1)^2+8*($BL12/(Total_Lanes-BV$6))/(Peak_Time_Eve*$N45*(Total_Lanes-BV$6)))),"-")</f>
        <v>10730.9569583269</v>
      </c>
      <c r="BW12" s="146" t="n">
        <f aca="false">IF(BW$6&lt;Total_Lanes,900*Peak_Time_Eve*(($BL12/(Total_Lanes-BW$6))-1+SQRT((($BL12/(Total_Lanes-BW$6))-1)^2+8*($BL12/(Total_Lanes-BW$6))/(Peak_Time_Eve*$N45*(Total_Lanes-BW$6)))),"-")</f>
        <v>25060.6330167432</v>
      </c>
      <c r="BX12" s="136" t="str">
        <f aca="false">IF(BX$6&lt;Total_Lanes,900*Peak_Time_Eve*(($BL12/(Total_Lanes-BX$6))-1+SQRT((($BL12/(Total_Lanes-BX$6))-1)^2+8*($BL12/(Total_Lanes-BX$6))/(Peak_Time_Eve*$N45*(Total_Lanes-BX$6)))),"-")</f>
        <v>-</v>
      </c>
      <c r="BY12" s="136" t="str">
        <f aca="false">IF(BY$6&lt;Total_Lanes,900*Peak_Time_Eve*(($BL12/(Total_Lanes-BY$6))-1+SQRT((($BL12/(Total_Lanes-BY$6))-1)^2+8*($BL12/(Total_Lanes-BY$6))/(Peak_Time_Eve*$N45*(Total_Lanes-BY$6)))),"-")</f>
        <v>-</v>
      </c>
      <c r="BZ12" s="136" t="str">
        <f aca="false">IF(BZ$6&lt;Total_Lanes,900*Peak_Time_Eve*(($BL12/(Total_Lanes-BZ$6))-1+SQRT((($BL12/(Total_Lanes-BZ$6))-1)^2+8*($BL12/(Total_Lanes-BZ$6))/(Peak_Time_Eve*$N45*(Total_Lanes-BZ$6)))),"-")</f>
        <v>-</v>
      </c>
      <c r="CA12" s="136" t="str">
        <f aca="false">IF(CA$6&lt;Total_Lanes,900*Peak_Time_Eve*(($BL12/(Total_Lanes-CA$6))-1+SQRT((($BL12/(Total_Lanes-CA$6))-1)^2+8*($BL12/(Total_Lanes-CA$6))/(Peak_Time_Eve*$N45*(Total_Lanes-CA$6)))),"-")</f>
        <v>-</v>
      </c>
      <c r="CB12" s="136" t="str">
        <f aca="false">IF(CB$6&lt;Total_Lanes,900*Peak_Time_Eve*(($BL12/(Total_Lanes-CB$6))-1+SQRT((($BL12/(Total_Lanes-CB$6))-1)^2+8*($BL12/(Total_Lanes-CB$6))/(Peak_Time_Eve*$N45*(Total_Lanes-CB$6)))),"-")</f>
        <v>-</v>
      </c>
      <c r="CC12" s="136" t="str">
        <f aca="false">IF(CC$6&lt;Total_Lanes,900*Peak_Time_Eve*(($BL12/(Total_Lanes-CC$6))-1+SQRT((($BL12/(Total_Lanes-CC$6))-1)^2+8*($BL12/(Total_Lanes-CC$6))/(Peak_Time_Eve*$N45*(Total_Lanes-CC$6)))),"-")</f>
        <v>-</v>
      </c>
      <c r="CD12" s="136" t="str">
        <f aca="false">IF(CD$6&lt;Total_Lanes,900*Peak_Time_Eve*(($BL12/(Total_Lanes-CD$6))-1+SQRT((($BL12/(Total_Lanes-CD$6))-1)^2+8*($BL12/(Total_Lanes-CD$6))/(Peak_Time_Eve*$N45*(Total_Lanes-CD$6)))),"-")</f>
        <v>-</v>
      </c>
      <c r="CE12" s="136" t="str">
        <f aca="false">IF(CE$6&lt;Total_Lanes,900*Peak_Time_Eve*(($BL12/(Total_Lanes-CE$6))-1+SQRT((($BL12/(Total_Lanes-CE$6))-1)^2+8*($BL12/(Total_Lanes-CE$6))/(Peak_Time_Eve*$N45*(Total_Lanes-CE$6)))),"-")</f>
        <v>-</v>
      </c>
      <c r="CF12" s="136" t="str">
        <f aca="false">IF(CF$6&lt;Total_Lanes,900*Peak_Time_Eve*(($BL12/(Total_Lanes-CF$6))-1+SQRT((($BL12/(Total_Lanes-CF$6))-1)^2+8*($BL12/(Total_Lanes-CF$6))/(Peak_Time_Eve*$N45*(Total_Lanes-CF$6)))),"-")</f>
        <v>-</v>
      </c>
      <c r="CG12" s="147" t="str">
        <f aca="false">IF(CG$6&lt;Total_Lanes,900*Peak_Time_Eve*(($BL12/(Total_Lanes-CG$6))-1+SQRT((($BL12/(Total_Lanes-CG$6))-1)^2+8*($BL12/(Total_Lanes-CG$6))/(Peak_Time_Eve*$N45*(Total_Lanes-CG$6)))),"-")</f>
        <v>-</v>
      </c>
      <c r="CH12" s="160" t="n">
        <f aca="false">3600/N45</f>
        <v>6.68125</v>
      </c>
      <c r="CJ12" s="50" t="n">
        <v>5</v>
      </c>
      <c r="CK12" s="131" t="n">
        <f aca="false">$X12</f>
        <v>0.347136906120865</v>
      </c>
      <c r="CL12" s="57" t="n">
        <f aca="false">$AC12</f>
        <v>6568.86245013652</v>
      </c>
      <c r="CM12" s="135" t="n">
        <f aca="false">CL12*CK12</f>
        <v>2280.29458767392</v>
      </c>
      <c r="CN12" s="161" t="n">
        <f aca="false">CM12/O44</f>
        <v>1.52019639178261</v>
      </c>
      <c r="CO12" s="146" t="n">
        <f aca="false">IF(CO$6&lt;Total_Lanes,900*Peak_Time_Eve*(($CN12/CO$6-1)+SQRT(($CN12/CO$6-1)^2+8*($CN12/CO$6)/(Peak_Time_Eve*$O45*CO$6))),"-")</f>
        <v>1879.69458008122</v>
      </c>
      <c r="CP12" s="164" t="n">
        <f aca="false">IF(CP$6&lt;Total_Lanes,900*Peak_Time_Eve*(($CN12/CP$6-1)+SQRT(($CN12/CP$6-1)^2+8*($CN12/CP$6)/(Peak_Time_Eve*$O45*CP$6))),"-")</f>
        <v>3.78545453485002</v>
      </c>
      <c r="CQ12" s="164" t="n">
        <f aca="false">IF(CQ$6&lt;Total_Lanes,900*Peak_Time_Eve*(($CN12/CQ$6-1)+SQRT(($CN12/CQ$6-1)^2+8*($CN12/CQ$6)/(Peak_Time_Eve*$O45*CQ$6))),"-")</f>
        <v>0.821456834249512</v>
      </c>
      <c r="CR12" s="164" t="n">
        <f aca="false">IF(CR$6&lt;Total_Lanes,900*Peak_Time_Eve*(($CN12/CR$6-1)+SQRT(($CN12/CR$6-1)^2+8*($CN12/CR$6)/(Peak_Time_Eve*$O45*CR$6))),"-")</f>
        <v>0.367757978410443</v>
      </c>
      <c r="CS12" s="164" t="n">
        <f aca="false">IF(CS$6&lt;Total_Lanes,900*Peak_Time_Eve*(($CN12/CS$6-1)+SQRT(($CN12/CS$6-1)^2+8*($CN12/CS$6)/(Peak_Time_Eve*$O45*CS$6))),"-")</f>
        <v>0.209676547512183</v>
      </c>
      <c r="CT12" s="164" t="n">
        <f aca="false">IF(CT$6&lt;Total_Lanes,900*Peak_Time_Eve*(($CN12/CT$6-1)+SQRT(($CN12/CT$6-1)^2+8*($CN12/CT$6)/(Peak_Time_Eve*$O45*CT$6))),"-")</f>
        <v>0.135730917041577</v>
      </c>
      <c r="CU12" s="164" t="n">
        <f aca="false">IF(CU$6&lt;Total_Lanes,900*Peak_Time_Eve*(($CN12/CU$6-1)+SQRT(($CN12/CU$6-1)^2+8*($CN12/CU$6)/(Peak_Time_Eve*$O45*CU$6))),"-")</f>
        <v>0.0951115475819941</v>
      </c>
      <c r="CV12" s="164" t="n">
        <f aca="false">IF(CV$6&lt;Total_Lanes,900*Peak_Time_Eve*(($CN12/CV$6-1)+SQRT(($CN12/CV$6-1)^2+8*($CN12/CV$6)/(Peak_Time_Eve*$O45*CV$6))),"-")</f>
        <v>0.0703798969395653</v>
      </c>
      <c r="CW12" s="164" t="n">
        <f aca="false">IF(CW$6&lt;Total_Lanes,900*Peak_Time_Eve*(($CN12/CW$6-1)+SQRT(($CN12/CW$6-1)^2+8*($CN12/CW$6)/(Peak_Time_Eve*$O45*CW$6))),"-")</f>
        <v>0.0541963910533738</v>
      </c>
      <c r="CX12" s="164" t="n">
        <f aca="false">IF(CX$6&lt;Total_Lanes,900*Peak_Time_Eve*(($CN12/CX$6-1)+SQRT(($CN12/CX$6-1)^2+8*($CN12/CX$6)/(Peak_Time_Eve*$O45*CX$6))),"-")</f>
        <v>0.0430248162389457</v>
      </c>
      <c r="CY12" s="164" t="n">
        <f aca="false">IF(CY$6&lt;Total_Lanes,900*Peak_Time_Eve*(($CN12/CY$6-1)+SQRT(($CN12/CY$6-1)^2+8*($CN12/CY$6)/(Peak_Time_Eve*$O45*CY$6))),"-")</f>
        <v>0.0349875889900098</v>
      </c>
      <c r="CZ12" s="165" t="str">
        <f aca="false">IF(CZ$6&lt;Total_Lanes,900*Peak_Time_Eve*(($CN12/CZ$6-1)+SQRT(($CN12/CZ$6-1)^2+8*($CN12/CZ$6)/(Peak_Time_Eve*$O45*CZ$6))),"-")</f>
        <v>-</v>
      </c>
      <c r="DA12" s="165" t="str">
        <f aca="false">IF(DA$6&lt;Total_Lanes,900*Peak_Time_Eve*(($CN12/DA$6-1)+SQRT(($CN12/DA$6-1)^2+8*($CN12/DA$6)/(Peak_Time_Eve*$O45*DA$6))),"-")</f>
        <v>-</v>
      </c>
      <c r="DB12" s="165" t="str">
        <f aca="false">IF(DB$6&lt;Total_Lanes,900*Peak_Time_Eve*(($CN12/DB$6-1)+SQRT(($CN12/DB$6-1)^2+8*($CN12/DB$6)/(Peak_Time_Eve*$O45*DB$6))),"-")</f>
        <v>-</v>
      </c>
      <c r="DC12" s="165" t="str">
        <f aca="false">IF(DC$6&lt;Total_Lanes,900*Peak_Time_Eve*(($CN12/DC$6-1)+SQRT(($CN12/DC$6-1)^2+8*($CN12/DC$6)/(Peak_Time_Eve*$O45*DC$6))),"-")</f>
        <v>-</v>
      </c>
      <c r="DD12" s="165" t="str">
        <f aca="false">IF(DD$6&lt;Total_Lanes,900*Peak_Time_Eve*(($CN12/DD$6-1)+SQRT(($CN12/DD$6-1)^2+8*($CN12/DD$6)/(Peak_Time_Eve*$O45*DD$6))),"-")</f>
        <v>-</v>
      </c>
      <c r="DE12" s="165" t="str">
        <f aca="false">IF(DE$6&lt;Total_Lanes,900*Peak_Time_Eve*(($CN12/DE$6-1)+SQRT(($CN12/DE$6-1)^2+8*($CN12/DE$6)/(Peak_Time_Eve*$O45*DE$6))),"-")</f>
        <v>-</v>
      </c>
      <c r="DF12" s="165" t="str">
        <f aca="false">IF(DF$6&lt;Total_Lanes,900*Peak_Time_Eve*(($CN12/DF$6-1)+SQRT(($CN12/DF$6-1)^2+8*($CN12/DF$6)/(Peak_Time_Eve*$O45*DF$6))),"-")</f>
        <v>-</v>
      </c>
      <c r="DG12" s="165" t="str">
        <f aca="false">IF(DG$6&lt;Total_Lanes,900*Peak_Time_Eve*(($CN12/DG$6-1)+SQRT(($CN12/DG$6-1)^2+8*($CN12/DG$6)/(Peak_Time_Eve*$O45*DG$6))),"-")</f>
        <v>-</v>
      </c>
      <c r="DH12" s="165" t="str">
        <f aca="false">IF(DH$6&lt;Total_Lanes,900*Peak_Time_Eve*(($CN12/DH$6-1)+SQRT(($CN12/DH$6-1)^2+8*($CN12/DH$6)/(Peak_Time_Eve*$O45*DH$6))),"-")</f>
        <v>-</v>
      </c>
      <c r="DI12" s="166" t="str">
        <f aca="false">IF(DI$6&lt;Total_Lanes,900*Peak_Time_Eve*(($CN12/DI$6-1)+SQRT(($CN12/DI$6-1)^2+8*($CN12/DI$6)/(Peak_Time_Eve*$O45*DI$6))),"-")</f>
        <v>-</v>
      </c>
      <c r="DJ12" s="167" t="n">
        <f aca="false">3600/O45</f>
        <v>2.4</v>
      </c>
    </row>
    <row r="13" customFormat="false" ht="12.75" hidden="false" customHeight="false" outlineLevel="0" collapsed="false">
      <c r="H13" s="50" t="n">
        <v>6</v>
      </c>
      <c r="I13" s="124" t="n">
        <f aca="false">'Input-Detail'!E20</f>
        <v>22311321.1</v>
      </c>
      <c r="J13" s="131" t="n">
        <v>0.34881248351123</v>
      </c>
      <c r="K13" s="57" t="n">
        <f aca="false">AC13</f>
        <v>6734.63494016383</v>
      </c>
      <c r="L13" s="135" t="n">
        <f aca="false">AD60</f>
        <v>11.0625034836523</v>
      </c>
      <c r="M13" s="150" t="n">
        <f aca="false">AD13</f>
        <v>27.8872057078017</v>
      </c>
      <c r="N13" s="150" t="n">
        <f aca="false">SUM(L13:M13)</f>
        <v>38.949709191454</v>
      </c>
      <c r="O13" s="154" t="n">
        <f aca="false">$S$34*N13</f>
        <v>10126.924389778</v>
      </c>
      <c r="P13" s="135" t="n">
        <f aca="false">BC60</f>
        <v>7.03695600993758</v>
      </c>
      <c r="Q13" s="150" t="n">
        <f aca="false">BC13</f>
        <v>25.4040335677375</v>
      </c>
      <c r="R13" s="150" t="n">
        <f aca="false">SUM(P13:Q13)</f>
        <v>32.4409895776751</v>
      </c>
      <c r="S13" s="155" t="n">
        <f aca="false">$S$34*R13</f>
        <v>8434.65729019551</v>
      </c>
      <c r="T13" s="1"/>
      <c r="U13" s="1"/>
      <c r="V13" s="50" t="n">
        <v>6</v>
      </c>
      <c r="W13" s="132" t="n">
        <f aca="false">W$7+(W$27-W$7)*$V13/20</f>
        <v>22311321.1</v>
      </c>
      <c r="X13" s="131" t="n">
        <f aca="false">MIN((J12+0.1),0.95)</f>
        <v>0.398984514248523</v>
      </c>
      <c r="Y13" s="132" t="n">
        <f aca="false">'Input-Detail'!E20/Z13</f>
        <v>9620.9070573769</v>
      </c>
      <c r="Z13" s="156" t="n">
        <f aca="false">Z12</f>
        <v>2319.04548780488</v>
      </c>
      <c r="AA13" s="156" t="n">
        <f aca="false">AA12</f>
        <v>2</v>
      </c>
      <c r="AB13" s="157" t="n">
        <f aca="false">AB12</f>
        <v>0.7</v>
      </c>
      <c r="AC13" s="57" t="n">
        <f aca="false">Y13*AB13</f>
        <v>6734.63494016383</v>
      </c>
      <c r="AD13" s="135" t="n">
        <f aca="false">Peak_Time_Eve*$BH13*(3600/K46+BK13)/3600</f>
        <v>27.8872057078017</v>
      </c>
      <c r="AE13" s="136" t="n">
        <f aca="false">IF(AE$6&lt;Total_Lanes,($BI13*($CH13+BM13)+$CM13*CO13)*Peak_Time_Eve/3600,"-")</f>
        <v>4278.84664723138</v>
      </c>
      <c r="AF13" s="136" t="n">
        <f aca="false">IF(AF$6&lt;Total_Lanes,($BI13*($CH13+BN13)+$CM13*CP13)*Peak_Time_Eve/3600,"-")</f>
        <v>34.649210431009</v>
      </c>
      <c r="AG13" s="136" t="n">
        <f aca="false">IF(AG$6&lt;Total_Lanes,($BI13*($CH13+BO13)+$CM13*CQ13)*Peak_Time_Eve/3600,"-")</f>
        <v>25.4040335677375</v>
      </c>
      <c r="AH13" s="136" t="n">
        <f aca="false">IF(AH$6&lt;Total_Lanes,($BI13*($CH13+BP13)+$CM13*CR13)*Peak_Time_Eve/3600,"-")</f>
        <v>44.6192752895441</v>
      </c>
      <c r="AI13" s="136" t="n">
        <f aca="false">IF(AI$6&lt;Total_Lanes,($BI13*($CH13+BQ13)+$CM13*CS13)*Peak_Time_Eve/3600,"-")</f>
        <v>664.126416166093</v>
      </c>
      <c r="AJ13" s="136" t="n">
        <f aca="false">IF(AJ$6&lt;Total_Lanes,($BI13*($CH13+BR13)+$CM13*CT13)*Peak_Time_Eve/3600,"-")</f>
        <v>2099.79960937461</v>
      </c>
      <c r="AK13" s="136" t="n">
        <f aca="false">IF(AK$6&lt;Total_Lanes,($BI13*($CH13+BS13)+$CM13*CU13)*Peak_Time_Eve/3600,"-")</f>
        <v>4129.89934120896</v>
      </c>
      <c r="AL13" s="136" t="n">
        <f aca="false">IF(AL$6&lt;Total_Lanes,($BI13*($CH13+BT13)+$CM13*CV13)*Peak_Time_Eve/3600,"-")</f>
        <v>7179.1739703166</v>
      </c>
      <c r="AM13" s="136" t="n">
        <f aca="false">IF(AM$6&lt;Total_Lanes,($BI13*($CH13+BU13)+$CM13*CW13)*Peak_Time_Eve/3600,"-")</f>
        <v>12263.1936740101</v>
      </c>
      <c r="AN13" s="136" t="n">
        <f aca="false">IF(AN$6&lt;Total_Lanes,($BI13*($CH13+BV13)+$CM13*CX13)*Peak_Time_Eve/3600,"-")</f>
        <v>22432.5465370185</v>
      </c>
      <c r="AO13" s="136" t="n">
        <f aca="false">IF(AO$6&lt;Total_Lanes,($BI13*($CH13+BW13)+$CM13*CY13)*Peak_Time_Eve/3600,"-")</f>
        <v>52942.032649776</v>
      </c>
      <c r="AP13" s="136" t="str">
        <f aca="false">IF(AP$6&lt;Total_Lanes,($BI13*($CH13+BX13)+$CM13*CZ13)*Peak_Time_Eve/3600,"-")</f>
        <v>-</v>
      </c>
      <c r="AQ13" s="136" t="str">
        <f aca="false">IF(AQ$6&lt;Total_Lanes,($BI13*($CH13+BY13)+$CM13*DA13)*Peak_Time_Eve/3600,"-")</f>
        <v>-</v>
      </c>
      <c r="AR13" s="136" t="str">
        <f aca="false">IF(AR$6&lt;Total_Lanes,($BI13*($CH13+BZ13)+$CM13*DB13)*Peak_Time_Eve/3600,"-")</f>
        <v>-</v>
      </c>
      <c r="AS13" s="136" t="str">
        <f aca="false">IF(AS$6&lt;Total_Lanes,($BI13*($CH13+CA13)+$CM13*DC13)*Peak_Time_Eve/3600,"-")</f>
        <v>-</v>
      </c>
      <c r="AT13" s="136" t="str">
        <f aca="false">IF(AT$6&lt;Total_Lanes,($BI13*($CH13+CB13)+$CM13*DD13)*Peak_Time_Eve/3600,"-")</f>
        <v>-</v>
      </c>
      <c r="AU13" s="136" t="str">
        <f aca="false">IF(AU$6&lt;Total_Lanes,($BI13*($CH13+CC13)+$CM13*DE13)*Peak_Time_Eve/3600,"-")</f>
        <v>-</v>
      </c>
      <c r="AV13" s="136" t="str">
        <f aca="false">IF(AV$6&lt;Total_Lanes,($BI13*($CH13+CD13)+$CM13*DF13)*Peak_Time_Eve/3600,"-")</f>
        <v>-</v>
      </c>
      <c r="AW13" s="136" t="str">
        <f aca="false">IF(AW$6&lt;Total_Lanes,($BI13*($CH13+CE13)+$CM13*DG13)*Peak_Time_Eve/3600,"-")</f>
        <v>-</v>
      </c>
      <c r="AX13" s="136" t="str">
        <f aca="false">IF(AX$6&lt;Total_Lanes,($BI13*($CH13+CF13)+$CM13*DH13)*Peak_Time_Eve/3600,"-")</f>
        <v>-</v>
      </c>
      <c r="AY13" s="137" t="str">
        <f aca="false">IF(AY$6&lt;Total_Lanes,($BI13*($CH13+CG13)+$CM13*DI13)*Peak_Time_Eve/3600,"-")</f>
        <v>-</v>
      </c>
      <c r="AZ13" s="158" t="n">
        <f aca="false">SUMIF(AE13:AY13,BA13,$AE$6:$AY$6)</f>
        <v>3</v>
      </c>
      <c r="BA13" s="159" t="n">
        <f aca="false">MIN(AE13:AY13)</f>
        <v>25.4040335677375</v>
      </c>
      <c r="BB13" s="158" t="n">
        <f aca="false">IF((SUMIF($BM11:$CG11,$AZ13,$BM13:$CG13)+$CH13)&lt;(SUMIF($CO11:$DI11,$AZ13,$CO13:$DI13)+$DJ13),AZ13+1,AZ13)</f>
        <v>3</v>
      </c>
      <c r="BC13" s="159" t="n">
        <f aca="false">SUMIF($AE$6:$AY$6,$BB13,$AE13:$AY13)</f>
        <v>25.4040335677375</v>
      </c>
      <c r="BF13" s="50" t="n">
        <v>6</v>
      </c>
      <c r="BG13" s="131" t="n">
        <f aca="false">$X13</f>
        <v>0.398984514248523</v>
      </c>
      <c r="BH13" s="141" t="n">
        <f aca="false">$AC13</f>
        <v>6734.63494016383</v>
      </c>
      <c r="BI13" s="58" t="n">
        <f aca="false">BH13*(1-BG13)</f>
        <v>4047.61988992143</v>
      </c>
      <c r="BJ13" s="143" t="n">
        <f aca="false">Peak_Arrival_Manual/K46</f>
        <v>7.39252799339817</v>
      </c>
      <c r="BK13" s="144" t="n">
        <f aca="false">900*Peak_Time_Eve*(BJ13/Total_Lanes-1+SQRT((BJ13/Total_Lanes-1)^2+8*(BJ13/Total_Lanes)/(Peak_Time_Eve*$K46*Total_Lanes)))</f>
        <v>0.878554753900573</v>
      </c>
      <c r="BL13" s="145" t="n">
        <f aca="false">Peak_Arrival_Manual/N46</f>
        <v>7.53588119783289</v>
      </c>
      <c r="BM13" s="146" t="n">
        <f aca="false">IF(BM$6&lt;Total_Lanes,900*Peak_Time_Eve*(($BL13/(Total_Lanes-BM$6))-1+SQRT((($BL13/(Total_Lanes-BM$6))-1)^2+8*($BL13/(Total_Lanes-BM$6))/(Peak_Time_Eve*$N46*(Total_Lanes-BM$6)))),"-")</f>
        <v>1.32397114812509</v>
      </c>
      <c r="BN13" s="146" t="n">
        <f aca="false">IF(BN$6&lt;Total_Lanes,900*Peak_Time_Eve*(($BL13/(Total_Lanes-BN$6))-1+SQRT((($BL13/(Total_Lanes-BN$6))-1)^2+8*($BL13/(Total_Lanes-BN$6))/(Peak_Time_Eve*$N46*(Total_Lanes-BN$6)))),"-")</f>
        <v>2.04507460625643</v>
      </c>
      <c r="BO13" s="146" t="n">
        <f aca="false">IF(BO$6&lt;Total_Lanes,900*Peak_Time_Eve*(($BL13/(Total_Lanes-BO$6))-1+SQRT((($BL13/(Total_Lanes-BO$6))-1)^2+8*($BL13/(Total_Lanes-BO$6))/(Peak_Time_Eve*$N46*(Total_Lanes-BO$6)))),"-")</f>
        <v>3.80835170414013</v>
      </c>
      <c r="BP13" s="146" t="n">
        <f aca="false">IF(BP$6&lt;Total_Lanes,900*Peak_Time_Eve*(($BL13/(Total_Lanes-BP$6))-1+SQRT((($BL13/(Total_Lanes-BP$6))-1)^2+8*($BL13/(Total_Lanes-BP$6))/(Peak_Time_Eve*$N46*(Total_Lanes-BP$6)))),"-")</f>
        <v>12.8169772329278</v>
      </c>
      <c r="BQ13" s="146" t="n">
        <f aca="false">IF(BQ$6&lt;Total_Lanes,900*Peak_Time_Eve*(($BL13/(Total_Lanes-BQ$6))-1+SQRT((($BL13/(Total_Lanes-BQ$6))-1)^2+8*($BL13/(Total_Lanes-BQ$6))/(Peak_Time_Eve*$N46*(Total_Lanes-BQ$6)))),"-")</f>
        <v>288.460486644737</v>
      </c>
      <c r="BR13" s="146" t="n">
        <f aca="false">IF(BR$6&lt;Total_Lanes,900*Peak_Time_Eve*(($BL13/(Total_Lanes-BR$6))-1+SQRT((($BL13/(Total_Lanes-BR$6))-1)^2+8*($BL13/(Total_Lanes-BR$6))/(Peak_Time_Eve*$N46*(Total_Lanes-BR$6)))),"-")</f>
        <v>926.977528640416</v>
      </c>
      <c r="BS13" s="146" t="n">
        <f aca="false">IF(BS$6&lt;Total_Lanes,900*Peak_Time_Eve*(($BL13/(Total_Lanes-BS$6))-1+SQRT((($BL13/(Total_Lanes-BS$6))-1)^2+8*($BL13/(Total_Lanes-BS$6))/(Peak_Time_Eve*$N46*(Total_Lanes-BS$6)))),"-")</f>
        <v>1829.80937436155</v>
      </c>
      <c r="BT13" s="146" t="n">
        <f aca="false">IF(BT$6&lt;Total_Lanes,900*Peak_Time_Eve*(($BL13/(Total_Lanes-BT$6))-1+SQRT((($BL13/(Total_Lanes-BT$6))-1)^2+8*($BL13/(Total_Lanes-BT$6))/(Peak_Time_Eve*$N46*(Total_Lanes-BT$6)))),"-")</f>
        <v>3185.8602714826</v>
      </c>
      <c r="BU13" s="146" t="n">
        <f aca="false">IF(BU$6&lt;Total_Lanes,900*Peak_Time_Eve*(($BL13/(Total_Lanes-BU$6))-1+SQRT((($BL13/(Total_Lanes-BU$6))-1)^2+8*($BL13/(Total_Lanes-BU$6))/(Peak_Time_Eve*$N46*(Total_Lanes-BU$6)))),"-")</f>
        <v>5446.76673843283</v>
      </c>
      <c r="BV13" s="146" t="n">
        <f aca="false">IF(BV$6&lt;Total_Lanes,900*Peak_Time_Eve*(($BL13/(Total_Lanes-BV$6))-1+SQRT((($BL13/(Total_Lanes-BV$6))-1)^2+8*($BL13/(Total_Lanes-BV$6))/(Peak_Time_Eve*$N46*(Total_Lanes-BV$6)))),"-")</f>
        <v>9969.14605712734</v>
      </c>
      <c r="BW13" s="146" t="n">
        <f aca="false">IF(BW$6&lt;Total_Lanes,900*Peak_Time_Eve*(($BL13/(Total_Lanes-BW$6))-1+SQRT((($BL13/(Total_Lanes-BW$6))-1)^2+8*($BL13/(Total_Lanes-BW$6))/(Peak_Time_Eve*$N46*(Total_Lanes-BW$6)))),"-")</f>
        <v>23536.897768595</v>
      </c>
      <c r="BX13" s="136" t="str">
        <f aca="false">IF(BX$6&lt;Total_Lanes,900*Peak_Time_Eve*(($BL13/(Total_Lanes-BX$6))-1+SQRT((($BL13/(Total_Lanes-BX$6))-1)^2+8*($BL13/(Total_Lanes-BX$6))/(Peak_Time_Eve*$N46*(Total_Lanes-BX$6)))),"-")</f>
        <v>-</v>
      </c>
      <c r="BY13" s="136" t="str">
        <f aca="false">IF(BY$6&lt;Total_Lanes,900*Peak_Time_Eve*(($BL13/(Total_Lanes-BY$6))-1+SQRT((($BL13/(Total_Lanes-BY$6))-1)^2+8*($BL13/(Total_Lanes-BY$6))/(Peak_Time_Eve*$N46*(Total_Lanes-BY$6)))),"-")</f>
        <v>-</v>
      </c>
      <c r="BZ13" s="136" t="str">
        <f aca="false">IF(BZ$6&lt;Total_Lanes,900*Peak_Time_Eve*(($BL13/(Total_Lanes-BZ$6))-1+SQRT((($BL13/(Total_Lanes-BZ$6))-1)^2+8*($BL13/(Total_Lanes-BZ$6))/(Peak_Time_Eve*$N46*(Total_Lanes-BZ$6)))),"-")</f>
        <v>-</v>
      </c>
      <c r="CA13" s="136" t="str">
        <f aca="false">IF(CA$6&lt;Total_Lanes,900*Peak_Time_Eve*(($BL13/(Total_Lanes-CA$6))-1+SQRT((($BL13/(Total_Lanes-CA$6))-1)^2+8*($BL13/(Total_Lanes-CA$6))/(Peak_Time_Eve*$N46*(Total_Lanes-CA$6)))),"-")</f>
        <v>-</v>
      </c>
      <c r="CB13" s="136" t="str">
        <f aca="false">IF(CB$6&lt;Total_Lanes,900*Peak_Time_Eve*(($BL13/(Total_Lanes-CB$6))-1+SQRT((($BL13/(Total_Lanes-CB$6))-1)^2+8*($BL13/(Total_Lanes-CB$6))/(Peak_Time_Eve*$N46*(Total_Lanes-CB$6)))),"-")</f>
        <v>-</v>
      </c>
      <c r="CC13" s="136" t="str">
        <f aca="false">IF(CC$6&lt;Total_Lanes,900*Peak_Time_Eve*(($BL13/(Total_Lanes-CC$6))-1+SQRT((($BL13/(Total_Lanes-CC$6))-1)^2+8*($BL13/(Total_Lanes-CC$6))/(Peak_Time_Eve*$N46*(Total_Lanes-CC$6)))),"-")</f>
        <v>-</v>
      </c>
      <c r="CD13" s="136" t="str">
        <f aca="false">IF(CD$6&lt;Total_Lanes,900*Peak_Time_Eve*(($BL13/(Total_Lanes-CD$6))-1+SQRT((($BL13/(Total_Lanes-CD$6))-1)^2+8*($BL13/(Total_Lanes-CD$6))/(Peak_Time_Eve*$N46*(Total_Lanes-CD$6)))),"-")</f>
        <v>-</v>
      </c>
      <c r="CE13" s="136" t="str">
        <f aca="false">IF(CE$6&lt;Total_Lanes,900*Peak_Time_Eve*(($BL13/(Total_Lanes-CE$6))-1+SQRT((($BL13/(Total_Lanes-CE$6))-1)^2+8*($BL13/(Total_Lanes-CE$6))/(Peak_Time_Eve*$N46*(Total_Lanes-CE$6)))),"-")</f>
        <v>-</v>
      </c>
      <c r="CF13" s="136" t="str">
        <f aca="false">IF(CF$6&lt;Total_Lanes,900*Peak_Time_Eve*(($BL13/(Total_Lanes-CF$6))-1+SQRT((($BL13/(Total_Lanes-CF$6))-1)^2+8*($BL13/(Total_Lanes-CF$6))/(Peak_Time_Eve*$N46*(Total_Lanes-CF$6)))),"-")</f>
        <v>-</v>
      </c>
      <c r="CG13" s="147" t="str">
        <f aca="false">IF(CG$6&lt;Total_Lanes,900*Peak_Time_Eve*(($BL13/(Total_Lanes-CG$6))-1+SQRT((($BL13/(Total_Lanes-CG$6))-1)^2+8*($BL13/(Total_Lanes-CG$6))/(Peak_Time_Eve*$N46*(Total_Lanes-CG$6)))),"-")</f>
        <v>-</v>
      </c>
      <c r="CH13" s="160" t="n">
        <f aca="false">3600/N46</f>
        <v>6.7025</v>
      </c>
      <c r="CJ13" s="50" t="n">
        <v>6</v>
      </c>
      <c r="CK13" s="131" t="n">
        <f aca="false">$X13</f>
        <v>0.398984514248523</v>
      </c>
      <c r="CL13" s="57" t="n">
        <f aca="false">$AC13</f>
        <v>6734.63494016383</v>
      </c>
      <c r="CM13" s="135" t="n">
        <f aca="false">CL13*CK13</f>
        <v>2687.0150502424</v>
      </c>
      <c r="CN13" s="161" t="n">
        <f aca="false">CM13/O45</f>
        <v>1.79134336682826</v>
      </c>
      <c r="CO13" s="146" t="n">
        <f aca="false">IF(CO$6&lt;Total_Lanes,900*Peak_Time_Eve*(($CN13/CO$6-1)+SQRT(($CN13/CO$6-1)^2+8*($CN13/CO$6)/(Peak_Time_Eve*$O46*CO$6))),"-")</f>
        <v>2854.25861684682</v>
      </c>
      <c r="CP13" s="164" t="n">
        <f aca="false">IF(CP$6&lt;Total_Lanes,900*Peak_Time_Eve*(($CN13/CP$6-1)+SQRT(($CN13/CP$6-1)^2+8*($CN13/CP$6)/(Peak_Time_Eve*$O46*CP$6))),"-")</f>
        <v>10.0340791945057</v>
      </c>
      <c r="CQ13" s="164" t="n">
        <f aca="false">IF(CQ$6&lt;Total_Lanes,900*Peak_Time_Eve*(($CN13/CQ$6-1)+SQRT(($CN13/CQ$6-1)^2+8*($CN13/CQ$6)/(Peak_Time_Eve*$O46*CQ$6))),"-")</f>
        <v>1.18470791741495</v>
      </c>
      <c r="CR13" s="164" t="n">
        <f aca="false">IF(CR$6&lt;Total_Lanes,900*Peak_Time_Eve*(($CN13/CR$6-1)+SQRT(($CN13/CR$6-1)^2+8*($CN13/CR$6)/(Peak_Time_Eve*$O46*CR$6))),"-")</f>
        <v>0.486514294809926</v>
      </c>
      <c r="CS13" s="164" t="n">
        <f aca="false">IF(CS$6&lt;Total_Lanes,900*Peak_Time_Eve*(($CN13/CS$6-1)+SQRT(($CN13/CS$6-1)^2+8*($CN13/CS$6)/(Peak_Time_Eve*$O46*CS$6))),"-")</f>
        <v>0.267945498500244</v>
      </c>
      <c r="CT13" s="164" t="n">
        <f aca="false">IF(CT$6&lt;Total_Lanes,900*Peak_Time_Eve*(($CN13/CT$6-1)+SQRT(($CN13/CT$6-1)^2+8*($CN13/CT$6)/(Peak_Time_Eve*$O46*CT$6))),"-")</f>
        <v>0.170241743489341</v>
      </c>
      <c r="CU13" s="164" t="n">
        <f aca="false">IF(CU$6&lt;Total_Lanes,900*Peak_Time_Eve*(($CN13/CU$6-1)+SQRT(($CN13/CU$6-1)^2+8*($CN13/CU$6)/(Peak_Time_Eve*$O46*CU$6))),"-")</f>
        <v>0.117909065455279</v>
      </c>
      <c r="CV13" s="164" t="n">
        <f aca="false">IF(CV$6&lt;Total_Lanes,900*Peak_Time_Eve*(($CN13/CV$6-1)+SQRT(($CN13/CV$6-1)^2+8*($CN13/CV$6)/(Peak_Time_Eve*$O46*CV$6))),"-")</f>
        <v>0.0865543697562643</v>
      </c>
      <c r="CW13" s="164" t="n">
        <f aca="false">IF(CW$6&lt;Total_Lanes,900*Peak_Time_Eve*(($CN13/CW$6-1)+SQRT(($CN13/CW$6-1)^2+8*($CN13/CW$6)/(Peak_Time_Eve*$O46*CW$6))),"-")</f>
        <v>0.0662648550509237</v>
      </c>
      <c r="CX13" s="164" t="n">
        <f aca="false">IF(CX$6&lt;Total_Lanes,900*Peak_Time_Eve*(($CN13/CX$6-1)+SQRT(($CN13/CX$6-1)^2+8*($CN13/CX$6)/(Peak_Time_Eve*$O46*CX$6))),"-")</f>
        <v>0.0523733429107276</v>
      </c>
      <c r="CY13" s="164" t="n">
        <f aca="false">IF(CY$6&lt;Total_Lanes,900*Peak_Time_Eve*(($CN13/CY$6-1)+SQRT(($CN13/CY$6-1)^2+8*($CN13/CY$6)/(Peak_Time_Eve*$O46*CY$6))),"-")</f>
        <v>0.0424419178941538</v>
      </c>
      <c r="CZ13" s="165" t="str">
        <f aca="false">IF(CZ$6&lt;Total_Lanes,900*Peak_Time_Eve*(($CN13/CZ$6-1)+SQRT(($CN13/CZ$6-1)^2+8*($CN13/CZ$6)/(Peak_Time_Eve*$O46*CZ$6))),"-")</f>
        <v>-</v>
      </c>
      <c r="DA13" s="165" t="str">
        <f aca="false">IF(DA$6&lt;Total_Lanes,900*Peak_Time_Eve*(($CN13/DA$6-1)+SQRT(($CN13/DA$6-1)^2+8*($CN13/DA$6)/(Peak_Time_Eve*$O46*DA$6))),"-")</f>
        <v>-</v>
      </c>
      <c r="DB13" s="165" t="str">
        <f aca="false">IF(DB$6&lt;Total_Lanes,900*Peak_Time_Eve*(($CN13/DB$6-1)+SQRT(($CN13/DB$6-1)^2+8*($CN13/DB$6)/(Peak_Time_Eve*$O46*DB$6))),"-")</f>
        <v>-</v>
      </c>
      <c r="DC13" s="165" t="str">
        <f aca="false">IF(DC$6&lt;Total_Lanes,900*Peak_Time_Eve*(($CN13/DC$6-1)+SQRT(($CN13/DC$6-1)^2+8*($CN13/DC$6)/(Peak_Time_Eve*$O46*DC$6))),"-")</f>
        <v>-</v>
      </c>
      <c r="DD13" s="165" t="str">
        <f aca="false">IF(DD$6&lt;Total_Lanes,900*Peak_Time_Eve*(($CN13/DD$6-1)+SQRT(($CN13/DD$6-1)^2+8*($CN13/DD$6)/(Peak_Time_Eve*$O46*DD$6))),"-")</f>
        <v>-</v>
      </c>
      <c r="DE13" s="165" t="str">
        <f aca="false">IF(DE$6&lt;Total_Lanes,900*Peak_Time_Eve*(($CN13/DE$6-1)+SQRT(($CN13/DE$6-1)^2+8*($CN13/DE$6)/(Peak_Time_Eve*$O46*DE$6))),"-")</f>
        <v>-</v>
      </c>
      <c r="DF13" s="165" t="str">
        <f aca="false">IF(DF$6&lt;Total_Lanes,900*Peak_Time_Eve*(($CN13/DF$6-1)+SQRT(($CN13/DF$6-1)^2+8*($CN13/DF$6)/(Peak_Time_Eve*$O46*DF$6))),"-")</f>
        <v>-</v>
      </c>
      <c r="DG13" s="165" t="str">
        <f aca="false">IF(DG$6&lt;Total_Lanes,900*Peak_Time_Eve*(($CN13/DG$6-1)+SQRT(($CN13/DG$6-1)^2+8*($CN13/DG$6)/(Peak_Time_Eve*$O46*DG$6))),"-")</f>
        <v>-</v>
      </c>
      <c r="DH13" s="165" t="str">
        <f aca="false">IF(DH$6&lt;Total_Lanes,900*Peak_Time_Eve*(($CN13/DH$6-1)+SQRT(($CN13/DH$6-1)^2+8*($CN13/DH$6)/(Peak_Time_Eve*$O46*DH$6))),"-")</f>
        <v>-</v>
      </c>
      <c r="DI13" s="166" t="str">
        <f aca="false">IF(DI$6&lt;Total_Lanes,900*Peak_Time_Eve*(($CN13/DI$6-1)+SQRT(($CN13/DI$6-1)^2+8*($CN13/DI$6)/(Peak_Time_Eve*$O46*DI$6))),"-")</f>
        <v>-</v>
      </c>
      <c r="DJ13" s="167" t="n">
        <f aca="false">3600/O46</f>
        <v>2.4</v>
      </c>
    </row>
    <row r="14" customFormat="false" ht="12.75" hidden="false" customHeight="false" outlineLevel="0" collapsed="false">
      <c r="H14" s="50" t="n">
        <v>7</v>
      </c>
      <c r="I14" s="124" t="n">
        <f aca="false">'Input-Detail'!E21</f>
        <v>22860512.45</v>
      </c>
      <c r="J14" s="131" t="n">
        <v>0.39671513105108</v>
      </c>
      <c r="K14" s="57" t="n">
        <f aca="false">AC14</f>
        <v>6900.40743019113</v>
      </c>
      <c r="L14" s="135" t="n">
        <f aca="false">AD61</f>
        <v>11.3438115978447</v>
      </c>
      <c r="M14" s="150" t="n">
        <f aca="false">AD14</f>
        <v>28.0915335124507</v>
      </c>
      <c r="N14" s="150" t="n">
        <f aca="false">SUM(L14:M14)</f>
        <v>39.4353451102954</v>
      </c>
      <c r="O14" s="154" t="n">
        <f aca="false">$S$34*N14</f>
        <v>10253.1897286768</v>
      </c>
      <c r="P14" s="135" t="n">
        <f aca="false">BC61</f>
        <v>6.68139989485443</v>
      </c>
      <c r="Q14" s="150" t="n">
        <f aca="false">BC14</f>
        <v>23.1327202797701</v>
      </c>
      <c r="R14" s="150" t="n">
        <f aca="false">SUM(P14:Q14)</f>
        <v>29.8141201746246</v>
      </c>
      <c r="S14" s="155" t="n">
        <f aca="false">$S$34*R14</f>
        <v>7751.67124540239</v>
      </c>
      <c r="T14" s="1"/>
      <c r="U14" s="1"/>
      <c r="V14" s="50" t="n">
        <v>7</v>
      </c>
      <c r="W14" s="132" t="n">
        <f aca="false">W$7+(W$27-W$7)*$V14/20</f>
        <v>22860512.45</v>
      </c>
      <c r="X14" s="131" t="n">
        <f aca="false">MIN((J13+0.1),0.95)</f>
        <v>0.44881248351123</v>
      </c>
      <c r="Y14" s="132" t="n">
        <f aca="false">'Input-Detail'!E21/Z14</f>
        <v>9857.72490027305</v>
      </c>
      <c r="Z14" s="156" t="n">
        <f aca="false">Z13</f>
        <v>2319.04548780488</v>
      </c>
      <c r="AA14" s="156" t="n">
        <f aca="false">AA13</f>
        <v>2</v>
      </c>
      <c r="AB14" s="157" t="n">
        <f aca="false">AB13</f>
        <v>0.7</v>
      </c>
      <c r="AC14" s="57" t="n">
        <f aca="false">Y14*AB14</f>
        <v>6900.40743019113</v>
      </c>
      <c r="AD14" s="135" t="n">
        <f aca="false">Peak_Time_Eve*$BH14*(3600/K47+BK14)/3600</f>
        <v>28.0915335124507</v>
      </c>
      <c r="AE14" s="136" t="n">
        <f aca="false">IF(AE$6&lt;Total_Lanes,($BI14*($CH14+BM14)+$CM14*CO14)*Peak_Time_Eve/3600,"-")</f>
        <v>6619.03468513097</v>
      </c>
      <c r="AF14" s="136" t="n">
        <f aca="false">IF(AF$6&lt;Total_Lanes,($BI14*($CH14+BN14)+$CM14*CP14)*Peak_Time_Eve/3600,"-")</f>
        <v>270.214590016126</v>
      </c>
      <c r="AG14" s="136" t="n">
        <f aca="false">IF(AG$6&lt;Total_Lanes,($BI14*($CH14+BO14)+$CM14*CQ14)*Peak_Time_Eve/3600,"-")</f>
        <v>23.1327202797701</v>
      </c>
      <c r="AH14" s="136" t="n">
        <f aca="false">IF(AH$6&lt;Total_Lanes,($BI14*($CH14+BP14)+$CM14*CR14)*Peak_Time_Eve/3600,"-")</f>
        <v>29.1579704202449</v>
      </c>
      <c r="AI14" s="136" t="n">
        <f aca="false">IF(AI$6&lt;Total_Lanes,($BI14*($CH14+BQ14)+$CM14*CS14)*Peak_Time_Eve/3600,"-")</f>
        <v>208.3826126382</v>
      </c>
      <c r="AJ14" s="136" t="n">
        <f aca="false">IF(AJ$6&lt;Total_Lanes,($BI14*($CH14+BR14)+$CM14*CT14)*Peak_Time_Eve/3600,"-")</f>
        <v>1428.89415727156</v>
      </c>
      <c r="AK14" s="136" t="n">
        <f aca="false">IF(AK$6&lt;Total_Lanes,($BI14*($CH14+BS14)+$CM14*CU14)*Peak_Time_Eve/3600,"-")</f>
        <v>3224.4850730162</v>
      </c>
      <c r="AL14" s="136" t="n">
        <f aca="false">IF(AL$6&lt;Total_Lanes,($BI14*($CH14+BT14)+$CM14*CV14)*Peak_Time_Eve/3600,"-")</f>
        <v>5924.79499391181</v>
      </c>
      <c r="AM14" s="136" t="n">
        <f aca="false">IF(AM$6&lt;Total_Lanes,($BI14*($CH14+BU14)+$CM14*CW14)*Peak_Time_Eve/3600,"-")</f>
        <v>10427.8674474554</v>
      </c>
      <c r="AN14" s="136" t="n">
        <f aca="false">IF(AN$6&lt;Total_Lanes,($BI14*($CH14+BV14)+$CM14*CX14)*Peak_Time_Eve/3600,"-")</f>
        <v>19435.6137226155</v>
      </c>
      <c r="AO14" s="136" t="n">
        <f aca="false">IF(AO$6&lt;Total_Lanes,($BI14*($CH14+BW14)+$CM14*CY14)*Peak_Time_Eve/3600,"-")</f>
        <v>46460.4931790196</v>
      </c>
      <c r="AP14" s="136" t="str">
        <f aca="false">IF(AP$6&lt;Total_Lanes,($BI14*($CH14+BX14)+$CM14*CZ14)*Peak_Time_Eve/3600,"-")</f>
        <v>-</v>
      </c>
      <c r="AQ14" s="136" t="str">
        <f aca="false">IF(AQ$6&lt;Total_Lanes,($BI14*($CH14+BY14)+$CM14*DA14)*Peak_Time_Eve/3600,"-")</f>
        <v>-</v>
      </c>
      <c r="AR14" s="136" t="str">
        <f aca="false">IF(AR$6&lt;Total_Lanes,($BI14*($CH14+BZ14)+$CM14*DB14)*Peak_Time_Eve/3600,"-")</f>
        <v>-</v>
      </c>
      <c r="AS14" s="136" t="str">
        <f aca="false">IF(AS$6&lt;Total_Lanes,($BI14*($CH14+CA14)+$CM14*DC14)*Peak_Time_Eve/3600,"-")</f>
        <v>-</v>
      </c>
      <c r="AT14" s="136" t="str">
        <f aca="false">IF(AT$6&lt;Total_Lanes,($BI14*($CH14+CB14)+$CM14*DD14)*Peak_Time_Eve/3600,"-")</f>
        <v>-</v>
      </c>
      <c r="AU14" s="136" t="str">
        <f aca="false">IF(AU$6&lt;Total_Lanes,($BI14*($CH14+CC14)+$CM14*DE14)*Peak_Time_Eve/3600,"-")</f>
        <v>-</v>
      </c>
      <c r="AV14" s="136" t="str">
        <f aca="false">IF(AV$6&lt;Total_Lanes,($BI14*($CH14+CD14)+$CM14*DF14)*Peak_Time_Eve/3600,"-")</f>
        <v>-</v>
      </c>
      <c r="AW14" s="136" t="str">
        <f aca="false">IF(AW$6&lt;Total_Lanes,($BI14*($CH14+CE14)+$CM14*DG14)*Peak_Time_Eve/3600,"-")</f>
        <v>-</v>
      </c>
      <c r="AX14" s="136" t="str">
        <f aca="false">IF(AX$6&lt;Total_Lanes,($BI14*($CH14+CF14)+$CM14*DH14)*Peak_Time_Eve/3600,"-")</f>
        <v>-</v>
      </c>
      <c r="AY14" s="137" t="str">
        <f aca="false">IF(AY$6&lt;Total_Lanes,($BI14*($CH14+CG14)+$CM14*DI14)*Peak_Time_Eve/3600,"-")</f>
        <v>-</v>
      </c>
      <c r="AZ14" s="158" t="n">
        <f aca="false">SUMIF(AE14:AY14,BA14,$AE$6:$AY$6)</f>
        <v>3</v>
      </c>
      <c r="BA14" s="159" t="n">
        <f aca="false">MIN(AE14:AY14)</f>
        <v>23.1327202797701</v>
      </c>
      <c r="BB14" s="158" t="n">
        <f aca="false">IF((SUMIF($BM12:$CG12,$AZ14,$BM14:$CG14)+$CH14)&lt;(SUMIF($CO12:$DI12,$AZ14,$CO14:$DI14)+$DJ14),AZ14+1,AZ14)</f>
        <v>3</v>
      </c>
      <c r="BC14" s="159" t="n">
        <f aca="false">SUMIF($AE$6:$AY$6,$BB14,$AE14:$AY14)</f>
        <v>23.1327202797701</v>
      </c>
      <c r="BF14" s="50" t="n">
        <v>7</v>
      </c>
      <c r="BG14" s="131" t="n">
        <f aca="false">$X14</f>
        <v>0.44881248351123</v>
      </c>
      <c r="BH14" s="141" t="n">
        <f aca="false">$AC14</f>
        <v>6900.40743019113</v>
      </c>
      <c r="BI14" s="58" t="n">
        <f aca="false">BH14*(1-BG14)</f>
        <v>3803.41843420771</v>
      </c>
      <c r="BJ14" s="143" t="n">
        <f aca="false">Peak_Arrival_Manual/K47</f>
        <v>6.94652116803213</v>
      </c>
      <c r="BK14" s="144" t="n">
        <f aca="false">900*Peak_Time_Eve*(BJ14/Total_Lanes-1+SQRT((BJ14/Total_Lanes-1)^2+8*(BJ14/Total_Lanes)/(Peak_Time_Eve*$K47*Total_Lanes)))</f>
        <v>0.752793443206967</v>
      </c>
      <c r="BL14" s="145" t="n">
        <f aca="false">Peak_Arrival_Manual/N47</f>
        <v>7.10367630472335</v>
      </c>
      <c r="BM14" s="146" t="n">
        <f aca="false">IF(BM$6&lt;Total_Lanes,900*Peak_Time_Eve*(($BL14/(Total_Lanes-BM$6))-1+SQRT((($BL14/(Total_Lanes-BM$6))-1)^2+8*($BL14/(Total_Lanes-BM$6))/(Peak_Time_Eve*$N47*(Total_Lanes-BM$6)))),"-")</f>
        <v>1.11344291181033</v>
      </c>
      <c r="BN14" s="146" t="n">
        <f aca="false">IF(BN$6&lt;Total_Lanes,900*Peak_Time_Eve*(($BL14/(Total_Lanes-BN$6))-1+SQRT((($BL14/(Total_Lanes-BN$6))-1)^2+8*($BL14/(Total_Lanes-BN$6))/(Peak_Time_Eve*$N47*(Total_Lanes-BN$6)))),"-")</f>
        <v>1.6465023887422</v>
      </c>
      <c r="BO14" s="146" t="n">
        <f aca="false">IF(BO$6&lt;Total_Lanes,900*Peak_Time_Eve*(($BL14/(Total_Lanes-BO$6))-1+SQRT((($BL14/(Total_Lanes-BO$6))-1)^2+8*($BL14/(Total_Lanes-BO$6))/(Peak_Time_Eve*$N47*(Total_Lanes-BO$6)))),"-")</f>
        <v>2.78834306778156</v>
      </c>
      <c r="BP14" s="146" t="n">
        <f aca="false">IF(BP$6&lt;Total_Lanes,900*Peak_Time_Eve*(($BL14/(Total_Lanes-BP$6))-1+SQRT((($BL14/(Total_Lanes-BP$6))-1)^2+8*($BL14/(Total_Lanes-BP$6))/(Peak_Time_Eve*$N47*(Total_Lanes-BP$6)))),"-")</f>
        <v>6.5544938945216</v>
      </c>
      <c r="BQ14" s="146" t="n">
        <f aca="false">IF(BQ$6&lt;Total_Lanes,900*Peak_Time_Eve*(($BL14/(Total_Lanes-BQ$6))-1+SQRT((($BL14/(Total_Lanes-BQ$6))-1)^2+8*($BL14/(Total_Lanes-BQ$6))/(Peak_Time_Eve*$N47*(Total_Lanes-BQ$6)))),"-")</f>
        <v>91.6202170503983</v>
      </c>
      <c r="BR14" s="146" t="n">
        <f aca="false">IF(BR$6&lt;Total_Lanes,900*Peak_Time_Eve*(($BL14/(Total_Lanes-BR$6))-1+SQRT((($BL14/(Total_Lanes-BR$6))-1)^2+8*($BL14/(Total_Lanes-BR$6))/(Peak_Time_Eve*$N47*(Total_Lanes-BR$6)))),"-")</f>
        <v>669.341651851242</v>
      </c>
      <c r="BS14" s="146" t="n">
        <f aca="false">IF(BS$6&lt;Total_Lanes,900*Peak_Time_Eve*(($BL14/(Total_Lanes-BS$6))-1+SQRT((($BL14/(Total_Lanes-BS$6))-1)^2+8*($BL14/(Total_Lanes-BS$6))/(Peak_Time_Eve*$N47*(Total_Lanes-BS$6)))),"-")</f>
        <v>1519.17434699256</v>
      </c>
      <c r="BT14" s="146" t="n">
        <f aca="false">IF(BT$6&lt;Total_Lanes,900*Peak_Time_Eve*(($BL14/(Total_Lanes-BT$6))-1+SQRT((($BL14/(Total_Lanes-BT$6))-1)^2+8*($BL14/(Total_Lanes-BT$6))/(Peak_Time_Eve*$N47*(Total_Lanes-BT$6)))),"-")</f>
        <v>2797.1507097417</v>
      </c>
      <c r="BU14" s="146" t="n">
        <f aca="false">IF(BU$6&lt;Total_Lanes,900*Peak_Time_Eve*(($BL14/(Total_Lanes-BU$6))-1+SQRT((($BL14/(Total_Lanes-BU$6))-1)^2+8*($BL14/(Total_Lanes-BU$6))/(Peak_Time_Eve*$N47*(Total_Lanes-BU$6)))),"-")</f>
        <v>4928.28823369464</v>
      </c>
      <c r="BV14" s="146" t="n">
        <f aca="false">IF(BV$6&lt;Total_Lanes,900*Peak_Time_Eve*(($BL14/(Total_Lanes-BV$6))-1+SQRT((($BL14/(Total_Lanes-BV$6))-1)^2+8*($BL14/(Total_Lanes-BV$6))/(Peak_Time_Eve*$N47*(Total_Lanes-BV$6)))),"-")</f>
        <v>9191.29427515802</v>
      </c>
      <c r="BW14" s="146" t="n">
        <f aca="false">IF(BW$6&lt;Total_Lanes,900*Peak_Time_Eve*(($BL14/(Total_Lanes-BW$6))-1+SQRT((($BL14/(Total_Lanes-BW$6))-1)^2+8*($BL14/(Total_Lanes-BW$6))/(Peak_Time_Eve*$N47*(Total_Lanes-BW$6)))),"-")</f>
        <v>21981.0572523443</v>
      </c>
      <c r="BX14" s="136" t="str">
        <f aca="false">IF(BX$6&lt;Total_Lanes,900*Peak_Time_Eve*(($BL14/(Total_Lanes-BX$6))-1+SQRT((($BL14/(Total_Lanes-BX$6))-1)^2+8*($BL14/(Total_Lanes-BX$6))/(Peak_Time_Eve*$N47*(Total_Lanes-BX$6)))),"-")</f>
        <v>-</v>
      </c>
      <c r="BY14" s="136" t="str">
        <f aca="false">IF(BY$6&lt;Total_Lanes,900*Peak_Time_Eve*(($BL14/(Total_Lanes-BY$6))-1+SQRT((($BL14/(Total_Lanes-BY$6))-1)^2+8*($BL14/(Total_Lanes-BY$6))/(Peak_Time_Eve*$N47*(Total_Lanes-BY$6)))),"-")</f>
        <v>-</v>
      </c>
      <c r="BZ14" s="136" t="str">
        <f aca="false">IF(BZ$6&lt;Total_Lanes,900*Peak_Time_Eve*(($BL14/(Total_Lanes-BZ$6))-1+SQRT((($BL14/(Total_Lanes-BZ$6))-1)^2+8*($BL14/(Total_Lanes-BZ$6))/(Peak_Time_Eve*$N47*(Total_Lanes-BZ$6)))),"-")</f>
        <v>-</v>
      </c>
      <c r="CA14" s="136" t="str">
        <f aca="false">IF(CA$6&lt;Total_Lanes,900*Peak_Time_Eve*(($BL14/(Total_Lanes-CA$6))-1+SQRT((($BL14/(Total_Lanes-CA$6))-1)^2+8*($BL14/(Total_Lanes-CA$6))/(Peak_Time_Eve*$N47*(Total_Lanes-CA$6)))),"-")</f>
        <v>-</v>
      </c>
      <c r="CB14" s="136" t="str">
        <f aca="false">IF(CB$6&lt;Total_Lanes,900*Peak_Time_Eve*(($BL14/(Total_Lanes-CB$6))-1+SQRT((($BL14/(Total_Lanes-CB$6))-1)^2+8*($BL14/(Total_Lanes-CB$6))/(Peak_Time_Eve*$N47*(Total_Lanes-CB$6)))),"-")</f>
        <v>-</v>
      </c>
      <c r="CC14" s="136" t="str">
        <f aca="false">IF(CC$6&lt;Total_Lanes,900*Peak_Time_Eve*(($BL14/(Total_Lanes-CC$6))-1+SQRT((($BL14/(Total_Lanes-CC$6))-1)^2+8*($BL14/(Total_Lanes-CC$6))/(Peak_Time_Eve*$N47*(Total_Lanes-CC$6)))),"-")</f>
        <v>-</v>
      </c>
      <c r="CD14" s="136" t="str">
        <f aca="false">IF(CD$6&lt;Total_Lanes,900*Peak_Time_Eve*(($BL14/(Total_Lanes-CD$6))-1+SQRT((($BL14/(Total_Lanes-CD$6))-1)^2+8*($BL14/(Total_Lanes-CD$6))/(Peak_Time_Eve*$N47*(Total_Lanes-CD$6)))),"-")</f>
        <v>-</v>
      </c>
      <c r="CE14" s="136" t="str">
        <f aca="false">IF(CE$6&lt;Total_Lanes,900*Peak_Time_Eve*(($BL14/(Total_Lanes-CE$6))-1+SQRT((($BL14/(Total_Lanes-CE$6))-1)^2+8*($BL14/(Total_Lanes-CE$6))/(Peak_Time_Eve*$N47*(Total_Lanes-CE$6)))),"-")</f>
        <v>-</v>
      </c>
      <c r="CF14" s="136" t="str">
        <f aca="false">IF(CF$6&lt;Total_Lanes,900*Peak_Time_Eve*(($BL14/(Total_Lanes-CF$6))-1+SQRT((($BL14/(Total_Lanes-CF$6))-1)^2+8*($BL14/(Total_Lanes-CF$6))/(Peak_Time_Eve*$N47*(Total_Lanes-CF$6)))),"-")</f>
        <v>-</v>
      </c>
      <c r="CG14" s="147" t="str">
        <f aca="false">IF(CG$6&lt;Total_Lanes,900*Peak_Time_Eve*(($BL14/(Total_Lanes-CG$6))-1+SQRT((($BL14/(Total_Lanes-CG$6))-1)^2+8*($BL14/(Total_Lanes-CG$6))/(Peak_Time_Eve*$N47*(Total_Lanes-CG$6)))),"-")</f>
        <v>-</v>
      </c>
      <c r="CH14" s="160" t="n">
        <f aca="false">3600/N47</f>
        <v>6.72375</v>
      </c>
      <c r="CJ14" s="50" t="n">
        <v>7</v>
      </c>
      <c r="CK14" s="131" t="n">
        <f aca="false">$X14</f>
        <v>0.44881248351123</v>
      </c>
      <c r="CL14" s="57" t="n">
        <f aca="false">$AC14</f>
        <v>6900.40743019113</v>
      </c>
      <c r="CM14" s="135" t="n">
        <f aca="false">CL14*CK14</f>
        <v>3096.98899598343</v>
      </c>
      <c r="CN14" s="161" t="n">
        <f aca="false">CM14/O46</f>
        <v>2.06465933065562</v>
      </c>
      <c r="CO14" s="146" t="n">
        <f aca="false">IF(CO$6&lt;Total_Lanes,900*Peak_Time_Eve*(($CN14/CO$6-1)+SQRT(($CN14/CO$6-1)^2+8*($CN14/CO$6)/(Peak_Time_Eve*$O47*CO$6))),"-")</f>
        <v>3837.42219447851</v>
      </c>
      <c r="CP14" s="164" t="n">
        <f aca="false">IF(CP$6&lt;Total_Lanes,900*Peak_Time_Eve*(($CN14/CP$6-1)+SQRT(($CN14/CP$6-1)^2+8*($CN14/CP$6)/(Peak_Time_Eve*$O47*CP$6))),"-")</f>
        <v>146.771813004255</v>
      </c>
      <c r="CQ14" s="164" t="n">
        <f aca="false">IF(CQ$6&lt;Total_Lanes,900*Peak_Time_Eve*(($CN14/CQ$6-1)+SQRT(($CN14/CQ$6-1)^2+8*($CN14/CQ$6)/(Peak_Time_Eve*$O47*CQ$6))),"-")</f>
        <v>1.76314038854135</v>
      </c>
      <c r="CR14" s="164" t="n">
        <f aca="false">IF(CR$6&lt;Total_Lanes,900*Peak_Time_Eve*(($CN14/CR$6-1)+SQRT(($CN14/CR$6-1)^2+8*($CN14/CR$6)/(Peak_Time_Eve*$O47*CR$6))),"-")</f>
        <v>0.639856698451768</v>
      </c>
      <c r="CS14" s="164" t="n">
        <f aca="false">IF(CS$6&lt;Total_Lanes,900*Peak_Time_Eve*(($CN14/CS$6-1)+SQRT(($CN14/CS$6-1)^2+8*($CN14/CS$6)/(Peak_Time_Eve*$O47*CS$6))),"-")</f>
        <v>0.33756838578225</v>
      </c>
      <c r="CT14" s="164" t="n">
        <f aca="false">IF(CT$6&lt;Total_Lanes,900*Peak_Time_Eve*(($CN14/CT$6-1)+SQRT(($CN14/CT$6-1)^2+8*($CN14/CT$6)/(Peak_Time_Eve*$O47*CT$6))),"-")</f>
        <v>0.209839608277473</v>
      </c>
      <c r="CU14" s="164" t="n">
        <f aca="false">IF(CU$6&lt;Total_Lanes,900*Peak_Time_Eve*(($CN14/CU$6-1)+SQRT(($CN14/CU$6-1)^2+8*($CN14/CU$6)/(Peak_Time_Eve*$O47*CU$6))),"-")</f>
        <v>0.143423372117701</v>
      </c>
      <c r="CV14" s="164" t="n">
        <f aca="false">IF(CV$6&lt;Total_Lanes,900*Peak_Time_Eve*(($CN14/CV$6-1)+SQRT(($CN14/CV$6-1)^2+8*($CN14/CV$6)/(Peak_Time_Eve*$O47*CV$6))),"-")</f>
        <v>0.104353504621058</v>
      </c>
      <c r="CW14" s="164" t="n">
        <f aca="false">IF(CW$6&lt;Total_Lanes,900*Peak_Time_Eve*(($CN14/CW$6-1)+SQRT(($CN14/CW$6-1)^2+8*($CN14/CW$6)/(Peak_Time_Eve*$O47*CW$6))),"-")</f>
        <v>0.0793847184909824</v>
      </c>
      <c r="CX14" s="164" t="n">
        <f aca="false">IF(CX$6&lt;Total_Lanes,900*Peak_Time_Eve*(($CN14/CX$6-1)+SQRT(($CN14/CX$6-1)^2+8*($CN14/CX$6)/(Peak_Time_Eve*$O47*CX$6))),"-")</f>
        <v>0.0624431173220419</v>
      </c>
      <c r="CY14" s="164" t="n">
        <f aca="false">IF(CY$6&lt;Total_Lanes,900*Peak_Time_Eve*(($CN14/CY$6-1)+SQRT(($CN14/CY$6-1)^2+8*($CN14/CY$6)/(Peak_Time_Eve*$O47*CY$6))),"-")</f>
        <v>0.0504136750399509</v>
      </c>
      <c r="CZ14" s="165" t="str">
        <f aca="false">IF(CZ$6&lt;Total_Lanes,900*Peak_Time_Eve*(($CN14/CZ$6-1)+SQRT(($CN14/CZ$6-1)^2+8*($CN14/CZ$6)/(Peak_Time_Eve*$O47*CZ$6))),"-")</f>
        <v>-</v>
      </c>
      <c r="DA14" s="165" t="str">
        <f aca="false">IF(DA$6&lt;Total_Lanes,900*Peak_Time_Eve*(($CN14/DA$6-1)+SQRT(($CN14/DA$6-1)^2+8*($CN14/DA$6)/(Peak_Time_Eve*$O47*DA$6))),"-")</f>
        <v>-</v>
      </c>
      <c r="DB14" s="165" t="str">
        <f aca="false">IF(DB$6&lt;Total_Lanes,900*Peak_Time_Eve*(($CN14/DB$6-1)+SQRT(($CN14/DB$6-1)^2+8*($CN14/DB$6)/(Peak_Time_Eve*$O47*DB$6))),"-")</f>
        <v>-</v>
      </c>
      <c r="DC14" s="165" t="str">
        <f aca="false">IF(DC$6&lt;Total_Lanes,900*Peak_Time_Eve*(($CN14/DC$6-1)+SQRT(($CN14/DC$6-1)^2+8*($CN14/DC$6)/(Peak_Time_Eve*$O47*DC$6))),"-")</f>
        <v>-</v>
      </c>
      <c r="DD14" s="165" t="str">
        <f aca="false">IF(DD$6&lt;Total_Lanes,900*Peak_Time_Eve*(($CN14/DD$6-1)+SQRT(($CN14/DD$6-1)^2+8*($CN14/DD$6)/(Peak_Time_Eve*$O47*DD$6))),"-")</f>
        <v>-</v>
      </c>
      <c r="DE14" s="165" t="str">
        <f aca="false">IF(DE$6&lt;Total_Lanes,900*Peak_Time_Eve*(($CN14/DE$6-1)+SQRT(($CN14/DE$6-1)^2+8*($CN14/DE$6)/(Peak_Time_Eve*$O47*DE$6))),"-")</f>
        <v>-</v>
      </c>
      <c r="DF14" s="165" t="str">
        <f aca="false">IF(DF$6&lt;Total_Lanes,900*Peak_Time_Eve*(($CN14/DF$6-1)+SQRT(($CN14/DF$6-1)^2+8*($CN14/DF$6)/(Peak_Time_Eve*$O47*DF$6))),"-")</f>
        <v>-</v>
      </c>
      <c r="DG14" s="165" t="str">
        <f aca="false">IF(DG$6&lt;Total_Lanes,900*Peak_Time_Eve*(($CN14/DG$6-1)+SQRT(($CN14/DG$6-1)^2+8*($CN14/DG$6)/(Peak_Time_Eve*$O47*DG$6))),"-")</f>
        <v>-</v>
      </c>
      <c r="DH14" s="165" t="str">
        <f aca="false">IF(DH$6&lt;Total_Lanes,900*Peak_Time_Eve*(($CN14/DH$6-1)+SQRT(($CN14/DH$6-1)^2+8*($CN14/DH$6)/(Peak_Time_Eve*$O47*DH$6))),"-")</f>
        <v>-</v>
      </c>
      <c r="DI14" s="166" t="str">
        <f aca="false">IF(DI$6&lt;Total_Lanes,900*Peak_Time_Eve*(($CN14/DI$6-1)+SQRT(($CN14/DI$6-1)^2+8*($CN14/DI$6)/(Peak_Time_Eve*$O47*DI$6))),"-")</f>
        <v>-</v>
      </c>
      <c r="DJ14" s="167" t="n">
        <f aca="false">3600/O47</f>
        <v>2.4</v>
      </c>
    </row>
    <row r="15" customFormat="false" ht="12.75" hidden="false" customHeight="false" outlineLevel="0" collapsed="false">
      <c r="H15" s="50" t="n">
        <v>8</v>
      </c>
      <c r="I15" s="124" t="n">
        <f aca="false">'Input-Detail'!E22</f>
        <v>23409703.8</v>
      </c>
      <c r="J15" s="131" t="n">
        <v>0.443037513897103</v>
      </c>
      <c r="K15" s="57" t="n">
        <f aca="false">AC15</f>
        <v>7066.17992021844</v>
      </c>
      <c r="L15" s="135" t="n">
        <f aca="false">AD62</f>
        <v>11.6263554477028</v>
      </c>
      <c r="M15" s="150" t="n">
        <f aca="false">AD15</f>
        <v>28.3481017924745</v>
      </c>
      <c r="N15" s="150" t="n">
        <f aca="false">SUM(L15:M15)</f>
        <v>39.9744572401773</v>
      </c>
      <c r="O15" s="154" t="n">
        <f aca="false">$S$34*N15</f>
        <v>10393.3588824461</v>
      </c>
      <c r="P15" s="135" t="n">
        <f aca="false">BC62</f>
        <v>6.27521188354519</v>
      </c>
      <c r="Q15" s="150" t="n">
        <f aca="false">BC15</f>
        <v>23.0487362761822</v>
      </c>
      <c r="R15" s="150" t="n">
        <f aca="false">SUM(P15:Q15)</f>
        <v>29.3239481597274</v>
      </c>
      <c r="S15" s="155" t="n">
        <f aca="false">$S$34*R15</f>
        <v>7624.22652152913</v>
      </c>
      <c r="T15" s="1"/>
      <c r="U15" s="1"/>
      <c r="V15" s="50" t="n">
        <v>8</v>
      </c>
      <c r="W15" s="132" t="n">
        <f aca="false">W$7+(W$27-W$7)*$V15/20</f>
        <v>23409703.8</v>
      </c>
      <c r="X15" s="131" t="n">
        <f aca="false">MIN((J14+0.1),0.95)</f>
        <v>0.49671513105108</v>
      </c>
      <c r="Y15" s="132" t="n">
        <f aca="false">'Input-Detail'!E22/Z15</f>
        <v>10094.5427431692</v>
      </c>
      <c r="Z15" s="156" t="n">
        <f aca="false">Z14</f>
        <v>2319.04548780488</v>
      </c>
      <c r="AA15" s="156" t="n">
        <f aca="false">AA14</f>
        <v>2</v>
      </c>
      <c r="AB15" s="157" t="n">
        <f aca="false">AB14</f>
        <v>0.7</v>
      </c>
      <c r="AC15" s="57" t="n">
        <f aca="false">Y15*AB15</f>
        <v>7066.17992021844</v>
      </c>
      <c r="AD15" s="135" t="n">
        <f aca="false">Peak_Time_Eve*$BH15*(3600/K48+BK15)/3600</f>
        <v>28.3481017924745</v>
      </c>
      <c r="AE15" s="136" t="n">
        <f aca="false">IF(AE$6&lt;Total_Lanes,($BI15*($CH15+BM15)+$CM15*CO15)*Peak_Time_Eve/3600,"-")</f>
        <v>9429.2573657328</v>
      </c>
      <c r="AF15" s="136" t="n">
        <f aca="false">IF(AF$6&lt;Total_Lanes,($BI15*($CH15+BN15)+$CM15*CP15)*Peak_Time_Eve/3600,"-")</f>
        <v>1224.95427977005</v>
      </c>
      <c r="AG15" s="136" t="n">
        <f aca="false">IF(AG$6&lt;Total_Lanes,($BI15*($CH15+BO15)+$CM15*CQ15)*Peak_Time_Eve/3600,"-")</f>
        <v>23.0487362761822</v>
      </c>
      <c r="AH15" s="136" t="n">
        <f aca="false">IF(AH$6&lt;Total_Lanes,($BI15*($CH15+BP15)+$CM15*CR15)*Peak_Time_Eve/3600,"-")</f>
        <v>23.2196401473329</v>
      </c>
      <c r="AI15" s="136" t="n">
        <f aca="false">IF(AI$6&lt;Total_Lanes,($BI15*($CH15+BQ15)+$CM15*CS15)*Peak_Time_Eve/3600,"-")</f>
        <v>48.380829601349</v>
      </c>
      <c r="AJ15" s="136" t="n">
        <f aca="false">IF(AJ$6&lt;Total_Lanes,($BI15*($CH15+BR15)+$CM15*CT15)*Peak_Time_Eve/3600,"-")</f>
        <v>821.63385825469</v>
      </c>
      <c r="AK15" s="136" t="n">
        <f aca="false">IF(AK$6&lt;Total_Lanes,($BI15*($CH15+BS15)+$CM15*CU15)*Peak_Time_Eve/3600,"-")</f>
        <v>2390.12296514693</v>
      </c>
      <c r="AL15" s="136" t="n">
        <f aca="false">IF(AL$6&lt;Total_Lanes,($BI15*($CH15+BT15)+$CM15*CV15)*Peak_Time_Eve/3600,"-")</f>
        <v>4757.32820564022</v>
      </c>
      <c r="AM15" s="136" t="n">
        <f aca="false">IF(AM$6&lt;Total_Lanes,($BI15*($CH15+BU15)+$CM15*CW15)*Peak_Time_Eve/3600,"-")</f>
        <v>8706.36801619777</v>
      </c>
      <c r="AN15" s="136" t="n">
        <f aca="false">IF(AN$6&lt;Total_Lanes,($BI15*($CH15+BV15)+$CM15*CX15)*Peak_Time_Eve/3600,"-")</f>
        <v>16606.4659331972</v>
      </c>
      <c r="AO15" s="136" t="n">
        <f aca="false">IF(AO$6&lt;Total_Lanes,($BI15*($CH15+BW15)+$CM15*CY15)*Peak_Time_Eve/3600,"-")</f>
        <v>40308.6799284339</v>
      </c>
      <c r="AP15" s="136" t="str">
        <f aca="false">IF(AP$6&lt;Total_Lanes,($BI15*($CH15+BX15)+$CM15*CZ15)*Peak_Time_Eve/3600,"-")</f>
        <v>-</v>
      </c>
      <c r="AQ15" s="136" t="str">
        <f aca="false">IF(AQ$6&lt;Total_Lanes,($BI15*($CH15+BY15)+$CM15*DA15)*Peak_Time_Eve/3600,"-")</f>
        <v>-</v>
      </c>
      <c r="AR15" s="136" t="str">
        <f aca="false">IF(AR$6&lt;Total_Lanes,($BI15*($CH15+BZ15)+$CM15*DB15)*Peak_Time_Eve/3600,"-")</f>
        <v>-</v>
      </c>
      <c r="AS15" s="136" t="str">
        <f aca="false">IF(AS$6&lt;Total_Lanes,($BI15*($CH15+CA15)+$CM15*DC15)*Peak_Time_Eve/3600,"-")</f>
        <v>-</v>
      </c>
      <c r="AT15" s="136" t="str">
        <f aca="false">IF(AT$6&lt;Total_Lanes,($BI15*($CH15+CB15)+$CM15*DD15)*Peak_Time_Eve/3600,"-")</f>
        <v>-</v>
      </c>
      <c r="AU15" s="136" t="str">
        <f aca="false">IF(AU$6&lt;Total_Lanes,($BI15*($CH15+CC15)+$CM15*DE15)*Peak_Time_Eve/3600,"-")</f>
        <v>-</v>
      </c>
      <c r="AV15" s="136" t="str">
        <f aca="false">IF(AV$6&lt;Total_Lanes,($BI15*($CH15+CD15)+$CM15*DF15)*Peak_Time_Eve/3600,"-")</f>
        <v>-</v>
      </c>
      <c r="AW15" s="136" t="str">
        <f aca="false">IF(AW$6&lt;Total_Lanes,($BI15*($CH15+CE15)+$CM15*DG15)*Peak_Time_Eve/3600,"-")</f>
        <v>-</v>
      </c>
      <c r="AX15" s="136" t="str">
        <f aca="false">IF(AX$6&lt;Total_Lanes,($BI15*($CH15+CF15)+$CM15*DH15)*Peak_Time_Eve/3600,"-")</f>
        <v>-</v>
      </c>
      <c r="AY15" s="137" t="str">
        <f aca="false">IF(AY$6&lt;Total_Lanes,($BI15*($CH15+CG15)+$CM15*DI15)*Peak_Time_Eve/3600,"-")</f>
        <v>-</v>
      </c>
      <c r="AZ15" s="158" t="n">
        <f aca="false">SUMIF(AE15:AY15,BA15,$AE$6:$AY$6)</f>
        <v>3</v>
      </c>
      <c r="BA15" s="159" t="n">
        <f aca="false">MIN(AE15:AY15)</f>
        <v>23.0487362761822</v>
      </c>
      <c r="BB15" s="158" t="n">
        <f aca="false">IF((SUMIF($BM13:$CG13,$AZ15,$BM15:$CG15)+$CH15)&lt;(SUMIF($CO13:$DI13,$AZ15,$CO15:$DI15)+$DJ15),AZ15+1,AZ15)</f>
        <v>3</v>
      </c>
      <c r="BC15" s="159" t="n">
        <f aca="false">SUMIF($AE$6:$AY$6,$BB15,$AE15:$AY15)</f>
        <v>23.0487362761822</v>
      </c>
      <c r="BF15" s="50" t="n">
        <v>8</v>
      </c>
      <c r="BG15" s="131" t="n">
        <f aca="false">$X15</f>
        <v>0.49671513105108</v>
      </c>
      <c r="BH15" s="141" t="n">
        <f aca="false">$AC15</f>
        <v>7066.17992021844</v>
      </c>
      <c r="BI15" s="58" t="n">
        <f aca="false">BH15*(1-BG15)</f>
        <v>3556.30143511663</v>
      </c>
      <c r="BJ15" s="143" t="n">
        <f aca="false">Peak_Arrival_Manual/K48</f>
        <v>6.49518942663661</v>
      </c>
      <c r="BK15" s="144" t="n">
        <f aca="false">900*Peak_Time_Eve*(BJ15/Total_Lanes-1+SQRT((BJ15/Total_Lanes-1)^2+8*(BJ15/Total_Lanes)/(Peak_Time_Eve*$K48*Total_Lanes)))</f>
        <v>0.646240302762724</v>
      </c>
      <c r="BL15" s="145" t="n">
        <f aca="false">Peak_Arrival_Manual/N48</f>
        <v>6.6631258832949</v>
      </c>
      <c r="BM15" s="146" t="n">
        <f aca="false">IF(BM$6&lt;Total_Lanes,900*Peak_Time_Eve*(($BL15/(Total_Lanes-BM$6))-1+SQRT((($BL15/(Total_Lanes-BM$6))-1)^2+8*($BL15/(Total_Lanes-BM$6))/(Peak_Time_Eve*$N48*(Total_Lanes-BM$6)))),"-")</f>
        <v>0.941461348420736</v>
      </c>
      <c r="BN15" s="146" t="n">
        <f aca="false">IF(BN$6&lt;Total_Lanes,900*Peak_Time_Eve*(($BL15/(Total_Lanes-BN$6))-1+SQRT((($BL15/(Total_Lanes-BN$6))-1)^2+8*($BL15/(Total_Lanes-BN$6))/(Peak_Time_Eve*$N48*(Total_Lanes-BN$6)))),"-")</f>
        <v>1.34534615180953</v>
      </c>
      <c r="BO15" s="146" t="n">
        <f aca="false">IF(BO$6&lt;Total_Lanes,900*Peak_Time_Eve*(($BL15/(Total_Lanes-BO$6))-1+SQRT((($BL15/(Total_Lanes-BO$6))-1)^2+8*($BL15/(Total_Lanes-BO$6))/(Peak_Time_Eve*$N48*(Total_Lanes-BO$6)))),"-")</f>
        <v>2.13202704925641</v>
      </c>
      <c r="BP15" s="146" t="n">
        <f aca="false">IF(BP$6&lt;Total_Lanes,900*Peak_Time_Eve*(($BL15/(Total_Lanes-BP$6))-1+SQRT((($BL15/(Total_Lanes-BP$6))-1)^2+8*($BL15/(Total_Lanes-BP$6))/(Peak_Time_Eve*$N48*(Total_Lanes-BP$6)))),"-")</f>
        <v>4.17327644638285</v>
      </c>
      <c r="BQ15" s="146" t="n">
        <f aca="false">IF(BQ$6&lt;Total_Lanes,900*Peak_Time_Eve*(($BL15/(Total_Lanes-BQ$6))-1+SQRT((($BL15/(Total_Lanes-BQ$6))-1)^2+8*($BL15/(Total_Lanes-BQ$6))/(Peak_Time_Eve*$N48*(Total_Lanes-BQ$6)))),"-")</f>
        <v>17.3260333099281</v>
      </c>
      <c r="BR15" s="146" t="n">
        <f aca="false">IF(BR$6&lt;Total_Lanes,900*Peak_Time_Eve*(($BL15/(Total_Lanes-BR$6))-1+SQRT((($BL15/(Total_Lanes-BR$6))-1)^2+8*($BL15/(Total_Lanes-BR$6))/(Peak_Time_Eve*$N48*(Total_Lanes-BR$6)))),"-")</f>
        <v>408.867545503027</v>
      </c>
      <c r="BS15" s="146" t="n">
        <f aca="false">IF(BS$6&lt;Total_Lanes,900*Peak_Time_Eve*(($BL15/(Total_Lanes-BS$6))-1+SQRT((($BL15/(Total_Lanes-BS$6))-1)^2+8*($BL15/(Total_Lanes-BS$6))/(Peak_Time_Eve*$N48*(Total_Lanes-BS$6)))),"-")</f>
        <v>1202.83107636425</v>
      </c>
      <c r="BT15" s="146" t="n">
        <f aca="false">IF(BT$6&lt;Total_Lanes,900*Peak_Time_Eve*(($BL15/(Total_Lanes-BT$6))-1+SQRT((($BL15/(Total_Lanes-BT$6))-1)^2+8*($BL15/(Total_Lanes-BT$6))/(Peak_Time_Eve*$N48*(Total_Lanes-BT$6)))),"-")</f>
        <v>2401.02488248057</v>
      </c>
      <c r="BU15" s="146" t="n">
        <f aca="false">IF(BU$6&lt;Total_Lanes,900*Peak_Time_Eve*(($BL15/(Total_Lanes-BU$6))-1+SQRT((($BL15/(Total_Lanes-BU$6))-1)^2+8*($BL15/(Total_Lanes-BU$6))/(Peak_Time_Eve*$N48*(Total_Lanes-BU$6)))),"-")</f>
        <v>4399.83691903546</v>
      </c>
      <c r="BV15" s="146" t="n">
        <f aca="false">IF(BV$6&lt;Total_Lanes,900*Peak_Time_Eve*(($BL15/(Total_Lanes-BV$6))-1+SQRT((($BL15/(Total_Lanes-BV$6))-1)^2+8*($BL15/(Total_Lanes-BV$6))/(Peak_Time_Eve*$N48*(Total_Lanes-BV$6)))),"-")</f>
        <v>8398.44278106636</v>
      </c>
      <c r="BW15" s="146" t="n">
        <f aca="false">IF(BW$6&lt;Total_Lanes,900*Peak_Time_Eve*(($BL15/(Total_Lanes-BW$6))-1+SQRT((($BL15/(Total_Lanes-BW$6))-1)^2+8*($BL15/(Total_Lanes-BW$6))/(Peak_Time_Eve*$N48*(Total_Lanes-BW$6)))),"-")</f>
        <v>20395.1861313756</v>
      </c>
      <c r="BX15" s="136" t="str">
        <f aca="false">IF(BX$6&lt;Total_Lanes,900*Peak_Time_Eve*(($BL15/(Total_Lanes-BX$6))-1+SQRT((($BL15/(Total_Lanes-BX$6))-1)^2+8*($BL15/(Total_Lanes-BX$6))/(Peak_Time_Eve*$N48*(Total_Lanes-BX$6)))),"-")</f>
        <v>-</v>
      </c>
      <c r="BY15" s="136" t="str">
        <f aca="false">IF(BY$6&lt;Total_Lanes,900*Peak_Time_Eve*(($BL15/(Total_Lanes-BY$6))-1+SQRT((($BL15/(Total_Lanes-BY$6))-1)^2+8*($BL15/(Total_Lanes-BY$6))/(Peak_Time_Eve*$N48*(Total_Lanes-BY$6)))),"-")</f>
        <v>-</v>
      </c>
      <c r="BZ15" s="136" t="str">
        <f aca="false">IF(BZ$6&lt;Total_Lanes,900*Peak_Time_Eve*(($BL15/(Total_Lanes-BZ$6))-1+SQRT((($BL15/(Total_Lanes-BZ$6))-1)^2+8*($BL15/(Total_Lanes-BZ$6))/(Peak_Time_Eve*$N48*(Total_Lanes-BZ$6)))),"-")</f>
        <v>-</v>
      </c>
      <c r="CA15" s="136" t="str">
        <f aca="false">IF(CA$6&lt;Total_Lanes,900*Peak_Time_Eve*(($BL15/(Total_Lanes-CA$6))-1+SQRT((($BL15/(Total_Lanes-CA$6))-1)^2+8*($BL15/(Total_Lanes-CA$6))/(Peak_Time_Eve*$N48*(Total_Lanes-CA$6)))),"-")</f>
        <v>-</v>
      </c>
      <c r="CB15" s="136" t="str">
        <f aca="false">IF(CB$6&lt;Total_Lanes,900*Peak_Time_Eve*(($BL15/(Total_Lanes-CB$6))-1+SQRT((($BL15/(Total_Lanes-CB$6))-1)^2+8*($BL15/(Total_Lanes-CB$6))/(Peak_Time_Eve*$N48*(Total_Lanes-CB$6)))),"-")</f>
        <v>-</v>
      </c>
      <c r="CC15" s="136" t="str">
        <f aca="false">IF(CC$6&lt;Total_Lanes,900*Peak_Time_Eve*(($BL15/(Total_Lanes-CC$6))-1+SQRT((($BL15/(Total_Lanes-CC$6))-1)^2+8*($BL15/(Total_Lanes-CC$6))/(Peak_Time_Eve*$N48*(Total_Lanes-CC$6)))),"-")</f>
        <v>-</v>
      </c>
      <c r="CD15" s="136" t="str">
        <f aca="false">IF(CD$6&lt;Total_Lanes,900*Peak_Time_Eve*(($BL15/(Total_Lanes-CD$6))-1+SQRT((($BL15/(Total_Lanes-CD$6))-1)^2+8*($BL15/(Total_Lanes-CD$6))/(Peak_Time_Eve*$N48*(Total_Lanes-CD$6)))),"-")</f>
        <v>-</v>
      </c>
      <c r="CE15" s="136" t="str">
        <f aca="false">IF(CE$6&lt;Total_Lanes,900*Peak_Time_Eve*(($BL15/(Total_Lanes-CE$6))-1+SQRT((($BL15/(Total_Lanes-CE$6))-1)^2+8*($BL15/(Total_Lanes-CE$6))/(Peak_Time_Eve*$N48*(Total_Lanes-CE$6)))),"-")</f>
        <v>-</v>
      </c>
      <c r="CF15" s="136" t="str">
        <f aca="false">IF(CF$6&lt;Total_Lanes,900*Peak_Time_Eve*(($BL15/(Total_Lanes-CF$6))-1+SQRT((($BL15/(Total_Lanes-CF$6))-1)^2+8*($BL15/(Total_Lanes-CF$6))/(Peak_Time_Eve*$N48*(Total_Lanes-CF$6)))),"-")</f>
        <v>-</v>
      </c>
      <c r="CG15" s="147" t="str">
        <f aca="false">IF(CG$6&lt;Total_Lanes,900*Peak_Time_Eve*(($BL15/(Total_Lanes-CG$6))-1+SQRT((($BL15/(Total_Lanes-CG$6))-1)^2+8*($BL15/(Total_Lanes-CG$6))/(Peak_Time_Eve*$N48*(Total_Lanes-CG$6)))),"-")</f>
        <v>-</v>
      </c>
      <c r="CH15" s="160" t="n">
        <f aca="false">3600/N48</f>
        <v>6.745</v>
      </c>
      <c r="CJ15" s="50" t="n">
        <v>8</v>
      </c>
      <c r="CK15" s="131" t="n">
        <f aca="false">$X15</f>
        <v>0.49671513105108</v>
      </c>
      <c r="CL15" s="57" t="n">
        <f aca="false">$AC15</f>
        <v>7066.17992021844</v>
      </c>
      <c r="CM15" s="135" t="n">
        <f aca="false">CL15*CK15</f>
        <v>3509.87848510181</v>
      </c>
      <c r="CN15" s="161" t="n">
        <f aca="false">CM15/O47</f>
        <v>2.33991899006788</v>
      </c>
      <c r="CO15" s="146" t="n">
        <f aca="false">IF(CO$6&lt;Total_Lanes,900*Peak_Time_Eve*(($CN15/CO$6-1)+SQRT(($CN15/CO$6-1)^2+8*($CN15/CO$6)/(Peak_Time_Eve*$O48*CO$6))),"-")</f>
        <v>4827.89588207158</v>
      </c>
      <c r="CP15" s="146" t="n">
        <f aca="false">IF(CP$6&lt;Total_Lanes,900*Peak_Time_Eve*(($CN15/CP$6-1)+SQRT(($CN15/CP$6-1)^2+8*($CN15/CP$6)/(Peak_Time_Eve*$O48*CP$6))),"-")</f>
        <v>620.006078043098</v>
      </c>
      <c r="CQ15" s="164" t="n">
        <f aca="false">IF(CQ$6&lt;Total_Lanes,900*Peak_Time_Eve*(($CN15/CQ$6-1)+SQRT(($CN15/CQ$6-1)^2+8*($CN15/CQ$6)/(Peak_Time_Eve*$O48*CQ$6))),"-")</f>
        <v>2.82583608076125</v>
      </c>
      <c r="CR15" s="164" t="n">
        <f aca="false">IF(CR$6&lt;Total_Lanes,900*Peak_Time_Eve*(($CN15/CR$6-1)+SQRT(($CN15/CR$6-1)^2+8*($CN15/CR$6)/(Peak_Time_Eve*$O48*CR$6))),"-")</f>
        <v>0.845234409829387</v>
      </c>
      <c r="CS15" s="164" t="n">
        <f aca="false">IF(CS$6&lt;Total_Lanes,900*Peak_Time_Eve*(($CN15/CS$6-1)+SQRT(($CN15/CS$6-1)^2+8*($CN15/CS$6)/(Peak_Time_Eve*$O48*CS$6))),"-")</f>
        <v>0.422135120597478</v>
      </c>
      <c r="CT15" s="164" t="n">
        <f aca="false">IF(CT$6&lt;Total_Lanes,900*Peak_Time_Eve*(($CN15/CT$6-1)+SQRT(($CN15/CT$6-1)^2+8*($CN15/CT$6)/(Peak_Time_Eve*$O48*CT$6))),"-")</f>
        <v>0.255693419975911</v>
      </c>
      <c r="CU15" s="164" t="n">
        <f aca="false">IF(CU$6&lt;Total_Lanes,900*Peak_Time_Eve*(($CN15/CU$6-1)+SQRT(($CN15/CU$6-1)^2+8*($CN15/CU$6)/(Peak_Time_Eve*$O48*CU$6))),"-")</f>
        <v>0.172142998717795</v>
      </c>
      <c r="CV15" s="164" t="n">
        <f aca="false">IF(CV$6&lt;Total_Lanes,900*Peak_Time_Eve*(($CN15/CV$6-1)+SQRT(($CN15/CV$6-1)^2+8*($CN15/CV$6)/(Peak_Time_Eve*$O48*CV$6))),"-")</f>
        <v>0.12401616125135</v>
      </c>
      <c r="CW15" s="164" t="n">
        <f aca="false">IF(CW$6&lt;Total_Lanes,900*Peak_Time_Eve*(($CN15/CW$6-1)+SQRT(($CN15/CW$6-1)^2+8*($CN15/CW$6)/(Peak_Time_Eve*$O48*CW$6))),"-")</f>
        <v>0.0936860157927821</v>
      </c>
      <c r="CX15" s="164" t="n">
        <f aca="false">IF(CX$6&lt;Total_Lanes,900*Peak_Time_Eve*(($CN15/CX$6-1)+SQRT(($CN15/CX$6-1)^2+8*($CN15/CX$6)/(Peak_Time_Eve*$O48*CX$6))),"-")</f>
        <v>0.0733106644500436</v>
      </c>
      <c r="CY15" s="164" t="n">
        <f aca="false">IF(CY$6&lt;Total_Lanes,900*Peak_Time_Eve*(($CN15/CY$6-1)+SQRT(($CN15/CY$6-1)^2+8*($CN15/CY$6)/(Peak_Time_Eve*$O48*CY$6))),"-")</f>
        <v>0.0589506218789948</v>
      </c>
      <c r="CZ15" s="165" t="str">
        <f aca="false">IF(CZ$6&lt;Total_Lanes,900*Peak_Time_Eve*(($CN15/CZ$6-1)+SQRT(($CN15/CZ$6-1)^2+8*($CN15/CZ$6)/(Peak_Time_Eve*$O48*CZ$6))),"-")</f>
        <v>-</v>
      </c>
      <c r="DA15" s="165" t="str">
        <f aca="false">IF(DA$6&lt;Total_Lanes,900*Peak_Time_Eve*(($CN15/DA$6-1)+SQRT(($CN15/DA$6-1)^2+8*($CN15/DA$6)/(Peak_Time_Eve*$O48*DA$6))),"-")</f>
        <v>-</v>
      </c>
      <c r="DB15" s="165" t="str">
        <f aca="false">IF(DB$6&lt;Total_Lanes,900*Peak_Time_Eve*(($CN15/DB$6-1)+SQRT(($CN15/DB$6-1)^2+8*($CN15/DB$6)/(Peak_Time_Eve*$O48*DB$6))),"-")</f>
        <v>-</v>
      </c>
      <c r="DC15" s="165" t="str">
        <f aca="false">IF(DC$6&lt;Total_Lanes,900*Peak_Time_Eve*(($CN15/DC$6-1)+SQRT(($CN15/DC$6-1)^2+8*($CN15/DC$6)/(Peak_Time_Eve*$O48*DC$6))),"-")</f>
        <v>-</v>
      </c>
      <c r="DD15" s="165" t="str">
        <f aca="false">IF(DD$6&lt;Total_Lanes,900*Peak_Time_Eve*(($CN15/DD$6-1)+SQRT(($CN15/DD$6-1)^2+8*($CN15/DD$6)/(Peak_Time_Eve*$O48*DD$6))),"-")</f>
        <v>-</v>
      </c>
      <c r="DE15" s="165" t="str">
        <f aca="false">IF(DE$6&lt;Total_Lanes,900*Peak_Time_Eve*(($CN15/DE$6-1)+SQRT(($CN15/DE$6-1)^2+8*($CN15/DE$6)/(Peak_Time_Eve*$O48*DE$6))),"-")</f>
        <v>-</v>
      </c>
      <c r="DF15" s="165" t="str">
        <f aca="false">IF(DF$6&lt;Total_Lanes,900*Peak_Time_Eve*(($CN15/DF$6-1)+SQRT(($CN15/DF$6-1)^2+8*($CN15/DF$6)/(Peak_Time_Eve*$O48*DF$6))),"-")</f>
        <v>-</v>
      </c>
      <c r="DG15" s="165" t="str">
        <f aca="false">IF(DG$6&lt;Total_Lanes,900*Peak_Time_Eve*(($CN15/DG$6-1)+SQRT(($CN15/DG$6-1)^2+8*($CN15/DG$6)/(Peak_Time_Eve*$O48*DG$6))),"-")</f>
        <v>-</v>
      </c>
      <c r="DH15" s="165" t="str">
        <f aca="false">IF(DH$6&lt;Total_Lanes,900*Peak_Time_Eve*(($CN15/DH$6-1)+SQRT(($CN15/DH$6-1)^2+8*($CN15/DH$6)/(Peak_Time_Eve*$O48*DH$6))),"-")</f>
        <v>-</v>
      </c>
      <c r="DI15" s="166" t="str">
        <f aca="false">IF(DI$6&lt;Total_Lanes,900*Peak_Time_Eve*(($CN15/DI$6-1)+SQRT(($CN15/DI$6-1)^2+8*($CN15/DI$6)/(Peak_Time_Eve*$O48*DI$6))),"-")</f>
        <v>-</v>
      </c>
      <c r="DJ15" s="167" t="n">
        <f aca="false">3600/O48</f>
        <v>2.4</v>
      </c>
    </row>
    <row r="16" customFormat="false" ht="12.75" hidden="false" customHeight="false" outlineLevel="0" collapsed="false">
      <c r="H16" s="50" t="n">
        <v>9</v>
      </c>
      <c r="I16" s="124" t="n">
        <f aca="false">'Input-Detail'!E23</f>
        <v>23958895.15</v>
      </c>
      <c r="J16" s="131" t="n">
        <v>0.488152689932575</v>
      </c>
      <c r="K16" s="57" t="n">
        <f aca="false">AC16</f>
        <v>7231.95241024574</v>
      </c>
      <c r="L16" s="135" t="n">
        <f aca="false">AD63</f>
        <v>11.9100062532576</v>
      </c>
      <c r="M16" s="150" t="n">
        <f aca="false">AD16</f>
        <v>28.6437891631762</v>
      </c>
      <c r="N16" s="150" t="n">
        <f aca="false">SUM(L16:M16)</f>
        <v>40.5537954164338</v>
      </c>
      <c r="O16" s="154" t="n">
        <f aca="false">$S$34*N16</f>
        <v>10543.9868082728</v>
      </c>
      <c r="P16" s="135" t="n">
        <f aca="false">BC63</f>
        <v>5.87449171717261</v>
      </c>
      <c r="Q16" s="150" t="n">
        <f aca="false">BC16</f>
        <v>20.2731972278462</v>
      </c>
      <c r="R16" s="150" t="n">
        <f aca="false">SUM(P16:Q16)</f>
        <v>26.1476889450189</v>
      </c>
      <c r="S16" s="155" t="n">
        <f aca="false">$S$34*R16</f>
        <v>6798.3991257049</v>
      </c>
      <c r="T16" s="1"/>
      <c r="U16" s="1"/>
      <c r="V16" s="50" t="n">
        <v>9</v>
      </c>
      <c r="W16" s="132" t="n">
        <f aca="false">W$7+(W$27-W$7)*$V16/20</f>
        <v>23958895.15</v>
      </c>
      <c r="X16" s="131" t="n">
        <f aca="false">MIN((J15+0.1),0.95)</f>
        <v>0.543037513897103</v>
      </c>
      <c r="Y16" s="132" t="n">
        <f aca="false">'Input-Detail'!E23/Z16</f>
        <v>10331.3605860653</v>
      </c>
      <c r="Z16" s="156" t="n">
        <f aca="false">Z15</f>
        <v>2319.04548780488</v>
      </c>
      <c r="AA16" s="156" t="n">
        <f aca="false">AA15</f>
        <v>2</v>
      </c>
      <c r="AB16" s="157" t="n">
        <f aca="false">AB15</f>
        <v>0.7</v>
      </c>
      <c r="AC16" s="57" t="n">
        <f aca="false">Y16*AB16</f>
        <v>7231.95241024574</v>
      </c>
      <c r="AD16" s="135" t="n">
        <f aca="false">Peak_Time_Eve*$BH16*(3600/K49+BK16)/3600</f>
        <v>28.6437891631762</v>
      </c>
      <c r="AE16" s="136" t="n">
        <f aca="false">IF(AE$6&lt;Total_Lanes,($BI16*($CH16+BM16)+$CM16*CO16)*Peak_Time_Eve/3600,"-")</f>
        <v>12732.0015319022</v>
      </c>
      <c r="AF16" s="136" t="n">
        <f aca="false">IF(AF$6&lt;Total_Lanes,($BI16*($CH16+BN16)+$CM16*CP16)*Peak_Time_Eve/3600,"-")</f>
        <v>2453.09906893672</v>
      </c>
      <c r="AG16" s="136" t="n">
        <f aca="false">IF(AG$6&lt;Total_Lanes,($BI16*($CH16+BO16)+$CM16*CQ16)*Peak_Time_Eve/3600,"-")</f>
        <v>27.319801697116</v>
      </c>
      <c r="AH16" s="136" t="n">
        <f aca="false">IF(AH$6&lt;Total_Lanes,($BI16*($CH16+BP16)+$CM16*CR16)*Peak_Time_Eve/3600,"-")</f>
        <v>20.2731972278462</v>
      </c>
      <c r="AI16" s="136" t="n">
        <f aca="false">IF(AI$6&lt;Total_Lanes,($BI16*($CH16+BQ16)+$CM16*CS16)*Peak_Time_Eve/3600,"-")</f>
        <v>27.296299195994</v>
      </c>
      <c r="AJ16" s="136" t="n">
        <f aca="false">IF(AJ$6&lt;Total_Lanes,($BI16*($CH16+BR16)+$CM16*CT16)*Peak_Time_Eve/3600,"-")</f>
        <v>295.9344222555</v>
      </c>
      <c r="AK16" s="136" t="n">
        <f aca="false">IF(AK$6&lt;Total_Lanes,($BI16*($CH16+BS16)+$CM16*CU16)*Peak_Time_Eve/3600,"-")</f>
        <v>1626.7019070348</v>
      </c>
      <c r="AL16" s="136" t="n">
        <f aca="false">IF(AL$6&lt;Total_Lanes,($BI16*($CH16+BT16)+$CM16*CV16)*Peak_Time_Eve/3600,"-")</f>
        <v>3675.29918548083</v>
      </c>
      <c r="AM16" s="136" t="n">
        <f aca="false">IF(AM$6&lt;Total_Lanes,($BI16*($CH16+BU16)+$CM16*CW16)*Peak_Time_Eve/3600,"-")</f>
        <v>7095.62276852358</v>
      </c>
      <c r="AN16" s="136" t="n">
        <f aca="false">IF(AN$6&lt;Total_Lanes,($BI16*($CH16+BV16)+$CM16*CX16)*Peak_Time_Eve/3600,"-")</f>
        <v>13938.9362755385</v>
      </c>
      <c r="AO16" s="136" t="n">
        <f aca="false">IF(AO$6&lt;Total_Lanes,($BI16*($CH16+BW16)+$CM16*CY16)*Peak_Time_Eve/3600,"-")</f>
        <v>34471.1789570161</v>
      </c>
      <c r="AP16" s="136" t="str">
        <f aca="false">IF(AP$6&lt;Total_Lanes,($BI16*($CH16+BX16)+$CM16*CZ16)*Peak_Time_Eve/3600,"-")</f>
        <v>-</v>
      </c>
      <c r="AQ16" s="136" t="str">
        <f aca="false">IF(AQ$6&lt;Total_Lanes,($BI16*($CH16+BY16)+$CM16*DA16)*Peak_Time_Eve/3600,"-")</f>
        <v>-</v>
      </c>
      <c r="AR16" s="136" t="str">
        <f aca="false">IF(AR$6&lt;Total_Lanes,($BI16*($CH16+BZ16)+$CM16*DB16)*Peak_Time_Eve/3600,"-")</f>
        <v>-</v>
      </c>
      <c r="AS16" s="136" t="str">
        <f aca="false">IF(AS$6&lt;Total_Lanes,($BI16*($CH16+CA16)+$CM16*DC16)*Peak_Time_Eve/3600,"-")</f>
        <v>-</v>
      </c>
      <c r="AT16" s="136" t="str">
        <f aca="false">IF(AT$6&lt;Total_Lanes,($BI16*($CH16+CB16)+$CM16*DD16)*Peak_Time_Eve/3600,"-")</f>
        <v>-</v>
      </c>
      <c r="AU16" s="136" t="str">
        <f aca="false">IF(AU$6&lt;Total_Lanes,($BI16*($CH16+CC16)+$CM16*DE16)*Peak_Time_Eve/3600,"-")</f>
        <v>-</v>
      </c>
      <c r="AV16" s="136" t="str">
        <f aca="false">IF(AV$6&lt;Total_Lanes,($BI16*($CH16+CD16)+$CM16*DF16)*Peak_Time_Eve/3600,"-")</f>
        <v>-</v>
      </c>
      <c r="AW16" s="136" t="str">
        <f aca="false">IF(AW$6&lt;Total_Lanes,($BI16*($CH16+CE16)+$CM16*DG16)*Peak_Time_Eve/3600,"-")</f>
        <v>-</v>
      </c>
      <c r="AX16" s="136" t="str">
        <f aca="false">IF(AX$6&lt;Total_Lanes,($BI16*($CH16+CF16)+$CM16*DH16)*Peak_Time_Eve/3600,"-")</f>
        <v>-</v>
      </c>
      <c r="AY16" s="137" t="str">
        <f aca="false">IF(AY$6&lt;Total_Lanes,($BI16*($CH16+CG16)+$CM16*DI16)*Peak_Time_Eve/3600,"-")</f>
        <v>-</v>
      </c>
      <c r="AZ16" s="158" t="n">
        <f aca="false">SUMIF(AE16:AY16,BA16,$AE$6:$AY$6)</f>
        <v>4</v>
      </c>
      <c r="BA16" s="159" t="n">
        <f aca="false">MIN(AE16:AY16)</f>
        <v>20.2731972278462</v>
      </c>
      <c r="BB16" s="158" t="n">
        <f aca="false">IF((SUMIF($BM14:$CG14,$AZ16,$BM16:$CG16)+$CH16)&lt;(SUMIF($CO14:$DI14,$AZ16,$CO16:$DI16)+$DJ16),AZ16+1,AZ16)</f>
        <v>4</v>
      </c>
      <c r="BC16" s="159" t="n">
        <f aca="false">SUMIF($AE$6:$AY$6,$BB16,$AE16:$AY16)</f>
        <v>20.2731972278462</v>
      </c>
      <c r="BF16" s="50" t="n">
        <v>9</v>
      </c>
      <c r="BG16" s="131" t="n">
        <f aca="false">$X16</f>
        <v>0.543037513897103</v>
      </c>
      <c r="BH16" s="141" t="n">
        <f aca="false">$AC16</f>
        <v>7231.95241024574</v>
      </c>
      <c r="BI16" s="58" t="n">
        <f aca="false">BH16*(1-BG16)</f>
        <v>3304.73095276373</v>
      </c>
      <c r="BJ16" s="143" t="n">
        <f aca="false">Peak_Arrival_Manual/K49</f>
        <v>6.03572389289487</v>
      </c>
      <c r="BK16" s="144" t="n">
        <f aca="false">900*Peak_Time_Eve*(BJ16/Total_Lanes-1+SQRT((BJ16/Total_Lanes-1)^2+8*(BJ16/Total_Lanes)/(Peak_Time_Eve*$K49*Total_Lanes)))</f>
        <v>0.554308597312136</v>
      </c>
      <c r="BL16" s="145" t="n">
        <f aca="false">Peak_Arrival_Manual/N49</f>
        <v>6.21128772476045</v>
      </c>
      <c r="BM16" s="146" t="n">
        <f aca="false">IF(BM$6&lt;Total_Lanes,900*Peak_Time_Eve*(($BL16/(Total_Lanes-BM$6))-1+SQRT((($BL16/(Total_Lanes-BM$6))-1)^2+8*($BL16/(Total_Lanes-BM$6))/(Peak_Time_Eve*$N49*(Total_Lanes-BM$6)))),"-")</f>
        <v>0.797438748762547</v>
      </c>
      <c r="BN16" s="146" t="n">
        <f aca="false">IF(BN$6&lt;Total_Lanes,900*Peak_Time_Eve*(($BL16/(Total_Lanes-BN$6))-1+SQRT((($BL16/(Total_Lanes-BN$6))-1)^2+8*($BL16/(Total_Lanes-BN$6))/(Peak_Time_Eve*$N49*(Total_Lanes-BN$6)))),"-")</f>
        <v>1.10837133773892</v>
      </c>
      <c r="BO16" s="146" t="n">
        <f aca="false">IF(BO$6&lt;Total_Lanes,900*Peak_Time_Eve*(($BL16/(Total_Lanes-BO$6))-1+SQRT((($BL16/(Total_Lanes-BO$6))-1)^2+8*($BL16/(Total_Lanes-BO$6))/(Peak_Time_Eve*$N49*(Total_Lanes-BO$6)))),"-")</f>
        <v>1.67198739196974</v>
      </c>
      <c r="BP16" s="146" t="n">
        <f aca="false">IF(BP$6&lt;Total_Lanes,900*Peak_Time_Eve*(($BL16/(Total_Lanes-BP$6))-1+SQRT((($BL16/(Total_Lanes-BP$6))-1)^2+8*($BL16/(Total_Lanes-BP$6))/(Peak_Time_Eve*$N49*(Total_Lanes-BP$6)))),"-")</f>
        <v>2.92632917280345</v>
      </c>
      <c r="BQ16" s="146" t="n">
        <f aca="false">IF(BQ$6&lt;Total_Lanes,900*Peak_Time_Eve*(($BL16/(Total_Lanes-BQ$6))-1+SQRT((($BL16/(Total_Lanes-BQ$6))-1)^2+8*($BL16/(Total_Lanes-BQ$6))/(Peak_Time_Eve*$N49*(Total_Lanes-BQ$6)))),"-")</f>
        <v>7.47451548759361</v>
      </c>
      <c r="BR16" s="146" t="n">
        <f aca="false">IF(BR$6&lt;Total_Lanes,900*Peak_Time_Eve*(($BL16/(Total_Lanes-BR$6))-1+SQRT((($BL16/(Total_Lanes-BR$6))-1)^2+8*($BL16/(Total_Lanes-BR$6))/(Peak_Time_Eve*$N49*(Total_Lanes-BR$6)))),"-")</f>
        <v>154.053498887944</v>
      </c>
      <c r="BS16" s="146" t="n">
        <f aca="false">IF(BS$6&lt;Total_Lanes,900*Peak_Time_Eve*(($BL16/(Total_Lanes-BS$6))-1+SQRT((($BL16/(Total_Lanes-BS$6))-1)^2+8*($BL16/(Total_Lanes-BS$6))/(Peak_Time_Eve*$N49*(Total_Lanes-BS$6)))),"-")</f>
        <v>879.01205724151</v>
      </c>
      <c r="BT16" s="146" t="n">
        <f aca="false">IF(BT$6&lt;Total_Lanes,900*Peak_Time_Eve*(($BL16/(Total_Lanes-BT$6))-1+SQRT((($BL16/(Total_Lanes-BT$6))-1)^2+8*($BL16/(Total_Lanes-BT$6))/(Peak_Time_Eve*$N49*(Total_Lanes-BT$6)))),"-")</f>
        <v>1994.89909341932</v>
      </c>
      <c r="BU16" s="146" t="n">
        <f aca="false">IF(BU$6&lt;Total_Lanes,900*Peak_Time_Eve*(($BL16/(Total_Lanes-BU$6))-1+SQRT((($BL16/(Total_Lanes-BU$6))-1)^2+8*($BL16/(Total_Lanes-BU$6))/(Peak_Time_Eve*$N49*(Total_Lanes-BU$6)))),"-")</f>
        <v>3857.90277978644</v>
      </c>
      <c r="BV16" s="146" t="n">
        <f aca="false">IF(BV$6&lt;Total_Lanes,900*Peak_Time_Eve*(($BL16/(Total_Lanes-BV$6))-1+SQRT((($BL16/(Total_Lanes-BV$6))-1)^2+8*($BL16/(Total_Lanes-BV$6))/(Peak_Time_Eve*$N49*(Total_Lanes-BV$6)))),"-")</f>
        <v>7585.30444311772</v>
      </c>
      <c r="BW16" s="146" t="n">
        <f aca="false">IF(BW$6&lt;Total_Lanes,900*Peak_Time_Eve*(($BL16/(Total_Lanes-BW$6))-1+SQRT((($BL16/(Total_Lanes-BW$6))-1)^2+8*($BL16/(Total_Lanes-BW$6))/(Peak_Time_Eve*$N49*(Total_Lanes-BW$6)))),"-")</f>
        <v>18768.6969788722</v>
      </c>
      <c r="BX16" s="136" t="str">
        <f aca="false">IF(BX$6&lt;Total_Lanes,900*Peak_Time_Eve*(($BL16/(Total_Lanes-BX$6))-1+SQRT((($BL16/(Total_Lanes-BX$6))-1)^2+8*($BL16/(Total_Lanes-BX$6))/(Peak_Time_Eve*$N49*(Total_Lanes-BX$6)))),"-")</f>
        <v>-</v>
      </c>
      <c r="BY16" s="136" t="str">
        <f aca="false">IF(BY$6&lt;Total_Lanes,900*Peak_Time_Eve*(($BL16/(Total_Lanes-BY$6))-1+SQRT((($BL16/(Total_Lanes-BY$6))-1)^2+8*($BL16/(Total_Lanes-BY$6))/(Peak_Time_Eve*$N49*(Total_Lanes-BY$6)))),"-")</f>
        <v>-</v>
      </c>
      <c r="BZ16" s="136" t="str">
        <f aca="false">IF(BZ$6&lt;Total_Lanes,900*Peak_Time_Eve*(($BL16/(Total_Lanes-BZ$6))-1+SQRT((($BL16/(Total_Lanes-BZ$6))-1)^2+8*($BL16/(Total_Lanes-BZ$6))/(Peak_Time_Eve*$N49*(Total_Lanes-BZ$6)))),"-")</f>
        <v>-</v>
      </c>
      <c r="CA16" s="136" t="str">
        <f aca="false">IF(CA$6&lt;Total_Lanes,900*Peak_Time_Eve*(($BL16/(Total_Lanes-CA$6))-1+SQRT((($BL16/(Total_Lanes-CA$6))-1)^2+8*($BL16/(Total_Lanes-CA$6))/(Peak_Time_Eve*$N49*(Total_Lanes-CA$6)))),"-")</f>
        <v>-</v>
      </c>
      <c r="CB16" s="136" t="str">
        <f aca="false">IF(CB$6&lt;Total_Lanes,900*Peak_Time_Eve*(($BL16/(Total_Lanes-CB$6))-1+SQRT((($BL16/(Total_Lanes-CB$6))-1)^2+8*($BL16/(Total_Lanes-CB$6))/(Peak_Time_Eve*$N49*(Total_Lanes-CB$6)))),"-")</f>
        <v>-</v>
      </c>
      <c r="CC16" s="136" t="str">
        <f aca="false">IF(CC$6&lt;Total_Lanes,900*Peak_Time_Eve*(($BL16/(Total_Lanes-CC$6))-1+SQRT((($BL16/(Total_Lanes-CC$6))-1)^2+8*($BL16/(Total_Lanes-CC$6))/(Peak_Time_Eve*$N49*(Total_Lanes-CC$6)))),"-")</f>
        <v>-</v>
      </c>
      <c r="CD16" s="136" t="str">
        <f aca="false">IF(CD$6&lt;Total_Lanes,900*Peak_Time_Eve*(($BL16/(Total_Lanes-CD$6))-1+SQRT((($BL16/(Total_Lanes-CD$6))-1)^2+8*($BL16/(Total_Lanes-CD$6))/(Peak_Time_Eve*$N49*(Total_Lanes-CD$6)))),"-")</f>
        <v>-</v>
      </c>
      <c r="CE16" s="136" t="str">
        <f aca="false">IF(CE$6&lt;Total_Lanes,900*Peak_Time_Eve*(($BL16/(Total_Lanes-CE$6))-1+SQRT((($BL16/(Total_Lanes-CE$6))-1)^2+8*($BL16/(Total_Lanes-CE$6))/(Peak_Time_Eve*$N49*(Total_Lanes-CE$6)))),"-")</f>
        <v>-</v>
      </c>
      <c r="CF16" s="136" t="str">
        <f aca="false">IF(CF$6&lt;Total_Lanes,900*Peak_Time_Eve*(($BL16/(Total_Lanes-CF$6))-1+SQRT((($BL16/(Total_Lanes-CF$6))-1)^2+8*($BL16/(Total_Lanes-CF$6))/(Peak_Time_Eve*$N49*(Total_Lanes-CF$6)))),"-")</f>
        <v>-</v>
      </c>
      <c r="CG16" s="147" t="str">
        <f aca="false">IF(CG$6&lt;Total_Lanes,900*Peak_Time_Eve*(($BL16/(Total_Lanes-CG$6))-1+SQRT((($BL16/(Total_Lanes-CG$6))-1)^2+8*($BL16/(Total_Lanes-CG$6))/(Peak_Time_Eve*$N49*(Total_Lanes-CG$6)))),"-")</f>
        <v>-</v>
      </c>
      <c r="CH16" s="160" t="n">
        <f aca="false">3600/N49</f>
        <v>6.76625</v>
      </c>
      <c r="CJ16" s="50" t="n">
        <v>9</v>
      </c>
      <c r="CK16" s="131" t="n">
        <f aca="false">$X16</f>
        <v>0.543037513897103</v>
      </c>
      <c r="CL16" s="57" t="n">
        <f aca="false">$AC16</f>
        <v>7231.95241024574</v>
      </c>
      <c r="CM16" s="135" t="n">
        <f aca="false">CL16*CK16</f>
        <v>3927.22145748201</v>
      </c>
      <c r="CN16" s="161" t="n">
        <f aca="false">CM16/O48</f>
        <v>2.61814763832134</v>
      </c>
      <c r="CO16" s="146" t="n">
        <f aca="false">IF(CO$6&lt;Total_Lanes,900*Peak_Time_Eve*(($CN16/CO$6-1)+SQRT(($CN16/CO$6-1)^2+8*($CN16/CO$6)/(Peak_Time_Eve*$O49*CO$6))),"-")</f>
        <v>5829.21209026412</v>
      </c>
      <c r="CP16" s="146" t="n">
        <f aca="false">IF(CP$6&lt;Total_Lanes,900*Peak_Time_Eve*(($CN16/CP$6-1)+SQRT(($CN16/CP$6-1)^2+8*($CN16/CP$6)/(Peak_Time_Eve*$O49*CP$6))),"-")</f>
        <v>1117.7253095435</v>
      </c>
      <c r="CQ16" s="164" t="n">
        <f aca="false">IF(CQ$6&lt;Total_Lanes,900*Peak_Time_Eve*(($CN16/CQ$6-1)+SQRT(($CN16/CQ$6-1)^2+8*($CN16/CQ$6)/(Peak_Time_Eve*$O49*CQ$6))),"-")</f>
        <v>5.4210181394884</v>
      </c>
      <c r="CR16" s="164" t="n">
        <f aca="false">IF(CR$6&lt;Total_Lanes,900*Peak_Time_Eve*(($CN16/CR$6-1)+SQRT(($CN16/CR$6-1)^2+8*($CN16/CR$6)/(Peak_Time_Eve*$O49*CR$6))),"-")</f>
        <v>1.13576192581368</v>
      </c>
      <c r="CS16" s="164" t="n">
        <f aca="false">IF(CS$6&lt;Total_Lanes,900*Peak_Time_Eve*(($CN16/CS$6-1)+SQRT(($CN16/CS$6-1)^2+8*($CN16/CS$6)/(Peak_Time_Eve*$O49*CS$6))),"-")</f>
        <v>0.52745689982483</v>
      </c>
      <c r="CT16" s="164" t="n">
        <f aca="false">IF(CT$6&lt;Total_Lanes,900*Peak_Time_Eve*(($CN16/CT$6-1)+SQRT(($CN16/CT$6-1)^2+8*($CN16/CT$6)/(Peak_Time_Eve*$O49*CT$6))),"-")</f>
        <v>0.309623001245019</v>
      </c>
      <c r="CU16" s="164" t="n">
        <f aca="false">IF(CU$6&lt;Total_Lanes,900*Peak_Time_Eve*(($CN16/CU$6-1)+SQRT(($CN16/CU$6-1)^2+8*($CN16/CU$6)/(Peak_Time_Eve*$O49*CU$6))),"-")</f>
        <v>0.204837808018499</v>
      </c>
      <c r="CV16" s="164" t="n">
        <f aca="false">IF(CV$6&lt;Total_Lanes,900*Peak_Time_Eve*(($CN16/CV$6-1)+SQRT(($CN16/CV$6-1)^2+8*($CN16/CV$6)/(Peak_Time_Eve*$O49*CV$6))),"-")</f>
        <v>0.145934320088248</v>
      </c>
      <c r="CW16" s="164" t="n">
        <f aca="false">IF(CW$6&lt;Total_Lanes,900*Peak_Time_Eve*(($CN16/CW$6-1)+SQRT(($CN16/CW$6-1)^2+8*($CN16/CW$6)/(Peak_Time_Eve*$O49*CW$6))),"-")</f>
        <v>0.109395007251423</v>
      </c>
      <c r="CX16" s="164" t="n">
        <f aca="false">IF(CX$6&lt;Total_Lanes,900*Peak_Time_Eve*(($CN16/CX$6-1)+SQRT(($CN16/CX$6-1)^2+8*($CN16/CX$6)/(Peak_Time_Eve*$O49*CX$6))),"-")</f>
        <v>0.0851189209388537</v>
      </c>
      <c r="CY16" s="164" t="n">
        <f aca="false">IF(CY$6&lt;Total_Lanes,900*Peak_Time_Eve*(($CN16/CY$6-1)+SQRT(($CN16/CY$6-1)^2+8*($CN16/CY$6)/(Peak_Time_Eve*$O49*CY$6))),"-")</f>
        <v>0.0681493775261943</v>
      </c>
      <c r="CZ16" s="165" t="str">
        <f aca="false">IF(CZ$6&lt;Total_Lanes,900*Peak_Time_Eve*(($CN16/CZ$6-1)+SQRT(($CN16/CZ$6-1)^2+8*($CN16/CZ$6)/(Peak_Time_Eve*$O49*CZ$6))),"-")</f>
        <v>-</v>
      </c>
      <c r="DA16" s="165" t="str">
        <f aca="false">IF(DA$6&lt;Total_Lanes,900*Peak_Time_Eve*(($CN16/DA$6-1)+SQRT(($CN16/DA$6-1)^2+8*($CN16/DA$6)/(Peak_Time_Eve*$O49*DA$6))),"-")</f>
        <v>-</v>
      </c>
      <c r="DB16" s="165" t="str">
        <f aca="false">IF(DB$6&lt;Total_Lanes,900*Peak_Time_Eve*(($CN16/DB$6-1)+SQRT(($CN16/DB$6-1)^2+8*($CN16/DB$6)/(Peak_Time_Eve*$O49*DB$6))),"-")</f>
        <v>-</v>
      </c>
      <c r="DC16" s="165" t="str">
        <f aca="false">IF(DC$6&lt;Total_Lanes,900*Peak_Time_Eve*(($CN16/DC$6-1)+SQRT(($CN16/DC$6-1)^2+8*($CN16/DC$6)/(Peak_Time_Eve*$O49*DC$6))),"-")</f>
        <v>-</v>
      </c>
      <c r="DD16" s="165" t="str">
        <f aca="false">IF(DD$6&lt;Total_Lanes,900*Peak_Time_Eve*(($CN16/DD$6-1)+SQRT(($CN16/DD$6-1)^2+8*($CN16/DD$6)/(Peak_Time_Eve*$O49*DD$6))),"-")</f>
        <v>-</v>
      </c>
      <c r="DE16" s="165" t="str">
        <f aca="false">IF(DE$6&lt;Total_Lanes,900*Peak_Time_Eve*(($CN16/DE$6-1)+SQRT(($CN16/DE$6-1)^2+8*($CN16/DE$6)/(Peak_Time_Eve*$O49*DE$6))),"-")</f>
        <v>-</v>
      </c>
      <c r="DF16" s="165" t="str">
        <f aca="false">IF(DF$6&lt;Total_Lanes,900*Peak_Time_Eve*(($CN16/DF$6-1)+SQRT(($CN16/DF$6-1)^2+8*($CN16/DF$6)/(Peak_Time_Eve*$O49*DF$6))),"-")</f>
        <v>-</v>
      </c>
      <c r="DG16" s="165" t="str">
        <f aca="false">IF(DG$6&lt;Total_Lanes,900*Peak_Time_Eve*(($CN16/DG$6-1)+SQRT(($CN16/DG$6-1)^2+8*($CN16/DG$6)/(Peak_Time_Eve*$O49*DG$6))),"-")</f>
        <v>-</v>
      </c>
      <c r="DH16" s="165" t="str">
        <f aca="false">IF(DH$6&lt;Total_Lanes,900*Peak_Time_Eve*(($CN16/DH$6-1)+SQRT(($CN16/DH$6-1)^2+8*($CN16/DH$6)/(Peak_Time_Eve*$O49*DH$6))),"-")</f>
        <v>-</v>
      </c>
      <c r="DI16" s="166" t="str">
        <f aca="false">IF(DI$6&lt;Total_Lanes,900*Peak_Time_Eve*(($CN16/DI$6-1)+SQRT(($CN16/DI$6-1)^2+8*($CN16/DI$6)/(Peak_Time_Eve*$O49*DI$6))),"-")</f>
        <v>-</v>
      </c>
      <c r="DJ16" s="167" t="n">
        <f aca="false">3600/O49</f>
        <v>2.4</v>
      </c>
    </row>
    <row r="17" customFormat="false" ht="12.75" hidden="false" customHeight="false" outlineLevel="0" collapsed="false">
      <c r="H17" s="50" t="n">
        <v>10</v>
      </c>
      <c r="I17" s="124" t="n">
        <f aca="false">'Input-Detail'!E24</f>
        <v>24508086.5</v>
      </c>
      <c r="J17" s="131" t="n">
        <v>0.531731128248894</v>
      </c>
      <c r="K17" s="57" t="n">
        <f aca="false">AC17</f>
        <v>7397.72490027305</v>
      </c>
      <c r="L17" s="135" t="n">
        <f aca="false">AD64</f>
        <v>12.1946028392157</v>
      </c>
      <c r="M17" s="150" t="n">
        <f aca="false">AD17</f>
        <v>28.9688613418129</v>
      </c>
      <c r="N17" s="150" t="n">
        <f aca="false">SUM(L17:M17)</f>
        <v>41.1634641810285</v>
      </c>
      <c r="O17" s="154" t="n">
        <f aca="false">$S$34*N17</f>
        <v>10702.5006870674</v>
      </c>
      <c r="P17" s="135" t="n">
        <f aca="false">BC64</f>
        <v>5.46976356439176</v>
      </c>
      <c r="Q17" s="150" t="n">
        <f aca="false">BC17</f>
        <v>18.9588822936067</v>
      </c>
      <c r="R17" s="150" t="n">
        <f aca="false">SUM(P17:Q17)</f>
        <v>24.4286458579984</v>
      </c>
      <c r="S17" s="155" t="n">
        <f aca="false">$S$34*R17</f>
        <v>6351.44792307959</v>
      </c>
      <c r="T17" s="1"/>
      <c r="U17" s="1"/>
      <c r="V17" s="50" t="n">
        <v>10</v>
      </c>
      <c r="W17" s="132" t="n">
        <f aca="false">W$7+(W$27-W$7)*$V17/20</f>
        <v>24508086.5</v>
      </c>
      <c r="X17" s="131" t="n">
        <f aca="false">MIN((J16+0.1),0.95)</f>
        <v>0.588152689932575</v>
      </c>
      <c r="Y17" s="132" t="n">
        <f aca="false">'Input-Detail'!E24/Z17</f>
        <v>10568.1784289615</v>
      </c>
      <c r="Z17" s="156" t="n">
        <f aca="false">Z16</f>
        <v>2319.04548780488</v>
      </c>
      <c r="AA17" s="156" t="n">
        <f aca="false">AA16</f>
        <v>2</v>
      </c>
      <c r="AB17" s="157" t="n">
        <f aca="false">AB16</f>
        <v>0.7</v>
      </c>
      <c r="AC17" s="57" t="n">
        <f aca="false">Y17*AB17</f>
        <v>7397.72490027305</v>
      </c>
      <c r="AD17" s="135" t="n">
        <f aca="false">Peak_Time_Eve*$BH17*(3600/K50+BK17)/3600</f>
        <v>28.9688613418129</v>
      </c>
      <c r="AE17" s="136" t="n">
        <f aca="false">IF(AE$6&lt;Total_Lanes,($BI17*($CH17+BM17)+$CM17*CO17)*Peak_Time_Eve/3600,"-")</f>
        <v>16561.0012665574</v>
      </c>
      <c r="AF17" s="136" t="n">
        <f aca="false">IF(AF$6&lt;Total_Lanes,($BI17*($CH17+BN17)+$CM17*CP17)*Peak_Time_Eve/3600,"-")</f>
        <v>3941.12774376415</v>
      </c>
      <c r="AG17" s="136" t="n">
        <f aca="false">IF(AG$6&lt;Total_Lanes,($BI17*($CH17+BO17)+$CM17*CQ17)*Peak_Time_Eve/3600,"-")</f>
        <v>62.0907687487578</v>
      </c>
      <c r="AH17" s="136" t="n">
        <f aca="false">IF(AH$6&lt;Total_Lanes,($BI17*($CH17+BP17)+$CM17*CR17)*Peak_Time_Eve/3600,"-")</f>
        <v>18.9588822936067</v>
      </c>
      <c r="AI17" s="136" t="n">
        <f aca="false">IF(AI$6&lt;Total_Lanes,($BI17*($CH17+BQ17)+$CM17*CS17)*Peak_Time_Eve/3600,"-")</f>
        <v>20.5487366024375</v>
      </c>
      <c r="AJ17" s="136" t="n">
        <f aca="false">IF(AJ$6&lt;Total_Lanes,($BI17*($CH17+BR17)+$CM17*CT17)*Peak_Time_Eve/3600,"-")</f>
        <v>49.9787109026399</v>
      </c>
      <c r="AK17" s="136" t="n">
        <f aca="false">IF(AK$6&lt;Total_Lanes,($BI17*($CH17+BS17)+$CM17*CU17)*Peak_Time_Eve/3600,"-")</f>
        <v>936.621638347692</v>
      </c>
      <c r="AL17" s="136" t="n">
        <f aca="false">IF(AL$6&lt;Total_Lanes,($BI17*($CH17+BT17)+$CM17*CV17)*Peak_Time_Eve/3600,"-")</f>
        <v>2678.62790471637</v>
      </c>
      <c r="AM17" s="136" t="n">
        <f aca="false">IF(AM$6&lt;Total_Lanes,($BI17*($CH17+BU17)+$CM17*CW17)*Peak_Time_Eve/3600,"-")</f>
        <v>5594.02404807377</v>
      </c>
      <c r="AN17" s="136" t="n">
        <f aca="false">IF(AN$6&lt;Total_Lanes,($BI17*($CH17+BV17)+$CM17*CX17)*Peak_Time_Eve/3600,"-")</f>
        <v>11428.6013008698</v>
      </c>
      <c r="AO17" s="136" t="n">
        <f aca="false">IF(AO$6&lt;Total_Lanes,($BI17*($CH17+BW17)+$CM17*CY17)*Peak_Time_Eve/3600,"-")</f>
        <v>28935.1868231432</v>
      </c>
      <c r="AP17" s="136" t="str">
        <f aca="false">IF(AP$6&lt;Total_Lanes,($BI17*($CH17+BX17)+$CM17*CZ17)*Peak_Time_Eve/3600,"-")</f>
        <v>-</v>
      </c>
      <c r="AQ17" s="136" t="str">
        <f aca="false">IF(AQ$6&lt;Total_Lanes,($BI17*($CH17+BY17)+$CM17*DA17)*Peak_Time_Eve/3600,"-")</f>
        <v>-</v>
      </c>
      <c r="AR17" s="136" t="str">
        <f aca="false">IF(AR$6&lt;Total_Lanes,($BI17*($CH17+BZ17)+$CM17*DB17)*Peak_Time_Eve/3600,"-")</f>
        <v>-</v>
      </c>
      <c r="AS17" s="136" t="str">
        <f aca="false">IF(AS$6&lt;Total_Lanes,($BI17*($CH17+CA17)+$CM17*DC17)*Peak_Time_Eve/3600,"-")</f>
        <v>-</v>
      </c>
      <c r="AT17" s="136" t="str">
        <f aca="false">IF(AT$6&lt;Total_Lanes,($BI17*($CH17+CB17)+$CM17*DD17)*Peak_Time_Eve/3600,"-")</f>
        <v>-</v>
      </c>
      <c r="AU17" s="136" t="str">
        <f aca="false">IF(AU$6&lt;Total_Lanes,($BI17*($CH17+CC17)+$CM17*DE17)*Peak_Time_Eve/3600,"-")</f>
        <v>-</v>
      </c>
      <c r="AV17" s="136" t="str">
        <f aca="false">IF(AV$6&lt;Total_Lanes,($BI17*($CH17+CD17)+$CM17*DF17)*Peak_Time_Eve/3600,"-")</f>
        <v>-</v>
      </c>
      <c r="AW17" s="136" t="str">
        <f aca="false">IF(AW$6&lt;Total_Lanes,($BI17*($CH17+CE17)+$CM17*DG17)*Peak_Time_Eve/3600,"-")</f>
        <v>-</v>
      </c>
      <c r="AX17" s="136" t="str">
        <f aca="false">IF(AX$6&lt;Total_Lanes,($BI17*($CH17+CF17)+$CM17*DH17)*Peak_Time_Eve/3600,"-")</f>
        <v>-</v>
      </c>
      <c r="AY17" s="137" t="str">
        <f aca="false">IF(AY$6&lt;Total_Lanes,($BI17*($CH17+CG17)+$CM17*DI17)*Peak_Time_Eve/3600,"-")</f>
        <v>-</v>
      </c>
      <c r="AZ17" s="158" t="n">
        <f aca="false">SUMIF(AE17:AY17,BA17,$AE$6:$AY$6)</f>
        <v>4</v>
      </c>
      <c r="BA17" s="159" t="n">
        <f aca="false">MIN(AE17:AY17)</f>
        <v>18.9588822936067</v>
      </c>
      <c r="BB17" s="158" t="n">
        <f aca="false">IF((SUMIF($BM15:$CG15,$AZ17,$BM17:$CG17)+$CH17)&lt;(SUMIF($CO15:$DI15,$AZ17,$CO17:$DI17)+$DJ17),AZ17+1,AZ17)</f>
        <v>4</v>
      </c>
      <c r="BC17" s="159" t="n">
        <f aca="false">SUMIF($AE$6:$AY$6,$BB17,$AE17:$AY17)</f>
        <v>18.9588822936067</v>
      </c>
      <c r="BF17" s="50" t="n">
        <v>10</v>
      </c>
      <c r="BG17" s="131" t="n">
        <f aca="false">$X17</f>
        <v>0.588152689932575</v>
      </c>
      <c r="BH17" s="141" t="n">
        <f aca="false">$AC17</f>
        <v>7397.72490027305</v>
      </c>
      <c r="BI17" s="58" t="n">
        <f aca="false">BH17*(1-BG17)</f>
        <v>3046.73310079626</v>
      </c>
      <c r="BJ17" s="143" t="n">
        <f aca="false">Peak_Arrival_Manual/K50</f>
        <v>5.56451948270428</v>
      </c>
      <c r="BK17" s="144" t="n">
        <f aca="false">900*Peak_Time_Eve*(BJ17/Total_Lanes-1+SQRT((BJ17/Total_Lanes-1)^2+8*(BJ17/Total_Lanes)/(Peak_Time_Eve*$K50*Total_Lanes)))</f>
        <v>0.473646863488875</v>
      </c>
      <c r="BL17" s="145" t="n">
        <f aca="false">Peak_Arrival_Manual/N50</f>
        <v>5.74436136712628</v>
      </c>
      <c r="BM17" s="146" t="n">
        <f aca="false">IF(BM$6&lt;Total_Lanes,900*Peak_Time_Eve*(($BL17/(Total_Lanes-BM$6))-1+SQRT((($BL17/(Total_Lanes-BM$6))-1)^2+8*($BL17/(Total_Lanes-BM$6))/(Peak_Time_Eve*$N50*(Total_Lanes-BM$6)))),"-")</f>
        <v>0.674160381283273</v>
      </c>
      <c r="BN17" s="146" t="n">
        <f aca="false">IF(BN$6&lt;Total_Lanes,900*Peak_Time_Eve*(($BL17/(Total_Lanes-BN$6))-1+SQRT((($BL17/(Total_Lanes-BN$6))-1)^2+8*($BL17/(Total_Lanes-BN$6))/(Peak_Time_Eve*$N50*(Total_Lanes-BN$6)))),"-")</f>
        <v>0.915645501565698</v>
      </c>
      <c r="BO17" s="146" t="n">
        <f aca="false">IF(BO$6&lt;Total_Lanes,900*Peak_Time_Eve*(($BL17/(Total_Lanes-BO$6))-1+SQRT((($BL17/(Total_Lanes-BO$6))-1)^2+8*($BL17/(Total_Lanes-BO$6))/(Peak_Time_Eve*$N50*(Total_Lanes-BO$6)))),"-")</f>
        <v>1.32932079323739</v>
      </c>
      <c r="BP17" s="146" t="n">
        <f aca="false">IF(BP$6&lt;Total_Lanes,900*Peak_Time_Eve*(($BL17/(Total_Lanes-BP$6))-1+SQRT((($BL17/(Total_Lanes-BP$6))-1)^2+8*($BL17/(Total_Lanes-BP$6))/(Peak_Time_Eve*$N50*(Total_Lanes-BP$6)))),"-")</f>
        <v>2.15610818784552</v>
      </c>
      <c r="BQ17" s="146" t="n">
        <f aca="false">IF(BQ$6&lt;Total_Lanes,900*Peak_Time_Eve*(($BL17/(Total_Lanes-BQ$6))-1+SQRT((($BL17/(Total_Lanes-BQ$6))-1)^2+8*($BL17/(Total_Lanes-BQ$6))/(Peak_Time_Eve*$N50*(Total_Lanes-BQ$6)))),"-")</f>
        <v>4.4059119803142</v>
      </c>
      <c r="BR17" s="146" t="n">
        <f aca="false">IF(BR$6&lt;Total_Lanes,900*Peak_Time_Eve*(($BL17/(Total_Lanes-BR$6))-1+SQRT((($BL17/(Total_Lanes-BR$6))-1)^2+8*($BL17/(Total_Lanes-BR$6))/(Peak_Time_Eve*$N50*(Total_Lanes-BR$6)))),"-")</f>
        <v>22.2052515106803</v>
      </c>
      <c r="BS17" s="146" t="n">
        <f aca="false">IF(BS$6&lt;Total_Lanes,900*Peak_Time_Eve*(($BL17/(Total_Lanes-BS$6))-1+SQRT((($BL17/(Total_Lanes-BS$6))-1)^2+8*($BL17/(Total_Lanes-BS$6))/(Peak_Time_Eve*$N50*(Total_Lanes-BS$6)))),"-")</f>
        <v>546.219097725942</v>
      </c>
      <c r="BT17" s="146" t="n">
        <f aca="false">IF(BT$6&lt;Total_Lanes,900*Peak_Time_Eve*(($BL17/(Total_Lanes-BT$6))-1+SQRT((($BL17/(Total_Lanes-BT$6))-1)^2+8*($BL17/(Total_Lanes-BT$6))/(Peak_Time_Eve*$N50*(Total_Lanes-BT$6)))),"-")</f>
        <v>1575.49346479317</v>
      </c>
      <c r="BU17" s="146" t="n">
        <f aca="false">IF(BU$6&lt;Total_Lanes,900*Peak_Time_Eve*(($BL17/(Total_Lanes-BU$6))-1+SQRT((($BL17/(Total_Lanes-BU$6))-1)^2+8*($BL17/(Total_Lanes-BU$6))/(Peak_Time_Eve*$N50*(Total_Lanes-BU$6)))),"-")</f>
        <v>3297.96260294118</v>
      </c>
      <c r="BV17" s="146" t="n">
        <f aca="false">IF(BV$6&lt;Total_Lanes,900*Peak_Time_Eve*(($BL17/(Total_Lanes-BV$6))-1+SQRT((($BL17/(Total_Lanes-BV$6))-1)^2+8*($BL17/(Total_Lanes-BV$6))/(Peak_Time_Eve*$N50*(Total_Lanes-BV$6)))),"-")</f>
        <v>6745.05292075071</v>
      </c>
      <c r="BW17" s="146" t="n">
        <f aca="false">IF(BW$6&lt;Total_Lanes,900*Peak_Time_Eve*(($BL17/(Total_Lanes-BW$6))-1+SQRT((($BL17/(Total_Lanes-BW$6))-1)^2+8*($BL17/(Total_Lanes-BW$6))/(Peak_Time_Eve*$N50*(Total_Lanes-BW$6)))),"-")</f>
        <v>17087.9151168356</v>
      </c>
      <c r="BX17" s="136" t="str">
        <f aca="false">IF(BX$6&lt;Total_Lanes,900*Peak_Time_Eve*(($BL17/(Total_Lanes-BX$6))-1+SQRT((($BL17/(Total_Lanes-BX$6))-1)^2+8*($BL17/(Total_Lanes-BX$6))/(Peak_Time_Eve*$N50*(Total_Lanes-BX$6)))),"-")</f>
        <v>-</v>
      </c>
      <c r="BY17" s="136" t="str">
        <f aca="false">IF(BY$6&lt;Total_Lanes,900*Peak_Time_Eve*(($BL17/(Total_Lanes-BY$6))-1+SQRT((($BL17/(Total_Lanes-BY$6))-1)^2+8*($BL17/(Total_Lanes-BY$6))/(Peak_Time_Eve*$N50*(Total_Lanes-BY$6)))),"-")</f>
        <v>-</v>
      </c>
      <c r="BZ17" s="136" t="str">
        <f aca="false">IF(BZ$6&lt;Total_Lanes,900*Peak_Time_Eve*(($BL17/(Total_Lanes-BZ$6))-1+SQRT((($BL17/(Total_Lanes-BZ$6))-1)^2+8*($BL17/(Total_Lanes-BZ$6))/(Peak_Time_Eve*$N50*(Total_Lanes-BZ$6)))),"-")</f>
        <v>-</v>
      </c>
      <c r="CA17" s="136" t="str">
        <f aca="false">IF(CA$6&lt;Total_Lanes,900*Peak_Time_Eve*(($BL17/(Total_Lanes-CA$6))-1+SQRT((($BL17/(Total_Lanes-CA$6))-1)^2+8*($BL17/(Total_Lanes-CA$6))/(Peak_Time_Eve*$N50*(Total_Lanes-CA$6)))),"-")</f>
        <v>-</v>
      </c>
      <c r="CB17" s="136" t="str">
        <f aca="false">IF(CB$6&lt;Total_Lanes,900*Peak_Time_Eve*(($BL17/(Total_Lanes-CB$6))-1+SQRT((($BL17/(Total_Lanes-CB$6))-1)^2+8*($BL17/(Total_Lanes-CB$6))/(Peak_Time_Eve*$N50*(Total_Lanes-CB$6)))),"-")</f>
        <v>-</v>
      </c>
      <c r="CC17" s="136" t="str">
        <f aca="false">IF(CC$6&lt;Total_Lanes,900*Peak_Time_Eve*(($BL17/(Total_Lanes-CC$6))-1+SQRT((($BL17/(Total_Lanes-CC$6))-1)^2+8*($BL17/(Total_Lanes-CC$6))/(Peak_Time_Eve*$N50*(Total_Lanes-CC$6)))),"-")</f>
        <v>-</v>
      </c>
      <c r="CD17" s="136" t="str">
        <f aca="false">IF(CD$6&lt;Total_Lanes,900*Peak_Time_Eve*(($BL17/(Total_Lanes-CD$6))-1+SQRT((($BL17/(Total_Lanes-CD$6))-1)^2+8*($BL17/(Total_Lanes-CD$6))/(Peak_Time_Eve*$N50*(Total_Lanes-CD$6)))),"-")</f>
        <v>-</v>
      </c>
      <c r="CE17" s="136" t="str">
        <f aca="false">IF(CE$6&lt;Total_Lanes,900*Peak_Time_Eve*(($BL17/(Total_Lanes-CE$6))-1+SQRT((($BL17/(Total_Lanes-CE$6))-1)^2+8*($BL17/(Total_Lanes-CE$6))/(Peak_Time_Eve*$N50*(Total_Lanes-CE$6)))),"-")</f>
        <v>-</v>
      </c>
      <c r="CF17" s="136" t="str">
        <f aca="false">IF(CF$6&lt;Total_Lanes,900*Peak_Time_Eve*(($BL17/(Total_Lanes-CF$6))-1+SQRT((($BL17/(Total_Lanes-CF$6))-1)^2+8*($BL17/(Total_Lanes-CF$6))/(Peak_Time_Eve*$N50*(Total_Lanes-CF$6)))),"-")</f>
        <v>-</v>
      </c>
      <c r="CG17" s="147" t="str">
        <f aca="false">IF(CG$6&lt;Total_Lanes,900*Peak_Time_Eve*(($BL17/(Total_Lanes-CG$6))-1+SQRT((($BL17/(Total_Lanes-CG$6))-1)^2+8*($BL17/(Total_Lanes-CG$6))/(Peak_Time_Eve*$N50*(Total_Lanes-CG$6)))),"-")</f>
        <v>-</v>
      </c>
      <c r="CH17" s="160" t="n">
        <f aca="false">3600/N50</f>
        <v>6.7875</v>
      </c>
      <c r="CJ17" s="50" t="n">
        <v>10</v>
      </c>
      <c r="CK17" s="131" t="n">
        <f aca="false">$X17</f>
        <v>0.588152689932575</v>
      </c>
      <c r="CL17" s="57" t="n">
        <f aca="false">$AC17</f>
        <v>7397.72490027305</v>
      </c>
      <c r="CM17" s="135" t="n">
        <f aca="false">CL17*CK17</f>
        <v>4350.99179947679</v>
      </c>
      <c r="CN17" s="161" t="n">
        <f aca="false">CM17/O49</f>
        <v>2.90066119965119</v>
      </c>
      <c r="CO17" s="146" t="n">
        <f aca="false">IF(CO$6&lt;Total_Lanes,900*Peak_Time_Eve*(($CN17/CO$6-1)+SQRT(($CN17/CO$6-1)^2+8*($CN17/CO$6)/(Peak_Time_Eve*$O50*CO$6))),"-")</f>
        <v>6846.04107866042</v>
      </c>
      <c r="CP17" s="146" t="n">
        <f aca="false">IF(CP$6&lt;Total_Lanes,900*Peak_Time_Eve*(($CN17/CP$6-1)+SQRT(($CN17/CP$6-1)^2+8*($CN17/CP$6)/(Peak_Time_Eve*$O50*CP$6))),"-")</f>
        <v>1625.04569906242</v>
      </c>
      <c r="CQ17" s="164" t="n">
        <f aca="false">IF(CQ$6&lt;Total_Lanes,900*Peak_Time_Eve*(($CN17/CQ$6-1)+SQRT(($CN17/CQ$6-1)^2+8*($CN17/CQ$6)/(Peak_Time_Eve*$O50*CQ$6))),"-")</f>
        <v>20.0031627672206</v>
      </c>
      <c r="CR17" s="164" t="n">
        <f aca="false">IF(CR$6&lt;Total_Lanes,900*Peak_Time_Eve*(($CN17/CR$6-1)+SQRT(($CN17/CR$6-1)^2+8*($CN17/CR$6)/(Peak_Time_Eve*$O50*CR$6))),"-")</f>
        <v>1.5806053743557</v>
      </c>
      <c r="CS17" s="164" t="n">
        <f aca="false">IF(CS$6&lt;Total_Lanes,900*Peak_Time_Eve*(($CN17/CS$6-1)+SQRT(($CN17/CS$6-1)^2+8*($CN17/CS$6)/(Peak_Time_Eve*$O50*CS$6))),"-")</f>
        <v>0.662926345543013</v>
      </c>
      <c r="CT17" s="164" t="n">
        <f aca="false">IF(CT$6&lt;Total_Lanes,900*Peak_Time_Eve*(($CN17/CT$6-1)+SQRT(($CN17/CT$6-1)^2+8*($CN17/CT$6)/(Peak_Time_Eve*$O50*CT$6))),"-")</f>
        <v>0.37428337929688</v>
      </c>
      <c r="CU17" s="164" t="n">
        <f aca="false">IF(CU$6&lt;Total_Lanes,900*Peak_Time_Eve*(($CN17/CU$6-1)+SQRT(($CN17/CU$6-1)^2+8*($CN17/CU$6)/(Peak_Time_Eve*$O50*CU$6))),"-")</f>
        <v>0.242575215982233</v>
      </c>
      <c r="CV17" s="164" t="n">
        <f aca="false">IF(CV$6&lt;Total_Lanes,900*Peak_Time_Eve*(($CN17/CV$6-1)+SQRT(($CN17/CV$6-1)^2+8*($CN17/CV$6)/(Peak_Time_Eve*$O50*CV$6))),"-")</f>
        <v>0.17063656483336</v>
      </c>
      <c r="CW17" s="164" t="n">
        <f aca="false">IF(CW$6&lt;Total_Lanes,900*Peak_Time_Eve*(($CN17/CW$6-1)+SQRT(($CN17/CW$6-1)^2+8*($CN17/CW$6)/(Peak_Time_Eve*$O50*CW$6))),"-")</f>
        <v>0.126812016079003</v>
      </c>
      <c r="CX17" s="164" t="n">
        <f aca="false">IF(CX$6&lt;Total_Lanes,900*Peak_Time_Eve*(($CN17/CX$6-1)+SQRT(($CN17/CX$6-1)^2+8*($CN17/CX$6)/(Peak_Time_Eve*$O50*CX$6))),"-")</f>
        <v>0.0980558893270089</v>
      </c>
      <c r="CY17" s="164" t="n">
        <f aca="false">IF(CY$6&lt;Total_Lanes,900*Peak_Time_Eve*(($CN17/CY$6-1)+SQRT(($CN17/CY$6-1)^2+8*($CN17/CY$6)/(Peak_Time_Eve*$O50*CY$6))),"-")</f>
        <v>0.0781363633517218</v>
      </c>
      <c r="CZ17" s="165" t="str">
        <f aca="false">IF(CZ$6&lt;Total_Lanes,900*Peak_Time_Eve*(($CN17/CZ$6-1)+SQRT(($CN17/CZ$6-1)^2+8*($CN17/CZ$6)/(Peak_Time_Eve*$O50*CZ$6))),"-")</f>
        <v>-</v>
      </c>
      <c r="DA17" s="165" t="str">
        <f aca="false">IF(DA$6&lt;Total_Lanes,900*Peak_Time_Eve*(($CN17/DA$6-1)+SQRT(($CN17/DA$6-1)^2+8*($CN17/DA$6)/(Peak_Time_Eve*$O50*DA$6))),"-")</f>
        <v>-</v>
      </c>
      <c r="DB17" s="165" t="str">
        <f aca="false">IF(DB$6&lt;Total_Lanes,900*Peak_Time_Eve*(($CN17/DB$6-1)+SQRT(($CN17/DB$6-1)^2+8*($CN17/DB$6)/(Peak_Time_Eve*$O50*DB$6))),"-")</f>
        <v>-</v>
      </c>
      <c r="DC17" s="165" t="str">
        <f aca="false">IF(DC$6&lt;Total_Lanes,900*Peak_Time_Eve*(($CN17/DC$6-1)+SQRT(($CN17/DC$6-1)^2+8*($CN17/DC$6)/(Peak_Time_Eve*$O50*DC$6))),"-")</f>
        <v>-</v>
      </c>
      <c r="DD17" s="165" t="str">
        <f aca="false">IF(DD$6&lt;Total_Lanes,900*Peak_Time_Eve*(($CN17/DD$6-1)+SQRT(($CN17/DD$6-1)^2+8*($CN17/DD$6)/(Peak_Time_Eve*$O50*DD$6))),"-")</f>
        <v>-</v>
      </c>
      <c r="DE17" s="165" t="str">
        <f aca="false">IF(DE$6&lt;Total_Lanes,900*Peak_Time_Eve*(($CN17/DE$6-1)+SQRT(($CN17/DE$6-1)^2+8*($CN17/DE$6)/(Peak_Time_Eve*$O50*DE$6))),"-")</f>
        <v>-</v>
      </c>
      <c r="DF17" s="165" t="str">
        <f aca="false">IF(DF$6&lt;Total_Lanes,900*Peak_Time_Eve*(($CN17/DF$6-1)+SQRT(($CN17/DF$6-1)^2+8*($CN17/DF$6)/(Peak_Time_Eve*$O50*DF$6))),"-")</f>
        <v>-</v>
      </c>
      <c r="DG17" s="165" t="str">
        <f aca="false">IF(DG$6&lt;Total_Lanes,900*Peak_Time_Eve*(($CN17/DG$6-1)+SQRT(($CN17/DG$6-1)^2+8*($CN17/DG$6)/(Peak_Time_Eve*$O50*DG$6))),"-")</f>
        <v>-</v>
      </c>
      <c r="DH17" s="165" t="str">
        <f aca="false">IF(DH$6&lt;Total_Lanes,900*Peak_Time_Eve*(($CN17/DH$6-1)+SQRT(($CN17/DH$6-1)^2+8*($CN17/DH$6)/(Peak_Time_Eve*$O50*DH$6))),"-")</f>
        <v>-</v>
      </c>
      <c r="DI17" s="166" t="str">
        <f aca="false">IF(DI$6&lt;Total_Lanes,900*Peak_Time_Eve*(($CN17/DI$6-1)+SQRT(($CN17/DI$6-1)^2+8*($CN17/DI$6)/(Peak_Time_Eve*$O50*DI$6))),"-")</f>
        <v>-</v>
      </c>
      <c r="DJ17" s="167" t="n">
        <f aca="false">3600/O50</f>
        <v>2.4</v>
      </c>
    </row>
    <row r="18" customFormat="false" ht="12.75" hidden="false" customHeight="false" outlineLevel="0" collapsed="false">
      <c r="H18" s="50" t="n">
        <v>11</v>
      </c>
      <c r="I18" s="124" t="n">
        <f aca="false">'Input-Detail'!E25</f>
        <v>25057277.85</v>
      </c>
      <c r="J18" s="131" t="n">
        <v>0.57370976448128</v>
      </c>
      <c r="K18" s="57" t="n">
        <f aca="false">AC18</f>
        <v>7563.49739030035</v>
      </c>
      <c r="L18" s="135" t="n">
        <f aca="false">AD65</f>
        <v>12.5179584743665</v>
      </c>
      <c r="M18" s="150" t="n">
        <f aca="false">AD18</f>
        <v>29.7651572038405</v>
      </c>
      <c r="N18" s="150" t="n">
        <f aca="false">SUM(L18:M18)</f>
        <v>42.283115678207</v>
      </c>
      <c r="O18" s="154" t="n">
        <f aca="false">$S$34*N18</f>
        <v>10993.6100763338</v>
      </c>
      <c r="P18" s="135" t="n">
        <f aca="false">BC65</f>
        <v>5.71899494217504</v>
      </c>
      <c r="Q18" s="150" t="n">
        <f aca="false">BC18</f>
        <v>20.418514703219</v>
      </c>
      <c r="R18" s="150" t="n">
        <f aca="false">SUM(P18:Q18)</f>
        <v>26.137509645394</v>
      </c>
      <c r="S18" s="155" t="n">
        <f aca="false">$S$34*R18</f>
        <v>6795.75250780245</v>
      </c>
      <c r="T18" s="1"/>
      <c r="U18" s="1"/>
      <c r="V18" s="50" t="n">
        <v>11</v>
      </c>
      <c r="W18" s="132" t="n">
        <f aca="false">W$7+(W$27-W$7)*$V18/20</f>
        <v>25057277.85</v>
      </c>
      <c r="X18" s="131" t="n">
        <f aca="false">MIN((J17+0.05),0.95)</f>
        <v>0.581731128248894</v>
      </c>
      <c r="Y18" s="132" t="n">
        <f aca="false">'Input-Detail'!E25/Z18</f>
        <v>10804.9962718576</v>
      </c>
      <c r="Z18" s="156" t="n">
        <f aca="false">Z17</f>
        <v>2319.04548780488</v>
      </c>
      <c r="AA18" s="156" t="n">
        <f aca="false">AA17</f>
        <v>2</v>
      </c>
      <c r="AB18" s="157" t="n">
        <f aca="false">AB17</f>
        <v>0.7</v>
      </c>
      <c r="AC18" s="57" t="n">
        <f aca="false">Y18*AB18</f>
        <v>7563.49739030035</v>
      </c>
      <c r="AD18" s="135" t="n">
        <f aca="false">Peak_Time_Eve*$BH18*(3600/K51+BK18)/3600</f>
        <v>29.7651572038405</v>
      </c>
      <c r="AE18" s="136" t="n">
        <f aca="false">IF(AE$6&lt;Total_Lanes,($BI18*($CH18+BM18)+$CM18*CO18)*Peak_Time_Eve/3600,"-")</f>
        <v>17034.7328837744</v>
      </c>
      <c r="AF18" s="136" t="n">
        <f aca="false">IF(AF$6&lt;Total_Lanes,($BI18*($CH18+BN18)+$CM18*CP18)*Peak_Time_Eve/3600,"-")</f>
        <v>4129.31119859952</v>
      </c>
      <c r="AG18" s="136" t="n">
        <f aca="false">IF(AG$6&lt;Total_Lanes,($BI18*($CH18+BO18)+$CM18*CQ18)*Peak_Time_Eve/3600,"-")</f>
        <v>79.2310122222896</v>
      </c>
      <c r="AH18" s="136" t="n">
        <f aca="false">IF(AH$6&lt;Total_Lanes,($BI18*($CH18+BP18)+$CM18*CR18)*Peak_Time_Eve/3600,"-")</f>
        <v>20.418514703219</v>
      </c>
      <c r="AI18" s="136" t="n">
        <f aca="false">IF(AI$6&lt;Total_Lanes,($BI18*($CH18+BQ18)+$CM18*CS18)*Peak_Time_Eve/3600,"-")</f>
        <v>23.5843231037841</v>
      </c>
      <c r="AJ18" s="136" t="n">
        <f aca="false">IF(AJ$6&lt;Total_Lanes,($BI18*($CH18+BR18)+$CM18*CT18)*Peak_Time_Eve/3600,"-")</f>
        <v>116.63578956802</v>
      </c>
      <c r="AK18" s="136" t="n">
        <f aca="false">IF(AK$6&lt;Total_Lanes,($BI18*($CH18+BS18)+$CM18*CU18)*Peak_Time_Eve/3600,"-")</f>
        <v>1271.30525735013</v>
      </c>
      <c r="AL18" s="136" t="n">
        <f aca="false">IF(AL$6&lt;Total_Lanes,($BI18*($CH18+BT18)+$CM18*CV18)*Peak_Time_Eve/3600,"-")</f>
        <v>3158.60075485432</v>
      </c>
      <c r="AM18" s="136" t="n">
        <f aca="false">IF(AM$6&lt;Total_Lanes,($BI18*($CH18+BU18)+$CM18*CW18)*Peak_Time_Eve/3600,"-")</f>
        <v>6312.26889717746</v>
      </c>
      <c r="AN18" s="136" t="n">
        <f aca="false">IF(AN$6&lt;Total_Lanes,($BI18*($CH18+BV18)+$CM18*CX18)*Peak_Time_Eve/3600,"-")</f>
        <v>12622.7625515758</v>
      </c>
      <c r="AO18" s="136" t="n">
        <f aca="false">IF(AO$6&lt;Total_Lanes,($BI18*($CH18+BW18)+$CM18*CY18)*Peak_Time_Eve/3600,"-")</f>
        <v>31556.8156298387</v>
      </c>
      <c r="AP18" s="136" t="str">
        <f aca="false">IF(AP$6&lt;Total_Lanes,($BI18*($CH18+BX18)+$CM18*CZ18)*Peak_Time_Eve/3600,"-")</f>
        <v>-</v>
      </c>
      <c r="AQ18" s="136" t="str">
        <f aca="false">IF(AQ$6&lt;Total_Lanes,($BI18*($CH18+BY18)+$CM18*DA18)*Peak_Time_Eve/3600,"-")</f>
        <v>-</v>
      </c>
      <c r="AR18" s="136" t="str">
        <f aca="false">IF(AR$6&lt;Total_Lanes,($BI18*($CH18+BZ18)+$CM18*DB18)*Peak_Time_Eve/3600,"-")</f>
        <v>-</v>
      </c>
      <c r="AS18" s="136" t="str">
        <f aca="false">IF(AS$6&lt;Total_Lanes,($BI18*($CH18+CA18)+$CM18*DC18)*Peak_Time_Eve/3600,"-")</f>
        <v>-</v>
      </c>
      <c r="AT18" s="136" t="str">
        <f aca="false">IF(AT$6&lt;Total_Lanes,($BI18*($CH18+CB18)+$CM18*DD18)*Peak_Time_Eve/3600,"-")</f>
        <v>-</v>
      </c>
      <c r="AU18" s="136" t="str">
        <f aca="false">IF(AU$6&lt;Total_Lanes,($BI18*($CH18+CC18)+$CM18*DE18)*Peak_Time_Eve/3600,"-")</f>
        <v>-</v>
      </c>
      <c r="AV18" s="136" t="str">
        <f aca="false">IF(AV$6&lt;Total_Lanes,($BI18*($CH18+CD18)+$CM18*DF18)*Peak_Time_Eve/3600,"-")</f>
        <v>-</v>
      </c>
      <c r="AW18" s="136" t="str">
        <f aca="false">IF(AW$6&lt;Total_Lanes,($BI18*($CH18+CE18)+$CM18*DG18)*Peak_Time_Eve/3600,"-")</f>
        <v>-</v>
      </c>
      <c r="AX18" s="136" t="str">
        <f aca="false">IF(AX$6&lt;Total_Lanes,($BI18*($CH18+CF18)+$CM18*DH18)*Peak_Time_Eve/3600,"-")</f>
        <v>-</v>
      </c>
      <c r="AY18" s="137" t="str">
        <f aca="false">IF(AY$6&lt;Total_Lanes,($BI18*($CH18+CG18)+$CM18*DI18)*Peak_Time_Eve/3600,"-")</f>
        <v>-</v>
      </c>
      <c r="AZ18" s="158" t="n">
        <f aca="false">SUMIF(AE18:AY18,BA18,$AE$6:$AY$6)</f>
        <v>4</v>
      </c>
      <c r="BA18" s="159" t="n">
        <f aca="false">MIN(AE18:AY18)</f>
        <v>20.418514703219</v>
      </c>
      <c r="BB18" s="158" t="n">
        <f aca="false">IF((SUMIF($BM16:$CG16,$AZ18,$BM18:$CG18)+$CH18)&lt;(SUMIF($CO16:$DI16,$AZ18,$CO18:$DI18)+$DJ18),AZ18+1,AZ18)</f>
        <v>4</v>
      </c>
      <c r="BC18" s="159" t="n">
        <f aca="false">SUMIF($AE$6:$AY$6,$BB18,$AE18:$AY18)</f>
        <v>20.418514703219</v>
      </c>
      <c r="BF18" s="50" t="n">
        <v>11</v>
      </c>
      <c r="BG18" s="131" t="n">
        <f aca="false">$X18</f>
        <v>0.581731128248894</v>
      </c>
      <c r="BH18" s="141" t="n">
        <f aca="false">$AC18</f>
        <v>7563.49739030035</v>
      </c>
      <c r="BI18" s="58" t="n">
        <f aca="false">BH18*(1-BG18)</f>
        <v>3163.57551993336</v>
      </c>
      <c r="BJ18" s="143" t="n">
        <f aca="false">Peak_Arrival_Manual/K51</f>
        <v>5.77791917876719</v>
      </c>
      <c r="BK18" s="144" t="n">
        <f aca="false">900*Peak_Time_Eve*(BJ18/Total_Lanes-1+SQRT((BJ18/Total_Lanes-1)^2+8*(BJ18/Total_Lanes)/(Peak_Time_Eve*$K51*Total_Lanes)))</f>
        <v>0.508665162048172</v>
      </c>
      <c r="BL18" s="145" t="n">
        <f aca="false">Peak_Arrival_Manual/N51</f>
        <v>5.98333189481842</v>
      </c>
      <c r="BM18" s="146" t="n">
        <f aca="false">IF(BM$6&lt;Total_Lanes,900*Peak_Time_Eve*(($BL18/(Total_Lanes-BM$6))-1+SQRT((($BL18/(Total_Lanes-BM$6))-1)^2+8*($BL18/(Total_Lanes-BM$6))/(Peak_Time_Eve*$N51*(Total_Lanes-BM$6)))),"-")</f>
        <v>0.737916594560184</v>
      </c>
      <c r="BN18" s="146" t="n">
        <f aca="false">IF(BN$6&lt;Total_Lanes,900*Peak_Time_Eve*(($BL18/(Total_Lanes-BN$6))-1+SQRT((($BL18/(Total_Lanes-BN$6))-1)^2+8*($BL18/(Total_Lanes-BN$6))/(Peak_Time_Eve*$N51*(Total_Lanes-BN$6)))),"-")</f>
        <v>1.0135384594144</v>
      </c>
      <c r="BO18" s="146" t="n">
        <f aca="false">IF(BO$6&lt;Total_Lanes,900*Peak_Time_Eve*(($BL18/(Total_Lanes-BO$6))-1+SQRT((($BL18/(Total_Lanes-BO$6))-1)^2+8*($BL18/(Total_Lanes-BO$6))/(Peak_Time_Eve*$N51*(Total_Lanes-BO$6)))),"-")</f>
        <v>1.49865404962098</v>
      </c>
      <c r="BP18" s="146" t="n">
        <f aca="false">IF(BP$6&lt;Total_Lanes,900*Peak_Time_Eve*(($BL18/(Total_Lanes-BP$6))-1+SQRT((($BL18/(Total_Lanes-BP$6))-1)^2+8*($BL18/(Total_Lanes-BP$6))/(Peak_Time_Eve*$N51*(Total_Lanes-BP$6)))),"-")</f>
        <v>2.51815606707937</v>
      </c>
      <c r="BQ18" s="146" t="n">
        <f aca="false">IF(BQ$6&lt;Total_Lanes,900*Peak_Time_Eve*(($BL18/(Total_Lanes-BQ$6))-1+SQRT((($BL18/(Total_Lanes-BQ$6))-1)^2+8*($BL18/(Total_Lanes-BQ$6))/(Peak_Time_Eve*$N51*(Total_Lanes-BQ$6)))),"-")</f>
        <v>5.66310565693218</v>
      </c>
      <c r="BR18" s="146" t="n">
        <f aca="false">IF(BR$6&lt;Total_Lanes,900*Peak_Time_Eve*(($BL18/(Total_Lanes-BR$6))-1+SQRT((($BL18/(Total_Lanes-BR$6))-1)^2+8*($BL18/(Total_Lanes-BR$6))/(Peak_Time_Eve*$N51*(Total_Lanes-BR$6)))),"-")</f>
        <v>59.0222630124941</v>
      </c>
      <c r="BS18" s="146" t="n">
        <f aca="false">IF(BS$6&lt;Total_Lanes,900*Peak_Time_Eve*(($BL18/(Total_Lanes-BS$6))-1+SQRT((($BL18/(Total_Lanes-BS$6))-1)^2+8*($BL18/(Total_Lanes-BS$6))/(Peak_Time_Eve*$N51*(Total_Lanes-BS$6)))),"-")</f>
        <v>716.190110038195</v>
      </c>
      <c r="BT18" s="146" t="n">
        <f aca="false">IF(BT$6&lt;Total_Lanes,900*Peak_Time_Eve*(($BL18/(Total_Lanes-BT$6))-1+SQRT((($BL18/(Total_Lanes-BT$6))-1)^2+8*($BL18/(Total_Lanes-BT$6))/(Peak_Time_Eve*$N51*(Total_Lanes-BT$6)))),"-")</f>
        <v>1790.11918979147</v>
      </c>
      <c r="BU18" s="146" t="n">
        <f aca="false">IF(BU$6&lt;Total_Lanes,900*Peak_Time_Eve*(($BL18/(Total_Lanes-BU$6))-1+SQRT((($BL18/(Total_Lanes-BU$6))-1)^2+8*($BL18/(Total_Lanes-BU$6))/(Peak_Time_Eve*$N51*(Total_Lanes-BU$6)))),"-")</f>
        <v>3584.54434793652</v>
      </c>
      <c r="BV18" s="146" t="n">
        <f aca="false">IF(BV$6&lt;Total_Lanes,900*Peak_Time_Eve*(($BL18/(Total_Lanes-BV$6))-1+SQRT((($BL18/(Total_Lanes-BV$6))-1)^2+8*($BL18/(Total_Lanes-BV$6))/(Peak_Time_Eve*$N51*(Total_Lanes-BV$6)))),"-")</f>
        <v>7175.10745399585</v>
      </c>
      <c r="BW18" s="146" t="n">
        <f aca="false">IF(BW$6&lt;Total_Lanes,900*Peak_Time_Eve*(($BL18/(Total_Lanes-BW$6))-1+SQRT((($BL18/(Total_Lanes-BW$6))-1)^2+8*($BL18/(Total_Lanes-BW$6))/(Peak_Time_Eve*$N51*(Total_Lanes-BW$6)))),"-")</f>
        <v>17948.1661541989</v>
      </c>
      <c r="BX18" s="136" t="str">
        <f aca="false">IF(BX$6&lt;Total_Lanes,900*Peak_Time_Eve*(($BL18/(Total_Lanes-BX$6))-1+SQRT((($BL18/(Total_Lanes-BX$6))-1)^2+8*($BL18/(Total_Lanes-BX$6))/(Peak_Time_Eve*$N51*(Total_Lanes-BX$6)))),"-")</f>
        <v>-</v>
      </c>
      <c r="BY18" s="136" t="str">
        <f aca="false">IF(BY$6&lt;Total_Lanes,900*Peak_Time_Eve*(($BL18/(Total_Lanes-BY$6))-1+SQRT((($BL18/(Total_Lanes-BY$6))-1)^2+8*($BL18/(Total_Lanes-BY$6))/(Peak_Time_Eve*$N51*(Total_Lanes-BY$6)))),"-")</f>
        <v>-</v>
      </c>
      <c r="BZ18" s="136" t="str">
        <f aca="false">IF(BZ$6&lt;Total_Lanes,900*Peak_Time_Eve*(($BL18/(Total_Lanes-BZ$6))-1+SQRT((($BL18/(Total_Lanes-BZ$6))-1)^2+8*($BL18/(Total_Lanes-BZ$6))/(Peak_Time_Eve*$N51*(Total_Lanes-BZ$6)))),"-")</f>
        <v>-</v>
      </c>
      <c r="CA18" s="136" t="str">
        <f aca="false">IF(CA$6&lt;Total_Lanes,900*Peak_Time_Eve*(($BL18/(Total_Lanes-CA$6))-1+SQRT((($BL18/(Total_Lanes-CA$6))-1)^2+8*($BL18/(Total_Lanes-CA$6))/(Peak_Time_Eve*$N51*(Total_Lanes-CA$6)))),"-")</f>
        <v>-</v>
      </c>
      <c r="CB18" s="136" t="str">
        <f aca="false">IF(CB$6&lt;Total_Lanes,900*Peak_Time_Eve*(($BL18/(Total_Lanes-CB$6))-1+SQRT((($BL18/(Total_Lanes-CB$6))-1)^2+8*($BL18/(Total_Lanes-CB$6))/(Peak_Time_Eve*$N51*(Total_Lanes-CB$6)))),"-")</f>
        <v>-</v>
      </c>
      <c r="CC18" s="136" t="str">
        <f aca="false">IF(CC$6&lt;Total_Lanes,900*Peak_Time_Eve*(($BL18/(Total_Lanes-CC$6))-1+SQRT((($BL18/(Total_Lanes-CC$6))-1)^2+8*($BL18/(Total_Lanes-CC$6))/(Peak_Time_Eve*$N51*(Total_Lanes-CC$6)))),"-")</f>
        <v>-</v>
      </c>
      <c r="CD18" s="136" t="str">
        <f aca="false">IF(CD$6&lt;Total_Lanes,900*Peak_Time_Eve*(($BL18/(Total_Lanes-CD$6))-1+SQRT((($BL18/(Total_Lanes-CD$6))-1)^2+8*($BL18/(Total_Lanes-CD$6))/(Peak_Time_Eve*$N51*(Total_Lanes-CD$6)))),"-")</f>
        <v>-</v>
      </c>
      <c r="CE18" s="136" t="str">
        <f aca="false">IF(CE$6&lt;Total_Lanes,900*Peak_Time_Eve*(($BL18/(Total_Lanes-CE$6))-1+SQRT((($BL18/(Total_Lanes-CE$6))-1)^2+8*($BL18/(Total_Lanes-CE$6))/(Peak_Time_Eve*$N51*(Total_Lanes-CE$6)))),"-")</f>
        <v>-</v>
      </c>
      <c r="CF18" s="136" t="str">
        <f aca="false">IF(CF$6&lt;Total_Lanes,900*Peak_Time_Eve*(($BL18/(Total_Lanes-CF$6))-1+SQRT((($BL18/(Total_Lanes-CF$6))-1)^2+8*($BL18/(Total_Lanes-CF$6))/(Peak_Time_Eve*$N51*(Total_Lanes-CF$6)))),"-")</f>
        <v>-</v>
      </c>
      <c r="CG18" s="147" t="str">
        <f aca="false">IF(CG$6&lt;Total_Lanes,900*Peak_Time_Eve*(($BL18/(Total_Lanes-CG$6))-1+SQRT((($BL18/(Total_Lanes-CG$6))-1)^2+8*($BL18/(Total_Lanes-CG$6))/(Peak_Time_Eve*$N51*(Total_Lanes-CG$6)))),"-")</f>
        <v>-</v>
      </c>
      <c r="CH18" s="160" t="n">
        <f aca="false">3600/N51</f>
        <v>6.80875</v>
      </c>
      <c r="CJ18" s="50" t="n">
        <v>11</v>
      </c>
      <c r="CK18" s="131" t="n">
        <f aca="false">$X18</f>
        <v>0.581731128248894</v>
      </c>
      <c r="CL18" s="57" t="n">
        <f aca="false">$AC18</f>
        <v>7563.49739030035</v>
      </c>
      <c r="CM18" s="135" t="n">
        <f aca="false">CL18*CK18</f>
        <v>4399.92187036699</v>
      </c>
      <c r="CN18" s="161" t="n">
        <f aca="false">CM18/O50</f>
        <v>2.93328124691132</v>
      </c>
      <c r="CO18" s="146" t="n">
        <f aca="false">IF(CO$6&lt;Total_Lanes,900*Peak_Time_Eve*(($CN18/CO$6-1)+SQRT(($CN18/CO$6-1)^2+8*($CN18/CO$6)/(Peak_Time_Eve*$O51*CO$6))),"-")</f>
        <v>6963.45199841987</v>
      </c>
      <c r="CP18" s="146" t="n">
        <f aca="false">IF(CP$6&lt;Total_Lanes,900*Peak_Time_Eve*(($CN18/CP$6-1)+SQRT(($CN18/CP$6-1)^2+8*($CN18/CP$6)/(Peak_Time_Eve*$O51*CP$6))),"-")</f>
        <v>1683.66938674327</v>
      </c>
      <c r="CQ18" s="146" t="n">
        <f aca="false">IF(CQ$6&lt;Total_Lanes,900*Peak_Time_Eve*(($CN18/CQ$6-1)+SQRT(($CN18/CQ$6-1)^2+8*($CN18/CQ$6)/(Peak_Time_Eve*$O51*CQ$6))),"-")</f>
        <v>26.4401790172792</v>
      </c>
      <c r="CR18" s="164" t="n">
        <f aca="false">IF(CR$6&lt;Total_Lanes,900*Peak_Time_Eve*(($CN18/CR$6-1)+SQRT(($CN18/CR$6-1)^2+8*($CN18/CR$6)/(Peak_Time_Eve*$O51*CR$6))),"-")</f>
        <v>1.64706441813692</v>
      </c>
      <c r="CS18" s="164" t="n">
        <f aca="false">IF(CS$6&lt;Total_Lanes,900*Peak_Time_Eve*(($CN18/CS$6-1)+SQRT(($CN18/CS$6-1)^2+8*($CN18/CS$6)/(Peak_Time_Eve*$O51*CS$6))),"-")</f>
        <v>0.680949441983692</v>
      </c>
      <c r="CT18" s="164" t="n">
        <f aca="false">IF(CT$6&lt;Total_Lanes,900*Peak_Time_Eve*(($CN18/CT$6-1)+SQRT(($CN18/CT$6-1)^2+8*($CN18/CT$6)/(Peak_Time_Eve*$O51*CT$6))),"-")</f>
        <v>0.382515883982038</v>
      </c>
      <c r="CU18" s="164" t="n">
        <f aca="false">IF(CU$6&lt;Total_Lanes,900*Peak_Time_Eve*(($CN18/CU$6-1)+SQRT(($CN18/CU$6-1)^2+8*($CN18/CU$6)/(Peak_Time_Eve*$O51*CU$6))),"-")</f>
        <v>0.247269998361088</v>
      </c>
      <c r="CV18" s="164" t="n">
        <f aca="false">IF(CV$6&lt;Total_Lanes,900*Peak_Time_Eve*(($CN18/CV$6-1)+SQRT(($CN18/CV$6-1)^2+8*($CN18/CV$6)/(Peak_Time_Eve*$O51*CV$6))),"-")</f>
        <v>0.173666113102211</v>
      </c>
      <c r="CW18" s="164" t="n">
        <f aca="false">IF(CW$6&lt;Total_Lanes,900*Peak_Time_Eve*(($CN18/CW$6-1)+SQRT(($CN18/CW$6-1)^2+8*($CN18/CW$6)/(Peak_Time_Eve*$O51*CW$6))),"-")</f>
        <v>0.128927482648122</v>
      </c>
      <c r="CX18" s="164" t="n">
        <f aca="false">IF(CX$6&lt;Total_Lanes,900*Peak_Time_Eve*(($CN18/CX$6-1)+SQRT(($CN18/CX$6-1)^2+8*($CN18/CX$6)/(Peak_Time_Eve*$O51*CX$6))),"-")</f>
        <v>0.0996162375878074</v>
      </c>
      <c r="CY18" s="164" t="n">
        <f aca="false">IF(CY$6&lt;Total_Lanes,900*Peak_Time_Eve*(($CN18/CY$6-1)+SQRT(($CN18/CY$6-1)^2+8*($CN18/CY$6)/(Peak_Time_Eve*$O51*CY$6))),"-")</f>
        <v>0.0793345378347521</v>
      </c>
      <c r="CZ18" s="165" t="str">
        <f aca="false">IF(CZ$6&lt;Total_Lanes,900*Peak_Time_Eve*(($CN18/CZ$6-1)+SQRT(($CN18/CZ$6-1)^2+8*($CN18/CZ$6)/(Peak_Time_Eve*$O51*CZ$6))),"-")</f>
        <v>-</v>
      </c>
      <c r="DA18" s="165" t="str">
        <f aca="false">IF(DA$6&lt;Total_Lanes,900*Peak_Time_Eve*(($CN18/DA$6-1)+SQRT(($CN18/DA$6-1)^2+8*($CN18/DA$6)/(Peak_Time_Eve*$O51*DA$6))),"-")</f>
        <v>-</v>
      </c>
      <c r="DB18" s="165" t="str">
        <f aca="false">IF(DB$6&lt;Total_Lanes,900*Peak_Time_Eve*(($CN18/DB$6-1)+SQRT(($CN18/DB$6-1)^2+8*($CN18/DB$6)/(Peak_Time_Eve*$O51*DB$6))),"-")</f>
        <v>-</v>
      </c>
      <c r="DC18" s="165" t="str">
        <f aca="false">IF(DC$6&lt;Total_Lanes,900*Peak_Time_Eve*(($CN18/DC$6-1)+SQRT(($CN18/DC$6-1)^2+8*($CN18/DC$6)/(Peak_Time_Eve*$O51*DC$6))),"-")</f>
        <v>-</v>
      </c>
      <c r="DD18" s="165" t="str">
        <f aca="false">IF(DD$6&lt;Total_Lanes,900*Peak_Time_Eve*(($CN18/DD$6-1)+SQRT(($CN18/DD$6-1)^2+8*($CN18/DD$6)/(Peak_Time_Eve*$O51*DD$6))),"-")</f>
        <v>-</v>
      </c>
      <c r="DE18" s="165" t="str">
        <f aca="false">IF(DE$6&lt;Total_Lanes,900*Peak_Time_Eve*(($CN18/DE$6-1)+SQRT(($CN18/DE$6-1)^2+8*($CN18/DE$6)/(Peak_Time_Eve*$O51*DE$6))),"-")</f>
        <v>-</v>
      </c>
      <c r="DF18" s="165" t="str">
        <f aca="false">IF(DF$6&lt;Total_Lanes,900*Peak_Time_Eve*(($CN18/DF$6-1)+SQRT(($CN18/DF$6-1)^2+8*($CN18/DF$6)/(Peak_Time_Eve*$O51*DF$6))),"-")</f>
        <v>-</v>
      </c>
      <c r="DG18" s="165" t="str">
        <f aca="false">IF(DG$6&lt;Total_Lanes,900*Peak_Time_Eve*(($CN18/DG$6-1)+SQRT(($CN18/DG$6-1)^2+8*($CN18/DG$6)/(Peak_Time_Eve*$O51*DG$6))),"-")</f>
        <v>-</v>
      </c>
      <c r="DH18" s="165" t="str">
        <f aca="false">IF(DH$6&lt;Total_Lanes,900*Peak_Time_Eve*(($CN18/DH$6-1)+SQRT(($CN18/DH$6-1)^2+8*($CN18/DH$6)/(Peak_Time_Eve*$O51*DH$6))),"-")</f>
        <v>-</v>
      </c>
      <c r="DI18" s="166" t="str">
        <f aca="false">IF(DI$6&lt;Total_Lanes,900*Peak_Time_Eve*(($CN18/DI$6-1)+SQRT(($CN18/DI$6-1)^2+8*($CN18/DI$6)/(Peak_Time_Eve*$O51*DI$6))),"-")</f>
        <v>-</v>
      </c>
      <c r="DJ18" s="167" t="n">
        <f aca="false">3600/O51</f>
        <v>2.4</v>
      </c>
    </row>
    <row r="19" customFormat="false" ht="12.75" hidden="false" customHeight="false" outlineLevel="0" collapsed="false">
      <c r="H19" s="50" t="n">
        <v>12</v>
      </c>
      <c r="I19" s="124" t="n">
        <f aca="false">'Input-Detail'!E26</f>
        <v>25606469.2</v>
      </c>
      <c r="J19" s="131" t="n">
        <v>0.614080811078137</v>
      </c>
      <c r="K19" s="57" t="n">
        <f aca="false">AC19</f>
        <v>7729.26988032766</v>
      </c>
      <c r="L19" s="135" t="n">
        <f aca="false">AD66</f>
        <v>12.8053358632102</v>
      </c>
      <c r="M19" s="150" t="n">
        <f aca="false">AD19</f>
        <v>30.1015855480247</v>
      </c>
      <c r="N19" s="150" t="n">
        <f aca="false">SUM(L19:M19)</f>
        <v>42.9069214112349</v>
      </c>
      <c r="O19" s="154" t="n">
        <f aca="false">$S$34*N19</f>
        <v>11155.7995669211</v>
      </c>
      <c r="P19" s="135" t="n">
        <f aca="false">BC66</f>
        <v>5.28381076602996</v>
      </c>
      <c r="Q19" s="150" t="n">
        <f aca="false">BC19</f>
        <v>19.1898209881361</v>
      </c>
      <c r="R19" s="150" t="n">
        <f aca="false">SUM(P19:Q19)</f>
        <v>24.473631754166</v>
      </c>
      <c r="S19" s="155" t="n">
        <f aca="false">$S$34*R19</f>
        <v>6363.14425608316</v>
      </c>
      <c r="T19" s="1"/>
      <c r="U19" s="1"/>
      <c r="V19" s="50" t="n">
        <v>12</v>
      </c>
      <c r="W19" s="132" t="n">
        <f aca="false">W$7+(W$27-W$7)*$V19/20</f>
        <v>25606469.2</v>
      </c>
      <c r="X19" s="131" t="n">
        <f aca="false">MIN((J18+0.05),0.95)</f>
        <v>0.623709764481281</v>
      </c>
      <c r="Y19" s="132" t="n">
        <f aca="false">'Input-Detail'!E26/Z19</f>
        <v>11041.8141147538</v>
      </c>
      <c r="Z19" s="156" t="n">
        <f aca="false">Z18</f>
        <v>2319.04548780488</v>
      </c>
      <c r="AA19" s="156" t="n">
        <f aca="false">AA18</f>
        <v>2</v>
      </c>
      <c r="AB19" s="157" t="n">
        <f aca="false">AB18</f>
        <v>0.7</v>
      </c>
      <c r="AC19" s="57" t="n">
        <f aca="false">Y19*AB19</f>
        <v>7729.26988032766</v>
      </c>
      <c r="AD19" s="135" t="n">
        <f aca="false">Peak_Time_Eve*$BH19*(3600/K52+BK19)/3600</f>
        <v>30.1015855480247</v>
      </c>
      <c r="AE19" s="136" t="n">
        <f aca="false">IF(AE$6&lt;Total_Lanes,($BI19*($CH19+BM19)+$CM19*CO19)*Peak_Time_Eve/3600,"-")</f>
        <v>21366.8183875571</v>
      </c>
      <c r="AF19" s="136" t="n">
        <f aca="false">IF(AF$6&lt;Total_Lanes,($BI19*($CH19+BN19)+$CM19*CP19)*Peak_Time_Eve/3600,"-")</f>
        <v>5872.79251046144</v>
      </c>
      <c r="AG19" s="136" t="n">
        <f aca="false">IF(AG$6&lt;Total_Lanes,($BI19*($CH19+BO19)+$CM19*CQ19)*Peak_Time_Eve/3600,"-")</f>
        <v>731.178880660979</v>
      </c>
      <c r="AH19" s="136" t="n">
        <f aca="false">IF(AH$6&lt;Total_Lanes,($BI19*($CH19+BP19)+$CM19*CR19)*Peak_Time_Eve/3600,"-")</f>
        <v>20.6446173866165</v>
      </c>
      <c r="AI19" s="136" t="n">
        <f aca="false">IF(AI$6&lt;Total_Lanes,($BI19*($CH19+BQ19)+$CM19*CS19)*Peak_Time_Eve/3600,"-")</f>
        <v>19.1898209881361</v>
      </c>
      <c r="AJ19" s="136" t="n">
        <f aca="false">IF(AJ$6&lt;Total_Lanes,($BI19*($CH19+BR19)+$CM19*CT19)*Peak_Time_Eve/3600,"-")</f>
        <v>32.4552018417228</v>
      </c>
      <c r="AK19" s="136" t="n">
        <f aca="false">IF(AK$6&lt;Total_Lanes,($BI19*($CH19+BS19)+$CM19*CU19)*Peak_Time_Eve/3600,"-")</f>
        <v>637.076260460294</v>
      </c>
      <c r="AL19" s="136" t="n">
        <f aca="false">IF(AL$6&lt;Total_Lanes,($BI19*($CH19+BT19)+$CM19*CV19)*Peak_Time_Eve/3600,"-")</f>
        <v>2229.03377107984</v>
      </c>
      <c r="AM19" s="136" t="n">
        <f aca="false">IF(AM$6&lt;Total_Lanes,($BI19*($CH19+BU19)+$CM19*CW19)*Peak_Time_Eve/3600,"-")</f>
        <v>4901.74583115995</v>
      </c>
      <c r="AN19" s="136" t="n">
        <f aca="false">IF(AN$6&lt;Total_Lanes,($BI19*($CH19+BV19)+$CM19*CX19)*Peak_Time_Eve/3600,"-")</f>
        <v>10251.8342581873</v>
      </c>
      <c r="AO19" s="136" t="n">
        <f aca="false">IF(AO$6&lt;Total_Lanes,($BI19*($CH19+BW19)+$CM19*CY19)*Peak_Time_Eve/3600,"-")</f>
        <v>26305.3388743525</v>
      </c>
      <c r="AP19" s="136" t="str">
        <f aca="false">IF(AP$6&lt;Total_Lanes,($BI19*($CH19+BX19)+$CM19*CZ19)*Peak_Time_Eve/3600,"-")</f>
        <v>-</v>
      </c>
      <c r="AQ19" s="136" t="str">
        <f aca="false">IF(AQ$6&lt;Total_Lanes,($BI19*($CH19+BY19)+$CM19*DA19)*Peak_Time_Eve/3600,"-")</f>
        <v>-</v>
      </c>
      <c r="AR19" s="136" t="str">
        <f aca="false">IF(AR$6&lt;Total_Lanes,($BI19*($CH19+BZ19)+$CM19*DB19)*Peak_Time_Eve/3600,"-")</f>
        <v>-</v>
      </c>
      <c r="AS19" s="136" t="str">
        <f aca="false">IF(AS$6&lt;Total_Lanes,($BI19*($CH19+CA19)+$CM19*DC19)*Peak_Time_Eve/3600,"-")</f>
        <v>-</v>
      </c>
      <c r="AT19" s="136" t="str">
        <f aca="false">IF(AT$6&lt;Total_Lanes,($BI19*($CH19+CB19)+$CM19*DD19)*Peak_Time_Eve/3600,"-")</f>
        <v>-</v>
      </c>
      <c r="AU19" s="136" t="str">
        <f aca="false">IF(AU$6&lt;Total_Lanes,($BI19*($CH19+CC19)+$CM19*DE19)*Peak_Time_Eve/3600,"-")</f>
        <v>-</v>
      </c>
      <c r="AV19" s="136" t="str">
        <f aca="false">IF(AV$6&lt;Total_Lanes,($BI19*($CH19+CD19)+$CM19*DF19)*Peak_Time_Eve/3600,"-")</f>
        <v>-</v>
      </c>
      <c r="AW19" s="136" t="str">
        <f aca="false">IF(AW$6&lt;Total_Lanes,($BI19*($CH19+CE19)+$CM19*DG19)*Peak_Time_Eve/3600,"-")</f>
        <v>-</v>
      </c>
      <c r="AX19" s="136" t="str">
        <f aca="false">IF(AX$6&lt;Total_Lanes,($BI19*($CH19+CF19)+$CM19*DH19)*Peak_Time_Eve/3600,"-")</f>
        <v>-</v>
      </c>
      <c r="AY19" s="137" t="str">
        <f aca="false">IF(AY$6&lt;Total_Lanes,($BI19*($CH19+CG19)+$CM19*DI19)*Peak_Time_Eve/3600,"-")</f>
        <v>-</v>
      </c>
      <c r="AZ19" s="158" t="n">
        <f aca="false">SUMIF(AE19:AY19,BA19,$AE$6:$AY$6)</f>
        <v>5</v>
      </c>
      <c r="BA19" s="159" t="n">
        <f aca="false">MIN(AE19:AY19)</f>
        <v>19.1898209881361</v>
      </c>
      <c r="BB19" s="158" t="n">
        <f aca="false">IF((SUMIF($BM17:$CG17,$AZ19,$BM19:$CG19)+$CH19)&lt;(SUMIF($CO17:$DI17,$AZ19,$CO19:$DI19)+$DJ19),AZ19+1,AZ19)</f>
        <v>5</v>
      </c>
      <c r="BC19" s="159" t="n">
        <f aca="false">SUMIF($AE$6:$AY$6,$BB19,$AE19:$AY19)</f>
        <v>19.1898209881361</v>
      </c>
      <c r="BF19" s="50" t="n">
        <v>12</v>
      </c>
      <c r="BG19" s="131" t="n">
        <f aca="false">$X19</f>
        <v>0.623709764481281</v>
      </c>
      <c r="BH19" s="141" t="n">
        <f aca="false">$AC19</f>
        <v>7729.26988032766</v>
      </c>
      <c r="BI19" s="58" t="n">
        <f aca="false">BH19*(1-BG19)</f>
        <v>2908.44878365624</v>
      </c>
      <c r="BJ19" s="143" t="n">
        <f aca="false">Peak_Arrival_Manual/K52</f>
        <v>5.31195854237216</v>
      </c>
      <c r="BK19" s="144" t="n">
        <f aca="false">900*Peak_Time_Eve*(BJ19/Total_Lanes-1+SQRT((BJ19/Total_Lanes-1)^2+8*(BJ19/Total_Lanes)/(Peak_Time_Eve*$K52*Total_Lanes)))</f>
        <v>0.435086958452491</v>
      </c>
      <c r="BL19" s="145" t="n">
        <f aca="false">Peak_Arrival_Manual/N52</f>
        <v>5.51797366454781</v>
      </c>
      <c r="BM19" s="146" t="n">
        <f aca="false">IF(BM$6&lt;Total_Lanes,900*Peak_Time_Eve*(($BL19/(Total_Lanes-BM$6))-1+SQRT((($BL19/(Total_Lanes-BM$6))-1)^2+8*($BL19/(Total_Lanes-BM$6))/(Peak_Time_Eve*$N52*(Total_Lanes-BM$6)))),"-")</f>
        <v>0.624763022046937</v>
      </c>
      <c r="BN19" s="146" t="n">
        <f aca="false">IF(BN$6&lt;Total_Lanes,900*Peak_Time_Eve*(($BL19/(Total_Lanes-BN$6))-1+SQRT((($BL19/(Total_Lanes-BN$6))-1)^2+8*($BL19/(Total_Lanes-BN$6))/(Peak_Time_Eve*$N52*(Total_Lanes-BN$6)))),"-")</f>
        <v>0.84042657043838</v>
      </c>
      <c r="BO19" s="146" t="n">
        <f aca="false">IF(BO$6&lt;Total_Lanes,900*Peak_Time_Eve*(($BL19/(Total_Lanes-BO$6))-1+SQRT((($BL19/(Total_Lanes-BO$6))-1)^2+8*($BL19/(Total_Lanes-BO$6))/(Peak_Time_Eve*$N52*(Total_Lanes-BO$6)))),"-")</f>
        <v>1.20157604729024</v>
      </c>
      <c r="BP19" s="146" t="n">
        <f aca="false">IF(BP$6&lt;Total_Lanes,900*Peak_Time_Eve*(($BL19/(Total_Lanes-BP$6))-1+SQRT((($BL19/(Total_Lanes-BP$6))-1)^2+8*($BL19/(Total_Lanes-BP$6))/(Peak_Time_Eve*$N52*(Total_Lanes-BP$6)))),"-")</f>
        <v>1.89481933166183</v>
      </c>
      <c r="BQ19" s="146" t="n">
        <f aca="false">IF(BQ$6&lt;Total_Lanes,900*Peak_Time_Eve*(($BL19/(Total_Lanes-BQ$6))-1+SQRT((($BL19/(Total_Lanes-BQ$6))-1)^2+8*($BL19/(Total_Lanes-BQ$6))/(Peak_Time_Eve*$N52*(Total_Lanes-BQ$6)))),"-")</f>
        <v>3.61568852494416</v>
      </c>
      <c r="BR19" s="146" t="n">
        <f aca="false">IF(BR$6&lt;Total_Lanes,900*Peak_Time_Eve*(($BL19/(Total_Lanes-BR$6))-1+SQRT((($BL19/(Total_Lanes-BR$6))-1)^2+8*($BL19/(Total_Lanes-BR$6))/(Peak_Time_Eve*$N52*(Total_Lanes-BR$6)))),"-")</f>
        <v>12.4914976417972</v>
      </c>
      <c r="BS19" s="146" t="n">
        <f aca="false">IF(BS$6&lt;Total_Lanes,900*Peak_Time_Eve*(($BL19/(Total_Lanes-BS$6))-1+SQRT((($BL19/(Total_Lanes-BS$6))-1)^2+8*($BL19/(Total_Lanes-BS$6))/(Peak_Time_Eve*$N52*(Total_Lanes-BS$6)))),"-")</f>
        <v>386.965636392594</v>
      </c>
      <c r="BT19" s="146" t="n">
        <f aca="false">IF(BT$6&lt;Total_Lanes,900*Peak_Time_Eve*(($BL19/(Total_Lanes-BT$6))-1+SQRT((($BL19/(Total_Lanes-BT$6))-1)^2+8*($BL19/(Total_Lanes-BT$6))/(Peak_Time_Eve*$N52*(Total_Lanes-BT$6)))),"-")</f>
        <v>1372.35527099328</v>
      </c>
      <c r="BU19" s="146" t="n">
        <f aca="false">IF(BU$6&lt;Total_Lanes,900*Peak_Time_Eve*(($BL19/(Total_Lanes-BU$6))-1+SQRT((($BL19/(Total_Lanes-BU$6))-1)^2+8*($BL19/(Total_Lanes-BU$6))/(Peak_Time_Eve*$N52*(Total_Lanes-BU$6)))),"-")</f>
        <v>3026.5493517718</v>
      </c>
      <c r="BV19" s="146" t="n">
        <f aca="false">IF(BV$6&lt;Total_Lanes,900*Peak_Time_Eve*(($BL19/(Total_Lanes-BV$6))-1+SQRT((($BL19/(Total_Lanes-BV$6))-1)^2+8*($BL19/(Total_Lanes-BV$6))/(Peak_Time_Eve*$N52*(Total_Lanes-BV$6)))),"-")</f>
        <v>6337.70453140927</v>
      </c>
      <c r="BW19" s="146" t="n">
        <f aca="false">IF(BW$6&lt;Total_Lanes,900*Peak_Time_Eve*(($BL19/(Total_Lanes-BW$6))-1+SQRT((($BL19/(Total_Lanes-BW$6))-1)^2+8*($BL19/(Total_Lanes-BW$6))/(Peak_Time_Eve*$N52*(Total_Lanes-BW$6)))),"-")</f>
        <v>16273.0426581622</v>
      </c>
      <c r="BX19" s="136" t="str">
        <f aca="false">IF(BX$6&lt;Total_Lanes,900*Peak_Time_Eve*(($BL19/(Total_Lanes-BX$6))-1+SQRT((($BL19/(Total_Lanes-BX$6))-1)^2+8*($BL19/(Total_Lanes-BX$6))/(Peak_Time_Eve*$N52*(Total_Lanes-BX$6)))),"-")</f>
        <v>-</v>
      </c>
      <c r="BY19" s="136" t="str">
        <f aca="false">IF(BY$6&lt;Total_Lanes,900*Peak_Time_Eve*(($BL19/(Total_Lanes-BY$6))-1+SQRT((($BL19/(Total_Lanes-BY$6))-1)^2+8*($BL19/(Total_Lanes-BY$6))/(Peak_Time_Eve*$N52*(Total_Lanes-BY$6)))),"-")</f>
        <v>-</v>
      </c>
      <c r="BZ19" s="136" t="str">
        <f aca="false">IF(BZ$6&lt;Total_Lanes,900*Peak_Time_Eve*(($BL19/(Total_Lanes-BZ$6))-1+SQRT((($BL19/(Total_Lanes-BZ$6))-1)^2+8*($BL19/(Total_Lanes-BZ$6))/(Peak_Time_Eve*$N52*(Total_Lanes-BZ$6)))),"-")</f>
        <v>-</v>
      </c>
      <c r="CA19" s="136" t="str">
        <f aca="false">IF(CA$6&lt;Total_Lanes,900*Peak_Time_Eve*(($BL19/(Total_Lanes-CA$6))-1+SQRT((($BL19/(Total_Lanes-CA$6))-1)^2+8*($BL19/(Total_Lanes-CA$6))/(Peak_Time_Eve*$N52*(Total_Lanes-CA$6)))),"-")</f>
        <v>-</v>
      </c>
      <c r="CB19" s="136" t="str">
        <f aca="false">IF(CB$6&lt;Total_Lanes,900*Peak_Time_Eve*(($BL19/(Total_Lanes-CB$6))-1+SQRT((($BL19/(Total_Lanes-CB$6))-1)^2+8*($BL19/(Total_Lanes-CB$6))/(Peak_Time_Eve*$N52*(Total_Lanes-CB$6)))),"-")</f>
        <v>-</v>
      </c>
      <c r="CC19" s="136" t="str">
        <f aca="false">IF(CC$6&lt;Total_Lanes,900*Peak_Time_Eve*(($BL19/(Total_Lanes-CC$6))-1+SQRT((($BL19/(Total_Lanes-CC$6))-1)^2+8*($BL19/(Total_Lanes-CC$6))/(Peak_Time_Eve*$N52*(Total_Lanes-CC$6)))),"-")</f>
        <v>-</v>
      </c>
      <c r="CD19" s="136" t="str">
        <f aca="false">IF(CD$6&lt;Total_Lanes,900*Peak_Time_Eve*(($BL19/(Total_Lanes-CD$6))-1+SQRT((($BL19/(Total_Lanes-CD$6))-1)^2+8*($BL19/(Total_Lanes-CD$6))/(Peak_Time_Eve*$N52*(Total_Lanes-CD$6)))),"-")</f>
        <v>-</v>
      </c>
      <c r="CE19" s="136" t="str">
        <f aca="false">IF(CE$6&lt;Total_Lanes,900*Peak_Time_Eve*(($BL19/(Total_Lanes-CE$6))-1+SQRT((($BL19/(Total_Lanes-CE$6))-1)^2+8*($BL19/(Total_Lanes-CE$6))/(Peak_Time_Eve*$N52*(Total_Lanes-CE$6)))),"-")</f>
        <v>-</v>
      </c>
      <c r="CF19" s="136" t="str">
        <f aca="false">IF(CF$6&lt;Total_Lanes,900*Peak_Time_Eve*(($BL19/(Total_Lanes-CF$6))-1+SQRT((($BL19/(Total_Lanes-CF$6))-1)^2+8*($BL19/(Total_Lanes-CF$6))/(Peak_Time_Eve*$N52*(Total_Lanes-CF$6)))),"-")</f>
        <v>-</v>
      </c>
      <c r="CG19" s="147" t="str">
        <f aca="false">IF(CG$6&lt;Total_Lanes,900*Peak_Time_Eve*(($BL19/(Total_Lanes-CG$6))-1+SQRT((($BL19/(Total_Lanes-CG$6))-1)^2+8*($BL19/(Total_Lanes-CG$6))/(Peak_Time_Eve*$N52*(Total_Lanes-CG$6)))),"-")</f>
        <v>-</v>
      </c>
      <c r="CH19" s="160" t="n">
        <f aca="false">3600/N52</f>
        <v>6.83</v>
      </c>
      <c r="CJ19" s="50" t="n">
        <v>12</v>
      </c>
      <c r="CK19" s="131" t="n">
        <f aca="false">$X19</f>
        <v>0.623709764481281</v>
      </c>
      <c r="CL19" s="57" t="n">
        <f aca="false">$AC19</f>
        <v>7729.26988032766</v>
      </c>
      <c r="CM19" s="135" t="n">
        <f aca="false">CL19*CK19</f>
        <v>4820.82109667142</v>
      </c>
      <c r="CN19" s="161" t="n">
        <f aca="false">CM19/O51</f>
        <v>3.21388073111428</v>
      </c>
      <c r="CO19" s="146" t="n">
        <f aca="false">IF(CO$6&lt;Total_Lanes,900*Peak_Time_Eve*(($CN19/CO$6-1)+SQRT(($CN19/CO$6-1)^2+8*($CN19/CO$6)/(Peak_Time_Eve*$O52*CO$6))),"-")</f>
        <v>7973.45317952145</v>
      </c>
      <c r="CP19" s="146" t="n">
        <f aca="false">IF(CP$6&lt;Total_Lanes,900*Peak_Time_Eve*(($CN19/CP$6-1)+SQRT(($CN19/CP$6-1)^2+8*($CN19/CP$6)/(Peak_Time_Eve*$O52*CP$6))),"-")</f>
        <v>2188.15783960229</v>
      </c>
      <c r="CQ19" s="146" t="n">
        <f aca="false">IF(CQ$6&lt;Total_Lanes,900*Peak_Time_Eve*(($CN19/CQ$6-1)+SQRT(($CN19/CQ$6-1)^2+8*($CN19/CQ$6)/(Peak_Time_Eve*$O52*CQ$6))),"-")</f>
        <v>268.162317514081</v>
      </c>
      <c r="CR19" s="164" t="n">
        <f aca="false">IF(CR$6&lt;Total_Lanes,900*Peak_Time_Eve*(($CN19/CR$6-1)+SQRT(($CN19/CR$6-1)^2+8*($CN19/CR$6)/(Peak_Time_Eve*$O52*CR$6))),"-")</f>
        <v>2.44452571186561</v>
      </c>
      <c r="CS19" s="164" t="n">
        <f aca="false">IF(CS$6&lt;Total_Lanes,900*Peak_Time_Eve*(($CN19/CS$6-1)+SQRT(($CN19/CS$6-1)^2+8*($CN19/CS$6)/(Peak_Time_Eve*$O52*CS$6))),"-")</f>
        <v>0.863115973478479</v>
      </c>
      <c r="CT19" s="164" t="n">
        <f aca="false">IF(CT$6&lt;Total_Lanes,900*Peak_Time_Eve*(($CN19/CT$6-1)+SQRT(($CN19/CT$6-1)^2+8*($CN19/CT$6)/(Peak_Time_Eve*$O52*CT$6))),"-")</f>
        <v>0.461285941918566</v>
      </c>
      <c r="CU19" s="164" t="n">
        <f aca="false">IF(CU$6&lt;Total_Lanes,900*Peak_Time_Eve*(($CN19/CU$6-1)+SQRT(($CN19/CU$6-1)^2+8*($CN19/CU$6)/(Peak_Time_Eve*$O52*CU$6))),"-")</f>
        <v>0.290993821430652</v>
      </c>
      <c r="CV19" s="164" t="n">
        <f aca="false">IF(CV$6&lt;Total_Lanes,900*Peak_Time_Eve*(($CN19/CV$6-1)+SQRT(($CN19/CV$6-1)^2+8*($CN19/CV$6)/(Peak_Time_Eve*$O52*CV$6))),"-")</f>
        <v>0.201431263931484</v>
      </c>
      <c r="CW19" s="164" t="n">
        <f aca="false">IF(CW$6&lt;Total_Lanes,900*Peak_Time_Eve*(($CN19/CW$6-1)+SQRT(($CN19/CW$6-1)^2+8*($CN19/CW$6)/(Peak_Time_Eve*$O52*CW$6))),"-")</f>
        <v>0.148109636294214</v>
      </c>
      <c r="CX19" s="164" t="n">
        <f aca="false">IF(CX$6&lt;Total_Lanes,900*Peak_Time_Eve*(($CN19/CX$6-1)+SQRT(($CN19/CX$6-1)^2+8*($CN19/CX$6)/(Peak_Time_Eve*$O52*CX$6))),"-")</f>
        <v>0.113657815505208</v>
      </c>
      <c r="CY19" s="164" t="n">
        <f aca="false">IF(CY$6&lt;Total_Lanes,900*Peak_Time_Eve*(($CN19/CY$6-1)+SQRT(($CN19/CY$6-1)^2+8*($CN19/CY$6)/(Peak_Time_Eve*$O52*CY$6))),"-")</f>
        <v>0.0900558463585277</v>
      </c>
      <c r="CZ19" s="165" t="str">
        <f aca="false">IF(CZ$6&lt;Total_Lanes,900*Peak_Time_Eve*(($CN19/CZ$6-1)+SQRT(($CN19/CZ$6-1)^2+8*($CN19/CZ$6)/(Peak_Time_Eve*$O52*CZ$6))),"-")</f>
        <v>-</v>
      </c>
      <c r="DA19" s="165" t="str">
        <f aca="false">IF(DA$6&lt;Total_Lanes,900*Peak_Time_Eve*(($CN19/DA$6-1)+SQRT(($CN19/DA$6-1)^2+8*($CN19/DA$6)/(Peak_Time_Eve*$O52*DA$6))),"-")</f>
        <v>-</v>
      </c>
      <c r="DB19" s="165" t="str">
        <f aca="false">IF(DB$6&lt;Total_Lanes,900*Peak_Time_Eve*(($CN19/DB$6-1)+SQRT(($CN19/DB$6-1)^2+8*($CN19/DB$6)/(Peak_Time_Eve*$O52*DB$6))),"-")</f>
        <v>-</v>
      </c>
      <c r="DC19" s="165" t="str">
        <f aca="false">IF(DC$6&lt;Total_Lanes,900*Peak_Time_Eve*(($CN19/DC$6-1)+SQRT(($CN19/DC$6-1)^2+8*($CN19/DC$6)/(Peak_Time_Eve*$O52*DC$6))),"-")</f>
        <v>-</v>
      </c>
      <c r="DD19" s="165" t="str">
        <f aca="false">IF(DD$6&lt;Total_Lanes,900*Peak_Time_Eve*(($CN19/DD$6-1)+SQRT(($CN19/DD$6-1)^2+8*($CN19/DD$6)/(Peak_Time_Eve*$O52*DD$6))),"-")</f>
        <v>-</v>
      </c>
      <c r="DE19" s="165" t="str">
        <f aca="false">IF(DE$6&lt;Total_Lanes,900*Peak_Time_Eve*(($CN19/DE$6-1)+SQRT(($CN19/DE$6-1)^2+8*($CN19/DE$6)/(Peak_Time_Eve*$O52*DE$6))),"-")</f>
        <v>-</v>
      </c>
      <c r="DF19" s="165" t="str">
        <f aca="false">IF(DF$6&lt;Total_Lanes,900*Peak_Time_Eve*(($CN19/DF$6-1)+SQRT(($CN19/DF$6-1)^2+8*($CN19/DF$6)/(Peak_Time_Eve*$O52*DF$6))),"-")</f>
        <v>-</v>
      </c>
      <c r="DG19" s="165" t="str">
        <f aca="false">IF(DG$6&lt;Total_Lanes,900*Peak_Time_Eve*(($CN19/DG$6-1)+SQRT(($CN19/DG$6-1)^2+8*($CN19/DG$6)/(Peak_Time_Eve*$O52*DG$6))),"-")</f>
        <v>-</v>
      </c>
      <c r="DH19" s="165" t="str">
        <f aca="false">IF(DH$6&lt;Total_Lanes,900*Peak_Time_Eve*(($CN19/DH$6-1)+SQRT(($CN19/DH$6-1)^2+8*($CN19/DH$6)/(Peak_Time_Eve*$O52*DH$6))),"-")</f>
        <v>-</v>
      </c>
      <c r="DI19" s="166" t="str">
        <f aca="false">IF(DI$6&lt;Total_Lanes,900*Peak_Time_Eve*(($CN19/DI$6-1)+SQRT(($CN19/DI$6-1)^2+8*($CN19/DI$6)/(Peak_Time_Eve*$O52*DI$6))),"-")</f>
        <v>-</v>
      </c>
      <c r="DJ19" s="167" t="n">
        <f aca="false">3600/O52</f>
        <v>2.4</v>
      </c>
    </row>
    <row r="20" customFormat="false" ht="12.75" hidden="false" customHeight="false" outlineLevel="0" collapsed="false">
      <c r="H20" s="50" t="n">
        <v>13</v>
      </c>
      <c r="I20" s="124" t="n">
        <f aca="false">'Input-Detail'!E27</f>
        <v>26155660.55</v>
      </c>
      <c r="J20" s="131" t="n">
        <v>0.652377141057342</v>
      </c>
      <c r="K20" s="57" t="n">
        <f aca="false">AC20</f>
        <v>7895.04237035496</v>
      </c>
      <c r="L20" s="135" t="n">
        <f aca="false">AD67</f>
        <v>13.0942234531478</v>
      </c>
      <c r="M20" s="150" t="n">
        <f aca="false">AD20</f>
        <v>30.4652041844495</v>
      </c>
      <c r="N20" s="150" t="n">
        <f aca="false">SUM(L20:M20)</f>
        <v>43.5594276375973</v>
      </c>
      <c r="O20" s="154" t="n">
        <f aca="false">$S$34*N20</f>
        <v>11325.4511857753</v>
      </c>
      <c r="P20" s="135" t="n">
        <f aca="false">BC67</f>
        <v>4.85885950690234</v>
      </c>
      <c r="Q20" s="150" t="n">
        <f aca="false">BC20</f>
        <v>17.0569508084296</v>
      </c>
      <c r="R20" s="150" t="n">
        <f aca="false">SUM(P20:Q20)</f>
        <v>21.9158103153319</v>
      </c>
      <c r="S20" s="155" t="n">
        <f aca="false">$S$34*R20</f>
        <v>5698.1106819863</v>
      </c>
      <c r="T20" s="1"/>
      <c r="U20" s="1"/>
      <c r="V20" s="50" t="n">
        <v>13</v>
      </c>
      <c r="W20" s="132" t="n">
        <f aca="false">W$7+(W$27-W$7)*$V20/20</f>
        <v>26155660.55</v>
      </c>
      <c r="X20" s="131" t="n">
        <f aca="false">MIN((J19+0.05),0.95)</f>
        <v>0.664080811078137</v>
      </c>
      <c r="Y20" s="132" t="n">
        <f aca="false">'Input-Detail'!E27/Z20</f>
        <v>11278.6319576499</v>
      </c>
      <c r="Z20" s="156" t="n">
        <f aca="false">Z19</f>
        <v>2319.04548780488</v>
      </c>
      <c r="AA20" s="156" t="n">
        <f aca="false">AA19</f>
        <v>2</v>
      </c>
      <c r="AB20" s="157" t="n">
        <f aca="false">AB19</f>
        <v>0.7</v>
      </c>
      <c r="AC20" s="57" t="n">
        <f aca="false">Y20*AB20</f>
        <v>7895.04237035496</v>
      </c>
      <c r="AD20" s="135" t="n">
        <f aca="false">Peak_Time_Eve*$BH20*(3600/K53+BK20)/3600</f>
        <v>30.4652041844495</v>
      </c>
      <c r="AE20" s="136" t="n">
        <f aca="false">IF(AE$6&lt;Total_Lanes,($BI20*($CH20+BM20)+$CM20*CO20)*Peak_Time_Eve/3600,"-")</f>
        <v>26186.0809014342</v>
      </c>
      <c r="AF20" s="136" t="n">
        <f aca="false">IF(AF$6&lt;Total_Lanes,($BI20*($CH20+BN20)+$CM20*CP20)*Peak_Time_Eve/3600,"-")</f>
        <v>7859.04859069869</v>
      </c>
      <c r="AG20" s="136" t="n">
        <f aca="false">IF(AG$6&lt;Total_Lanes,($BI20*($CH20+BO20)+$CM20*CQ20)*Peak_Time_Eve/3600,"-")</f>
        <v>1759.02851820393</v>
      </c>
      <c r="AH20" s="136" t="n">
        <f aca="false">IF(AH$6&lt;Total_Lanes,($BI20*($CH20+BP20)+$CM20*CR20)*Peak_Time_Eve/3600,"-")</f>
        <v>24.2435998728668</v>
      </c>
      <c r="AI20" s="136" t="n">
        <f aca="false">IF(AI$6&lt;Total_Lanes,($BI20*($CH20+BQ20)+$CM20*CS20)*Peak_Time_Eve/3600,"-")</f>
        <v>17.0569508084296</v>
      </c>
      <c r="AJ20" s="136" t="n">
        <f aca="false">IF(AJ$6&lt;Total_Lanes,($BI20*($CH20+BR20)+$CM20*CT20)*Peak_Time_Eve/3600,"-")</f>
        <v>20.5404195970497</v>
      </c>
      <c r="AK20" s="136" t="n">
        <f aca="false">IF(AK$6&lt;Total_Lanes,($BI20*($CH20+BS20)+$CM20*CU20)*Peak_Time_Eve/3600,"-")</f>
        <v>143.114915803877</v>
      </c>
      <c r="AL20" s="136" t="n">
        <f aca="false">IF(AL$6&lt;Total_Lanes,($BI20*($CH20+BT20)+$CM20*CV20)*Peak_Time_Eve/3600,"-")</f>
        <v>1411.56158217044</v>
      </c>
      <c r="AM20" s="136" t="n">
        <f aca="false">IF(AM$6&lt;Total_Lanes,($BI20*($CH20+BU20)+$CM20*CW20)*Peak_Time_Eve/3600,"-")</f>
        <v>3638.57017994863</v>
      </c>
      <c r="AN20" s="136" t="n">
        <f aca="false">IF(AN$6&lt;Total_Lanes,($BI20*($CH20+BV20)+$CM20*CX20)*Peak_Time_Eve/3600,"-")</f>
        <v>8100.47641696703</v>
      </c>
      <c r="AO20" s="136" t="n">
        <f aca="false">IF(AO$6&lt;Total_Lanes,($BI20*($CH20+BW20)+$CM20*CY20)*Peak_Time_Eve/3600,"-")</f>
        <v>21490.4742357014</v>
      </c>
      <c r="AP20" s="136" t="str">
        <f aca="false">IF(AP$6&lt;Total_Lanes,($BI20*($CH20+BX20)+$CM20*CZ20)*Peak_Time_Eve/3600,"-")</f>
        <v>-</v>
      </c>
      <c r="AQ20" s="136" t="str">
        <f aca="false">IF(AQ$6&lt;Total_Lanes,($BI20*($CH20+BY20)+$CM20*DA20)*Peak_Time_Eve/3600,"-")</f>
        <v>-</v>
      </c>
      <c r="AR20" s="136" t="str">
        <f aca="false">IF(AR$6&lt;Total_Lanes,($BI20*($CH20+BZ20)+$CM20*DB20)*Peak_Time_Eve/3600,"-")</f>
        <v>-</v>
      </c>
      <c r="AS20" s="136" t="str">
        <f aca="false">IF(AS$6&lt;Total_Lanes,($BI20*($CH20+CA20)+$CM20*DC20)*Peak_Time_Eve/3600,"-")</f>
        <v>-</v>
      </c>
      <c r="AT20" s="136" t="str">
        <f aca="false">IF(AT$6&lt;Total_Lanes,($BI20*($CH20+CB20)+$CM20*DD20)*Peak_Time_Eve/3600,"-")</f>
        <v>-</v>
      </c>
      <c r="AU20" s="136" t="str">
        <f aca="false">IF(AU$6&lt;Total_Lanes,($BI20*($CH20+CC20)+$CM20*DE20)*Peak_Time_Eve/3600,"-")</f>
        <v>-</v>
      </c>
      <c r="AV20" s="136" t="str">
        <f aca="false">IF(AV$6&lt;Total_Lanes,($BI20*($CH20+CD20)+$CM20*DF20)*Peak_Time_Eve/3600,"-")</f>
        <v>-</v>
      </c>
      <c r="AW20" s="136" t="str">
        <f aca="false">IF(AW$6&lt;Total_Lanes,($BI20*($CH20+CE20)+$CM20*DG20)*Peak_Time_Eve/3600,"-")</f>
        <v>-</v>
      </c>
      <c r="AX20" s="136" t="str">
        <f aca="false">IF(AX$6&lt;Total_Lanes,($BI20*($CH20+CF20)+$CM20*DH20)*Peak_Time_Eve/3600,"-")</f>
        <v>-</v>
      </c>
      <c r="AY20" s="137" t="str">
        <f aca="false">IF(AY$6&lt;Total_Lanes,($BI20*($CH20+CG20)+$CM20*DI20)*Peak_Time_Eve/3600,"-")</f>
        <v>-</v>
      </c>
      <c r="AZ20" s="158" t="n">
        <f aca="false">SUMIF(AE20:AY20,BA20,$AE$6:$AY$6)</f>
        <v>5</v>
      </c>
      <c r="BA20" s="159" t="n">
        <f aca="false">MIN(AE20:AY20)</f>
        <v>17.0569508084296</v>
      </c>
      <c r="BB20" s="158" t="n">
        <f aca="false">IF((SUMIF($BM18:$CG18,$AZ20,$BM20:$CG20)+$CH20)&lt;(SUMIF($CO18:$DI18,$AZ20,$CO20:$DI20)+$DJ20),AZ20+1,AZ20)</f>
        <v>5</v>
      </c>
      <c r="BC20" s="159" t="n">
        <f aca="false">SUMIF($AE$6:$AY$6,$BB20,$AE20:$AY20)</f>
        <v>17.0569508084296</v>
      </c>
      <c r="BF20" s="50" t="n">
        <v>13</v>
      </c>
      <c r="BG20" s="131" t="n">
        <f aca="false">$X20</f>
        <v>0.664080811078137</v>
      </c>
      <c r="BH20" s="141" t="n">
        <f aca="false">$AC20</f>
        <v>7895.04237035496</v>
      </c>
      <c r="BI20" s="58" t="n">
        <f aca="false">BH20*(1-BG20)</f>
        <v>2652.09622955338</v>
      </c>
      <c r="BJ20" s="143" t="n">
        <f aca="false">Peak_Arrival_Manual/K53</f>
        <v>4.8437590859204</v>
      </c>
      <c r="BK20" s="144" t="n">
        <f aca="false">900*Peak_Time_Eve*(BJ20/Total_Lanes-1+SQRT((BJ20/Total_Lanes-1)^2+8*(BJ20/Total_Lanes)/(Peak_Time_Eve*$K53*Total_Lanes)))</f>
        <v>0.370797749980101</v>
      </c>
      <c r="BL20" s="145" t="n">
        <f aca="false">Peak_Arrival_Manual/N53</f>
        <v>5.04727063686877</v>
      </c>
      <c r="BM20" s="146" t="n">
        <f aca="false">IF(BM$6&lt;Total_Lanes,900*Peak_Time_Eve*(($BL20/(Total_Lanes-BM$6))-1+SQRT((($BL20/(Total_Lanes-BM$6))-1)^2+8*($BL20/(Total_Lanes-BM$6))/(Peak_Time_Eve*$N53*(Total_Lanes-BM$6)))),"-")</f>
        <v>0.527958644449078</v>
      </c>
      <c r="BN20" s="146" t="n">
        <f aca="false">IF(BN$6&lt;Total_Lanes,900*Peak_Time_Eve*(($BL20/(Total_Lanes-BN$6))-1+SQRT((($BL20/(Total_Lanes-BN$6))-1)^2+8*($BL20/(Total_Lanes-BN$6))/(Peak_Time_Eve*$N53*(Total_Lanes-BN$6)))),"-")</f>
        <v>0.697929963212907</v>
      </c>
      <c r="BO20" s="146" t="n">
        <f aca="false">IF(BO$6&lt;Total_Lanes,900*Peak_Time_Eve*(($BL20/(Total_Lanes-BO$6))-1+SQRT((($BL20/(Total_Lanes-BO$6))-1)^2+8*($BL20/(Total_Lanes-BO$6))/(Peak_Time_Eve*$N53*(Total_Lanes-BO$6)))),"-")</f>
        <v>0.971449126929114</v>
      </c>
      <c r="BP20" s="146" t="n">
        <f aca="false">IF(BP$6&lt;Total_Lanes,900*Peak_Time_Eve*(($BL20/(Total_Lanes-BP$6))-1+SQRT((($BL20/(Total_Lanes-BP$6))-1)^2+8*($BL20/(Total_Lanes-BP$6))/(Peak_Time_Eve*$N53*(Total_Lanes-BP$6)))),"-")</f>
        <v>1.46229531839462</v>
      </c>
      <c r="BQ20" s="146" t="n">
        <f aca="false">IF(BQ$6&lt;Total_Lanes,900*Peak_Time_Eve*(($BL20/(Total_Lanes-BQ$6))-1+SQRT((($BL20/(Total_Lanes-BQ$6))-1)^2+8*($BL20/(Total_Lanes-BQ$6))/(Peak_Time_Eve*$N53*(Total_Lanes-BQ$6)))),"-")</f>
        <v>2.52345988070076</v>
      </c>
      <c r="BR20" s="146" t="n">
        <f aca="false">IF(BR$6&lt;Total_Lanes,900*Peak_Time_Eve*(($BL20/(Total_Lanes-BR$6))-1+SQRT((($BL20/(Total_Lanes-BR$6))-1)^2+8*($BL20/(Total_Lanes-BR$6))/(Peak_Time_Eve*$N53*(Total_Lanes-BR$6)))),"-")</f>
        <v>5.98661054183983</v>
      </c>
      <c r="BS20" s="146" t="n">
        <f aca="false">IF(BS$6&lt;Total_Lanes,900*Peak_Time_Eve*(($BL20/(Total_Lanes-BS$6))-1+SQRT((($BL20/(Total_Lanes-BS$6))-1)^2+8*($BL20/(Total_Lanes-BS$6))/(Peak_Time_Eve*$N53*(Total_Lanes-BS$6)))),"-")</f>
        <v>89.6061967507588</v>
      </c>
      <c r="BT20" s="146" t="n">
        <f aca="false">IF(BT$6&lt;Total_Lanes,900*Peak_Time_Eve*(($BL20/(Total_Lanes-BT$6))-1+SQRT((($BL20/(Total_Lanes-BT$6))-1)^2+8*($BL20/(Total_Lanes-BT$6))/(Peak_Time_Eve*$N53*(Total_Lanes-BT$6)))),"-")</f>
        <v>950.7273343225</v>
      </c>
      <c r="BU20" s="146" t="n">
        <f aca="false">IF(BU$6&lt;Total_Lanes,900*Peak_Time_Eve*(($BL20/(Total_Lanes-BU$6))-1+SQRT((($BL20/(Total_Lanes-BU$6))-1)^2+8*($BL20/(Total_Lanes-BU$6))/(Peak_Time_Eve*$N53*(Total_Lanes-BU$6)))),"-")</f>
        <v>2462.3421984031</v>
      </c>
      <c r="BV20" s="146" t="n">
        <f aca="false">IF(BV$6&lt;Total_Lanes,900*Peak_Time_Eve*(($BL20/(Total_Lanes-BV$6))-1+SQRT((($BL20/(Total_Lanes-BV$6))-1)^2+8*($BL20/(Total_Lanes-BV$6))/(Peak_Time_Eve*$N53*(Total_Lanes-BV$6)))),"-")</f>
        <v>5490.75523760243</v>
      </c>
      <c r="BW20" s="146" t="n">
        <f aca="false">IF(BW$6&lt;Total_Lanes,900*Peak_Time_Eve*(($BL20/(Total_Lanes-BW$6))-1+SQRT((($BL20/(Total_Lanes-BW$6))-1)^2+8*($BL20/(Total_Lanes-BW$6))/(Peak_Time_Eve*$N53*(Total_Lanes-BW$6)))),"-")</f>
        <v>14578.713345775</v>
      </c>
      <c r="BX20" s="136" t="str">
        <f aca="false">IF(BX$6&lt;Total_Lanes,900*Peak_Time_Eve*(($BL20/(Total_Lanes-BX$6))-1+SQRT((($BL20/(Total_Lanes-BX$6))-1)^2+8*($BL20/(Total_Lanes-BX$6))/(Peak_Time_Eve*$N53*(Total_Lanes-BX$6)))),"-")</f>
        <v>-</v>
      </c>
      <c r="BY20" s="136" t="str">
        <f aca="false">IF(BY$6&lt;Total_Lanes,900*Peak_Time_Eve*(($BL20/(Total_Lanes-BY$6))-1+SQRT((($BL20/(Total_Lanes-BY$6))-1)^2+8*($BL20/(Total_Lanes-BY$6))/(Peak_Time_Eve*$N53*(Total_Lanes-BY$6)))),"-")</f>
        <v>-</v>
      </c>
      <c r="BZ20" s="136" t="str">
        <f aca="false">IF(BZ$6&lt;Total_Lanes,900*Peak_Time_Eve*(($BL20/(Total_Lanes-BZ$6))-1+SQRT((($BL20/(Total_Lanes-BZ$6))-1)^2+8*($BL20/(Total_Lanes-BZ$6))/(Peak_Time_Eve*$N53*(Total_Lanes-BZ$6)))),"-")</f>
        <v>-</v>
      </c>
      <c r="CA20" s="136" t="str">
        <f aca="false">IF(CA$6&lt;Total_Lanes,900*Peak_Time_Eve*(($BL20/(Total_Lanes-CA$6))-1+SQRT((($BL20/(Total_Lanes-CA$6))-1)^2+8*($BL20/(Total_Lanes-CA$6))/(Peak_Time_Eve*$N53*(Total_Lanes-CA$6)))),"-")</f>
        <v>-</v>
      </c>
      <c r="CB20" s="136" t="str">
        <f aca="false">IF(CB$6&lt;Total_Lanes,900*Peak_Time_Eve*(($BL20/(Total_Lanes-CB$6))-1+SQRT((($BL20/(Total_Lanes-CB$6))-1)^2+8*($BL20/(Total_Lanes-CB$6))/(Peak_Time_Eve*$N53*(Total_Lanes-CB$6)))),"-")</f>
        <v>-</v>
      </c>
      <c r="CC20" s="136" t="str">
        <f aca="false">IF(CC$6&lt;Total_Lanes,900*Peak_Time_Eve*(($BL20/(Total_Lanes-CC$6))-1+SQRT((($BL20/(Total_Lanes-CC$6))-1)^2+8*($BL20/(Total_Lanes-CC$6))/(Peak_Time_Eve*$N53*(Total_Lanes-CC$6)))),"-")</f>
        <v>-</v>
      </c>
      <c r="CD20" s="136" t="str">
        <f aca="false">IF(CD$6&lt;Total_Lanes,900*Peak_Time_Eve*(($BL20/(Total_Lanes-CD$6))-1+SQRT((($BL20/(Total_Lanes-CD$6))-1)^2+8*($BL20/(Total_Lanes-CD$6))/(Peak_Time_Eve*$N53*(Total_Lanes-CD$6)))),"-")</f>
        <v>-</v>
      </c>
      <c r="CE20" s="136" t="str">
        <f aca="false">IF(CE$6&lt;Total_Lanes,900*Peak_Time_Eve*(($BL20/(Total_Lanes-CE$6))-1+SQRT((($BL20/(Total_Lanes-CE$6))-1)^2+8*($BL20/(Total_Lanes-CE$6))/(Peak_Time_Eve*$N53*(Total_Lanes-CE$6)))),"-")</f>
        <v>-</v>
      </c>
      <c r="CF20" s="136" t="str">
        <f aca="false">IF(CF$6&lt;Total_Lanes,900*Peak_Time_Eve*(($BL20/(Total_Lanes-CF$6))-1+SQRT((($BL20/(Total_Lanes-CF$6))-1)^2+8*($BL20/(Total_Lanes-CF$6))/(Peak_Time_Eve*$N53*(Total_Lanes-CF$6)))),"-")</f>
        <v>-</v>
      </c>
      <c r="CG20" s="147" t="str">
        <f aca="false">IF(CG$6&lt;Total_Lanes,900*Peak_Time_Eve*(($BL20/(Total_Lanes-CG$6))-1+SQRT((($BL20/(Total_Lanes-CG$6))-1)^2+8*($BL20/(Total_Lanes-CG$6))/(Peak_Time_Eve*$N53*(Total_Lanes-CG$6)))),"-")</f>
        <v>-</v>
      </c>
      <c r="CH20" s="160" t="n">
        <f aca="false">3600/N53</f>
        <v>6.85125</v>
      </c>
      <c r="CJ20" s="50" t="n">
        <v>13</v>
      </c>
      <c r="CK20" s="131" t="n">
        <f aca="false">$X20</f>
        <v>0.664080811078137</v>
      </c>
      <c r="CL20" s="57" t="n">
        <f aca="false">$AC20</f>
        <v>7895.04237035496</v>
      </c>
      <c r="CM20" s="135" t="n">
        <f aca="false">CL20*CK20</f>
        <v>5242.94614080158</v>
      </c>
      <c r="CN20" s="161" t="n">
        <f aca="false">CM20/O52</f>
        <v>3.49529742720106</v>
      </c>
      <c r="CO20" s="146" t="n">
        <f aca="false">IF(CO$6&lt;Total_Lanes,900*Peak_Time_Eve*(($CN20/CO$6-1)+SQRT(($CN20/CO$6-1)^2+8*($CN20/CO$6)/(Peak_Time_Eve*$O53*CO$6))),"-")</f>
        <v>8986.4312899379</v>
      </c>
      <c r="CP20" s="146" t="n">
        <f aca="false">IF(CP$6&lt;Total_Lanes,900*Peak_Time_Eve*(($CN20/CP$6-1)+SQRT(($CN20/CP$6-1)^2+8*($CN20/CP$6)/(Peak_Time_Eve*$O53*CP$6))),"-")</f>
        <v>2694.33748357774</v>
      </c>
      <c r="CQ20" s="146" t="n">
        <f aca="false">IF(CQ$6&lt;Total_Lanes,900*Peak_Time_Eve*(($CN20/CQ$6-1)+SQRT(($CN20/CQ$6-1)^2+8*($CN20/CQ$6)/(Peak_Time_Eve*$O53*CQ$6))),"-")</f>
        <v>599.949855946204</v>
      </c>
      <c r="CR20" s="164" t="n">
        <f aca="false">IF(CR$6&lt;Total_Lanes,900*Peak_Time_Eve*(($CN20/CR$6-1)+SQRT(($CN20/CR$6-1)^2+8*($CN20/CR$6)/(Peak_Time_Eve*$O53*CR$6))),"-")</f>
        <v>4.11794380453502</v>
      </c>
      <c r="CS20" s="164" t="n">
        <f aca="false">IF(CS$6&lt;Total_Lanes,900*Peak_Time_Eve*(($CN20/CS$6-1)+SQRT(($CN20/CS$6-1)^2+8*($CN20/CS$6)/(Peak_Time_Eve*$O53*CS$6))),"-")</f>
        <v>1.11385441898076</v>
      </c>
      <c r="CT20" s="164" t="n">
        <f aca="false">IF(CT$6&lt;Total_Lanes,900*Peak_Time_Eve*(($CN20/CT$6-1)+SQRT(($CN20/CT$6-1)^2+8*($CN20/CT$6)/(Peak_Time_Eve*$O53*CT$6))),"-")</f>
        <v>0.557990423242571</v>
      </c>
      <c r="CU20" s="164" t="n">
        <f aca="false">IF(CU$6&lt;Total_Lanes,900*Peak_Time_Eve*(($CN20/CU$6-1)+SQRT(($CN20/CU$6-1)^2+8*($CN20/CU$6)/(Peak_Time_Eve*$O53*CU$6))),"-")</f>
        <v>0.34187221436377</v>
      </c>
      <c r="CV20" s="164" t="n">
        <f aca="false">IF(CV$6&lt;Total_Lanes,900*Peak_Time_Eve*(($CN20/CV$6-1)+SQRT(($CN20/CV$6-1)^2+8*($CN20/CV$6)/(Peak_Time_Eve*$O53*CV$6))),"-")</f>
        <v>0.232749849274194</v>
      </c>
      <c r="CW20" s="164" t="n">
        <f aca="false">IF(CW$6&lt;Total_Lanes,900*Peak_Time_Eve*(($CN20/CW$6-1)+SQRT(($CN20/CW$6-1)^2+8*($CN20/CW$6)/(Peak_Time_Eve*$O53*CW$6))),"-")</f>
        <v>0.169311172749476</v>
      </c>
      <c r="CX20" s="164" t="n">
        <f aca="false">IF(CX$6&lt;Total_Lanes,900*Peak_Time_Eve*(($CN20/CX$6-1)+SQRT(($CN20/CX$6-1)^2+8*($CN20/CX$6)/(Peak_Time_Eve*$O53*CX$6))),"-")</f>
        <v>0.128956732324603</v>
      </c>
      <c r="CY20" s="164" t="n">
        <f aca="false">IF(CY$6&lt;Total_Lanes,900*Peak_Time_Eve*(($CN20/CY$6-1)+SQRT(($CN20/CY$6-1)^2+8*($CN20/CY$6)/(Peak_Time_Eve*$O53*CY$6))),"-")</f>
        <v>0.101613460472683</v>
      </c>
      <c r="CZ20" s="165" t="str">
        <f aca="false">IF(CZ$6&lt;Total_Lanes,900*Peak_Time_Eve*(($CN20/CZ$6-1)+SQRT(($CN20/CZ$6-1)^2+8*($CN20/CZ$6)/(Peak_Time_Eve*$O53*CZ$6))),"-")</f>
        <v>-</v>
      </c>
      <c r="DA20" s="165" t="str">
        <f aca="false">IF(DA$6&lt;Total_Lanes,900*Peak_Time_Eve*(($CN20/DA$6-1)+SQRT(($CN20/DA$6-1)^2+8*($CN20/DA$6)/(Peak_Time_Eve*$O53*DA$6))),"-")</f>
        <v>-</v>
      </c>
      <c r="DB20" s="165" t="str">
        <f aca="false">IF(DB$6&lt;Total_Lanes,900*Peak_Time_Eve*(($CN20/DB$6-1)+SQRT(($CN20/DB$6-1)^2+8*($CN20/DB$6)/(Peak_Time_Eve*$O53*DB$6))),"-")</f>
        <v>-</v>
      </c>
      <c r="DC20" s="165" t="str">
        <f aca="false">IF(DC$6&lt;Total_Lanes,900*Peak_Time_Eve*(($CN20/DC$6-1)+SQRT(($CN20/DC$6-1)^2+8*($CN20/DC$6)/(Peak_Time_Eve*$O53*DC$6))),"-")</f>
        <v>-</v>
      </c>
      <c r="DD20" s="165" t="str">
        <f aca="false">IF(DD$6&lt;Total_Lanes,900*Peak_Time_Eve*(($CN20/DD$6-1)+SQRT(($CN20/DD$6-1)^2+8*($CN20/DD$6)/(Peak_Time_Eve*$O53*DD$6))),"-")</f>
        <v>-</v>
      </c>
      <c r="DE20" s="165" t="str">
        <f aca="false">IF(DE$6&lt;Total_Lanes,900*Peak_Time_Eve*(($CN20/DE$6-1)+SQRT(($CN20/DE$6-1)^2+8*($CN20/DE$6)/(Peak_Time_Eve*$O53*DE$6))),"-")</f>
        <v>-</v>
      </c>
      <c r="DF20" s="165" t="str">
        <f aca="false">IF(DF$6&lt;Total_Lanes,900*Peak_Time_Eve*(($CN20/DF$6-1)+SQRT(($CN20/DF$6-1)^2+8*($CN20/DF$6)/(Peak_Time_Eve*$O53*DF$6))),"-")</f>
        <v>-</v>
      </c>
      <c r="DG20" s="165" t="str">
        <f aca="false">IF(DG$6&lt;Total_Lanes,900*Peak_Time_Eve*(($CN20/DG$6-1)+SQRT(($CN20/DG$6-1)^2+8*($CN20/DG$6)/(Peak_Time_Eve*$O53*DG$6))),"-")</f>
        <v>-</v>
      </c>
      <c r="DH20" s="165" t="str">
        <f aca="false">IF(DH$6&lt;Total_Lanes,900*Peak_Time_Eve*(($CN20/DH$6-1)+SQRT(($CN20/DH$6-1)^2+8*($CN20/DH$6)/(Peak_Time_Eve*$O53*DH$6))),"-")</f>
        <v>-</v>
      </c>
      <c r="DI20" s="166" t="str">
        <f aca="false">IF(DI$6&lt;Total_Lanes,900*Peak_Time_Eve*(($CN20/DI$6-1)+SQRT(($CN20/DI$6-1)^2+8*($CN20/DI$6)/(Peak_Time_Eve*$O53*DI$6))),"-")</f>
        <v>-</v>
      </c>
      <c r="DJ20" s="167" t="n">
        <f aca="false">3600/O53</f>
        <v>2.4</v>
      </c>
    </row>
    <row r="21" customFormat="false" ht="12.75" hidden="false" customHeight="false" outlineLevel="0" collapsed="false">
      <c r="H21" s="50" t="n">
        <v>14</v>
      </c>
      <c r="I21" s="124" t="n">
        <f aca="false">'Input-Detail'!E28</f>
        <v>26704851.9</v>
      </c>
      <c r="J21" s="131" t="n">
        <v>0.688560291874923</v>
      </c>
      <c r="K21" s="57" t="n">
        <f aca="false">AC21</f>
        <v>8060.81486038226</v>
      </c>
      <c r="L21" s="135" t="n">
        <f aca="false">AD68</f>
        <v>13.3850708052498</v>
      </c>
      <c r="M21" s="150" t="n">
        <f aca="false">AD21</f>
        <v>30.8554046966258</v>
      </c>
      <c r="N21" s="150" t="n">
        <f aca="false">SUM(L21:M21)</f>
        <v>44.2404755018756</v>
      </c>
      <c r="O21" s="154" t="n">
        <f aca="false">$S$34*N21</f>
        <v>11502.5236304877</v>
      </c>
      <c r="P21" s="135" t="n">
        <f aca="false">BC68</f>
        <v>4.44269320320365</v>
      </c>
      <c r="Q21" s="150" t="n">
        <f aca="false">BC21</f>
        <v>16.1950039392948</v>
      </c>
      <c r="R21" s="150" t="n">
        <f aca="false">SUM(P21:Q21)</f>
        <v>20.6376971424985</v>
      </c>
      <c r="S21" s="155" t="n">
        <f aca="false">$S$34*R21</f>
        <v>5365.8012570496</v>
      </c>
      <c r="T21" s="1"/>
      <c r="U21" s="1"/>
      <c r="V21" s="50" t="n">
        <v>14</v>
      </c>
      <c r="W21" s="132" t="n">
        <f aca="false">W$7+(W$27-W$7)*$V21/20</f>
        <v>26704851.9</v>
      </c>
      <c r="X21" s="131" t="n">
        <f aca="false">MIN((J20+0.05),0.95)</f>
        <v>0.702377141057342</v>
      </c>
      <c r="Y21" s="132" t="n">
        <f aca="false">'Input-Detail'!E28/Z21</f>
        <v>11515.4498005461</v>
      </c>
      <c r="Z21" s="156" t="n">
        <f aca="false">Z20</f>
        <v>2319.04548780488</v>
      </c>
      <c r="AA21" s="156" t="n">
        <f aca="false">AA20</f>
        <v>2</v>
      </c>
      <c r="AB21" s="157" t="n">
        <f aca="false">AB20</f>
        <v>0.7</v>
      </c>
      <c r="AC21" s="57" t="n">
        <f aca="false">Y21*AB21</f>
        <v>8060.81486038226</v>
      </c>
      <c r="AD21" s="135" t="n">
        <f aca="false">Peak_Time_Eve*$BH21*(3600/K54+BK21)/3600</f>
        <v>30.8554046966258</v>
      </c>
      <c r="AE21" s="136" t="n">
        <f aca="false">IF(AE$6&lt;Total_Lanes,($BI21*($CH21+BM21)+$CM21*CO21)*Peak_Time_Eve/3600,"-")</f>
        <v>31436.8364613801</v>
      </c>
      <c r="AF21" s="136" t="n">
        <f aca="false">IF(AF$6&lt;Total_Lanes,($BI21*($CH21+BN21)+$CM21*CP21)*Peak_Time_Eve/3600,"-")</f>
        <v>10064.6318781499</v>
      </c>
      <c r="AG21" s="136" t="n">
        <f aca="false">IF(AG$6&lt;Total_Lanes,($BI21*($CH21+BO21)+$CM21*CQ21)*Peak_Time_Eve/3600,"-")</f>
        <v>2945.72223508953</v>
      </c>
      <c r="AH21" s="136" t="n">
        <f aca="false">IF(AH$6&lt;Total_Lanes,($BI21*($CH21+BP21)+$CM21*CR21)*Peak_Time_Eve/3600,"-")</f>
        <v>40.8544506970216</v>
      </c>
      <c r="AI21" s="136" t="n">
        <f aca="false">IF(AI$6&lt;Total_Lanes,($BI21*($CH21+BQ21)+$CM21*CS21)*Peak_Time_Eve/3600,"-")</f>
        <v>16.2748155286547</v>
      </c>
      <c r="AJ21" s="136" t="n">
        <f aca="false">IF(AJ$6&lt;Total_Lanes,($BI21*($CH21+BR21)+$CM21*CT21)*Peak_Time_Eve/3600,"-")</f>
        <v>16.1950039392948</v>
      </c>
      <c r="AK21" s="136" t="n">
        <f aca="false">IF(AK$6&lt;Total_Lanes,($BI21*($CH21+BS21)+$CM21*CU21)*Peak_Time_Eve/3600,"-")</f>
        <v>29.4921055405014</v>
      </c>
      <c r="AL21" s="136" t="n">
        <f aca="false">IF(AL$6&lt;Total_Lanes,($BI21*($CH21+BT21)+$CM21*CV21)*Peak_Time_Eve/3600,"-")</f>
        <v>723.273277470101</v>
      </c>
      <c r="AM21" s="136" t="n">
        <f aca="false">IF(AM$6&lt;Total_Lanes,($BI21*($CH21+BU21)+$CM21*CW21)*Peak_Time_Eve/3600,"-")</f>
        <v>2545.48471750841</v>
      </c>
      <c r="AN21" s="136" t="n">
        <f aca="false">IF(AN$6&lt;Total_Lanes,($BI21*($CH21+BV21)+$CM21*CX21)*Peak_Time_Eve/3600,"-")</f>
        <v>6207.16833313088</v>
      </c>
      <c r="AO21" s="136" t="n">
        <f aca="false">IF(AO$6&lt;Total_Lanes,($BI21*($CH21+BW21)+$CM21*CY21)*Peak_Time_Eve/3600,"-")</f>
        <v>17198.2566386638</v>
      </c>
      <c r="AP21" s="136" t="str">
        <f aca="false">IF(AP$6&lt;Total_Lanes,($BI21*($CH21+BX21)+$CM21*CZ21)*Peak_Time_Eve/3600,"-")</f>
        <v>-</v>
      </c>
      <c r="AQ21" s="136" t="str">
        <f aca="false">IF(AQ$6&lt;Total_Lanes,($BI21*($CH21+BY21)+$CM21*DA21)*Peak_Time_Eve/3600,"-")</f>
        <v>-</v>
      </c>
      <c r="AR21" s="136" t="str">
        <f aca="false">IF(AR$6&lt;Total_Lanes,($BI21*($CH21+BZ21)+$CM21*DB21)*Peak_Time_Eve/3600,"-")</f>
        <v>-</v>
      </c>
      <c r="AS21" s="136" t="str">
        <f aca="false">IF(AS$6&lt;Total_Lanes,($BI21*($CH21+CA21)+$CM21*DC21)*Peak_Time_Eve/3600,"-")</f>
        <v>-</v>
      </c>
      <c r="AT21" s="136" t="str">
        <f aca="false">IF(AT$6&lt;Total_Lanes,($BI21*($CH21+CB21)+$CM21*DD21)*Peak_Time_Eve/3600,"-")</f>
        <v>-</v>
      </c>
      <c r="AU21" s="136" t="str">
        <f aca="false">IF(AU$6&lt;Total_Lanes,($BI21*($CH21+CC21)+$CM21*DE21)*Peak_Time_Eve/3600,"-")</f>
        <v>-</v>
      </c>
      <c r="AV21" s="136" t="str">
        <f aca="false">IF(AV$6&lt;Total_Lanes,($BI21*($CH21+CD21)+$CM21*DF21)*Peak_Time_Eve/3600,"-")</f>
        <v>-</v>
      </c>
      <c r="AW21" s="136" t="str">
        <f aca="false">IF(AW$6&lt;Total_Lanes,($BI21*($CH21+CE21)+$CM21*DG21)*Peak_Time_Eve/3600,"-")</f>
        <v>-</v>
      </c>
      <c r="AX21" s="136" t="str">
        <f aca="false">IF(AX$6&lt;Total_Lanes,($BI21*($CH21+CF21)+$CM21*DH21)*Peak_Time_Eve/3600,"-")</f>
        <v>-</v>
      </c>
      <c r="AY21" s="137" t="str">
        <f aca="false">IF(AY$6&lt;Total_Lanes,($BI21*($CH21+CG21)+$CM21*DI21)*Peak_Time_Eve/3600,"-")</f>
        <v>-</v>
      </c>
      <c r="AZ21" s="158" t="n">
        <f aca="false">SUMIF(AE21:AY21,BA21,$AE$6:$AY$6)</f>
        <v>6</v>
      </c>
      <c r="BA21" s="159" t="n">
        <f aca="false">MIN(AE21:AY21)</f>
        <v>16.1950039392948</v>
      </c>
      <c r="BB21" s="158" t="n">
        <f aca="false">IF((SUMIF($BM19:$CG19,$AZ21,$BM21:$CG21)+$CH21)&lt;(SUMIF($CO19:$DI19,$AZ21,$CO21:$DI21)+$DJ21),AZ21+1,AZ21)</f>
        <v>6</v>
      </c>
      <c r="BC21" s="159" t="n">
        <f aca="false">SUMIF($AE$6:$AY$6,$BB21,$AE21:$AY21)</f>
        <v>16.1950039392948</v>
      </c>
      <c r="BF21" s="50" t="n">
        <v>14</v>
      </c>
      <c r="BG21" s="131" t="n">
        <f aca="false">$X21</f>
        <v>0.702377141057342</v>
      </c>
      <c r="BH21" s="141" t="n">
        <f aca="false">$AC21</f>
        <v>8060.81486038226</v>
      </c>
      <c r="BI21" s="58" t="n">
        <f aca="false">BH21*(1-BG21)</f>
        <v>2399.08276415443</v>
      </c>
      <c r="BJ21" s="143" t="n">
        <f aca="false">Peak_Arrival_Manual/K54</f>
        <v>4.3816581039765</v>
      </c>
      <c r="BK21" s="144" t="n">
        <f aca="false">900*Peak_Time_Eve*(BJ21/Total_Lanes-1+SQRT((BJ21/Total_Lanes-1)^2+8*(BJ21/Total_Lanes)/(Peak_Time_Eve*$K54*Total_Lanes)))</f>
        <v>0.315088584827339</v>
      </c>
      <c r="BL21" s="145" t="n">
        <f aca="false">Peak_Arrival_Manual/N54</f>
        <v>4.57991563795871</v>
      </c>
      <c r="BM21" s="146" t="n">
        <f aca="false">IF(BM$6&lt;Total_Lanes,900*Peak_Time_Eve*(($BL21/(Total_Lanes-BM$6))-1+SQRT((($BL21/(Total_Lanes-BM$6))-1)^2+8*($BL21/(Total_Lanes-BM$6))/(Peak_Time_Eve*$N54*(Total_Lanes-BM$6)))),"-")</f>
        <v>0.445601569862641</v>
      </c>
      <c r="BN21" s="146" t="n">
        <f aca="false">IF(BN$6&lt;Total_Lanes,900*Peak_Time_Eve*(($BL21/(Total_Lanes-BN$6))-1+SQRT((($BL21/(Total_Lanes-BN$6))-1)^2+8*($BL21/(Total_Lanes-BN$6))/(Peak_Time_Eve*$N54*(Total_Lanes-BN$6)))),"-")</f>
        <v>0.580546464944098</v>
      </c>
      <c r="BO21" s="146" t="n">
        <f aca="false">IF(BO$6&lt;Total_Lanes,900*Peak_Time_Eve*(($BL21/(Total_Lanes-BO$6))-1+SQRT((($BL21/(Total_Lanes-BO$6))-1)^2+8*($BL21/(Total_Lanes-BO$6))/(Peak_Time_Eve*$N54*(Total_Lanes-BO$6)))),"-")</f>
        <v>0.790869697402474</v>
      </c>
      <c r="BP21" s="146" t="n">
        <f aca="false">IF(BP$6&lt;Total_Lanes,900*Peak_Time_Eve*(($BL21/(Total_Lanes-BP$6))-1+SQRT((($BL21/(Total_Lanes-BP$6))-1)^2+8*($BL21/(Total_Lanes-BP$6))/(Peak_Time_Eve*$N54*(Total_Lanes-BP$6)))),"-")</f>
        <v>1.14953225210033</v>
      </c>
      <c r="BQ21" s="146" t="n">
        <f aca="false">IF(BQ$6&lt;Total_Lanes,900*Peak_Time_Eve*(($BL21/(Total_Lanes-BQ$6))-1+SQRT((($BL21/(Total_Lanes-BQ$6))-1)^2+8*($BL21/(Total_Lanes-BQ$6))/(Peak_Time_Eve*$N54*(Total_Lanes-BQ$6)))),"-")</f>
        <v>1.85522591881782</v>
      </c>
      <c r="BR21" s="146" t="n">
        <f aca="false">IF(BR$6&lt;Total_Lanes,900*Peak_Time_Eve*(($BL21/(Total_Lanes-BR$6))-1+SQRT((($BL21/(Total_Lanes-BR$6))-1)^2+8*($BL21/(Total_Lanes-BR$6))/(Peak_Time_Eve*$N54*(Total_Lanes-BR$6)))),"-")</f>
        <v>3.67820615153336</v>
      </c>
      <c r="BS21" s="146" t="n">
        <f aca="false">IF(BS$6&lt;Total_Lanes,900*Peak_Time_Eve*(($BL21/(Total_Lanes-BS$6))-1+SQRT((($BL21/(Total_Lanes-BS$6))-1)^2+8*($BL21/(Total_Lanes-BS$6))/(Peak_Time_Eve*$N54*(Total_Lanes-BS$6)))),"-")</f>
        <v>14.3084245851472</v>
      </c>
      <c r="BT21" s="146" t="n">
        <f aca="false">IF(BT$6&lt;Total_Lanes,900*Peak_Time_Eve*(($BL21/(Total_Lanes-BT$6))-1+SQRT((($BL21/(Total_Lanes-BT$6))-1)^2+8*($BL21/(Total_Lanes-BT$6))/(Peak_Time_Eve*$N54*(Total_Lanes-BT$6)))),"-")</f>
        <v>535.157525004914</v>
      </c>
      <c r="BU21" s="146" t="n">
        <f aca="false">IF(BU$6&lt;Total_Lanes,900*Peak_Time_Eve*(($BL21/(Total_Lanes-BU$6))-1+SQRT((($BL21/(Total_Lanes-BU$6))-1)^2+8*($BL21/(Total_Lanes-BU$6))/(Peak_Time_Eve*$N54*(Total_Lanes-BU$6)))),"-")</f>
        <v>1902.51641572402</v>
      </c>
      <c r="BV21" s="146" t="n">
        <f aca="false">IF(BV$6&lt;Total_Lanes,900*Peak_Time_Eve*(($BL21/(Total_Lanes-BV$6))-1+SQRT((($BL21/(Total_Lanes-BV$6))-1)^2+8*($BL21/(Total_Lanes-BV$6))/(Peak_Time_Eve*$N54*(Total_Lanes-BV$6)))),"-")</f>
        <v>4649.94025309644</v>
      </c>
      <c r="BW21" s="146" t="n">
        <f aca="false">IF(BW$6&lt;Total_Lanes,900*Peak_Time_Eve*(($BL21/(Total_Lanes-BW$6))-1+SQRT((($BL21/(Total_Lanes-BW$6))-1)^2+8*($BL21/(Total_Lanes-BW$6))/(Peak_Time_Eve*$N54*(Total_Lanes-BW$6)))),"-")</f>
        <v>12896.482544561</v>
      </c>
      <c r="BX21" s="136" t="str">
        <f aca="false">IF(BX$6&lt;Total_Lanes,900*Peak_Time_Eve*(($BL21/(Total_Lanes-BX$6))-1+SQRT((($BL21/(Total_Lanes-BX$6))-1)^2+8*($BL21/(Total_Lanes-BX$6))/(Peak_Time_Eve*$N54*(Total_Lanes-BX$6)))),"-")</f>
        <v>-</v>
      </c>
      <c r="BY21" s="136" t="str">
        <f aca="false">IF(BY$6&lt;Total_Lanes,900*Peak_Time_Eve*(($BL21/(Total_Lanes-BY$6))-1+SQRT((($BL21/(Total_Lanes-BY$6))-1)^2+8*($BL21/(Total_Lanes-BY$6))/(Peak_Time_Eve*$N54*(Total_Lanes-BY$6)))),"-")</f>
        <v>-</v>
      </c>
      <c r="BZ21" s="136" t="str">
        <f aca="false">IF(BZ$6&lt;Total_Lanes,900*Peak_Time_Eve*(($BL21/(Total_Lanes-BZ$6))-1+SQRT((($BL21/(Total_Lanes-BZ$6))-1)^2+8*($BL21/(Total_Lanes-BZ$6))/(Peak_Time_Eve*$N54*(Total_Lanes-BZ$6)))),"-")</f>
        <v>-</v>
      </c>
      <c r="CA21" s="136" t="str">
        <f aca="false">IF(CA$6&lt;Total_Lanes,900*Peak_Time_Eve*(($BL21/(Total_Lanes-CA$6))-1+SQRT((($BL21/(Total_Lanes-CA$6))-1)^2+8*($BL21/(Total_Lanes-CA$6))/(Peak_Time_Eve*$N54*(Total_Lanes-CA$6)))),"-")</f>
        <v>-</v>
      </c>
      <c r="CB21" s="136" t="str">
        <f aca="false">IF(CB$6&lt;Total_Lanes,900*Peak_Time_Eve*(($BL21/(Total_Lanes-CB$6))-1+SQRT((($BL21/(Total_Lanes-CB$6))-1)^2+8*($BL21/(Total_Lanes-CB$6))/(Peak_Time_Eve*$N54*(Total_Lanes-CB$6)))),"-")</f>
        <v>-</v>
      </c>
      <c r="CC21" s="136" t="str">
        <f aca="false">IF(CC$6&lt;Total_Lanes,900*Peak_Time_Eve*(($BL21/(Total_Lanes-CC$6))-1+SQRT((($BL21/(Total_Lanes-CC$6))-1)^2+8*($BL21/(Total_Lanes-CC$6))/(Peak_Time_Eve*$N54*(Total_Lanes-CC$6)))),"-")</f>
        <v>-</v>
      </c>
      <c r="CD21" s="136" t="str">
        <f aca="false">IF(CD$6&lt;Total_Lanes,900*Peak_Time_Eve*(($BL21/(Total_Lanes-CD$6))-1+SQRT((($BL21/(Total_Lanes-CD$6))-1)^2+8*($BL21/(Total_Lanes-CD$6))/(Peak_Time_Eve*$N54*(Total_Lanes-CD$6)))),"-")</f>
        <v>-</v>
      </c>
      <c r="CE21" s="136" t="str">
        <f aca="false">IF(CE$6&lt;Total_Lanes,900*Peak_Time_Eve*(($BL21/(Total_Lanes-CE$6))-1+SQRT((($BL21/(Total_Lanes-CE$6))-1)^2+8*($BL21/(Total_Lanes-CE$6))/(Peak_Time_Eve*$N54*(Total_Lanes-CE$6)))),"-")</f>
        <v>-</v>
      </c>
      <c r="CF21" s="136" t="str">
        <f aca="false">IF(CF$6&lt;Total_Lanes,900*Peak_Time_Eve*(($BL21/(Total_Lanes-CF$6))-1+SQRT((($BL21/(Total_Lanes-CF$6))-1)^2+8*($BL21/(Total_Lanes-CF$6))/(Peak_Time_Eve*$N54*(Total_Lanes-CF$6)))),"-")</f>
        <v>-</v>
      </c>
      <c r="CG21" s="147" t="str">
        <f aca="false">IF(CG$6&lt;Total_Lanes,900*Peak_Time_Eve*(($BL21/(Total_Lanes-CG$6))-1+SQRT((($BL21/(Total_Lanes-CG$6))-1)^2+8*($BL21/(Total_Lanes-CG$6))/(Peak_Time_Eve*$N54*(Total_Lanes-CG$6)))),"-")</f>
        <v>-</v>
      </c>
      <c r="CH21" s="160" t="n">
        <f aca="false">3600/N54</f>
        <v>6.8725</v>
      </c>
      <c r="CJ21" s="50" t="n">
        <v>14</v>
      </c>
      <c r="CK21" s="131" t="n">
        <f aca="false">$X21</f>
        <v>0.702377141057342</v>
      </c>
      <c r="CL21" s="57" t="n">
        <f aca="false">$AC21</f>
        <v>8060.81486038226</v>
      </c>
      <c r="CM21" s="135" t="n">
        <f aca="false">CL21*CK21</f>
        <v>5661.73209622783</v>
      </c>
      <c r="CN21" s="161" t="n">
        <f aca="false">CM21/O53</f>
        <v>3.77448806415189</v>
      </c>
      <c r="CO21" s="146" t="n">
        <f aca="false">IF(CO$6&lt;Total_Lanes,900*Peak_Time_Eve*(($CN21/CO$6-1)+SQRT(($CN21/CO$6-1)^2+8*($CN21/CO$6)/(Peak_Time_Eve*$O54*CO$6))),"-")</f>
        <v>9991.42098878731</v>
      </c>
      <c r="CP21" s="146" t="n">
        <f aca="false">IF(CP$6&lt;Total_Lanes,900*Peak_Time_Eve*(($CN21/CP$6-1)+SQRT(($CN21/CP$6-1)^2+8*($CN21/CP$6)/(Peak_Time_Eve*$O54*CP$6))),"-")</f>
        <v>3196.62898168805</v>
      </c>
      <c r="CQ21" s="146" t="n">
        <f aca="false">IF(CQ$6&lt;Total_Lanes,900*Peak_Time_Eve*(($CN21/CQ$6-1)+SQRT(($CN21/CQ$6-1)^2+8*($CN21/CQ$6)/(Peak_Time_Eve*$O54*CQ$6))),"-")</f>
        <v>933.26827818738</v>
      </c>
      <c r="CR21" s="164" t="n">
        <f aca="false">IF(CR$6&lt;Total_Lanes,900*Peak_Time_Eve*(($CN21/CR$6-1)+SQRT(($CN21/CR$6-1)^2+8*($CN21/CR$6)/(Peak_Time_Eve*$O54*CR$6))),"-")</f>
        <v>9.58937848389306</v>
      </c>
      <c r="CS21" s="164" t="n">
        <f aca="false">IF(CS$6&lt;Total_Lanes,900*Peak_Time_Eve*(($CN21/CS$6-1)+SQRT(($CN21/CS$6-1)^2+8*($CN21/CS$6)/(Peak_Time_Eve*$O54*CS$6))),"-")</f>
        <v>1.47589659621055</v>
      </c>
      <c r="CT21" s="164" t="n">
        <f aca="false">IF(CT$6&lt;Total_Lanes,900*Peak_Time_Eve*(($CN21/CT$6-1)+SQRT(($CN21/CT$6-1)^2+8*($CN21/CT$6)/(Peak_Time_Eve*$O54*CT$6))),"-")</f>
        <v>0.678059248950791</v>
      </c>
      <c r="CU21" s="164" t="n">
        <f aca="false">IF(CU$6&lt;Total_Lanes,900*Peak_Time_Eve*(($CN21/CU$6-1)+SQRT(($CN21/CU$6-1)^2+8*($CN21/CU$6)/(Peak_Time_Eve*$O54*CU$6))),"-")</f>
        <v>0.401113799314901</v>
      </c>
      <c r="CV21" s="164" t="n">
        <f aca="false">IF(CV$6&lt;Total_Lanes,900*Peak_Time_Eve*(($CN21/CV$6-1)+SQRT(($CN21/CV$6-1)^2+8*($CN21/CV$6)/(Peak_Time_Eve*$O54*CV$6))),"-")</f>
        <v>0.267940760338381</v>
      </c>
      <c r="CW21" s="164" t="n">
        <f aca="false">IF(CW$6&lt;Total_Lanes,900*Peak_Time_Eve*(($CN21/CW$6-1)+SQRT(($CN21/CW$6-1)^2+8*($CN21/CW$6)/(Peak_Time_Eve*$O54*CW$6))),"-")</f>
        <v>0.1926007298793</v>
      </c>
      <c r="CX21" s="164" t="n">
        <f aca="false">IF(CX$6&lt;Total_Lanes,900*Peak_Time_Eve*(($CN21/CX$6-1)+SQRT(($CN21/CX$6-1)^2+8*($CN21/CX$6)/(Peak_Time_Eve*$O54*CX$6))),"-")</f>
        <v>0.145501018656313</v>
      </c>
      <c r="CY21" s="164" t="n">
        <f aca="false">IF(CY$6&lt;Total_Lanes,900*Peak_Time_Eve*(($CN21/CY$6-1)+SQRT(($CN21/CY$6-1)^2+8*($CN21/CY$6)/(Peak_Time_Eve*$O54*CY$6))),"-")</f>
        <v>0.11396908445902</v>
      </c>
      <c r="CZ21" s="165" t="str">
        <f aca="false">IF(CZ$6&lt;Total_Lanes,900*Peak_Time_Eve*(($CN21/CZ$6-1)+SQRT(($CN21/CZ$6-1)^2+8*($CN21/CZ$6)/(Peak_Time_Eve*$O54*CZ$6))),"-")</f>
        <v>-</v>
      </c>
      <c r="DA21" s="165" t="str">
        <f aca="false">IF(DA$6&lt;Total_Lanes,900*Peak_Time_Eve*(($CN21/DA$6-1)+SQRT(($CN21/DA$6-1)^2+8*($CN21/DA$6)/(Peak_Time_Eve*$O54*DA$6))),"-")</f>
        <v>-</v>
      </c>
      <c r="DB21" s="165" t="str">
        <f aca="false">IF(DB$6&lt;Total_Lanes,900*Peak_Time_Eve*(($CN21/DB$6-1)+SQRT(($CN21/DB$6-1)^2+8*($CN21/DB$6)/(Peak_Time_Eve*$O54*DB$6))),"-")</f>
        <v>-</v>
      </c>
      <c r="DC21" s="165" t="str">
        <f aca="false">IF(DC$6&lt;Total_Lanes,900*Peak_Time_Eve*(($CN21/DC$6-1)+SQRT(($CN21/DC$6-1)^2+8*($CN21/DC$6)/(Peak_Time_Eve*$O54*DC$6))),"-")</f>
        <v>-</v>
      </c>
      <c r="DD21" s="165" t="str">
        <f aca="false">IF(DD$6&lt;Total_Lanes,900*Peak_Time_Eve*(($CN21/DD$6-1)+SQRT(($CN21/DD$6-1)^2+8*($CN21/DD$6)/(Peak_Time_Eve*$O54*DD$6))),"-")</f>
        <v>-</v>
      </c>
      <c r="DE21" s="165" t="str">
        <f aca="false">IF(DE$6&lt;Total_Lanes,900*Peak_Time_Eve*(($CN21/DE$6-1)+SQRT(($CN21/DE$6-1)^2+8*($CN21/DE$6)/(Peak_Time_Eve*$O54*DE$6))),"-")</f>
        <v>-</v>
      </c>
      <c r="DF21" s="165" t="str">
        <f aca="false">IF(DF$6&lt;Total_Lanes,900*Peak_Time_Eve*(($CN21/DF$6-1)+SQRT(($CN21/DF$6-1)^2+8*($CN21/DF$6)/(Peak_Time_Eve*$O54*DF$6))),"-")</f>
        <v>-</v>
      </c>
      <c r="DG21" s="165" t="str">
        <f aca="false">IF(DG$6&lt;Total_Lanes,900*Peak_Time_Eve*(($CN21/DG$6-1)+SQRT(($CN21/DG$6-1)^2+8*($CN21/DG$6)/(Peak_Time_Eve*$O54*DG$6))),"-")</f>
        <v>-</v>
      </c>
      <c r="DH21" s="165" t="str">
        <f aca="false">IF(DH$6&lt;Total_Lanes,900*Peak_Time_Eve*(($CN21/DH$6-1)+SQRT(($CN21/DH$6-1)^2+8*($CN21/DH$6)/(Peak_Time_Eve*$O54*DH$6))),"-")</f>
        <v>-</v>
      </c>
      <c r="DI21" s="166" t="str">
        <f aca="false">IF(DI$6&lt;Total_Lanes,900*Peak_Time_Eve*(($CN21/DI$6-1)+SQRT(($CN21/DI$6-1)^2+8*($CN21/DI$6)/(Peak_Time_Eve*$O54*DI$6))),"-")</f>
        <v>-</v>
      </c>
      <c r="DJ21" s="167" t="n">
        <f aca="false">3600/O54</f>
        <v>2.4</v>
      </c>
    </row>
    <row r="22" customFormat="false" ht="12.75" hidden="false" customHeight="false" outlineLevel="0" collapsed="false">
      <c r="H22" s="50" t="n">
        <v>15</v>
      </c>
      <c r="I22" s="124" t="n">
        <f aca="false">'Input-Detail'!E29</f>
        <v>27254043.25</v>
      </c>
      <c r="J22" s="131" t="n">
        <v>0.72219473716396</v>
      </c>
      <c r="K22" s="57" t="n">
        <f aca="false">AC22</f>
        <v>8226.58735040957</v>
      </c>
      <c r="L22" s="135" t="n">
        <f aca="false">AD69</f>
        <v>13.6779903255618</v>
      </c>
      <c r="M22" s="150" t="n">
        <f aca="false">AD22</f>
        <v>31.268390090747</v>
      </c>
      <c r="N22" s="150" t="n">
        <f aca="false">SUM(L22:M22)</f>
        <v>44.9463804163088</v>
      </c>
      <c r="O22" s="154" t="n">
        <f aca="false">$S$34*N22</f>
        <v>11686.0589082403</v>
      </c>
      <c r="P22" s="135" t="n">
        <f aca="false">BC69</f>
        <v>4.01092844354136</v>
      </c>
      <c r="Q22" s="150" t="n">
        <f aca="false">BC22</f>
        <v>14.0390604437708</v>
      </c>
      <c r="R22" s="150" t="n">
        <f aca="false">SUM(P22:Q22)</f>
        <v>18.0499888873122</v>
      </c>
      <c r="S22" s="155" t="n">
        <f aca="false">$S$34*R22</f>
        <v>4692.99711070117</v>
      </c>
      <c r="T22" s="1"/>
      <c r="U22" s="1"/>
      <c r="V22" s="50" t="n">
        <v>15</v>
      </c>
      <c r="W22" s="132" t="n">
        <f aca="false">W$7+(W$27-W$7)*$V22/20</f>
        <v>27254043.25</v>
      </c>
      <c r="X22" s="131" t="n">
        <f aca="false">MIN((J21+0.05),0.95)</f>
        <v>0.738560291874923</v>
      </c>
      <c r="Y22" s="132" t="n">
        <f aca="false">'Input-Detail'!E29/Z22</f>
        <v>11752.2676434422</v>
      </c>
      <c r="Z22" s="156" t="n">
        <f aca="false">Z21</f>
        <v>2319.04548780488</v>
      </c>
      <c r="AA22" s="156" t="n">
        <f aca="false">AA21</f>
        <v>2</v>
      </c>
      <c r="AB22" s="157" t="n">
        <f aca="false">AB21</f>
        <v>0.7</v>
      </c>
      <c r="AC22" s="57" t="n">
        <f aca="false">Y22*AB22</f>
        <v>8226.58735040957</v>
      </c>
      <c r="AD22" s="135" t="n">
        <f aca="false">Peak_Time_Eve*$BH22*(3600/K55+BK22)/3600</f>
        <v>31.268390090747</v>
      </c>
      <c r="AE22" s="136" t="n">
        <f aca="false">IF(AE$6&lt;Total_Lanes,($BI22*($CH22+BM22)+$CM22*CO22)*Peak_Time_Eve/3600,"-")</f>
        <v>37088.7364406929</v>
      </c>
      <c r="AF22" s="136" t="n">
        <f aca="false">IF(AF$6&lt;Total_Lanes,($BI22*($CH22+BN22)+$CM22*CP22)*Peak_Time_Eve/3600,"-")</f>
        <v>12475.6279572861</v>
      </c>
      <c r="AG22" s="136" t="n">
        <f aca="false">IF(AG$6&lt;Total_Lanes,($BI22*($CH22+BO22)+$CM22*CQ22)*Peak_Time_Eve/3600,"-")</f>
        <v>4274.7202033893</v>
      </c>
      <c r="AH22" s="136" t="n">
        <f aca="false">IF(AH$6&lt;Total_Lanes,($BI22*($CH22+BP22)+$CM22*CR22)*Peak_Time_Eve/3600,"-")</f>
        <v>261.669017807622</v>
      </c>
      <c r="AI22" s="136" t="n">
        <f aca="false">IF(AI$6&lt;Total_Lanes,($BI22*($CH22+BQ22)+$CM22*CS22)*Peak_Time_Eve/3600,"-")</f>
        <v>16.8090915169516</v>
      </c>
      <c r="AJ22" s="136" t="n">
        <f aca="false">IF(AJ$6&lt;Total_Lanes,($BI22*($CH22+BR22)+$CM22*CT22)*Peak_Time_Eve/3600,"-")</f>
        <v>14.0390604437708</v>
      </c>
      <c r="AK22" s="136" t="n">
        <f aca="false">IF(AK$6&lt;Total_Lanes,($BI22*($CH22+BS22)+$CM22*CU22)*Peak_Time_Eve/3600,"-")</f>
        <v>17.4468867655762</v>
      </c>
      <c r="AL22" s="136" t="n">
        <f aca="false">IF(AL$6&lt;Total_Lanes,($BI22*($CH22+BT22)+$CM22*CV22)*Peak_Time_Eve/3600,"-")</f>
        <v>187.838432871675</v>
      </c>
      <c r="AM22" s="136" t="n">
        <f aca="false">IF(AM$6&lt;Total_Lanes,($BI22*($CH22+BU22)+$CM22*CW22)*Peak_Time_Eve/3600,"-")</f>
        <v>1622.83902710067</v>
      </c>
      <c r="AN22" s="136" t="n">
        <f aca="false">IF(AN$6&lt;Total_Lanes,($BI22*($CH22+BV22)+$CM22*CX22)*Peak_Time_Eve/3600,"-")</f>
        <v>4573.26557698968</v>
      </c>
      <c r="AO22" s="136" t="n">
        <f aca="false">IF(AO$6&lt;Total_Lanes,($BI22*($CH22+BW22)+$CM22*CY22)*Peak_Time_Eve/3600,"-")</f>
        <v>13434.0178565216</v>
      </c>
      <c r="AP22" s="136" t="str">
        <f aca="false">IF(AP$6&lt;Total_Lanes,($BI22*($CH22+BX22)+$CM22*CZ22)*Peak_Time_Eve/3600,"-")</f>
        <v>-</v>
      </c>
      <c r="AQ22" s="136" t="str">
        <f aca="false">IF(AQ$6&lt;Total_Lanes,($BI22*($CH22+BY22)+$CM22*DA22)*Peak_Time_Eve/3600,"-")</f>
        <v>-</v>
      </c>
      <c r="AR22" s="136" t="str">
        <f aca="false">IF(AR$6&lt;Total_Lanes,($BI22*($CH22+BZ22)+$CM22*DB22)*Peak_Time_Eve/3600,"-")</f>
        <v>-</v>
      </c>
      <c r="AS22" s="136" t="str">
        <f aca="false">IF(AS$6&lt;Total_Lanes,($BI22*($CH22+CA22)+$CM22*DC22)*Peak_Time_Eve/3600,"-")</f>
        <v>-</v>
      </c>
      <c r="AT22" s="136" t="str">
        <f aca="false">IF(AT$6&lt;Total_Lanes,($BI22*($CH22+CB22)+$CM22*DD22)*Peak_Time_Eve/3600,"-")</f>
        <v>-</v>
      </c>
      <c r="AU22" s="136" t="str">
        <f aca="false">IF(AU$6&lt;Total_Lanes,($BI22*($CH22+CC22)+$CM22*DE22)*Peak_Time_Eve/3600,"-")</f>
        <v>-</v>
      </c>
      <c r="AV22" s="136" t="str">
        <f aca="false">IF(AV$6&lt;Total_Lanes,($BI22*($CH22+CD22)+$CM22*DF22)*Peak_Time_Eve/3600,"-")</f>
        <v>-</v>
      </c>
      <c r="AW22" s="136" t="str">
        <f aca="false">IF(AW$6&lt;Total_Lanes,($BI22*($CH22+CE22)+$CM22*DG22)*Peak_Time_Eve/3600,"-")</f>
        <v>-</v>
      </c>
      <c r="AX22" s="136" t="str">
        <f aca="false">IF(AX$6&lt;Total_Lanes,($BI22*($CH22+CF22)+$CM22*DH22)*Peak_Time_Eve/3600,"-")</f>
        <v>-</v>
      </c>
      <c r="AY22" s="137" t="str">
        <f aca="false">IF(AY$6&lt;Total_Lanes,($BI22*($CH22+CG22)+$CM22*DI22)*Peak_Time_Eve/3600,"-")</f>
        <v>-</v>
      </c>
      <c r="AZ22" s="158" t="n">
        <f aca="false">SUMIF(AE22:AY22,BA22,$AE$6:$AY$6)</f>
        <v>6</v>
      </c>
      <c r="BA22" s="159" t="n">
        <f aca="false">MIN(AE22:AY22)</f>
        <v>14.0390604437708</v>
      </c>
      <c r="BB22" s="158" t="n">
        <f aca="false">IF((SUMIF($BM20:$CG20,$AZ22,$BM22:$CG22)+$CH22)&lt;(SUMIF($CO20:$DI20,$AZ22,$CO22:$DI22)+$DJ22),AZ22+1,AZ22)</f>
        <v>6</v>
      </c>
      <c r="BC22" s="159" t="n">
        <f aca="false">SUMIF($AE$6:$AY$6,$BB22,$AE22:$AY22)</f>
        <v>14.0390604437708</v>
      </c>
      <c r="BF22" s="50" t="n">
        <v>15</v>
      </c>
      <c r="BG22" s="131" t="n">
        <f aca="false">$X22</f>
        <v>0.738560291874923</v>
      </c>
      <c r="BH22" s="141" t="n">
        <f aca="false">$AC22</f>
        <v>8226.58735040957</v>
      </c>
      <c r="BI22" s="58" t="n">
        <f aca="false">BH22*(1-BG22)</f>
        <v>2150.75659575653</v>
      </c>
      <c r="BJ22" s="143" t="n">
        <f aca="false">Peak_Arrival_Manual/K55</f>
        <v>3.92811794919422</v>
      </c>
      <c r="BK22" s="144" t="n">
        <f aca="false">900*Peak_Time_Eve*(BJ22/Total_Lanes-1+SQRT((BJ22/Total_Lanes-1)^2+8*(BJ22/Total_Lanes)/(Peak_Time_Eve*$K55*Total_Lanes)))</f>
        <v>0.266609985523636</v>
      </c>
      <c r="BL22" s="145" t="n">
        <f aca="false">Peak_Arrival_Manual/N55</f>
        <v>4.11854952277683</v>
      </c>
      <c r="BM22" s="146" t="n">
        <f aca="false">IF(BM$6&lt;Total_Lanes,900*Peak_Time_Eve*(($BL22/(Total_Lanes-BM$6))-1+SQRT((($BL22/(Total_Lanes-BM$6))-1)^2+8*($BL22/(Total_Lanes-BM$6))/(Peak_Time_Eve*$N55*(Total_Lanes-BM$6)))),"-")</f>
        <v>0.375020350870248</v>
      </c>
      <c r="BN22" s="146" t="n">
        <f aca="false">IF(BN$6&lt;Total_Lanes,900*Peak_Time_Eve*(($BL22/(Total_Lanes-BN$6))-1+SQRT((($BL22/(Total_Lanes-BN$6))-1)^2+8*($BL22/(Total_Lanes-BN$6))/(Peak_Time_Eve*$N55*(Total_Lanes-BN$6)))),"-")</f>
        <v>0.482632311453157</v>
      </c>
      <c r="BO22" s="146" t="n">
        <f aca="false">IF(BO$6&lt;Total_Lanes,900*Peak_Time_Eve*(($BL22/(Total_Lanes-BO$6))-1+SQRT((($BL22/(Total_Lanes-BO$6))-1)^2+8*($BL22/(Total_Lanes-BO$6))/(Peak_Time_Eve*$N55*(Total_Lanes-BO$6)))),"-")</f>
        <v>0.646047952369111</v>
      </c>
      <c r="BP22" s="146" t="n">
        <f aca="false">IF(BP$6&lt;Total_Lanes,900*Peak_Time_Eve*(($BL22/(Total_Lanes-BP$6))-1+SQRT((($BL22/(Total_Lanes-BP$6))-1)^2+8*($BL22/(Total_Lanes-BP$6))/(Peak_Time_Eve*$N55*(Total_Lanes-BP$6)))),"-")</f>
        <v>0.913878825466286</v>
      </c>
      <c r="BQ22" s="146" t="n">
        <f aca="false">IF(BQ$6&lt;Total_Lanes,900*Peak_Time_Eve*(($BL22/(Total_Lanes-BQ$6))-1+SQRT((($BL22/(Total_Lanes-BQ$6))-1)^2+8*($BL22/(Total_Lanes-BQ$6))/(Peak_Time_Eve*$N55*(Total_Lanes-BQ$6)))),"-")</f>
        <v>1.40630226201613</v>
      </c>
      <c r="BR22" s="146" t="n">
        <f aca="false">IF(BR$6&lt;Total_Lanes,900*Peak_Time_Eve*(($BL22/(Total_Lanes-BR$6))-1+SQRT((($BL22/(Total_Lanes-BR$6))-1)^2+8*($BL22/(Total_Lanes-BR$6))/(Peak_Time_Eve*$N55*(Total_Lanes-BR$6)))),"-")</f>
        <v>2.50952425585917</v>
      </c>
      <c r="BS22" s="146" t="n">
        <f aca="false">IF(BS$6&lt;Total_Lanes,900*Peak_Time_Eve*(($BL22/(Total_Lanes-BS$6))-1+SQRT((($BL22/(Total_Lanes-BS$6))-1)^2+8*($BL22/(Total_Lanes-BS$6))/(Peak_Time_Eve*$N55*(Total_Lanes-BS$6)))),"-")</f>
        <v>6.37806735209722</v>
      </c>
      <c r="BT22" s="146" t="n">
        <f aca="false">IF(BT$6&lt;Total_Lanes,900*Peak_Time_Eve*(($BL22/(Total_Lanes-BT$6))-1+SQRT((($BL22/(Total_Lanes-BT$6))-1)^2+8*($BL22/(Total_Lanes-BT$6))/(Peak_Time_Eve*$N55*(Total_Lanes-BT$6)))),"-")</f>
        <v>149.441974318972</v>
      </c>
      <c r="BU22" s="146" t="n">
        <f aca="false">IF(BU$6&lt;Total_Lanes,900*Peak_Time_Eve*(($BL22/(Total_Lanes-BU$6))-1+SQRT((($BL22/(Total_Lanes-BU$6))-1)^2+8*($BL22/(Total_Lanes-BU$6))/(Peak_Time_Eve*$N55*(Total_Lanes-BU$6)))),"-")</f>
        <v>1350.66778682653</v>
      </c>
      <c r="BV22" s="146" t="n">
        <f aca="false">IF(BV$6&lt;Total_Lanes,900*Peak_Time_Eve*(($BL22/(Total_Lanes-BV$6))-1+SQRT((($BL22/(Total_Lanes-BV$6))-1)^2+8*($BL22/(Total_Lanes-BV$6))/(Peak_Time_Eve*$N55*(Total_Lanes-BV$6)))),"-")</f>
        <v>3820.07827766985</v>
      </c>
      <c r="BW22" s="146" t="n">
        <f aca="false">IF(BW$6&lt;Total_Lanes,900*Peak_Time_Eve*(($BL22/(Total_Lanes-BW$6))-1+SQRT((($BL22/(Total_Lanes-BW$6))-1)^2+8*($BL22/(Total_Lanes-BW$6))/(Peak_Time_Eve*$N55*(Total_Lanes-BW$6)))),"-")</f>
        <v>11235.8752237787</v>
      </c>
      <c r="BX22" s="136" t="str">
        <f aca="false">IF(BX$6&lt;Total_Lanes,900*Peak_Time_Eve*(($BL22/(Total_Lanes-BX$6))-1+SQRT((($BL22/(Total_Lanes-BX$6))-1)^2+8*($BL22/(Total_Lanes-BX$6))/(Peak_Time_Eve*$N55*(Total_Lanes-BX$6)))),"-")</f>
        <v>-</v>
      </c>
      <c r="BY22" s="136" t="str">
        <f aca="false">IF(BY$6&lt;Total_Lanes,900*Peak_Time_Eve*(($BL22/(Total_Lanes-BY$6))-1+SQRT((($BL22/(Total_Lanes-BY$6))-1)^2+8*($BL22/(Total_Lanes-BY$6))/(Peak_Time_Eve*$N55*(Total_Lanes-BY$6)))),"-")</f>
        <v>-</v>
      </c>
      <c r="BZ22" s="136" t="str">
        <f aca="false">IF(BZ$6&lt;Total_Lanes,900*Peak_Time_Eve*(($BL22/(Total_Lanes-BZ$6))-1+SQRT((($BL22/(Total_Lanes-BZ$6))-1)^2+8*($BL22/(Total_Lanes-BZ$6))/(Peak_Time_Eve*$N55*(Total_Lanes-BZ$6)))),"-")</f>
        <v>-</v>
      </c>
      <c r="CA22" s="136" t="str">
        <f aca="false">IF(CA$6&lt;Total_Lanes,900*Peak_Time_Eve*(($BL22/(Total_Lanes-CA$6))-1+SQRT((($BL22/(Total_Lanes-CA$6))-1)^2+8*($BL22/(Total_Lanes-CA$6))/(Peak_Time_Eve*$N55*(Total_Lanes-CA$6)))),"-")</f>
        <v>-</v>
      </c>
      <c r="CB22" s="136" t="str">
        <f aca="false">IF(CB$6&lt;Total_Lanes,900*Peak_Time_Eve*(($BL22/(Total_Lanes-CB$6))-1+SQRT((($BL22/(Total_Lanes-CB$6))-1)^2+8*($BL22/(Total_Lanes-CB$6))/(Peak_Time_Eve*$N55*(Total_Lanes-CB$6)))),"-")</f>
        <v>-</v>
      </c>
      <c r="CC22" s="136" t="str">
        <f aca="false">IF(CC$6&lt;Total_Lanes,900*Peak_Time_Eve*(($BL22/(Total_Lanes-CC$6))-1+SQRT((($BL22/(Total_Lanes-CC$6))-1)^2+8*($BL22/(Total_Lanes-CC$6))/(Peak_Time_Eve*$N55*(Total_Lanes-CC$6)))),"-")</f>
        <v>-</v>
      </c>
      <c r="CD22" s="136" t="str">
        <f aca="false">IF(CD$6&lt;Total_Lanes,900*Peak_Time_Eve*(($BL22/(Total_Lanes-CD$6))-1+SQRT((($BL22/(Total_Lanes-CD$6))-1)^2+8*($BL22/(Total_Lanes-CD$6))/(Peak_Time_Eve*$N55*(Total_Lanes-CD$6)))),"-")</f>
        <v>-</v>
      </c>
      <c r="CE22" s="136" t="str">
        <f aca="false">IF(CE$6&lt;Total_Lanes,900*Peak_Time_Eve*(($BL22/(Total_Lanes-CE$6))-1+SQRT((($BL22/(Total_Lanes-CE$6))-1)^2+8*($BL22/(Total_Lanes-CE$6))/(Peak_Time_Eve*$N55*(Total_Lanes-CE$6)))),"-")</f>
        <v>-</v>
      </c>
      <c r="CF22" s="136" t="str">
        <f aca="false">IF(CF$6&lt;Total_Lanes,900*Peak_Time_Eve*(($BL22/(Total_Lanes-CF$6))-1+SQRT((($BL22/(Total_Lanes-CF$6))-1)^2+8*($BL22/(Total_Lanes-CF$6))/(Peak_Time_Eve*$N55*(Total_Lanes-CF$6)))),"-")</f>
        <v>-</v>
      </c>
      <c r="CG22" s="147" t="str">
        <f aca="false">IF(CG$6&lt;Total_Lanes,900*Peak_Time_Eve*(($BL22/(Total_Lanes-CG$6))-1+SQRT((($BL22/(Total_Lanes-CG$6))-1)^2+8*($BL22/(Total_Lanes-CG$6))/(Peak_Time_Eve*$N55*(Total_Lanes-CG$6)))),"-")</f>
        <v>-</v>
      </c>
      <c r="CH22" s="160" t="n">
        <f aca="false">3600/N55</f>
        <v>6.89375</v>
      </c>
      <c r="CJ22" s="50" t="n">
        <v>15</v>
      </c>
      <c r="CK22" s="131" t="n">
        <f aca="false">$X22</f>
        <v>0.738560291874923</v>
      </c>
      <c r="CL22" s="57" t="n">
        <f aca="false">$AC22</f>
        <v>8226.58735040957</v>
      </c>
      <c r="CM22" s="135" t="n">
        <f aca="false">CL22*CK22</f>
        <v>6075.83075465304</v>
      </c>
      <c r="CN22" s="161" t="n">
        <f aca="false">CM22/O54</f>
        <v>4.05055383643536</v>
      </c>
      <c r="CO22" s="146" t="n">
        <f aca="false">IF(CO$6&lt;Total_Lanes,900*Peak_Time_Eve*(($CN22/CO$6-1)+SQRT(($CN22/CO$6-1)^2+8*($CN22/CO$6)/(Peak_Time_Eve*$O55*CO$6))),"-")</f>
        <v>10985.179629363</v>
      </c>
      <c r="CP22" s="146" t="n">
        <f aca="false">IF(CP$6&lt;Total_Lanes,900*Peak_Time_Eve*(($CN22/CP$6-1)+SQRT(($CN22/CP$6-1)^2+8*($CN22/CP$6)/(Peak_Time_Eve*$O55*CP$6))),"-")</f>
        <v>3693.36580072124</v>
      </c>
      <c r="CQ22" s="146" t="n">
        <f aca="false">IF(CQ$6&lt;Total_Lanes,900*Peak_Time_Eve*(($CN22/CQ$6-1)+SQRT(($CN22/CQ$6-1)^2+8*($CN22/CQ$6)/(Peak_Time_Eve*$O55*CQ$6))),"-")</f>
        <v>1263.74160275017</v>
      </c>
      <c r="CR22" s="146" t="n">
        <f aca="false">IF(CR$6&lt;Total_Lanes,900*Peak_Time_Eve*(($CN22/CR$6-1)+SQRT(($CN22/CR$6-1)^2+8*($CN22/CR$6)/(Peak_Time_Eve*$O55*CR$6))),"-")</f>
        <v>74.75717168591</v>
      </c>
      <c r="CS22" s="164" t="n">
        <f aca="false">IF(CS$6&lt;Total_Lanes,900*Peak_Time_Eve*(($CN22/CS$6-1)+SQRT(($CN22/CS$6-1)^2+8*($CN22/CS$6)/(Peak_Time_Eve*$O55*CS$6))),"-")</f>
        <v>2.04169159474326</v>
      </c>
      <c r="CT22" s="164" t="n">
        <f aca="false">IF(CT$6&lt;Total_Lanes,900*Peak_Time_Eve*(($CN22/CT$6-1)+SQRT(($CN22/CT$6-1)^2+8*($CN22/CT$6)/(Peak_Time_Eve*$O55*CT$6))),"-")</f>
        <v>0.830529169599781</v>
      </c>
      <c r="CU22" s="164" t="n">
        <f aca="false">IF(CU$6&lt;Total_Lanes,900*Peak_Time_Eve*(($CN22/CU$6-1)+SQRT(($CN22/CU$6-1)^2+8*($CN22/CU$6)/(Peak_Time_Eve*$O55*CU$6))),"-")</f>
        <v>0.470708876831016</v>
      </c>
      <c r="CV22" s="164" t="n">
        <f aca="false">IF(CV$6&lt;Total_Lanes,900*Peak_Time_Eve*(($CN22/CV$6-1)+SQRT(($CN22/CV$6-1)^2+8*($CN22/CV$6)/(Peak_Time_Eve*$O55*CV$6))),"-")</f>
        <v>0.307626893026902</v>
      </c>
      <c r="CW22" s="164" t="n">
        <f aca="false">IF(CW$6&lt;Total_Lanes,900*Peak_Time_Eve*(($CN22/CW$6-1)+SQRT(($CN22/CW$6-1)^2+8*($CN22/CW$6)/(Peak_Time_Eve*$O55*CW$6))),"-")</f>
        <v>0.218212020660458</v>
      </c>
      <c r="CX22" s="164" t="n">
        <f aca="false">IF(CX$6&lt;Total_Lanes,900*Peak_Time_Eve*(($CN22/CX$6-1)+SQRT(($CN22/CX$6-1)^2+8*($CN22/CX$6)/(Peak_Time_Eve*$O55*CX$6))),"-")</f>
        <v>0.163386429743873</v>
      </c>
      <c r="CY22" s="164" t="n">
        <f aca="false">IF(CY$6&lt;Total_Lanes,900*Peak_Time_Eve*(($CN22/CY$6-1)+SQRT(($CN22/CY$6-1)^2+8*($CN22/CY$6)/(Peak_Time_Eve*$O55*CY$6))),"-")</f>
        <v>0.127162333623776</v>
      </c>
      <c r="CZ22" s="165" t="str">
        <f aca="false">IF(CZ$6&lt;Total_Lanes,900*Peak_Time_Eve*(($CN22/CZ$6-1)+SQRT(($CN22/CZ$6-1)^2+8*($CN22/CZ$6)/(Peak_Time_Eve*$O55*CZ$6))),"-")</f>
        <v>-</v>
      </c>
      <c r="DA22" s="165" t="str">
        <f aca="false">IF(DA$6&lt;Total_Lanes,900*Peak_Time_Eve*(($CN22/DA$6-1)+SQRT(($CN22/DA$6-1)^2+8*($CN22/DA$6)/(Peak_Time_Eve*$O55*DA$6))),"-")</f>
        <v>-</v>
      </c>
      <c r="DB22" s="165" t="str">
        <f aca="false">IF(DB$6&lt;Total_Lanes,900*Peak_Time_Eve*(($CN22/DB$6-1)+SQRT(($CN22/DB$6-1)^2+8*($CN22/DB$6)/(Peak_Time_Eve*$O55*DB$6))),"-")</f>
        <v>-</v>
      </c>
      <c r="DC22" s="165" t="str">
        <f aca="false">IF(DC$6&lt;Total_Lanes,900*Peak_Time_Eve*(($CN22/DC$6-1)+SQRT(($CN22/DC$6-1)^2+8*($CN22/DC$6)/(Peak_Time_Eve*$O55*DC$6))),"-")</f>
        <v>-</v>
      </c>
      <c r="DD22" s="165" t="str">
        <f aca="false">IF(DD$6&lt;Total_Lanes,900*Peak_Time_Eve*(($CN22/DD$6-1)+SQRT(($CN22/DD$6-1)^2+8*($CN22/DD$6)/(Peak_Time_Eve*$O55*DD$6))),"-")</f>
        <v>-</v>
      </c>
      <c r="DE22" s="165" t="str">
        <f aca="false">IF(DE$6&lt;Total_Lanes,900*Peak_Time_Eve*(($CN22/DE$6-1)+SQRT(($CN22/DE$6-1)^2+8*($CN22/DE$6)/(Peak_Time_Eve*$O55*DE$6))),"-")</f>
        <v>-</v>
      </c>
      <c r="DF22" s="165" t="str">
        <f aca="false">IF(DF$6&lt;Total_Lanes,900*Peak_Time_Eve*(($CN22/DF$6-1)+SQRT(($CN22/DF$6-1)^2+8*($CN22/DF$6)/(Peak_Time_Eve*$O55*DF$6))),"-")</f>
        <v>-</v>
      </c>
      <c r="DG22" s="165" t="str">
        <f aca="false">IF(DG$6&lt;Total_Lanes,900*Peak_Time_Eve*(($CN22/DG$6-1)+SQRT(($CN22/DG$6-1)^2+8*($CN22/DG$6)/(Peak_Time_Eve*$O55*DG$6))),"-")</f>
        <v>-</v>
      </c>
      <c r="DH22" s="165" t="str">
        <f aca="false">IF(DH$6&lt;Total_Lanes,900*Peak_Time_Eve*(($CN22/DH$6-1)+SQRT(($CN22/DH$6-1)^2+8*($CN22/DH$6)/(Peak_Time_Eve*$O55*DH$6))),"-")</f>
        <v>-</v>
      </c>
      <c r="DI22" s="166" t="str">
        <f aca="false">IF(DI$6&lt;Total_Lanes,900*Peak_Time_Eve*(($CN22/DI$6-1)+SQRT(($CN22/DI$6-1)^2+8*($CN22/DI$6)/(Peak_Time_Eve*$O55*DI$6))),"-")</f>
        <v>-</v>
      </c>
      <c r="DJ22" s="167" t="n">
        <f aca="false">3600/O55</f>
        <v>2.4</v>
      </c>
    </row>
    <row r="23" customFormat="false" ht="12.75" hidden="false" customHeight="false" outlineLevel="0" collapsed="false">
      <c r="H23" s="50" t="n">
        <v>16</v>
      </c>
      <c r="I23" s="124" t="n">
        <f aca="false">'Input-Detail'!E30</f>
        <v>27803234.6</v>
      </c>
      <c r="J23" s="131" t="n">
        <v>0.753205951403196</v>
      </c>
      <c r="K23" s="57" t="n">
        <f aca="false">AC23</f>
        <v>8392.35984043687</v>
      </c>
      <c r="L23" s="135" t="n">
        <f aca="false">AD70</f>
        <v>13.9734003613131</v>
      </c>
      <c r="M23" s="150" t="n">
        <f aca="false">AD23</f>
        <v>31.7037310595867</v>
      </c>
      <c r="N23" s="150" t="n">
        <f aca="false">SUM(L23:M23)</f>
        <v>45.6771314208998</v>
      </c>
      <c r="O23" s="154" t="n">
        <f aca="false">$S$34*N23</f>
        <v>11876.054169434</v>
      </c>
      <c r="P23" s="135" t="n">
        <f aca="false">BC70</f>
        <v>3.60964809047586</v>
      </c>
      <c r="Q23" s="150" t="n">
        <f aca="false">BC23</f>
        <v>12.9737593628045</v>
      </c>
      <c r="R23" s="150" t="n">
        <f aca="false">SUM(P23:Q23)</f>
        <v>16.5834074532804</v>
      </c>
      <c r="S23" s="155" t="n">
        <f aca="false">$S$34*R23</f>
        <v>4311.6859378529</v>
      </c>
      <c r="T23" s="1"/>
      <c r="U23" s="1"/>
      <c r="V23" s="50" t="n">
        <v>16</v>
      </c>
      <c r="W23" s="132" t="n">
        <f aca="false">W$7+(W$27-W$7)*$V23/20</f>
        <v>27803234.6</v>
      </c>
      <c r="X23" s="131" t="n">
        <f aca="false">MIN((J22+0.05),0.95)</f>
        <v>0.77219473716396</v>
      </c>
      <c r="Y23" s="132" t="n">
        <f aca="false">'Input-Detail'!E30/Z23</f>
        <v>11989.0854863384</v>
      </c>
      <c r="Z23" s="156" t="n">
        <f aca="false">Z22</f>
        <v>2319.04548780488</v>
      </c>
      <c r="AA23" s="156" t="n">
        <f aca="false">AA22</f>
        <v>2</v>
      </c>
      <c r="AB23" s="157" t="n">
        <f aca="false">AB22</f>
        <v>0.7</v>
      </c>
      <c r="AC23" s="57" t="n">
        <f aca="false">Y23*AB23</f>
        <v>8392.35984043687</v>
      </c>
      <c r="AD23" s="135" t="n">
        <f aca="false">Peak_Time_Eve*$BH23*(3600/K56+BK23)/3600</f>
        <v>31.7037310595867</v>
      </c>
      <c r="AE23" s="136" t="n">
        <f aca="false">IF(AE$6&lt;Total_Lanes,($BI23*($CH23+BM23)+$CM23*CO23)*Peak_Time_Eve/3600,"-")</f>
        <v>43054.3112927725</v>
      </c>
      <c r="AF23" s="136" t="n">
        <f aca="false">IF(AF$6&lt;Total_Lanes,($BI23*($CH23+BN23)+$CM23*CP23)*Peak_Time_Eve/3600,"-")</f>
        <v>15052.9705934311</v>
      </c>
      <c r="AG23" s="136" t="n">
        <f aca="false">IF(AG$6&lt;Total_Lanes,($BI23*($CH23+BO23)+$CM23*CQ23)*Peak_Time_Eve/3600,"-")</f>
        <v>5721.73176092849</v>
      </c>
      <c r="AH23" s="136" t="n">
        <f aca="false">IF(AH$6&lt;Total_Lanes,($BI23*($CH23+BP23)+$CM23*CR23)*Peak_Time_Eve/3600,"-")</f>
        <v>1074.52478862482</v>
      </c>
      <c r="AI23" s="136" t="n">
        <f aca="false">IF(AI$6&lt;Total_Lanes,($BI23*($CH23+BQ23)+$CM23*CS23)*Peak_Time_Eve/3600,"-")</f>
        <v>19.4195438234587</v>
      </c>
      <c r="AJ23" s="136" t="n">
        <f aca="false">IF(AJ$6&lt;Total_Lanes,($BI23*($CH23+BR23)+$CM23*CT23)*Peak_Time_Eve/3600,"-")</f>
        <v>12.9737593628045</v>
      </c>
      <c r="AK23" s="136" t="n">
        <f aca="false">IF(AK$6&lt;Total_Lanes,($BI23*($CH23+BS23)+$CM23*CU23)*Peak_Time_Eve/3600,"-")</f>
        <v>13.3807269165268</v>
      </c>
      <c r="AL23" s="136" t="n">
        <f aca="false">IF(AL$6&lt;Total_Lanes,($BI23*($CH23+BT23)+$CM23*CV23)*Peak_Time_Eve/3600,"-")</f>
        <v>27.9898721377495</v>
      </c>
      <c r="AM23" s="136" t="n">
        <f aca="false">IF(AM$6&lt;Total_Lanes,($BI23*($CH23+BU23)+$CM23*CW23)*Peak_Time_Eve/3600,"-")</f>
        <v>878.27398938802</v>
      </c>
      <c r="AN23" s="136" t="n">
        <f aca="false">IF(AN$6&lt;Total_Lanes,($BI23*($CH23+BV23)+$CM23*CX23)*Peak_Time_Eve/3600,"-")</f>
        <v>3213.17861903488</v>
      </c>
      <c r="AO23" s="136" t="n">
        <f aca="false">IF(AO$6&lt;Total_Lanes,($BI23*($CH23+BW23)+$CM23*CY23)*Peak_Time_Eve/3600,"-")</f>
        <v>10235.848829868</v>
      </c>
      <c r="AP23" s="136" t="str">
        <f aca="false">IF(AP$6&lt;Total_Lanes,($BI23*($CH23+BX23)+$CM23*CZ23)*Peak_Time_Eve/3600,"-")</f>
        <v>-</v>
      </c>
      <c r="AQ23" s="136" t="str">
        <f aca="false">IF(AQ$6&lt;Total_Lanes,($BI23*($CH23+BY23)+$CM23*DA23)*Peak_Time_Eve/3600,"-")</f>
        <v>-</v>
      </c>
      <c r="AR23" s="136" t="str">
        <f aca="false">IF(AR$6&lt;Total_Lanes,($BI23*($CH23+BZ23)+$CM23*DB23)*Peak_Time_Eve/3600,"-")</f>
        <v>-</v>
      </c>
      <c r="AS23" s="136" t="str">
        <f aca="false">IF(AS$6&lt;Total_Lanes,($BI23*($CH23+CA23)+$CM23*DC23)*Peak_Time_Eve/3600,"-")</f>
        <v>-</v>
      </c>
      <c r="AT23" s="136" t="str">
        <f aca="false">IF(AT$6&lt;Total_Lanes,($BI23*($CH23+CB23)+$CM23*DD23)*Peak_Time_Eve/3600,"-")</f>
        <v>-</v>
      </c>
      <c r="AU23" s="136" t="str">
        <f aca="false">IF(AU$6&lt;Total_Lanes,($BI23*($CH23+CC23)+$CM23*DE23)*Peak_Time_Eve/3600,"-")</f>
        <v>-</v>
      </c>
      <c r="AV23" s="136" t="str">
        <f aca="false">IF(AV$6&lt;Total_Lanes,($BI23*($CH23+CD23)+$CM23*DF23)*Peak_Time_Eve/3600,"-")</f>
        <v>-</v>
      </c>
      <c r="AW23" s="136" t="str">
        <f aca="false">IF(AW$6&lt;Total_Lanes,($BI23*($CH23+CE23)+$CM23*DG23)*Peak_Time_Eve/3600,"-")</f>
        <v>-</v>
      </c>
      <c r="AX23" s="136" t="str">
        <f aca="false">IF(AX$6&lt;Total_Lanes,($BI23*($CH23+CF23)+$CM23*DH23)*Peak_Time_Eve/3600,"-")</f>
        <v>-</v>
      </c>
      <c r="AY23" s="137" t="str">
        <f aca="false">IF(AY$6&lt;Total_Lanes,($BI23*($CH23+CG23)+$CM23*DI23)*Peak_Time_Eve/3600,"-")</f>
        <v>-</v>
      </c>
      <c r="AZ23" s="158" t="n">
        <f aca="false">SUMIF(AE23:AY23,BA23,$AE$6:$AY$6)</f>
        <v>6</v>
      </c>
      <c r="BA23" s="159" t="n">
        <f aca="false">MIN(AE23:AY23)</f>
        <v>12.9737593628045</v>
      </c>
      <c r="BB23" s="158" t="n">
        <f aca="false">IF((SUMIF($BM21:$CG21,$AZ23,$BM23:$CG23)+$CH23)&lt;(SUMIF($CO21:$DI21,$AZ23,$CO23:$DI23)+$DJ23),AZ23+1,AZ23)</f>
        <v>6</v>
      </c>
      <c r="BC23" s="159" t="n">
        <f aca="false">SUMIF($AE$6:$AY$6,$BB23,$AE23:$AY23)</f>
        <v>12.9737593628045</v>
      </c>
      <c r="BF23" s="50" t="n">
        <v>16</v>
      </c>
      <c r="BG23" s="131" t="n">
        <f aca="false">$X23</f>
        <v>0.77219473716396</v>
      </c>
      <c r="BH23" s="141" t="n">
        <f aca="false">$AC23</f>
        <v>8392.35984043687</v>
      </c>
      <c r="BI23" s="58" t="n">
        <f aca="false">BH23*(1-BG23)</f>
        <v>1911.82373926535</v>
      </c>
      <c r="BJ23" s="143" t="n">
        <f aca="false">Peak_Arrival_Manual/K56</f>
        <v>3.49173363490824</v>
      </c>
      <c r="BK23" s="144" t="n">
        <f aca="false">900*Peak_Time_Eve*(BJ23/Total_Lanes-1+SQRT((BJ23/Total_Lanes-1)^2+8*(BJ23/Total_Lanes)/(Peak_Time_Eve*$K56*Total_Lanes)))</f>
        <v>0.224841402449383</v>
      </c>
      <c r="BL23" s="145" t="n">
        <f aca="false">Peak_Arrival_Manual/N56</f>
        <v>3.67229476583885</v>
      </c>
      <c r="BM23" s="146" t="n">
        <f aca="false">IF(BM$6&lt;Total_Lanes,900*Peak_Time_Eve*(($BL23/(Total_Lanes-BM$6))-1+SQRT((($BL23/(Total_Lanes-BM$6))-1)^2+8*($BL23/(Total_Lanes-BM$6))/(Peak_Time_Eve*$N56*(Total_Lanes-BM$6)))),"-")</f>
        <v>0.315001049375852</v>
      </c>
      <c r="BN23" s="146" t="n">
        <f aca="false">IF(BN$6&lt;Total_Lanes,900*Peak_Time_Eve*(($BL23/(Total_Lanes-BN$6))-1+SQRT((($BL23/(Total_Lanes-BN$6))-1)^2+8*($BL23/(Total_Lanes-BN$6))/(Peak_Time_Eve*$N56*(Total_Lanes-BN$6)))),"-")</f>
        <v>0.401242555816661</v>
      </c>
      <c r="BO23" s="146" t="n">
        <f aca="false">IF(BO$6&lt;Total_Lanes,900*Peak_Time_Eve*(($BL23/(Total_Lanes-BO$6))-1+SQRT((($BL23/(Total_Lanes-BO$6))-1)^2+8*($BL23/(Total_Lanes-BO$6))/(Peak_Time_Eve*$N56*(Total_Lanes-BO$6)))),"-")</f>
        <v>0.529467287587693</v>
      </c>
      <c r="BP23" s="146" t="n">
        <f aca="false">IF(BP$6&lt;Total_Lanes,900*Peak_Time_Eve*(($BL23/(Total_Lanes-BP$6))-1+SQRT((($BL23/(Total_Lanes-BP$6))-1)^2+8*($BL23/(Total_Lanes-BP$6))/(Peak_Time_Eve*$N56*(Total_Lanes-BP$6)))),"-")</f>
        <v>0.733193461809978</v>
      </c>
      <c r="BQ23" s="146" t="n">
        <f aca="false">IF(BQ$6&lt;Total_Lanes,900*Peak_Time_Eve*(($BL23/(Total_Lanes-BQ$6))-1+SQRT((($BL23/(Total_Lanes-BQ$6))-1)^2+8*($BL23/(Total_Lanes-BQ$6))/(Peak_Time_Eve*$N56*(Total_Lanes-BQ$6)))),"-")</f>
        <v>1.08945788852574</v>
      </c>
      <c r="BR23" s="146" t="n">
        <f aca="false">IF(BR$6&lt;Total_Lanes,900*Peak_Time_Eve*(($BL23/(Total_Lanes-BR$6))-1+SQRT((($BL23/(Total_Lanes-BR$6))-1)^2+8*($BL23/(Total_Lanes-BR$6))/(Peak_Time_Eve*$N56*(Total_Lanes-BR$6)))),"-")</f>
        <v>1.81587598790052</v>
      </c>
      <c r="BS23" s="146" t="n">
        <f aca="false">IF(BS$6&lt;Total_Lanes,900*Peak_Time_Eve*(($BL23/(Total_Lanes-BS$6))-1+SQRT((($BL23/(Total_Lanes-BS$6))-1)^2+8*($BL23/(Total_Lanes-BS$6))/(Peak_Time_Eve*$N56*(Total_Lanes-BS$6)))),"-")</f>
        <v>3.81004891994108</v>
      </c>
      <c r="BT23" s="146" t="n">
        <f aca="false">IF(BT$6&lt;Total_Lanes,900*Peak_Time_Eve*(($BL23/(Total_Lanes-BT$6))-1+SQRT((($BL23/(Total_Lanes-BT$6))-1)^2+8*($BL23/(Total_Lanes-BT$6))/(Peak_Time_Eve*$N56*(Total_Lanes-BT$6)))),"-")</f>
        <v>18.243997646411</v>
      </c>
      <c r="BU23" s="146" t="n">
        <f aca="false">IF(BU$6&lt;Total_Lanes,900*Peak_Time_Eve*(($BL23/(Total_Lanes-BU$6))-1+SQRT((($BL23/(Total_Lanes-BU$6))-1)^2+8*($BL23/(Total_Lanes-BU$6))/(Peak_Time_Eve*$N56*(Total_Lanes-BU$6)))),"-")</f>
        <v>819.153792611758</v>
      </c>
      <c r="BV23" s="146" t="n">
        <f aca="false">IF(BV$6&lt;Total_Lanes,900*Peak_Time_Eve*(($BL23/(Total_Lanes-BV$6))-1+SQRT((($BL23/(Total_Lanes-BV$6))-1)^2+8*($BL23/(Total_Lanes-BV$6))/(Peak_Time_Eve*$N56*(Total_Lanes-BV$6)))),"-")</f>
        <v>3017.70406020967</v>
      </c>
      <c r="BW23" s="146" t="n">
        <f aca="false">IF(BW$6&lt;Total_Lanes,900*Peak_Time_Eve*(($BL23/(Total_Lanes-BW$6))-1+SQRT((($BL23/(Total_Lanes-BW$6))-1)^2+8*($BL23/(Total_Lanes-BW$6))/(Peak_Time_Eve*$N56*(Total_Lanes-BW$6)))),"-")</f>
        <v>9629.75445265376</v>
      </c>
      <c r="BX23" s="136" t="str">
        <f aca="false">IF(BX$6&lt;Total_Lanes,900*Peak_Time_Eve*(($BL23/(Total_Lanes-BX$6))-1+SQRT((($BL23/(Total_Lanes-BX$6))-1)^2+8*($BL23/(Total_Lanes-BX$6))/(Peak_Time_Eve*$N56*(Total_Lanes-BX$6)))),"-")</f>
        <v>-</v>
      </c>
      <c r="BY23" s="136" t="str">
        <f aca="false">IF(BY$6&lt;Total_Lanes,900*Peak_Time_Eve*(($BL23/(Total_Lanes-BY$6))-1+SQRT((($BL23/(Total_Lanes-BY$6))-1)^2+8*($BL23/(Total_Lanes-BY$6))/(Peak_Time_Eve*$N56*(Total_Lanes-BY$6)))),"-")</f>
        <v>-</v>
      </c>
      <c r="BZ23" s="136" t="str">
        <f aca="false">IF(BZ$6&lt;Total_Lanes,900*Peak_Time_Eve*(($BL23/(Total_Lanes-BZ$6))-1+SQRT((($BL23/(Total_Lanes-BZ$6))-1)^2+8*($BL23/(Total_Lanes-BZ$6))/(Peak_Time_Eve*$N56*(Total_Lanes-BZ$6)))),"-")</f>
        <v>-</v>
      </c>
      <c r="CA23" s="136" t="str">
        <f aca="false">IF(CA$6&lt;Total_Lanes,900*Peak_Time_Eve*(($BL23/(Total_Lanes-CA$6))-1+SQRT((($BL23/(Total_Lanes-CA$6))-1)^2+8*($BL23/(Total_Lanes-CA$6))/(Peak_Time_Eve*$N56*(Total_Lanes-CA$6)))),"-")</f>
        <v>-</v>
      </c>
      <c r="CB23" s="136" t="str">
        <f aca="false">IF(CB$6&lt;Total_Lanes,900*Peak_Time_Eve*(($BL23/(Total_Lanes-CB$6))-1+SQRT((($BL23/(Total_Lanes-CB$6))-1)^2+8*($BL23/(Total_Lanes-CB$6))/(Peak_Time_Eve*$N56*(Total_Lanes-CB$6)))),"-")</f>
        <v>-</v>
      </c>
      <c r="CC23" s="136" t="str">
        <f aca="false">IF(CC$6&lt;Total_Lanes,900*Peak_Time_Eve*(($BL23/(Total_Lanes-CC$6))-1+SQRT((($BL23/(Total_Lanes-CC$6))-1)^2+8*($BL23/(Total_Lanes-CC$6))/(Peak_Time_Eve*$N56*(Total_Lanes-CC$6)))),"-")</f>
        <v>-</v>
      </c>
      <c r="CD23" s="136" t="str">
        <f aca="false">IF(CD$6&lt;Total_Lanes,900*Peak_Time_Eve*(($BL23/(Total_Lanes-CD$6))-1+SQRT((($BL23/(Total_Lanes-CD$6))-1)^2+8*($BL23/(Total_Lanes-CD$6))/(Peak_Time_Eve*$N56*(Total_Lanes-CD$6)))),"-")</f>
        <v>-</v>
      </c>
      <c r="CE23" s="136" t="str">
        <f aca="false">IF(CE$6&lt;Total_Lanes,900*Peak_Time_Eve*(($BL23/(Total_Lanes-CE$6))-1+SQRT((($BL23/(Total_Lanes-CE$6))-1)^2+8*($BL23/(Total_Lanes-CE$6))/(Peak_Time_Eve*$N56*(Total_Lanes-CE$6)))),"-")</f>
        <v>-</v>
      </c>
      <c r="CF23" s="136" t="str">
        <f aca="false">IF(CF$6&lt;Total_Lanes,900*Peak_Time_Eve*(($BL23/(Total_Lanes-CF$6))-1+SQRT((($BL23/(Total_Lanes-CF$6))-1)^2+8*($BL23/(Total_Lanes-CF$6))/(Peak_Time_Eve*$N56*(Total_Lanes-CF$6)))),"-")</f>
        <v>-</v>
      </c>
      <c r="CG23" s="147" t="str">
        <f aca="false">IF(CG$6&lt;Total_Lanes,900*Peak_Time_Eve*(($BL23/(Total_Lanes-CG$6))-1+SQRT((($BL23/(Total_Lanes-CG$6))-1)^2+8*($BL23/(Total_Lanes-CG$6))/(Peak_Time_Eve*$N56*(Total_Lanes-CG$6)))),"-")</f>
        <v>-</v>
      </c>
      <c r="CH23" s="160" t="n">
        <f aca="false">3600/N56</f>
        <v>6.915</v>
      </c>
      <c r="CJ23" s="50" t="n">
        <v>16</v>
      </c>
      <c r="CK23" s="131" t="n">
        <f aca="false">$X23</f>
        <v>0.77219473716396</v>
      </c>
      <c r="CL23" s="57" t="n">
        <f aca="false">$AC23</f>
        <v>8392.35984043687</v>
      </c>
      <c r="CM23" s="135" t="n">
        <f aca="false">CL23*CK23</f>
        <v>6480.53610117153</v>
      </c>
      <c r="CN23" s="161" t="n">
        <f aca="false">CM23/O55</f>
        <v>4.32035740078102</v>
      </c>
      <c r="CO23" s="146" t="n">
        <f aca="false">IF(CO$6&lt;Total_Lanes,900*Peak_Time_Eve*(($CN23/CO$6-1)+SQRT(($CN23/CO$6-1)^2+8*($CN23/CO$6)/(Peak_Time_Eve*$O56*CO$6))),"-")</f>
        <v>11956.4086411527</v>
      </c>
      <c r="CP23" s="146" t="n">
        <f aca="false">IF(CP$6&lt;Total_Lanes,900*Peak_Time_Eve*(($CN23/CP$6-1)+SQRT(($CN23/CP$6-1)^2+8*($CN23/CP$6)/(Peak_Time_Eve*$O56*CP$6))),"-")</f>
        <v>4178.87645083559</v>
      </c>
      <c r="CQ23" s="146" t="n">
        <f aca="false">IF(CQ$6&lt;Total_Lanes,900*Peak_Time_Eve*(($CN23/CQ$6-1)+SQRT(($CN23/CQ$6-1)^2+8*($CN23/CQ$6)/(Peak_Time_Eve*$O56*CQ$6))),"-")</f>
        <v>1587.04226005707</v>
      </c>
      <c r="CR23" s="146" t="n">
        <f aca="false">IF(CR$6&lt;Total_Lanes,900*Peak_Time_Eve*(($CN23/CR$6-1)+SQRT(($CN23/CR$6-1)^2+8*($CN23/CR$6)/(Peak_Time_Eve*$O56*CR$6))),"-")</f>
        <v>296.198121842867</v>
      </c>
      <c r="CS23" s="164" t="n">
        <f aca="false">IF(CS$6&lt;Total_Lanes,900*Peak_Time_Eve*(($CN23/CS$6-1)+SQRT(($CN23/CS$6-1)^2+8*($CN23/CS$6)/(Peak_Time_Eve*$O56*CS$6))),"-")</f>
        <v>3.03247539465752</v>
      </c>
      <c r="CT23" s="164" t="n">
        <f aca="false">IF(CT$6&lt;Total_Lanes,900*Peak_Time_Eve*(($CN23/CT$6-1)+SQRT(($CN23/CT$6-1)^2+8*($CN23/CT$6)/(Peak_Time_Eve*$O56*CT$6))),"-")</f>
        <v>1.02782713818907</v>
      </c>
      <c r="CU23" s="164" t="n">
        <f aca="false">IF(CU$6&lt;Total_Lanes,900*Peak_Time_Eve*(($CN23/CU$6-1)+SQRT(($CN23/CU$6-1)^2+8*($CN23/CU$6)/(Peak_Time_Eve*$O56*CU$6))),"-")</f>
        <v>0.552563131185302</v>
      </c>
      <c r="CV23" s="164" t="n">
        <f aca="false">IF(CV$6&lt;Total_Lanes,900*Peak_Time_Eve*(($CN23/CV$6-1)+SQRT(($CN23/CV$6-1)^2+8*($CN23/CV$6)/(Peak_Time_Eve*$O56*CV$6))),"-")</f>
        <v>0.352162360611963</v>
      </c>
      <c r="CW23" s="164" t="n">
        <f aca="false">IF(CW$6&lt;Total_Lanes,900*Peak_Time_Eve*(($CN23/CW$6-1)+SQRT(($CN23/CW$6-1)^2+8*($CN23/CW$6)/(Peak_Time_Eve*$O56*CW$6))),"-")</f>
        <v>0.246160640433368</v>
      </c>
      <c r="CX23" s="164" t="n">
        <f aca="false">IF(CX$6&lt;Total_Lanes,900*Peak_Time_Eve*(($CN23/CX$6-1)+SQRT(($CN23/CX$6-1)^2+8*($CN23/CX$6)/(Peak_Time_Eve*$O56*CX$6))),"-")</f>
        <v>0.182545502568909</v>
      </c>
      <c r="CY23" s="164" t="n">
        <f aca="false">IF(CY$6&lt;Total_Lanes,900*Peak_Time_Eve*(($CN23/CY$6-1)+SQRT(($CN23/CY$6-1)^2+8*($CN23/CY$6)/(Peak_Time_Eve*$O56*CY$6))),"-")</f>
        <v>0.141109734062161</v>
      </c>
      <c r="CZ23" s="165" t="str">
        <f aca="false">IF(CZ$6&lt;Total_Lanes,900*Peak_Time_Eve*(($CN23/CZ$6-1)+SQRT(($CN23/CZ$6-1)^2+8*($CN23/CZ$6)/(Peak_Time_Eve*$O56*CZ$6))),"-")</f>
        <v>-</v>
      </c>
      <c r="DA23" s="165" t="str">
        <f aca="false">IF(DA$6&lt;Total_Lanes,900*Peak_Time_Eve*(($CN23/DA$6-1)+SQRT(($CN23/DA$6-1)^2+8*($CN23/DA$6)/(Peak_Time_Eve*$O56*DA$6))),"-")</f>
        <v>-</v>
      </c>
      <c r="DB23" s="165" t="str">
        <f aca="false">IF(DB$6&lt;Total_Lanes,900*Peak_Time_Eve*(($CN23/DB$6-1)+SQRT(($CN23/DB$6-1)^2+8*($CN23/DB$6)/(Peak_Time_Eve*$O56*DB$6))),"-")</f>
        <v>-</v>
      </c>
      <c r="DC23" s="165" t="str">
        <f aca="false">IF(DC$6&lt;Total_Lanes,900*Peak_Time_Eve*(($CN23/DC$6-1)+SQRT(($CN23/DC$6-1)^2+8*($CN23/DC$6)/(Peak_Time_Eve*$O56*DC$6))),"-")</f>
        <v>-</v>
      </c>
      <c r="DD23" s="165" t="str">
        <f aca="false">IF(DD$6&lt;Total_Lanes,900*Peak_Time_Eve*(($CN23/DD$6-1)+SQRT(($CN23/DD$6-1)^2+8*($CN23/DD$6)/(Peak_Time_Eve*$O56*DD$6))),"-")</f>
        <v>-</v>
      </c>
      <c r="DE23" s="165" t="str">
        <f aca="false">IF(DE$6&lt;Total_Lanes,900*Peak_Time_Eve*(($CN23/DE$6-1)+SQRT(($CN23/DE$6-1)^2+8*($CN23/DE$6)/(Peak_Time_Eve*$O56*DE$6))),"-")</f>
        <v>-</v>
      </c>
      <c r="DF23" s="165" t="str">
        <f aca="false">IF(DF$6&lt;Total_Lanes,900*Peak_Time_Eve*(($CN23/DF$6-1)+SQRT(($CN23/DF$6-1)^2+8*($CN23/DF$6)/(Peak_Time_Eve*$O56*DF$6))),"-")</f>
        <v>-</v>
      </c>
      <c r="DG23" s="165" t="str">
        <f aca="false">IF(DG$6&lt;Total_Lanes,900*Peak_Time_Eve*(($CN23/DG$6-1)+SQRT(($CN23/DG$6-1)^2+8*($CN23/DG$6)/(Peak_Time_Eve*$O56*DG$6))),"-")</f>
        <v>-</v>
      </c>
      <c r="DH23" s="165" t="str">
        <f aca="false">IF(DH$6&lt;Total_Lanes,900*Peak_Time_Eve*(($CN23/DH$6-1)+SQRT(($CN23/DH$6-1)^2+8*($CN23/DH$6)/(Peak_Time_Eve*$O56*DH$6))),"-")</f>
        <v>-</v>
      </c>
      <c r="DI23" s="166" t="str">
        <f aca="false">IF(DI$6&lt;Total_Lanes,900*Peak_Time_Eve*(($CN23/DI$6-1)+SQRT(($CN23/DI$6-1)^2+8*($CN23/DI$6)/(Peak_Time_Eve*$O56*DI$6))),"-")</f>
        <v>-</v>
      </c>
      <c r="DJ23" s="167" t="n">
        <f aca="false">3600/O56</f>
        <v>2.4</v>
      </c>
    </row>
    <row r="24" customFormat="false" ht="12.75" hidden="false" customHeight="false" outlineLevel="0" collapsed="false">
      <c r="H24" s="50" t="n">
        <v>17</v>
      </c>
      <c r="I24" s="124" t="n">
        <f aca="false">'Input-Detail'!E31</f>
        <v>28352425.95</v>
      </c>
      <c r="J24" s="131" t="n">
        <v>0.781651485932894</v>
      </c>
      <c r="K24" s="57" t="n">
        <f aca="false">AC24</f>
        <v>8558.13233046418</v>
      </c>
      <c r="L24" s="135" t="n">
        <f aca="false">AD71</f>
        <v>14.2714384467933</v>
      </c>
      <c r="M24" s="150" t="n">
        <f aca="false">AD24</f>
        <v>32.1588273165709</v>
      </c>
      <c r="N24" s="150" t="n">
        <f aca="false">SUM(L24:M24)</f>
        <v>46.4302657633642</v>
      </c>
      <c r="O24" s="154" t="n">
        <f aca="false">$S$34*N24</f>
        <v>12071.8690984747</v>
      </c>
      <c r="P24" s="135" t="n">
        <f aca="false">BC71</f>
        <v>3.21454428575581</v>
      </c>
      <c r="Q24" s="150" t="n">
        <f aca="false">BC24</f>
        <v>11.3658948533754</v>
      </c>
      <c r="R24" s="150" t="n">
        <f aca="false">SUM(P24:Q24)</f>
        <v>14.5804391391312</v>
      </c>
      <c r="S24" s="155" t="n">
        <f aca="false">$S$34*R24</f>
        <v>3790.91417617412</v>
      </c>
      <c r="T24" s="1"/>
      <c r="U24" s="1"/>
      <c r="V24" s="50" t="n">
        <v>17</v>
      </c>
      <c r="W24" s="132" t="n">
        <f aca="false">W$7+(W$27-W$7)*$V24/20</f>
        <v>28352425.95</v>
      </c>
      <c r="X24" s="131" t="n">
        <f aca="false">MIN((J23+0.05),0.95)</f>
        <v>0.803205951403196</v>
      </c>
      <c r="Y24" s="132" t="n">
        <f aca="false">'Input-Detail'!E31/Z24</f>
        <v>12225.9033292345</v>
      </c>
      <c r="Z24" s="156" t="n">
        <f aca="false">Z23</f>
        <v>2319.04548780488</v>
      </c>
      <c r="AA24" s="156" t="n">
        <f aca="false">AA23</f>
        <v>2</v>
      </c>
      <c r="AB24" s="157" t="n">
        <f aca="false">AB23</f>
        <v>0.7</v>
      </c>
      <c r="AC24" s="57" t="n">
        <f aca="false">Y24*AB24</f>
        <v>8558.13233046418</v>
      </c>
      <c r="AD24" s="135" t="n">
        <f aca="false">Peak_Time_Eve*$BH24*(3600/K57+BK24)/3600</f>
        <v>32.1588273165709</v>
      </c>
      <c r="AE24" s="136" t="n">
        <f aca="false">IF(AE$6&lt;Total_Lanes,($BI24*($CH24+BM24)+$CM24*CO24)*Peak_Time_Eve/3600,"-")</f>
        <v>49272.0251084915</v>
      </c>
      <c r="AF24" s="136" t="n">
        <f aca="false">IF(AF$6&lt;Total_Lanes,($BI24*($CH24+BN24)+$CM24*CP24)*Peak_Time_Eve/3600,"-")</f>
        <v>17767.7703792936</v>
      </c>
      <c r="AG24" s="136" t="n">
        <f aca="false">IF(AG$6&lt;Total_Lanes,($BI24*($CH24+BO24)+$CM24*CQ24)*Peak_Time_Eve/3600,"-")</f>
        <v>7268.33074387565</v>
      </c>
      <c r="AH24" s="136" t="n">
        <f aca="false">IF(AH$6&lt;Total_Lanes,($BI24*($CH24+BP24)+$CM24*CR24)*Peak_Time_Eve/3600,"-")</f>
        <v>2027.38395428311</v>
      </c>
      <c r="AI24" s="136" t="n">
        <f aca="false">IF(AI$6&lt;Total_Lanes,($BI24*($CH24+BQ24)+$CM24*CS24)*Peak_Time_Eve/3600,"-")</f>
        <v>27.0761433153669</v>
      </c>
      <c r="AJ24" s="136" t="n">
        <f aca="false">IF(AJ$6&lt;Total_Lanes,($BI24*($CH24+BR24)+$CM24*CT24)*Peak_Time_Eve/3600,"-")</f>
        <v>12.6943113720878</v>
      </c>
      <c r="AK24" s="136" t="n">
        <f aca="false">IF(AK$6&lt;Total_Lanes,($BI24*($CH24+BS24)+$CM24*CU24)*Peak_Time_Eve/3600,"-")</f>
        <v>11.3658948533754</v>
      </c>
      <c r="AL24" s="136" t="n">
        <f aca="false">IF(AL$6&lt;Total_Lanes,($BI24*($CH24+BT24)+$CM24*CV24)*Peak_Time_Eve/3600,"-")</f>
        <v>14.9244028436715</v>
      </c>
      <c r="AM24" s="136" t="n">
        <f aca="false">IF(AM$6&lt;Total_Lanes,($BI24*($CH24+BU24)+$CM24*CW24)*Peak_Time_Eve/3600,"-")</f>
        <v>308.783270909275</v>
      </c>
      <c r="AN24" s="136" t="n">
        <f aca="false">IF(AN$6&lt;Total_Lanes,($BI24*($CH24+BV24)+$CM24*CX24)*Peak_Time_Eve/3600,"-")</f>
        <v>2112.48620990011</v>
      </c>
      <c r="AO24" s="136" t="n">
        <f aca="false">IF(AO$6&lt;Total_Lanes,($BI24*($CH24+BW24)+$CM24*CY24)*Peak_Time_Eve/3600,"-")</f>
        <v>7578.42715740889</v>
      </c>
      <c r="AP24" s="136" t="str">
        <f aca="false">IF(AP$6&lt;Total_Lanes,($BI24*($CH24+BX24)+$CM24*CZ24)*Peak_Time_Eve/3600,"-")</f>
        <v>-</v>
      </c>
      <c r="AQ24" s="136" t="str">
        <f aca="false">IF(AQ$6&lt;Total_Lanes,($BI24*($CH24+BY24)+$CM24*DA24)*Peak_Time_Eve/3600,"-")</f>
        <v>-</v>
      </c>
      <c r="AR24" s="136" t="str">
        <f aca="false">IF(AR$6&lt;Total_Lanes,($BI24*($CH24+BZ24)+$CM24*DB24)*Peak_Time_Eve/3600,"-")</f>
        <v>-</v>
      </c>
      <c r="AS24" s="136" t="str">
        <f aca="false">IF(AS$6&lt;Total_Lanes,($BI24*($CH24+CA24)+$CM24*DC24)*Peak_Time_Eve/3600,"-")</f>
        <v>-</v>
      </c>
      <c r="AT24" s="136" t="str">
        <f aca="false">IF(AT$6&lt;Total_Lanes,($BI24*($CH24+CB24)+$CM24*DD24)*Peak_Time_Eve/3600,"-")</f>
        <v>-</v>
      </c>
      <c r="AU24" s="136" t="str">
        <f aca="false">IF(AU$6&lt;Total_Lanes,($BI24*($CH24+CC24)+$CM24*DE24)*Peak_Time_Eve/3600,"-")</f>
        <v>-</v>
      </c>
      <c r="AV24" s="136" t="str">
        <f aca="false">IF(AV$6&lt;Total_Lanes,($BI24*($CH24+CD24)+$CM24*DF24)*Peak_Time_Eve/3600,"-")</f>
        <v>-</v>
      </c>
      <c r="AW24" s="136" t="str">
        <f aca="false">IF(AW$6&lt;Total_Lanes,($BI24*($CH24+CE24)+$CM24*DG24)*Peak_Time_Eve/3600,"-")</f>
        <v>-</v>
      </c>
      <c r="AX24" s="136" t="str">
        <f aca="false">IF(AX$6&lt;Total_Lanes,($BI24*($CH24+CF24)+$CM24*DH24)*Peak_Time_Eve/3600,"-")</f>
        <v>-</v>
      </c>
      <c r="AY24" s="137" t="str">
        <f aca="false">IF(AY$6&lt;Total_Lanes,($BI24*($CH24+CG24)+$CM24*DI24)*Peak_Time_Eve/3600,"-")</f>
        <v>-</v>
      </c>
      <c r="AZ24" s="158" t="n">
        <f aca="false">SUMIF(AE24:AY24,BA24,$AE$6:$AY$6)</f>
        <v>7</v>
      </c>
      <c r="BA24" s="159" t="n">
        <f aca="false">MIN(AE24:AY24)</f>
        <v>11.3658948533754</v>
      </c>
      <c r="BB24" s="158" t="n">
        <f aca="false">IF((SUMIF($BM22:$CG22,$AZ24,$BM24:$CG24)+$CH24)&lt;(SUMIF($CO22:$DI22,$AZ24,$CO24:$DI24)+$DJ24),AZ24+1,AZ24)</f>
        <v>7</v>
      </c>
      <c r="BC24" s="159" t="n">
        <f aca="false">SUMIF($AE$6:$AY$6,$BB24,$AE24:$AY24)</f>
        <v>11.3658948533754</v>
      </c>
      <c r="BF24" s="50" t="n">
        <v>17</v>
      </c>
      <c r="BG24" s="131" t="n">
        <f aca="false">$X24</f>
        <v>0.803205951403196</v>
      </c>
      <c r="BH24" s="141" t="n">
        <f aca="false">$AC24</f>
        <v>8558.13233046418</v>
      </c>
      <c r="BI24" s="58" t="n">
        <f aca="false">BH24*(1-BG24)</f>
        <v>1684.18950973925</v>
      </c>
      <c r="BJ24" s="143" t="n">
        <f aca="false">Peak_Arrival_Manual/K57</f>
        <v>3.07598500737098</v>
      </c>
      <c r="BK24" s="144" t="n">
        <f aca="false">900*Peak_Time_Eve*(BJ24/Total_Lanes-1+SQRT((BJ24/Total_Lanes-1)^2+8*(BJ24/Total_Lanes)/(Peak_Time_Eve*$K57*Total_Lanes)))</f>
        <v>0.188846004550847</v>
      </c>
      <c r="BL24" s="145" t="n">
        <f aca="false">Peak_Arrival_Manual/N57</f>
        <v>3.24498874636912</v>
      </c>
      <c r="BM24" s="146" t="n">
        <f aca="false">IF(BM$6&lt;Total_Lanes,900*Peak_Time_Eve*(($BL24/(Total_Lanes-BM$6))-1+SQRT((($BL24/(Total_Lanes-BM$6))-1)^2+8*($BL24/(Total_Lanes-BM$6))/(Peak_Time_Eve*$N57*(Total_Lanes-BM$6)))),"-")</f>
        <v>0.263826048403204</v>
      </c>
      <c r="BN24" s="146" t="n">
        <f aca="false">IF(BN$6&lt;Total_Lanes,900*Peak_Time_Eve*(($BL24/(Total_Lanes-BN$6))-1+SQRT((($BL24/(Total_Lanes-BN$6))-1)^2+8*($BL24/(Total_Lanes-BN$6))/(Peak_Time_Eve*$N57*(Total_Lanes-BN$6)))),"-")</f>
        <v>0.33315962243845</v>
      </c>
      <c r="BO24" s="146" t="n">
        <f aca="false">IF(BO$6&lt;Total_Lanes,900*Peak_Time_Eve*(($BL24/(Total_Lanes-BO$6))-1+SQRT((($BL24/(Total_Lanes-BO$6))-1)^2+8*($BL24/(Total_Lanes-BO$6))/(Peak_Time_Eve*$N57*(Total_Lanes-BO$6)))),"-")</f>
        <v>0.434477494861496</v>
      </c>
      <c r="BP24" s="146" t="n">
        <f aca="false">IF(BP$6&lt;Total_Lanes,900*Peak_Time_Eve*(($BL24/(Total_Lanes-BP$6))-1+SQRT((($BL24/(Total_Lanes-BP$6))-1)^2+8*($BL24/(Total_Lanes-BP$6))/(Peak_Time_Eve*$N57*(Total_Lanes-BP$6)))),"-")</f>
        <v>0.59152942605647</v>
      </c>
      <c r="BQ24" s="146" t="n">
        <f aca="false">IF(BQ$6&lt;Total_Lanes,900*Peak_Time_Eve*(($BL24/(Total_Lanes-BQ$6))-1+SQRT((($BL24/(Total_Lanes-BQ$6))-1)^2+8*($BL24/(Total_Lanes-BQ$6))/(Peak_Time_Eve*$N57*(Total_Lanes-BQ$6)))),"-")</f>
        <v>0.85592597070332</v>
      </c>
      <c r="BR24" s="146" t="n">
        <f aca="false">IF(BR$6&lt;Total_Lanes,900*Peak_Time_Eve*(($BL24/(Total_Lanes-BR$6))-1+SQRT((($BL24/(Total_Lanes-BR$6))-1)^2+8*($BL24/(Total_Lanes-BR$6))/(Peak_Time_Eve*$N57*(Total_Lanes-BR$6)))),"-")</f>
        <v>1.36052335686576</v>
      </c>
      <c r="BS24" s="146" t="n">
        <f aca="false">IF(BS$6&lt;Total_Lanes,900*Peak_Time_Eve*(($BL24/(Total_Lanes-BS$6))-1+SQRT((($BL24/(Total_Lanes-BS$6))-1)^2+8*($BL24/(Total_Lanes-BS$6))/(Peak_Time_Eve*$N57*(Total_Lanes-BS$6)))),"-")</f>
        <v>2.55981817768788</v>
      </c>
      <c r="BT24" s="146" t="n">
        <f aca="false">IF(BT$6&lt;Total_Lanes,900*Peak_Time_Eve*(($BL24/(Total_Lanes-BT$6))-1+SQRT((($BL24/(Total_Lanes-BT$6))-1)^2+8*($BL24/(Total_Lanes-BT$6))/(Peak_Time_Eve*$N57*(Total_Lanes-BT$6)))),"-")</f>
        <v>7.37288860518902</v>
      </c>
      <c r="BU24" s="146" t="n">
        <f aca="false">IF(BU$6&lt;Total_Lanes,900*Peak_Time_Eve*(($BL24/(Total_Lanes-BU$6))-1+SQRT((($BL24/(Total_Lanes-BU$6))-1)^2+8*($BL24/(Total_Lanes-BU$6))/(Peak_Time_Eve*$N57*(Total_Lanes-BU$6)))),"-")</f>
        <v>321.951060398981</v>
      </c>
      <c r="BV24" s="146" t="n">
        <f aca="false">IF(BV$6&lt;Total_Lanes,900*Peak_Time_Eve*(($BL24/(Total_Lanes-BV$6))-1+SQRT((($BL24/(Total_Lanes-BV$6))-1)^2+8*($BL24/(Total_Lanes-BV$6))/(Peak_Time_Eve*$N57*(Total_Lanes-BV$6)))),"-")</f>
        <v>2249.98303263548</v>
      </c>
      <c r="BW24" s="146" t="n">
        <f aca="false">IF(BW$6&lt;Total_Lanes,900*Peak_Time_Eve*(($BL24/(Total_Lanes-BW$6))-1+SQRT((($BL24/(Total_Lanes-BW$6))-1)^2+8*($BL24/(Total_Lanes-BW$6))/(Peak_Time_Eve*$N57*(Total_Lanes-BW$6)))),"-")</f>
        <v>8091.97298939572</v>
      </c>
      <c r="BX24" s="136" t="str">
        <f aca="false">IF(BX$6&lt;Total_Lanes,900*Peak_Time_Eve*(($BL24/(Total_Lanes-BX$6))-1+SQRT((($BL24/(Total_Lanes-BX$6))-1)^2+8*($BL24/(Total_Lanes-BX$6))/(Peak_Time_Eve*$N57*(Total_Lanes-BX$6)))),"-")</f>
        <v>-</v>
      </c>
      <c r="BY24" s="136" t="str">
        <f aca="false">IF(BY$6&lt;Total_Lanes,900*Peak_Time_Eve*(($BL24/(Total_Lanes-BY$6))-1+SQRT((($BL24/(Total_Lanes-BY$6))-1)^2+8*($BL24/(Total_Lanes-BY$6))/(Peak_Time_Eve*$N57*(Total_Lanes-BY$6)))),"-")</f>
        <v>-</v>
      </c>
      <c r="BZ24" s="136" t="str">
        <f aca="false">IF(BZ$6&lt;Total_Lanes,900*Peak_Time_Eve*(($BL24/(Total_Lanes-BZ$6))-1+SQRT((($BL24/(Total_Lanes-BZ$6))-1)^2+8*($BL24/(Total_Lanes-BZ$6))/(Peak_Time_Eve*$N57*(Total_Lanes-BZ$6)))),"-")</f>
        <v>-</v>
      </c>
      <c r="CA24" s="136" t="str">
        <f aca="false">IF(CA$6&lt;Total_Lanes,900*Peak_Time_Eve*(($BL24/(Total_Lanes-CA$6))-1+SQRT((($BL24/(Total_Lanes-CA$6))-1)^2+8*($BL24/(Total_Lanes-CA$6))/(Peak_Time_Eve*$N57*(Total_Lanes-CA$6)))),"-")</f>
        <v>-</v>
      </c>
      <c r="CB24" s="136" t="str">
        <f aca="false">IF(CB$6&lt;Total_Lanes,900*Peak_Time_Eve*(($BL24/(Total_Lanes-CB$6))-1+SQRT((($BL24/(Total_Lanes-CB$6))-1)^2+8*($BL24/(Total_Lanes-CB$6))/(Peak_Time_Eve*$N57*(Total_Lanes-CB$6)))),"-")</f>
        <v>-</v>
      </c>
      <c r="CC24" s="136" t="str">
        <f aca="false">IF(CC$6&lt;Total_Lanes,900*Peak_Time_Eve*(($BL24/(Total_Lanes-CC$6))-1+SQRT((($BL24/(Total_Lanes-CC$6))-1)^2+8*($BL24/(Total_Lanes-CC$6))/(Peak_Time_Eve*$N57*(Total_Lanes-CC$6)))),"-")</f>
        <v>-</v>
      </c>
      <c r="CD24" s="136" t="str">
        <f aca="false">IF(CD$6&lt;Total_Lanes,900*Peak_Time_Eve*(($BL24/(Total_Lanes-CD$6))-1+SQRT((($BL24/(Total_Lanes-CD$6))-1)^2+8*($BL24/(Total_Lanes-CD$6))/(Peak_Time_Eve*$N57*(Total_Lanes-CD$6)))),"-")</f>
        <v>-</v>
      </c>
      <c r="CE24" s="136" t="str">
        <f aca="false">IF(CE$6&lt;Total_Lanes,900*Peak_Time_Eve*(($BL24/(Total_Lanes-CE$6))-1+SQRT((($BL24/(Total_Lanes-CE$6))-1)^2+8*($BL24/(Total_Lanes-CE$6))/(Peak_Time_Eve*$N57*(Total_Lanes-CE$6)))),"-")</f>
        <v>-</v>
      </c>
      <c r="CF24" s="136" t="str">
        <f aca="false">IF(CF$6&lt;Total_Lanes,900*Peak_Time_Eve*(($BL24/(Total_Lanes-CF$6))-1+SQRT((($BL24/(Total_Lanes-CF$6))-1)^2+8*($BL24/(Total_Lanes-CF$6))/(Peak_Time_Eve*$N57*(Total_Lanes-CF$6)))),"-")</f>
        <v>-</v>
      </c>
      <c r="CG24" s="147" t="str">
        <f aca="false">IF(CG$6&lt;Total_Lanes,900*Peak_Time_Eve*(($BL24/(Total_Lanes-CG$6))-1+SQRT((($BL24/(Total_Lanes-CG$6))-1)^2+8*($BL24/(Total_Lanes-CG$6))/(Peak_Time_Eve*$N57*(Total_Lanes-CG$6)))),"-")</f>
        <v>-</v>
      </c>
      <c r="CH24" s="160" t="n">
        <f aca="false">3600/N57</f>
        <v>6.93625</v>
      </c>
      <c r="CJ24" s="50" t="n">
        <v>17</v>
      </c>
      <c r="CK24" s="131" t="n">
        <f aca="false">$X24</f>
        <v>0.803205951403196</v>
      </c>
      <c r="CL24" s="57" t="n">
        <f aca="false">$AC24</f>
        <v>8558.13233046418</v>
      </c>
      <c r="CM24" s="135" t="n">
        <f aca="false">CL24*CK24</f>
        <v>6873.94282072493</v>
      </c>
      <c r="CN24" s="161" t="n">
        <f aca="false">CM24/O56</f>
        <v>4.58262854714996</v>
      </c>
      <c r="CO24" s="146" t="n">
        <f aca="false">IF(CO$6&lt;Total_Lanes,900*Peak_Time_Eve*(($CN24/CO$6-1)+SQRT(($CN24/CO$6-1)^2+8*($CN24/CO$6)/(Peak_Time_Eve*$O57*CO$6))),"-")</f>
        <v>12900.53193858</v>
      </c>
      <c r="CP24" s="146" t="n">
        <f aca="false">IF(CP$6&lt;Total_Lanes,900*Peak_Time_Eve*(($CN24/CP$6-1)+SQRT(($CN24/CP$6-1)^2+8*($CN24/CP$6)/(Peak_Time_Eve*$O57*CP$6))),"-")</f>
        <v>4650.85969625928</v>
      </c>
      <c r="CQ24" s="146" t="n">
        <f aca="false">IF(CQ$6&lt;Total_Lanes,900*Peak_Time_Eve*(($CN24/CQ$6-1)+SQRT(($CN24/CQ$6-1)^2+8*($CN24/CQ$6)/(Peak_Time_Eve*$O57*CQ$6))),"-")</f>
        <v>1901.46790247402</v>
      </c>
      <c r="CR24" s="146" t="n">
        <f aca="false">IF(CR$6&lt;Total_Lanes,900*Peak_Time_Eve*(($CN24/CR$6-1)+SQRT(($CN24/CR$6-1)^2+8*($CN24/CR$6)/(Peak_Time_Eve*$O57*CR$6))),"-")</f>
        <v>529.043229688238</v>
      </c>
      <c r="CS24" s="146" t="n">
        <f aca="false">IF(CS$6&lt;Total_Lanes,900*Peak_Time_Eve*(($CN24/CS$6-1)+SQRT(($CN24/CS$6-1)^2+8*($CN24/CS$6)/(Peak_Time_Eve*$O57*CS$6))),"-")</f>
        <v>5.18095041936992</v>
      </c>
      <c r="CT24" s="164" t="n">
        <f aca="false">IF(CT$6&lt;Total_Lanes,900*Peak_Time_Eve*(($CN24/CT$6-1)+SQRT(($CN24/CT$6-1)^2+8*($CN24/CT$6)/(Peak_Time_Eve*$O57*CT$6))),"-")</f>
        <v>1.29131446812131</v>
      </c>
      <c r="CU24" s="164" t="n">
        <f aca="false">IF(CU$6&lt;Total_Lanes,900*Peak_Time_Eve*(($CN24/CU$6-1)+SQRT(($CN24/CU$6-1)^2+8*($CN24/CU$6)/(Peak_Time_Eve*$O57*CU$6))),"-")</f>
        <v>0.649617322096696</v>
      </c>
      <c r="CV24" s="164" t="n">
        <f aca="false">IF(CV$6&lt;Total_Lanes,900*Peak_Time_Eve*(($CN24/CV$6-1)+SQRT(($CN24/CV$6-1)^2+8*($CN24/CV$6)/(Peak_Time_Eve*$O57*CV$6))),"-")</f>
        <v>0.402188970500184</v>
      </c>
      <c r="CW24" s="164" t="n">
        <f aca="false">IF(CW$6&lt;Total_Lanes,900*Peak_Time_Eve*(($CN24/CW$6-1)+SQRT(($CN24/CW$6-1)^2+8*($CN24/CW$6)/(Peak_Time_Eve*$O57*CW$6))),"-")</f>
        <v>0.276599562429114</v>
      </c>
      <c r="CX24" s="164" t="n">
        <f aca="false">IF(CX$6&lt;Total_Lanes,900*Peak_Time_Eve*(($CN24/CX$6-1)+SQRT(($CN24/CX$6-1)^2+8*($CN24/CX$6)/(Peak_Time_Eve*$O57*CX$6))),"-")</f>
        <v>0.202998150215405</v>
      </c>
      <c r="CY24" s="164" t="n">
        <f aca="false">IF(CY$6&lt;Total_Lanes,900*Peak_Time_Eve*(($CN24/CY$6-1)+SQRT(($CN24/CY$6-1)^2+8*($CN24/CY$6)/(Peak_Time_Eve*$O57*CY$6))),"-")</f>
        <v>0.155791522188009</v>
      </c>
      <c r="CZ24" s="165" t="str">
        <f aca="false">IF(CZ$6&lt;Total_Lanes,900*Peak_Time_Eve*(($CN24/CZ$6-1)+SQRT(($CN24/CZ$6-1)^2+8*($CN24/CZ$6)/(Peak_Time_Eve*$O57*CZ$6))),"-")</f>
        <v>-</v>
      </c>
      <c r="DA24" s="165" t="str">
        <f aca="false">IF(DA$6&lt;Total_Lanes,900*Peak_Time_Eve*(($CN24/DA$6-1)+SQRT(($CN24/DA$6-1)^2+8*($CN24/DA$6)/(Peak_Time_Eve*$O57*DA$6))),"-")</f>
        <v>-</v>
      </c>
      <c r="DB24" s="165" t="str">
        <f aca="false">IF(DB$6&lt;Total_Lanes,900*Peak_Time_Eve*(($CN24/DB$6-1)+SQRT(($CN24/DB$6-1)^2+8*($CN24/DB$6)/(Peak_Time_Eve*$O57*DB$6))),"-")</f>
        <v>-</v>
      </c>
      <c r="DC24" s="165" t="str">
        <f aca="false">IF(DC$6&lt;Total_Lanes,900*Peak_Time_Eve*(($CN24/DC$6-1)+SQRT(($CN24/DC$6-1)^2+8*($CN24/DC$6)/(Peak_Time_Eve*$O57*DC$6))),"-")</f>
        <v>-</v>
      </c>
      <c r="DD24" s="165" t="str">
        <f aca="false">IF(DD$6&lt;Total_Lanes,900*Peak_Time_Eve*(($CN24/DD$6-1)+SQRT(($CN24/DD$6-1)^2+8*($CN24/DD$6)/(Peak_Time_Eve*$O57*DD$6))),"-")</f>
        <v>-</v>
      </c>
      <c r="DE24" s="165" t="str">
        <f aca="false">IF(DE$6&lt;Total_Lanes,900*Peak_Time_Eve*(($CN24/DE$6-1)+SQRT(($CN24/DE$6-1)^2+8*($CN24/DE$6)/(Peak_Time_Eve*$O57*DE$6))),"-")</f>
        <v>-</v>
      </c>
      <c r="DF24" s="165" t="str">
        <f aca="false">IF(DF$6&lt;Total_Lanes,900*Peak_Time_Eve*(($CN24/DF$6-1)+SQRT(($CN24/DF$6-1)^2+8*($CN24/DF$6)/(Peak_Time_Eve*$O57*DF$6))),"-")</f>
        <v>-</v>
      </c>
      <c r="DG24" s="165" t="str">
        <f aca="false">IF(DG$6&lt;Total_Lanes,900*Peak_Time_Eve*(($CN24/DG$6-1)+SQRT(($CN24/DG$6-1)^2+8*($CN24/DG$6)/(Peak_Time_Eve*$O57*DG$6))),"-")</f>
        <v>-</v>
      </c>
      <c r="DH24" s="165" t="str">
        <f aca="false">IF(DH$6&lt;Total_Lanes,900*Peak_Time_Eve*(($CN24/DH$6-1)+SQRT(($CN24/DH$6-1)^2+8*($CN24/DH$6)/(Peak_Time_Eve*$O57*DH$6))),"-")</f>
        <v>-</v>
      </c>
      <c r="DI24" s="166" t="str">
        <f aca="false">IF(DI$6&lt;Total_Lanes,900*Peak_Time_Eve*(($CN24/DI$6-1)+SQRT(($CN24/DI$6-1)^2+8*($CN24/DI$6)/(Peak_Time_Eve*$O57*DI$6))),"-")</f>
        <v>-</v>
      </c>
      <c r="DJ24" s="167" t="n">
        <f aca="false">3600/O57</f>
        <v>2.4</v>
      </c>
    </row>
    <row r="25" customFormat="false" ht="12.75" hidden="false" customHeight="false" outlineLevel="0" collapsed="false">
      <c r="H25" s="50" t="n">
        <v>18</v>
      </c>
      <c r="I25" s="124" t="n">
        <f aca="false">'Input-Detail'!E32</f>
        <v>28901617.3</v>
      </c>
      <c r="J25" s="131" t="n">
        <v>0.807356047331459</v>
      </c>
      <c r="K25" s="57" t="n">
        <f aca="false">AC25</f>
        <v>8723.90482049148</v>
      </c>
      <c r="L25" s="135" t="n">
        <f aca="false">AD72</f>
        <v>14.5721390325912</v>
      </c>
      <c r="M25" s="150" t="n">
        <f aca="false">AD25</f>
        <v>32.630910729592</v>
      </c>
      <c r="N25" s="150" t="n">
        <f aca="false">SUM(L25:M25)</f>
        <v>47.2030497621832</v>
      </c>
      <c r="O25" s="154" t="n">
        <f aca="false">$S$34*N25</f>
        <v>12272.7929381676</v>
      </c>
      <c r="P25" s="135" t="n">
        <f aca="false">BC72</f>
        <v>2.83847881418521</v>
      </c>
      <c r="Q25" s="150" t="n">
        <f aca="false">BC25</f>
        <v>10.2537427711187</v>
      </c>
      <c r="R25" s="150" t="n">
        <f aca="false">SUM(P25:Q25)</f>
        <v>13.092221585304</v>
      </c>
      <c r="S25" s="155" t="n">
        <f aca="false">$S$34*R25</f>
        <v>3403.97761217903</v>
      </c>
      <c r="T25" s="1"/>
      <c r="U25" s="1"/>
      <c r="V25" s="50" t="n">
        <v>18</v>
      </c>
      <c r="W25" s="132" t="n">
        <f aca="false">W$7+(W$27-W$7)*$V25/20</f>
        <v>28901617.3</v>
      </c>
      <c r="X25" s="131" t="n">
        <f aca="false">MIN((J24+0.05),0.95)</f>
        <v>0.831651485932894</v>
      </c>
      <c r="Y25" s="132" t="n">
        <f aca="false">'Input-Detail'!E32/Z25</f>
        <v>12462.7211721307</v>
      </c>
      <c r="Z25" s="156" t="n">
        <f aca="false">Z24</f>
        <v>2319.04548780488</v>
      </c>
      <c r="AA25" s="156" t="n">
        <f aca="false">AA24</f>
        <v>2</v>
      </c>
      <c r="AB25" s="157" t="n">
        <f aca="false">AB24</f>
        <v>0.7</v>
      </c>
      <c r="AC25" s="57" t="n">
        <f aca="false">Y25*AB25</f>
        <v>8723.90482049148</v>
      </c>
      <c r="AD25" s="135" t="n">
        <f aca="false">Peak_Time_Eve*$BH25*(3600/K58+BK25)/3600</f>
        <v>32.630910729592</v>
      </c>
      <c r="AE25" s="136" t="n">
        <f aca="false">IF(AE$6&lt;Total_Lanes,($BI25*($CH25+BM25)+$CM25*CO25)*Peak_Time_Eve/3600,"-")</f>
        <v>55692.3909334069</v>
      </c>
      <c r="AF25" s="136" t="n">
        <f aca="false">IF(AF$6&lt;Total_Lanes,($BI25*($CH25+BN25)+$CM25*CP25)*Peak_Time_Eve/3600,"-")</f>
        <v>20596.0681018907</v>
      </c>
      <c r="AG25" s="136" t="n">
        <f aca="false">IF(AG$6&lt;Total_Lanes,($BI25*($CH25+BO25)+$CM25*CQ25)*Peak_Time_Eve/3600,"-")</f>
        <v>8898.89983804153</v>
      </c>
      <c r="AH25" s="136" t="n">
        <f aca="false">IF(AH$6&lt;Total_Lanes,($BI25*($CH25+BP25)+$CM25*CR25)*Peak_Time_Eve/3600,"-")</f>
        <v>3055.69439299205</v>
      </c>
      <c r="AI25" s="136" t="n">
        <f aca="false">IF(AI$6&lt;Total_Lanes,($BI25*($CH25+BQ25)+$CM25*CS25)*Peak_Time_Eve/3600,"-")</f>
        <v>57.9356736233423</v>
      </c>
      <c r="AJ25" s="136" t="n">
        <f aca="false">IF(AJ$6&lt;Total_Lanes,($BI25*($CH25+BR25)+$CM25*CT25)*Peak_Time_Eve/3600,"-")</f>
        <v>13.2141717937142</v>
      </c>
      <c r="AK25" s="136" t="n">
        <f aca="false">IF(AK$6&lt;Total_Lanes,($BI25*($CH25+BS25)+$CM25*CU25)*Peak_Time_Eve/3600,"-")</f>
        <v>10.2537427711187</v>
      </c>
      <c r="AL25" s="136" t="n">
        <f aca="false">IF(AL$6&lt;Total_Lanes,($BI25*($CH25+BT25)+$CM25*CV25)*Peak_Time_Eve/3600,"-")</f>
        <v>10.9789552112433</v>
      </c>
      <c r="AM25" s="136" t="n">
        <f aca="false">IF(AM$6&lt;Total_Lanes,($BI25*($CH25+BU25)+$CM25*CW25)*Peak_Time_Eve/3600,"-")</f>
        <v>35.1304125058986</v>
      </c>
      <c r="AN25" s="136" t="n">
        <f aca="false">IF(AN$6&lt;Total_Lanes,($BI25*($CH25+BV25)+$CM25*CX25)*Peak_Time_Eve/3600,"-")</f>
        <v>1247.41434079686</v>
      </c>
      <c r="AO25" s="136" t="n">
        <f aca="false">IF(AO$6&lt;Total_Lanes,($BI25*($CH25+BW25)+$CM25*CY25)*Peak_Time_Eve/3600,"-")</f>
        <v>5415.02186775097</v>
      </c>
      <c r="AP25" s="136" t="str">
        <f aca="false">IF(AP$6&lt;Total_Lanes,($BI25*($CH25+BX25)+$CM25*CZ25)*Peak_Time_Eve/3600,"-")</f>
        <v>-</v>
      </c>
      <c r="AQ25" s="136" t="str">
        <f aca="false">IF(AQ$6&lt;Total_Lanes,($BI25*($CH25+BY25)+$CM25*DA25)*Peak_Time_Eve/3600,"-")</f>
        <v>-</v>
      </c>
      <c r="AR25" s="136" t="str">
        <f aca="false">IF(AR$6&lt;Total_Lanes,($BI25*($CH25+BZ25)+$CM25*DB25)*Peak_Time_Eve/3600,"-")</f>
        <v>-</v>
      </c>
      <c r="AS25" s="136" t="str">
        <f aca="false">IF(AS$6&lt;Total_Lanes,($BI25*($CH25+CA25)+$CM25*DC25)*Peak_Time_Eve/3600,"-")</f>
        <v>-</v>
      </c>
      <c r="AT25" s="136" t="str">
        <f aca="false">IF(AT$6&lt;Total_Lanes,($BI25*($CH25+CB25)+$CM25*DD25)*Peak_Time_Eve/3600,"-")</f>
        <v>-</v>
      </c>
      <c r="AU25" s="136" t="str">
        <f aca="false">IF(AU$6&lt;Total_Lanes,($BI25*($CH25+CC25)+$CM25*DE25)*Peak_Time_Eve/3600,"-")</f>
        <v>-</v>
      </c>
      <c r="AV25" s="136" t="str">
        <f aca="false">IF(AV$6&lt;Total_Lanes,($BI25*($CH25+CD25)+$CM25*DF25)*Peak_Time_Eve/3600,"-")</f>
        <v>-</v>
      </c>
      <c r="AW25" s="136" t="str">
        <f aca="false">IF(AW$6&lt;Total_Lanes,($BI25*($CH25+CE25)+$CM25*DG25)*Peak_Time_Eve/3600,"-")</f>
        <v>-</v>
      </c>
      <c r="AX25" s="136" t="str">
        <f aca="false">IF(AX$6&lt;Total_Lanes,($BI25*($CH25+CF25)+$CM25*DH25)*Peak_Time_Eve/3600,"-")</f>
        <v>-</v>
      </c>
      <c r="AY25" s="137" t="str">
        <f aca="false">IF(AY$6&lt;Total_Lanes,($BI25*($CH25+CG25)+$CM25*DI25)*Peak_Time_Eve/3600,"-")</f>
        <v>-</v>
      </c>
      <c r="AZ25" s="158" t="n">
        <f aca="false">SUMIF(AE25:AY25,BA25,$AE$6:$AY$6)</f>
        <v>7</v>
      </c>
      <c r="BA25" s="159" t="n">
        <f aca="false">MIN(AE25:AY25)</f>
        <v>10.2537427711187</v>
      </c>
      <c r="BB25" s="158" t="n">
        <f aca="false">IF((SUMIF($BM23:$CG23,$AZ25,$BM25:$CG25)+$CH25)&lt;(SUMIF($CO23:$DI23,$AZ25,$CO25:$DI25)+$DJ25),AZ25+1,AZ25)</f>
        <v>7</v>
      </c>
      <c r="BC25" s="159" t="n">
        <f aca="false">SUMIF($AE$6:$AY$6,$BB25,$AE25:$AY25)</f>
        <v>10.2537427711187</v>
      </c>
      <c r="BF25" s="50" t="n">
        <v>18</v>
      </c>
      <c r="BG25" s="131" t="n">
        <f aca="false">$X25</f>
        <v>0.831651485932894</v>
      </c>
      <c r="BH25" s="141" t="n">
        <f aca="false">$AC25</f>
        <v>8723.90482049148</v>
      </c>
      <c r="BI25" s="58" t="n">
        <f aca="false">BH25*(1-BG25)</f>
        <v>1468.65641339261</v>
      </c>
      <c r="BJ25" s="143" t="n">
        <f aca="false">Peak_Arrival_Manual/K58</f>
        <v>2.68233775501566</v>
      </c>
      <c r="BK25" s="144" t="n">
        <f aca="false">900*Peak_Time_Eve*(BJ25/Total_Lanes-1+SQRT((BJ25/Total_Lanes-1)^2+8*(BJ25/Total_Lanes)/(Peak_Time_Eve*$K58*Total_Lanes)))</f>
        <v>0.157723536288712</v>
      </c>
      <c r="BL25" s="145" t="n">
        <f aca="false">Peak_Arrival_Manual/N58</f>
        <v>2.83838249893863</v>
      </c>
      <c r="BM25" s="146" t="n">
        <f aca="false">IF(BM$6&lt;Total_Lanes,900*Peak_Time_Eve*(($BL25/(Total_Lanes-BM$6))-1+SQRT((($BL25/(Total_Lanes-BM$6))-1)^2+8*($BL25/(Total_Lanes-BM$6))/(Peak_Time_Eve*$N58*(Total_Lanes-BM$6)))),"-")</f>
        <v>0.219947714009305</v>
      </c>
      <c r="BN25" s="146" t="n">
        <f aca="false">IF(BN$6&lt;Total_Lanes,900*Peak_Time_Eve*(($BL25/(Total_Lanes-BN$6))-1+SQRT((($BL25/(Total_Lanes-BN$6))-1)^2+8*($BL25/(Total_Lanes-BN$6))/(Peak_Time_Eve*$N58*(Total_Lanes-BN$6)))),"-")</f>
        <v>0.275718921614043</v>
      </c>
      <c r="BO25" s="146" t="n">
        <f aca="false">IF(BO$6&lt;Total_Lanes,900*Peak_Time_Eve*(($BL25/(Total_Lanes-BO$6))-1+SQRT((($BL25/(Total_Lanes-BO$6))-1)^2+8*($BL25/(Total_Lanes-BO$6))/(Peak_Time_Eve*$N58*(Total_Lanes-BO$6)))),"-")</f>
        <v>0.356060792640656</v>
      </c>
      <c r="BP25" s="146" t="n">
        <f aca="false">IF(BP$6&lt;Total_Lanes,900*Peak_Time_Eve*(($BL25/(Total_Lanes-BP$6))-1+SQRT((($BL25/(Total_Lanes-BP$6))-1)^2+8*($BL25/(Total_Lanes-BP$6))/(Peak_Time_Eve*$N58*(Total_Lanes-BP$6)))),"-")</f>
        <v>0.47814425038617</v>
      </c>
      <c r="BQ25" s="146" t="n">
        <f aca="false">IF(BQ$6&lt;Total_Lanes,900*Peak_Time_Eve*(($BL25/(Total_Lanes-BQ$6))-1+SQRT((($BL25/(Total_Lanes-BQ$6))-1)^2+8*($BL25/(Total_Lanes-BQ$6))/(Peak_Time_Eve*$N58*(Total_Lanes-BQ$6)))),"-")</f>
        <v>0.677682768264365</v>
      </c>
      <c r="BR25" s="146" t="n">
        <f aca="false">IF(BR$6&lt;Total_Lanes,900*Peak_Time_Eve*(($BL25/(Total_Lanes-BR$6))-1+SQRT((($BL25/(Total_Lanes-BR$6))-1)^2+8*($BL25/(Total_Lanes-BR$6))/(Peak_Time_Eve*$N58*(Total_Lanes-BR$6)))),"-")</f>
        <v>1.04046007347474</v>
      </c>
      <c r="BS25" s="146" t="n">
        <f aca="false">IF(BS$6&lt;Total_Lanes,900*Peak_Time_Eve*(($BL25/(Total_Lanes-BS$6))-1+SQRT((($BL25/(Total_Lanes-BS$6))-1)^2+8*($BL25/(Total_Lanes-BS$6))/(Peak_Time_Eve*$N58*(Total_Lanes-BS$6)))),"-")</f>
        <v>1.82501451053204</v>
      </c>
      <c r="BT25" s="146" t="n">
        <f aca="false">IF(BT$6&lt;Total_Lanes,900*Peak_Time_Eve*(($BL25/(Total_Lanes-BT$6))-1+SQRT((($BL25/(Total_Lanes-BT$6))-1)^2+8*($BL25/(Total_Lanes-BT$6))/(Peak_Time_Eve*$N58*(Total_Lanes-BT$6)))),"-")</f>
        <v>4.23297905004648</v>
      </c>
      <c r="BU25" s="146" t="n">
        <f aca="false">IF(BU$6&lt;Total_Lanes,900*Peak_Time_Eve*(($BL25/(Total_Lanes-BU$6))-1+SQRT((($BL25/(Total_Lanes-BU$6))-1)^2+8*($BL25/(Total_Lanes-BU$6))/(Peak_Time_Eve*$N58*(Total_Lanes-BU$6)))),"-")</f>
        <v>34.5684536250317</v>
      </c>
      <c r="BV25" s="146" t="n">
        <f aca="false">IF(BV$6&lt;Total_Lanes,900*Peak_Time_Eve*(($BL25/(Total_Lanes-BV$6))-1+SQRT((($BL25/(Total_Lanes-BV$6))-1)^2+8*($BL25/(Total_Lanes-BV$6))/(Peak_Time_Eve*$N58*(Total_Lanes-BV$6)))),"-")</f>
        <v>1520.77545787096</v>
      </c>
      <c r="BW25" s="146" t="n">
        <f aca="false">IF(BW$6&lt;Total_Lanes,900*Peak_Time_Eve*(($BL25/(Total_Lanes-BW$6))-1+SQRT((($BL25/(Total_Lanes-BW$6))-1)^2+8*($BL25/(Total_Lanes-BW$6))/(Peak_Time_Eve*$N58*(Total_Lanes-BW$6)))),"-")</f>
        <v>6628.90169383404</v>
      </c>
      <c r="BX25" s="136" t="str">
        <f aca="false">IF(BX$6&lt;Total_Lanes,900*Peak_Time_Eve*(($BL25/(Total_Lanes-BX$6))-1+SQRT((($BL25/(Total_Lanes-BX$6))-1)^2+8*($BL25/(Total_Lanes-BX$6))/(Peak_Time_Eve*$N58*(Total_Lanes-BX$6)))),"-")</f>
        <v>-</v>
      </c>
      <c r="BY25" s="136" t="str">
        <f aca="false">IF(BY$6&lt;Total_Lanes,900*Peak_Time_Eve*(($BL25/(Total_Lanes-BY$6))-1+SQRT((($BL25/(Total_Lanes-BY$6))-1)^2+8*($BL25/(Total_Lanes-BY$6))/(Peak_Time_Eve*$N58*(Total_Lanes-BY$6)))),"-")</f>
        <v>-</v>
      </c>
      <c r="BZ25" s="136" t="str">
        <f aca="false">IF(BZ$6&lt;Total_Lanes,900*Peak_Time_Eve*(($BL25/(Total_Lanes-BZ$6))-1+SQRT((($BL25/(Total_Lanes-BZ$6))-1)^2+8*($BL25/(Total_Lanes-BZ$6))/(Peak_Time_Eve*$N58*(Total_Lanes-BZ$6)))),"-")</f>
        <v>-</v>
      </c>
      <c r="CA25" s="136" t="str">
        <f aca="false">IF(CA$6&lt;Total_Lanes,900*Peak_Time_Eve*(($BL25/(Total_Lanes-CA$6))-1+SQRT((($BL25/(Total_Lanes-CA$6))-1)^2+8*($BL25/(Total_Lanes-CA$6))/(Peak_Time_Eve*$N58*(Total_Lanes-CA$6)))),"-")</f>
        <v>-</v>
      </c>
      <c r="CB25" s="136" t="str">
        <f aca="false">IF(CB$6&lt;Total_Lanes,900*Peak_Time_Eve*(($BL25/(Total_Lanes-CB$6))-1+SQRT((($BL25/(Total_Lanes-CB$6))-1)^2+8*($BL25/(Total_Lanes-CB$6))/(Peak_Time_Eve*$N58*(Total_Lanes-CB$6)))),"-")</f>
        <v>-</v>
      </c>
      <c r="CC25" s="136" t="str">
        <f aca="false">IF(CC$6&lt;Total_Lanes,900*Peak_Time_Eve*(($BL25/(Total_Lanes-CC$6))-1+SQRT((($BL25/(Total_Lanes-CC$6))-1)^2+8*($BL25/(Total_Lanes-CC$6))/(Peak_Time_Eve*$N58*(Total_Lanes-CC$6)))),"-")</f>
        <v>-</v>
      </c>
      <c r="CD25" s="136" t="str">
        <f aca="false">IF(CD$6&lt;Total_Lanes,900*Peak_Time_Eve*(($BL25/(Total_Lanes-CD$6))-1+SQRT((($BL25/(Total_Lanes-CD$6))-1)^2+8*($BL25/(Total_Lanes-CD$6))/(Peak_Time_Eve*$N58*(Total_Lanes-CD$6)))),"-")</f>
        <v>-</v>
      </c>
      <c r="CE25" s="136" t="str">
        <f aca="false">IF(CE$6&lt;Total_Lanes,900*Peak_Time_Eve*(($BL25/(Total_Lanes-CE$6))-1+SQRT((($BL25/(Total_Lanes-CE$6))-1)^2+8*($BL25/(Total_Lanes-CE$6))/(Peak_Time_Eve*$N58*(Total_Lanes-CE$6)))),"-")</f>
        <v>-</v>
      </c>
      <c r="CF25" s="136" t="str">
        <f aca="false">IF(CF$6&lt;Total_Lanes,900*Peak_Time_Eve*(($BL25/(Total_Lanes-CF$6))-1+SQRT((($BL25/(Total_Lanes-CF$6))-1)^2+8*($BL25/(Total_Lanes-CF$6))/(Peak_Time_Eve*$N58*(Total_Lanes-CF$6)))),"-")</f>
        <v>-</v>
      </c>
      <c r="CG25" s="147" t="str">
        <f aca="false">IF(CG$6&lt;Total_Lanes,900*Peak_Time_Eve*(($BL25/(Total_Lanes-CG$6))-1+SQRT((($BL25/(Total_Lanes-CG$6))-1)^2+8*($BL25/(Total_Lanes-CG$6))/(Peak_Time_Eve*$N58*(Total_Lanes-CG$6)))),"-")</f>
        <v>-</v>
      </c>
      <c r="CH25" s="160" t="n">
        <f aca="false">3600/N58</f>
        <v>6.9575</v>
      </c>
      <c r="CJ25" s="50" t="n">
        <v>18</v>
      </c>
      <c r="CK25" s="131" t="n">
        <f aca="false">$X25</f>
        <v>0.831651485932894</v>
      </c>
      <c r="CL25" s="57" t="n">
        <f aca="false">$AC25</f>
        <v>8723.90482049148</v>
      </c>
      <c r="CM25" s="135" t="n">
        <f aca="false">CL25*CK25</f>
        <v>7255.24840709888</v>
      </c>
      <c r="CN25" s="161" t="n">
        <f aca="false">CM25/O57</f>
        <v>4.83683227139925</v>
      </c>
      <c r="CO25" s="146" t="n">
        <f aca="false">IF(CO$6&lt;Total_Lanes,900*Peak_Time_Eve*(($CN25/CO$6-1)+SQRT(($CN25/CO$6-1)^2+8*($CN25/CO$6)/(Peak_Time_Eve*$O58*CO$6))),"-")</f>
        <v>13815.6210306239</v>
      </c>
      <c r="CP25" s="146" t="n">
        <f aca="false">IF(CP$6&lt;Total_Lanes,900*Peak_Time_Eve*(($CN25/CP$6-1)+SQRT(($CN25/CP$6-1)^2+8*($CN25/CP$6)/(Peak_Time_Eve*$O58*CP$6))),"-")</f>
        <v>5108.34328343343</v>
      </c>
      <c r="CQ25" s="146" t="n">
        <f aca="false">IF(CQ$6&lt;Total_Lanes,900*Peak_Time_Eve*(($CN25/CQ$6-1)+SQRT(($CN25/CQ$6-1)^2+8*($CN25/CQ$6)/(Peak_Time_Eve*$O58*CQ$6))),"-")</f>
        <v>2206.3033134537</v>
      </c>
      <c r="CR25" s="146" t="n">
        <f aca="false">IF(CR$6&lt;Total_Lanes,900*Peak_Time_Eve*(($CN25/CR$6-1)+SQRT(($CN25/CR$6-1)^2+8*($CN25/CR$6)/(Peak_Time_Eve*$O58*CR$6))),"-")</f>
        <v>756.601179278526</v>
      </c>
      <c r="CS25" s="146" t="n">
        <f aca="false">IF(CS$6&lt;Total_Lanes,900*Peak_Time_Eve*(($CN25/CS$6-1)+SQRT(($CN25/CS$6-1)^2+8*($CN25/CS$6)/(Peak_Time_Eve*$O58*CS$6))),"-")</f>
        <v>12.8280586907149</v>
      </c>
      <c r="CT25" s="164" t="n">
        <f aca="false">IF(CT$6&lt;Total_Lanes,900*Peak_Time_Eve*(($CN25/CT$6-1)+SQRT(($CN25/CT$6-1)^2+8*($CN25/CT$6)/(Peak_Time_Eve*$O58*CT$6))),"-")</f>
        <v>1.6593854816796</v>
      </c>
      <c r="CU25" s="164" t="n">
        <f aca="false">IF(CU$6&lt;Total_Lanes,900*Peak_Time_Eve*(($CN25/CU$6-1)+SQRT(($CN25/CU$6-1)^2+8*($CN25/CU$6)/(Peak_Time_Eve*$O58*CU$6))),"-")</f>
        <v>0.766099300055501</v>
      </c>
      <c r="CV25" s="164" t="n">
        <f aca="false">IF(CV$6&lt;Total_Lanes,900*Peak_Time_Eve*(($CN25/CV$6-1)+SQRT(($CN25/CV$6-1)^2+8*($CN25/CV$6)/(Peak_Time_Eve*$O58*CV$6))),"-")</f>
        <v>0.458585339572415</v>
      </c>
      <c r="CW25" s="164" t="n">
        <f aca="false">IF(CW$6&lt;Total_Lanes,900*Peak_Time_Eve*(($CN25/CW$6-1)+SQRT(($CN25/CW$6-1)^2+8*($CN25/CW$6)/(Peak_Time_Eve*$O58*CW$6))),"-")</f>
        <v>0.309759813981259</v>
      </c>
      <c r="CX25" s="164" t="n">
        <f aca="false">IF(CX$6&lt;Total_Lanes,900*Peak_Time_Eve*(($CN25/CX$6-1)+SQRT(($CN25/CX$6-1)^2+8*($CN25/CX$6)/(Peak_Time_Eve*$O58*CX$6))),"-")</f>
        <v>0.224803730263612</v>
      </c>
      <c r="CY25" s="164" t="n">
        <f aca="false">IF(CY$6&lt;Total_Lanes,900*Peak_Time_Eve*(($CN25/CY$6-1)+SQRT(($CN25/CY$6-1)^2+8*($CN25/CY$6)/(Peak_Time_Eve*$O58*CY$6))),"-")</f>
        <v>0.171213787233238</v>
      </c>
      <c r="CZ25" s="165" t="str">
        <f aca="false">IF(CZ$6&lt;Total_Lanes,900*Peak_Time_Eve*(($CN25/CZ$6-1)+SQRT(($CN25/CZ$6-1)^2+8*($CN25/CZ$6)/(Peak_Time_Eve*$O58*CZ$6))),"-")</f>
        <v>-</v>
      </c>
      <c r="DA25" s="165" t="str">
        <f aca="false">IF(DA$6&lt;Total_Lanes,900*Peak_Time_Eve*(($CN25/DA$6-1)+SQRT(($CN25/DA$6-1)^2+8*($CN25/DA$6)/(Peak_Time_Eve*$O58*DA$6))),"-")</f>
        <v>-</v>
      </c>
      <c r="DB25" s="165" t="str">
        <f aca="false">IF(DB$6&lt;Total_Lanes,900*Peak_Time_Eve*(($CN25/DB$6-1)+SQRT(($CN25/DB$6-1)^2+8*($CN25/DB$6)/(Peak_Time_Eve*$O58*DB$6))),"-")</f>
        <v>-</v>
      </c>
      <c r="DC25" s="165" t="str">
        <f aca="false">IF(DC$6&lt;Total_Lanes,900*Peak_Time_Eve*(($CN25/DC$6-1)+SQRT(($CN25/DC$6-1)^2+8*($CN25/DC$6)/(Peak_Time_Eve*$O58*DC$6))),"-")</f>
        <v>-</v>
      </c>
      <c r="DD25" s="165" t="str">
        <f aca="false">IF(DD$6&lt;Total_Lanes,900*Peak_Time_Eve*(($CN25/DD$6-1)+SQRT(($CN25/DD$6-1)^2+8*($CN25/DD$6)/(Peak_Time_Eve*$O58*DD$6))),"-")</f>
        <v>-</v>
      </c>
      <c r="DE25" s="165" t="str">
        <f aca="false">IF(DE$6&lt;Total_Lanes,900*Peak_Time_Eve*(($CN25/DE$6-1)+SQRT(($CN25/DE$6-1)^2+8*($CN25/DE$6)/(Peak_Time_Eve*$O58*DE$6))),"-")</f>
        <v>-</v>
      </c>
      <c r="DF25" s="165" t="str">
        <f aca="false">IF(DF$6&lt;Total_Lanes,900*Peak_Time_Eve*(($CN25/DF$6-1)+SQRT(($CN25/DF$6-1)^2+8*($CN25/DF$6)/(Peak_Time_Eve*$O58*DF$6))),"-")</f>
        <v>-</v>
      </c>
      <c r="DG25" s="165" t="str">
        <f aca="false">IF(DG$6&lt;Total_Lanes,900*Peak_Time_Eve*(($CN25/DG$6-1)+SQRT(($CN25/DG$6-1)^2+8*($CN25/DG$6)/(Peak_Time_Eve*$O58*DG$6))),"-")</f>
        <v>-</v>
      </c>
      <c r="DH25" s="165" t="str">
        <f aca="false">IF(DH$6&lt;Total_Lanes,900*Peak_Time_Eve*(($CN25/DH$6-1)+SQRT(($CN25/DH$6-1)^2+8*($CN25/DH$6)/(Peak_Time_Eve*$O58*DH$6))),"-")</f>
        <v>-</v>
      </c>
      <c r="DI25" s="166" t="str">
        <f aca="false">IF(DI$6&lt;Total_Lanes,900*Peak_Time_Eve*(($CN25/DI$6-1)+SQRT(($CN25/DI$6-1)^2+8*($CN25/DI$6)/(Peak_Time_Eve*$O58*DI$6))),"-")</f>
        <v>-</v>
      </c>
      <c r="DJ25" s="167" t="n">
        <f aca="false">3600/O58</f>
        <v>2.4</v>
      </c>
    </row>
    <row r="26" customFormat="false" ht="12.75" hidden="false" customHeight="false" outlineLevel="0" collapsed="false">
      <c r="H26" s="50" t="n">
        <v>19</v>
      </c>
      <c r="I26" s="124" t="n">
        <f aca="false">'Input-Detail'!E33</f>
        <v>29450808.65</v>
      </c>
      <c r="J26" s="131" t="n">
        <v>0.830563950021381</v>
      </c>
      <c r="K26" s="57" t="n">
        <f aca="false">AC26</f>
        <v>8889.67731051879</v>
      </c>
      <c r="L26" s="135" t="n">
        <f aca="false">AD73</f>
        <v>14.8757230102443</v>
      </c>
      <c r="M26" s="150" t="n">
        <f aca="false">AD26</f>
        <v>33.1191357466807</v>
      </c>
      <c r="N26" s="150" t="n">
        <f aca="false">SUM(L26:M26)</f>
        <v>47.994858756925</v>
      </c>
      <c r="O26" s="154" t="n">
        <f aca="false">$S$34*N26</f>
        <v>12478.6632768005</v>
      </c>
      <c r="P26" s="135" t="n">
        <f aca="false">BC73</f>
        <v>2.49891022387426</v>
      </c>
      <c r="Q26" s="150" t="n">
        <f aca="false">BC26</f>
        <v>9.08238271907734</v>
      </c>
      <c r="R26" s="150" t="n">
        <f aca="false">SUM(P26:Q26)</f>
        <v>11.5812929429516</v>
      </c>
      <c r="S26" s="155" t="n">
        <f aca="false">$S$34*R26</f>
        <v>3011.13616516742</v>
      </c>
      <c r="T26" s="1"/>
      <c r="U26" s="1"/>
      <c r="V26" s="50" t="n">
        <v>19</v>
      </c>
      <c r="W26" s="132" t="n">
        <f aca="false">W$7+(W$27-W$7)*$V26/20</f>
        <v>29450808.65</v>
      </c>
      <c r="X26" s="131" t="n">
        <f aca="false">MIN((J25+0.05),0.95)</f>
        <v>0.857356047331459</v>
      </c>
      <c r="Y26" s="132" t="n">
        <f aca="false">'Input-Detail'!E33/Z26</f>
        <v>12699.5390150268</v>
      </c>
      <c r="Z26" s="156" t="n">
        <f aca="false">Z25</f>
        <v>2319.04548780488</v>
      </c>
      <c r="AA26" s="156" t="n">
        <f aca="false">AA25</f>
        <v>2</v>
      </c>
      <c r="AB26" s="157" t="n">
        <f aca="false">AB25</f>
        <v>0.7</v>
      </c>
      <c r="AC26" s="57" t="n">
        <f aca="false">Y26*AB26</f>
        <v>8889.67731051879</v>
      </c>
      <c r="AD26" s="135" t="n">
        <f aca="false">Peak_Time_Eve*$BH26*(3600/K59+BK26)/3600</f>
        <v>33.1191357466807</v>
      </c>
      <c r="AE26" s="136" t="n">
        <f aca="false">IF(AE$6&lt;Total_Lanes,($BI26*($CH26+BM26)+$CM26*CO26)*Peak_Time_Eve/3600,"-")</f>
        <v>62226.5508990008</v>
      </c>
      <c r="AF26" s="136" t="n">
        <f aca="false">IF(AF$6&lt;Total_Lanes,($BI26*($CH26+BN26)+$CM26*CP26)*Peak_Time_Eve/3600,"-")</f>
        <v>23496.2624687654</v>
      </c>
      <c r="AG26" s="136" t="n">
        <f aca="false">IF(AG$6&lt;Total_Lanes,($BI26*($CH26+BO26)+$CM26*CQ26)*Peak_Time_Eve/3600,"-")</f>
        <v>10587.5129465628</v>
      </c>
      <c r="AH26" s="136" t="n">
        <f aca="false">IF(AH$6&lt;Total_Lanes,($BI26*($CH26+BP26)+$CM26*CR26)*Peak_Time_Eve/3600,"-")</f>
        <v>4136.8812304569</v>
      </c>
      <c r="AI26" s="136" t="n">
        <f aca="false">IF(AI$6&lt;Total_Lanes,($BI26*($CH26+BQ26)+$CM26*CS26)*Peak_Time_Eve/3600,"-")</f>
        <v>345.122882603382</v>
      </c>
      <c r="AJ26" s="136" t="n">
        <f aca="false">IF(AJ$6&lt;Total_Lanes,($BI26*($CH26+BR26)+$CM26*CT26)*Peak_Time_Eve/3600,"-")</f>
        <v>14.8126836566729</v>
      </c>
      <c r="AK26" s="136" t="n">
        <f aca="false">IF(AK$6&lt;Total_Lanes,($BI26*($CH26+BS26)+$CM26*CU26)*Peak_Time_Eve/3600,"-")</f>
        <v>9.70709157307328</v>
      </c>
      <c r="AL26" s="136" t="n">
        <f aca="false">IF(AL$6&lt;Total_Lanes,($BI26*($CH26+BT26)+$CM26*CV26)*Peak_Time_Eve/3600,"-")</f>
        <v>9.08238271907734</v>
      </c>
      <c r="AM26" s="136" t="n">
        <f aca="false">IF(AM$6&lt;Total_Lanes,($BI26*($CH26+BU26)+$CM26*CW26)*Peak_Time_Eve/3600,"-")</f>
        <v>13.6981879559604</v>
      </c>
      <c r="AN26" s="136" t="n">
        <f aca="false">IF(AN$6&lt;Total_Lanes,($BI26*($CH26+BV26)+$CM26*CX26)*Peak_Time_Eve/3600,"-")</f>
        <v>599.872760026108</v>
      </c>
      <c r="AO26" s="136" t="n">
        <f aca="false">IF(AO$6&lt;Total_Lanes,($BI26*($CH26+BW26)+$CM26*CY26)*Peak_Time_Eve/3600,"-")</f>
        <v>3712.1062763232</v>
      </c>
      <c r="AP26" s="136" t="str">
        <f aca="false">IF(AP$6&lt;Total_Lanes,($BI26*($CH26+BX26)+$CM26*CZ26)*Peak_Time_Eve/3600,"-")</f>
        <v>-</v>
      </c>
      <c r="AQ26" s="136" t="str">
        <f aca="false">IF(AQ$6&lt;Total_Lanes,($BI26*($CH26+BY26)+$CM26*DA26)*Peak_Time_Eve/3600,"-")</f>
        <v>-</v>
      </c>
      <c r="AR26" s="136" t="str">
        <f aca="false">IF(AR$6&lt;Total_Lanes,($BI26*($CH26+BZ26)+$CM26*DB26)*Peak_Time_Eve/3600,"-")</f>
        <v>-</v>
      </c>
      <c r="AS26" s="136" t="str">
        <f aca="false">IF(AS$6&lt;Total_Lanes,($BI26*($CH26+CA26)+$CM26*DC26)*Peak_Time_Eve/3600,"-")</f>
        <v>-</v>
      </c>
      <c r="AT26" s="136" t="str">
        <f aca="false">IF(AT$6&lt;Total_Lanes,($BI26*($CH26+CB26)+$CM26*DD26)*Peak_Time_Eve/3600,"-")</f>
        <v>-</v>
      </c>
      <c r="AU26" s="136" t="str">
        <f aca="false">IF(AU$6&lt;Total_Lanes,($BI26*($CH26+CC26)+$CM26*DE26)*Peak_Time_Eve/3600,"-")</f>
        <v>-</v>
      </c>
      <c r="AV26" s="136" t="str">
        <f aca="false">IF(AV$6&lt;Total_Lanes,($BI26*($CH26+CD26)+$CM26*DF26)*Peak_Time_Eve/3600,"-")</f>
        <v>-</v>
      </c>
      <c r="AW26" s="136" t="str">
        <f aca="false">IF(AW$6&lt;Total_Lanes,($BI26*($CH26+CE26)+$CM26*DG26)*Peak_Time_Eve/3600,"-")</f>
        <v>-</v>
      </c>
      <c r="AX26" s="136" t="str">
        <f aca="false">IF(AX$6&lt;Total_Lanes,($BI26*($CH26+CF26)+$CM26*DH26)*Peak_Time_Eve/3600,"-")</f>
        <v>-</v>
      </c>
      <c r="AY26" s="137" t="str">
        <f aca="false">IF(AY$6&lt;Total_Lanes,($BI26*($CH26+CG26)+$CM26*DI26)*Peak_Time_Eve/3600,"-")</f>
        <v>-</v>
      </c>
      <c r="AZ26" s="158" t="n">
        <f aca="false">SUMIF(AE26:AY26,BA26,$AE$6:$AY$6)</f>
        <v>8</v>
      </c>
      <c r="BA26" s="159" t="n">
        <f aca="false">MIN(AE26:AY26)</f>
        <v>9.08238271907734</v>
      </c>
      <c r="BB26" s="158" t="n">
        <f aca="false">IF((SUMIF($BM24:$CG24,$AZ26,$BM26:$CG26)+$CH26)&lt;(SUMIF($CO24:$DI24,$AZ26,$CO26:$DI26)+$DJ26),AZ26+1,AZ26)</f>
        <v>8</v>
      </c>
      <c r="BC26" s="159" t="n">
        <f aca="false">SUMIF($AE$6:$AY$6,$BB26,$AE26:$AY26)</f>
        <v>9.08238271907734</v>
      </c>
      <c r="BF26" s="50" t="n">
        <v>19</v>
      </c>
      <c r="BG26" s="131" t="n">
        <f aca="false">$X26</f>
        <v>0.857356047331459</v>
      </c>
      <c r="BH26" s="141" t="n">
        <f aca="false">$AC26</f>
        <v>8889.67731051879</v>
      </c>
      <c r="BI26" s="58" t="n">
        <f aca="false">BH26*(1-BG26)</f>
        <v>1268.05870952025</v>
      </c>
      <c r="BJ26" s="143" t="n">
        <f aca="false">Peak_Arrival_Manual/K59</f>
        <v>2.31596833752656</v>
      </c>
      <c r="BK26" s="144" t="n">
        <f aca="false">900*Peak_Time_Eve*(BJ26/Total_Lanes-1+SQRT((BJ26/Total_Lanes-1)^2+8*(BJ26/Total_Lanes)/(Peak_Time_Eve*$K59*Total_Lanes)))</f>
        <v>0.131030181037728</v>
      </c>
      <c r="BL26" s="145" t="n">
        <f aca="false">Peak_Arrival_Manual/N59</f>
        <v>2.45818464418456</v>
      </c>
      <c r="BM26" s="146" t="n">
        <f aca="false">IF(BM$6&lt;Total_Lanes,900*Peak_Time_Eve*(($BL26/(Total_Lanes-BM$6))-1+SQRT((($BL26/(Total_Lanes-BM$6))-1)^2+8*($BL26/(Total_Lanes-BM$6))/(Peak_Time_Eve*$N59*(Total_Lanes-BM$6)))),"-")</f>
        <v>0.182566427051056</v>
      </c>
      <c r="BN26" s="146" t="n">
        <f aca="false">IF(BN$6&lt;Total_Lanes,900*Peak_Time_Eve*(($BL26/(Total_Lanes-BN$6))-1+SQRT((($BL26/(Total_Lanes-BN$6))-1)^2+8*($BL26/(Total_Lanes-BN$6))/(Peak_Time_Eve*$N59*(Total_Lanes-BN$6)))),"-")</f>
        <v>0.227446818501686</v>
      </c>
      <c r="BO26" s="146" t="n">
        <f aca="false">IF(BO$6&lt;Total_Lanes,900*Peak_Time_Eve*(($BL26/(Total_Lanes-BO$6))-1+SQRT((($BL26/(Total_Lanes-BO$6))-1)^2+8*($BL26/(Total_Lanes-BO$6))/(Peak_Time_Eve*$N59*(Total_Lanes-BO$6)))),"-")</f>
        <v>0.291341934749623</v>
      </c>
      <c r="BP26" s="146" t="n">
        <f aca="false">IF(BP$6&lt;Total_Lanes,900*Peak_Time_Eve*(($BL26/(Total_Lanes-BP$6))-1+SQRT((($BL26/(Total_Lanes-BP$6))-1)^2+8*($BL26/(Total_Lanes-BP$6))/(Peak_Time_Eve*$N59*(Total_Lanes-BP$6)))),"-")</f>
        <v>0.386885749438126</v>
      </c>
      <c r="BQ26" s="146" t="n">
        <f aca="false">IF(BQ$6&lt;Total_Lanes,900*Peak_Time_Eve*(($BL26/(Total_Lanes-BQ$6))-1+SQRT((($BL26/(Total_Lanes-BQ$6))-1)^2+8*($BL26/(Total_Lanes-BQ$6))/(Peak_Time_Eve*$N59*(Total_Lanes-BQ$6)))),"-")</f>
        <v>0.539466320439197</v>
      </c>
      <c r="BR26" s="146" t="n">
        <f aca="false">IF(BR$6&lt;Total_Lanes,900*Peak_Time_Eve*(($BL26/(Total_Lanes-BR$6))-1+SQRT((($BL26/(Total_Lanes-BR$6))-1)^2+8*($BL26/(Total_Lanes-BR$6))/(Peak_Time_Eve*$N59*(Total_Lanes-BR$6)))),"-")</f>
        <v>0.806956441628981</v>
      </c>
      <c r="BS26" s="146" t="n">
        <f aca="false">IF(BS$6&lt;Total_Lanes,900*Peak_Time_Eve*(($BL26/(Total_Lanes-BS$6))-1+SQRT((($BL26/(Total_Lanes-BS$6))-1)^2+8*($BL26/(Total_Lanes-BS$6))/(Peak_Time_Eve*$N59*(Total_Lanes-BS$6)))),"-")</f>
        <v>1.34883296450621</v>
      </c>
      <c r="BT26" s="146" t="n">
        <f aca="false">IF(BT$6&lt;Total_Lanes,900*Peak_Time_Eve*(($BL26/(Total_Lanes-BT$6))-1+SQRT((($BL26/(Total_Lanes-BT$6))-1)^2+8*($BL26/(Total_Lanes-BT$6))/(Peak_Time_Eve*$N59*(Total_Lanes-BT$6)))),"-")</f>
        <v>2.77607892578551</v>
      </c>
      <c r="BU26" s="146" t="n">
        <f aca="false">IF(BU$6&lt;Total_Lanes,900*Peak_Time_Eve*(($BL26/(Total_Lanes-BU$6))-1+SQRT((($BL26/(Total_Lanes-BU$6))-1)^2+8*($BL26/(Total_Lanes-BU$6))/(Peak_Time_Eve*$N59*(Total_Lanes-BU$6)))),"-")</f>
        <v>10.3880870264483</v>
      </c>
      <c r="BV26" s="146" t="n">
        <f aca="false">IF(BV$6&lt;Total_Lanes,900*Peak_Time_Eve*(($BL26/(Total_Lanes-BV$6))-1+SQRT((($BL26/(Total_Lanes-BV$6))-1)^2+8*($BL26/(Total_Lanes-BV$6))/(Peak_Time_Eve*$N59*(Total_Lanes-BV$6)))),"-")</f>
        <v>843.046358892027</v>
      </c>
      <c r="BW26" s="146" t="n">
        <f aca="false">IF(BW$6&lt;Total_Lanes,900*Peak_Time_Eve*(($BL26/(Total_Lanes-BW$6))-1+SQRT((($BL26/(Total_Lanes-BW$6))-1)^2+8*($BL26/(Total_Lanes-BW$6))/(Peak_Time_Eve*$N59*(Total_Lanes-BW$6)))),"-")</f>
        <v>5261.20313712177</v>
      </c>
      <c r="BX26" s="136" t="str">
        <f aca="false">IF(BX$6&lt;Total_Lanes,900*Peak_Time_Eve*(($BL26/(Total_Lanes-BX$6))-1+SQRT((($BL26/(Total_Lanes-BX$6))-1)^2+8*($BL26/(Total_Lanes-BX$6))/(Peak_Time_Eve*$N59*(Total_Lanes-BX$6)))),"-")</f>
        <v>-</v>
      </c>
      <c r="BY26" s="136" t="str">
        <f aca="false">IF(BY$6&lt;Total_Lanes,900*Peak_Time_Eve*(($BL26/(Total_Lanes-BY$6))-1+SQRT((($BL26/(Total_Lanes-BY$6))-1)^2+8*($BL26/(Total_Lanes-BY$6))/(Peak_Time_Eve*$N59*(Total_Lanes-BY$6)))),"-")</f>
        <v>-</v>
      </c>
      <c r="BZ26" s="136" t="str">
        <f aca="false">IF(BZ$6&lt;Total_Lanes,900*Peak_Time_Eve*(($BL26/(Total_Lanes-BZ$6))-1+SQRT((($BL26/(Total_Lanes-BZ$6))-1)^2+8*($BL26/(Total_Lanes-BZ$6))/(Peak_Time_Eve*$N59*(Total_Lanes-BZ$6)))),"-")</f>
        <v>-</v>
      </c>
      <c r="CA26" s="136" t="str">
        <f aca="false">IF(CA$6&lt;Total_Lanes,900*Peak_Time_Eve*(($BL26/(Total_Lanes-CA$6))-1+SQRT((($BL26/(Total_Lanes-CA$6))-1)^2+8*($BL26/(Total_Lanes-CA$6))/(Peak_Time_Eve*$N59*(Total_Lanes-CA$6)))),"-")</f>
        <v>-</v>
      </c>
      <c r="CB26" s="136" t="str">
        <f aca="false">IF(CB$6&lt;Total_Lanes,900*Peak_Time_Eve*(($BL26/(Total_Lanes-CB$6))-1+SQRT((($BL26/(Total_Lanes-CB$6))-1)^2+8*($BL26/(Total_Lanes-CB$6))/(Peak_Time_Eve*$N59*(Total_Lanes-CB$6)))),"-")</f>
        <v>-</v>
      </c>
      <c r="CC26" s="136" t="str">
        <f aca="false">IF(CC$6&lt;Total_Lanes,900*Peak_Time_Eve*(($BL26/(Total_Lanes-CC$6))-1+SQRT((($BL26/(Total_Lanes-CC$6))-1)^2+8*($BL26/(Total_Lanes-CC$6))/(Peak_Time_Eve*$N59*(Total_Lanes-CC$6)))),"-")</f>
        <v>-</v>
      </c>
      <c r="CD26" s="136" t="str">
        <f aca="false">IF(CD$6&lt;Total_Lanes,900*Peak_Time_Eve*(($BL26/(Total_Lanes-CD$6))-1+SQRT((($BL26/(Total_Lanes-CD$6))-1)^2+8*($BL26/(Total_Lanes-CD$6))/(Peak_Time_Eve*$N59*(Total_Lanes-CD$6)))),"-")</f>
        <v>-</v>
      </c>
      <c r="CE26" s="136" t="str">
        <f aca="false">IF(CE$6&lt;Total_Lanes,900*Peak_Time_Eve*(($BL26/(Total_Lanes-CE$6))-1+SQRT((($BL26/(Total_Lanes-CE$6))-1)^2+8*($BL26/(Total_Lanes-CE$6))/(Peak_Time_Eve*$N59*(Total_Lanes-CE$6)))),"-")</f>
        <v>-</v>
      </c>
      <c r="CF26" s="136" t="str">
        <f aca="false">IF(CF$6&lt;Total_Lanes,900*Peak_Time_Eve*(($BL26/(Total_Lanes-CF$6))-1+SQRT((($BL26/(Total_Lanes-CF$6))-1)^2+8*($BL26/(Total_Lanes-CF$6))/(Peak_Time_Eve*$N59*(Total_Lanes-CF$6)))),"-")</f>
        <v>-</v>
      </c>
      <c r="CG26" s="147" t="str">
        <f aca="false">IF(CG$6&lt;Total_Lanes,900*Peak_Time_Eve*(($BL26/(Total_Lanes-CG$6))-1+SQRT((($BL26/(Total_Lanes-CG$6))-1)^2+8*($BL26/(Total_Lanes-CG$6))/(Peak_Time_Eve*$N59*(Total_Lanes-CG$6)))),"-")</f>
        <v>-</v>
      </c>
      <c r="CH26" s="160" t="n">
        <f aca="false">3600/N59</f>
        <v>6.97875</v>
      </c>
      <c r="CJ26" s="50" t="n">
        <v>19</v>
      </c>
      <c r="CK26" s="131" t="n">
        <f aca="false">$X26</f>
        <v>0.857356047331459</v>
      </c>
      <c r="CL26" s="57" t="n">
        <f aca="false">$AC26</f>
        <v>8889.67731051879</v>
      </c>
      <c r="CM26" s="135" t="n">
        <f aca="false">CL26*CK26</f>
        <v>7621.61860099854</v>
      </c>
      <c r="CN26" s="161" t="n">
        <f aca="false">CM26/O58</f>
        <v>5.08107906733236</v>
      </c>
      <c r="CO26" s="146" t="n">
        <f aca="false">IF(CO$6&lt;Total_Lanes,900*Peak_Time_Eve*(($CN26/CO$6-1)+SQRT(($CN26/CO$6-1)^2+8*($CN26/CO$6)/(Peak_Time_Eve*$O59*CO$6))),"-")</f>
        <v>14694.8721146793</v>
      </c>
      <c r="CP26" s="146" t="n">
        <f aca="false">IF(CP$6&lt;Total_Lanes,900*Peak_Time_Eve*(($CN26/CP$6-1)+SQRT(($CN26/CP$6-1)^2+8*($CN26/CP$6)/(Peak_Time_Eve*$O59*CP$6))),"-")</f>
        <v>5547.92056343513</v>
      </c>
      <c r="CQ26" s="146" t="n">
        <f aca="false">IF(CQ$6&lt;Total_Lanes,900*Peak_Time_Eve*(($CN26/CQ$6-1)+SQRT(($CN26/CQ$6-1)^2+8*($CN26/CQ$6)/(Peak_Time_Eve*$O59*CQ$6))),"-")</f>
        <v>2499.24660332919</v>
      </c>
      <c r="CR26" s="146" t="n">
        <f aca="false">IF(CR$6&lt;Total_Lanes,900*Peak_Time_Eve*(($CN26/CR$6-1)+SQRT(($CN26/CR$6-1)^2+8*($CN26/CR$6)/(Peak_Time_Eve*$O59*CR$6))),"-")</f>
        <v>975.783038432916</v>
      </c>
      <c r="CS26" s="146" t="n">
        <f aca="false">IF(CS$6&lt;Total_Lanes,900*Peak_Time_Eve*(($CN26/CS$6-1)+SQRT(($CN26/CS$6-1)^2+8*($CN26/CS$6)/(Peak_Time_Eve*$O59*CS$6))),"-")</f>
        <v>80.256921924794</v>
      </c>
      <c r="CT26" s="164" t="n">
        <f aca="false">IF(CT$6&lt;Total_Lanes,900*Peak_Time_Eve*(($CN26/CT$6-1)+SQRT(($CN26/CT$6-1)^2+8*($CN26/CT$6)/(Peak_Time_Eve*$O59*CT$6))),"-")</f>
        <v>2.20295695677241</v>
      </c>
      <c r="CU26" s="164" t="n">
        <f aca="false">IF(CU$6&lt;Total_Lanes,900*Peak_Time_Eve*(($CN26/CU$6-1)+SQRT(($CN26/CU$6-1)^2+8*($CN26/CU$6)/(Peak_Time_Eve*$O59*CU$6))),"-")</f>
        <v>0.907012156608267</v>
      </c>
      <c r="CV26" s="164" t="n">
        <f aca="false">IF(CV$6&lt;Total_Lanes,900*Peak_Time_Eve*(($CN26/CV$6-1)+SQRT(($CN26/CV$6-1)^2+8*($CN26/CV$6)/(Peak_Time_Eve*$O59*CV$6))),"-")</f>
        <v>0.522014197167464</v>
      </c>
      <c r="CW26" s="164" t="n">
        <f aca="false">IF(CW$6&lt;Total_Lanes,900*Peak_Time_Eve*(($CN26/CW$6-1)+SQRT(($CN26/CW$6-1)^2+8*($CN26/CW$6)/(Peak_Time_Eve*$O59*CW$6))),"-")</f>
        <v>0.345670586583424</v>
      </c>
      <c r="CX26" s="164" t="n">
        <f aca="false">IF(CX$6&lt;Total_Lanes,900*Peak_Time_Eve*(($CN26/CX$6-1)+SQRT(($CN26/CX$6-1)^2+8*($CN26/CX$6)/(Peak_Time_Eve*$O59*CX$6))),"-")</f>
        <v>0.24787719045859</v>
      </c>
      <c r="CY26" s="164" t="n">
        <f aca="false">IF(CY$6&lt;Total_Lanes,900*Peak_Time_Eve*(($CN26/CY$6-1)+SQRT(($CN26/CY$6-1)^2+8*($CN26/CY$6)/(Peak_Time_Eve*$O59*CY$6))),"-")</f>
        <v>0.187279389707196</v>
      </c>
      <c r="CZ26" s="165" t="str">
        <f aca="false">IF(CZ$6&lt;Total_Lanes,900*Peak_Time_Eve*(($CN26/CZ$6-1)+SQRT(($CN26/CZ$6-1)^2+8*($CN26/CZ$6)/(Peak_Time_Eve*$O59*CZ$6))),"-")</f>
        <v>-</v>
      </c>
      <c r="DA26" s="165" t="str">
        <f aca="false">IF(DA$6&lt;Total_Lanes,900*Peak_Time_Eve*(($CN26/DA$6-1)+SQRT(($CN26/DA$6-1)^2+8*($CN26/DA$6)/(Peak_Time_Eve*$O59*DA$6))),"-")</f>
        <v>-</v>
      </c>
      <c r="DB26" s="165" t="str">
        <f aca="false">IF(DB$6&lt;Total_Lanes,900*Peak_Time_Eve*(($CN26/DB$6-1)+SQRT(($CN26/DB$6-1)^2+8*($CN26/DB$6)/(Peak_Time_Eve*$O59*DB$6))),"-")</f>
        <v>-</v>
      </c>
      <c r="DC26" s="165" t="str">
        <f aca="false">IF(DC$6&lt;Total_Lanes,900*Peak_Time_Eve*(($CN26/DC$6-1)+SQRT(($CN26/DC$6-1)^2+8*($CN26/DC$6)/(Peak_Time_Eve*$O59*DC$6))),"-")</f>
        <v>-</v>
      </c>
      <c r="DD26" s="165" t="str">
        <f aca="false">IF(DD$6&lt;Total_Lanes,900*Peak_Time_Eve*(($CN26/DD$6-1)+SQRT(($CN26/DD$6-1)^2+8*($CN26/DD$6)/(Peak_Time_Eve*$O59*DD$6))),"-")</f>
        <v>-</v>
      </c>
      <c r="DE26" s="165" t="str">
        <f aca="false">IF(DE$6&lt;Total_Lanes,900*Peak_Time_Eve*(($CN26/DE$6-1)+SQRT(($CN26/DE$6-1)^2+8*($CN26/DE$6)/(Peak_Time_Eve*$O59*DE$6))),"-")</f>
        <v>-</v>
      </c>
      <c r="DF26" s="165" t="str">
        <f aca="false">IF(DF$6&lt;Total_Lanes,900*Peak_Time_Eve*(($CN26/DF$6-1)+SQRT(($CN26/DF$6-1)^2+8*($CN26/DF$6)/(Peak_Time_Eve*$O59*DF$6))),"-")</f>
        <v>-</v>
      </c>
      <c r="DG26" s="165" t="str">
        <f aca="false">IF(DG$6&lt;Total_Lanes,900*Peak_Time_Eve*(($CN26/DG$6-1)+SQRT(($CN26/DG$6-1)^2+8*($CN26/DG$6)/(Peak_Time_Eve*$O59*DG$6))),"-")</f>
        <v>-</v>
      </c>
      <c r="DH26" s="165" t="str">
        <f aca="false">IF(DH$6&lt;Total_Lanes,900*Peak_Time_Eve*(($CN26/DH$6-1)+SQRT(($CN26/DH$6-1)^2+8*($CN26/DH$6)/(Peak_Time_Eve*$O59*DH$6))),"-")</f>
        <v>-</v>
      </c>
      <c r="DI26" s="166" t="str">
        <f aca="false">IF(DI$6&lt;Total_Lanes,900*Peak_Time_Eve*(($CN26/DI$6-1)+SQRT(($CN26/DI$6-1)^2+8*($CN26/DI$6)/(Peak_Time_Eve*$O59*DI$6))),"-")</f>
        <v>-</v>
      </c>
      <c r="DJ26" s="167" t="n">
        <f aca="false">3600/O59</f>
        <v>2.4</v>
      </c>
    </row>
    <row r="27" customFormat="false" ht="12.75" hidden="false" customHeight="false" outlineLevel="0" collapsed="false">
      <c r="B27" s="4"/>
      <c r="C27" s="4"/>
      <c r="D27" s="4"/>
      <c r="E27" s="4"/>
      <c r="H27" s="82" t="n">
        <v>20</v>
      </c>
      <c r="I27" s="168" t="n">
        <f aca="false">'Input-Detail'!E34</f>
        <v>30000000</v>
      </c>
      <c r="J27" s="169" t="n">
        <v>0.85118550512719</v>
      </c>
      <c r="K27" s="89" t="n">
        <f aca="false">AC27</f>
        <v>9055.44980054609</v>
      </c>
      <c r="L27" s="90" t="n">
        <f aca="false">AD74</f>
        <v>15.1820813982952</v>
      </c>
      <c r="M27" s="170" t="n">
        <f aca="false">AD27</f>
        <v>33.6206771696596</v>
      </c>
      <c r="N27" s="170" t="n">
        <f aca="false">SUM(L27:M27)</f>
        <v>48.8027585679548</v>
      </c>
      <c r="O27" s="171" t="n">
        <f aca="false">$S$34*N27</f>
        <v>12688.7172276682</v>
      </c>
      <c r="P27" s="172" t="n">
        <f aca="false">BC74</f>
        <v>2.16040506905334</v>
      </c>
      <c r="Q27" s="170" t="n">
        <f aca="false">BC27</f>
        <v>8.00122491619769</v>
      </c>
      <c r="R27" s="170" t="n">
        <f aca="false">SUM(P27:Q27)</f>
        <v>10.161629985251</v>
      </c>
      <c r="S27" s="173" t="n">
        <f aca="false">$S$34*R27</f>
        <v>2642.02379616527</v>
      </c>
      <c r="T27" s="1"/>
      <c r="U27" s="1"/>
      <c r="V27" s="82" t="n">
        <v>20</v>
      </c>
      <c r="W27" s="174" t="n">
        <f aca="false">'Input-Detail'!E34</f>
        <v>30000000</v>
      </c>
      <c r="X27" s="169" t="n">
        <f aca="false">MIN((J26+0.05),0.95)</f>
        <v>0.880563950021381</v>
      </c>
      <c r="Y27" s="175" t="n">
        <f aca="false">'Input-Detail'!E34/Z27</f>
        <v>12936.356857923</v>
      </c>
      <c r="Z27" s="176" t="n">
        <f aca="false">Z26</f>
        <v>2319.04548780488</v>
      </c>
      <c r="AA27" s="176" t="n">
        <f aca="false">AA26</f>
        <v>2</v>
      </c>
      <c r="AB27" s="177" t="n">
        <f aca="false">AB26</f>
        <v>0.7</v>
      </c>
      <c r="AC27" s="89" t="n">
        <f aca="false">Y27*AB27</f>
        <v>9055.44980054609</v>
      </c>
      <c r="AD27" s="172" t="n">
        <f aca="false">Peak_Time_Eve*$BH27*(3600/K60+BK27)/3600</f>
        <v>33.6206771696596</v>
      </c>
      <c r="AE27" s="178" t="n">
        <f aca="false">IF(AE$6&lt;Total_Lanes,($BI27*($CH27+BM27)+$CM27*CO27)*Peak_Time_Eve/3600,"-")</f>
        <v>68847.0817487858</v>
      </c>
      <c r="AF27" s="178" t="n">
        <f aca="false">IF(AF$6&lt;Total_Lanes,($BI27*($CH27+BN27)+$CM27*CP27)*Peak_Time_Eve/3600,"-")</f>
        <v>26453.7811470202</v>
      </c>
      <c r="AG27" s="178" t="n">
        <f aca="false">IF(AG$6&lt;Total_Lanes,($BI27*($CH27+BO27)+$CM27*CQ27)*Peak_Time_Eve/3600,"-")</f>
        <v>12323.8385027833</v>
      </c>
      <c r="AH27" s="178" t="n">
        <f aca="false">IF(AH$6&lt;Total_Lanes,($BI27*($CH27+BP27)+$CM27*CR27)*Peak_Time_Eve/3600,"-")</f>
        <v>5261.67807632914</v>
      </c>
      <c r="AI27" s="178" t="n">
        <f aca="false">IF(AI$6&lt;Total_Lanes,($BI27*($CH27+BQ27)+$CM27*CS27)*Peak_Time_Eve/3600,"-")</f>
        <v>1046.74933455408</v>
      </c>
      <c r="AJ27" s="178" t="n">
        <f aca="false">IF(AJ$6&lt;Total_Lanes,($BI27*($CH27+BR27)+$CM27*CT27)*Peak_Time_Eve/3600,"-")</f>
        <v>18.2516895364039</v>
      </c>
      <c r="AK27" s="178" t="n">
        <f aca="false">IF(AK$6&lt;Total_Lanes,($BI27*($CH27+BS27)+$CM27*CU27)*Peak_Time_Eve/3600,"-")</f>
        <v>9.60477688810843</v>
      </c>
      <c r="AL27" s="178" t="n">
        <f aca="false">IF(AL$6&lt;Total_Lanes,($BI27*($CH27+BT27)+$CM27*CV27)*Peak_Time_Eve/3600,"-")</f>
        <v>8.00122491619769</v>
      </c>
      <c r="AM27" s="178" t="n">
        <f aca="false">IF(AM$6&lt;Total_Lanes,($BI27*($CH27+BU27)+$CM27*CW27)*Peak_Time_Eve/3600,"-")</f>
        <v>9.18064238310063</v>
      </c>
      <c r="AN27" s="178" t="n">
        <f aca="false">IF(AN$6&lt;Total_Lanes,($BI27*($CH27+BV27)+$CM27*CX27)*Peak_Time_Eve/3600,"-")</f>
        <v>149.921221702555</v>
      </c>
      <c r="AO27" s="178" t="n">
        <f aca="false">IF(AO$6&lt;Total_Lanes,($BI27*($CH27+BW27)+$CM27*CY27)*Peak_Time_Eve/3600,"-")</f>
        <v>2399.01341993677</v>
      </c>
      <c r="AP27" s="178" t="str">
        <f aca="false">IF(AP$6&lt;Total_Lanes,($BI27*($CH27+BX27)+$CM27*CZ27)*Peak_Time_Eve/3600,"-")</f>
        <v>-</v>
      </c>
      <c r="AQ27" s="178" t="str">
        <f aca="false">IF(AQ$6&lt;Total_Lanes,($BI27*($CH27+BY27)+$CM27*DA27)*Peak_Time_Eve/3600,"-")</f>
        <v>-</v>
      </c>
      <c r="AR27" s="178" t="str">
        <f aca="false">IF(AR$6&lt;Total_Lanes,($BI27*($CH27+BZ27)+$CM27*DB27)*Peak_Time_Eve/3600,"-")</f>
        <v>-</v>
      </c>
      <c r="AS27" s="178" t="str">
        <f aca="false">IF(AS$6&lt;Total_Lanes,($BI27*($CH27+CA27)+$CM27*DC27)*Peak_Time_Eve/3600,"-")</f>
        <v>-</v>
      </c>
      <c r="AT27" s="178" t="str">
        <f aca="false">IF(AT$6&lt;Total_Lanes,($BI27*($CH27+CB27)+$CM27*DD27)*Peak_Time_Eve/3600,"-")</f>
        <v>-</v>
      </c>
      <c r="AU27" s="178" t="str">
        <f aca="false">IF(AU$6&lt;Total_Lanes,($BI27*($CH27+CC27)+$CM27*DE27)*Peak_Time_Eve/3600,"-")</f>
        <v>-</v>
      </c>
      <c r="AV27" s="178" t="str">
        <f aca="false">IF(AV$6&lt;Total_Lanes,($BI27*($CH27+CD27)+$CM27*DF27)*Peak_Time_Eve/3600,"-")</f>
        <v>-</v>
      </c>
      <c r="AW27" s="178" t="str">
        <f aca="false">IF(AW$6&lt;Total_Lanes,($BI27*($CH27+CE27)+$CM27*DG27)*Peak_Time_Eve/3600,"-")</f>
        <v>-</v>
      </c>
      <c r="AX27" s="178" t="str">
        <f aca="false">IF(AX$6&lt;Total_Lanes,($BI27*($CH27+CF27)+$CM27*DH27)*Peak_Time_Eve/3600,"-")</f>
        <v>-</v>
      </c>
      <c r="AY27" s="179" t="str">
        <f aca="false">IF(AY$6&lt;Total_Lanes,($BI27*($CH27+CG27)+$CM27*DI27)*Peak_Time_Eve/3600,"-")</f>
        <v>-</v>
      </c>
      <c r="AZ27" s="180" t="n">
        <f aca="false">SUMIF(AE27:AY27,BA27,$AE$6:$AY$6)</f>
        <v>8</v>
      </c>
      <c r="BA27" s="181" t="n">
        <f aca="false">MIN(AE27:AY27)</f>
        <v>8.00122491619769</v>
      </c>
      <c r="BB27" s="180" t="n">
        <f aca="false">IF((SUMIF($BM25:$CG25,$AZ27,$BM27:$CG27)+$CH27)&lt;(SUMIF($CO25:$DI25,$AZ27,$CO27:$DI27)+$DJ27),AZ27+1,AZ27)</f>
        <v>8</v>
      </c>
      <c r="BC27" s="181" t="n">
        <f aca="false">SUMIF($AE$6:$AY$6,$BB27,$AE27:$AY27)</f>
        <v>8.00122491619769</v>
      </c>
      <c r="BF27" s="82" t="n">
        <v>20</v>
      </c>
      <c r="BG27" s="169" t="n">
        <f aca="false">$X27</f>
        <v>0.880563950021381</v>
      </c>
      <c r="BH27" s="182" t="n">
        <f aca="false">$AC27</f>
        <v>9055.44980054609</v>
      </c>
      <c r="BI27" s="90" t="n">
        <f aca="false">BH27*(1-BG27)</f>
        <v>1081.5471549569</v>
      </c>
      <c r="BJ27" s="183" t="n">
        <f aca="false">Peak_Arrival_Manual/K60</f>
        <v>1.97532570662267</v>
      </c>
      <c r="BK27" s="184" t="n">
        <f aca="false">900*Peak_Time_Eve*(BJ27/Total_Lanes-1+SQRT((BJ27/Total_Lanes-1)^2+8*(BJ27/Total_Lanes)/(Peak_Time_Eve*$K60*Total_Lanes)))</f>
        <v>0.107961116049449</v>
      </c>
      <c r="BL27" s="185" t="n">
        <f aca="false">Peak_Arrival_Manual/N60</f>
        <v>2.10300835686064</v>
      </c>
      <c r="BM27" s="186" t="n">
        <f aca="false">IF(BM$6&lt;Total_Lanes,900*Peak_Time_Eve*(($BL27/(Total_Lanes-BM$6))-1+SQRT((($BL27/(Total_Lanes-BM$6))-1)^2+8*($BL27/(Total_Lanes-BM$6))/(Peak_Time_Eve*$N60*(Total_Lanes-BM$6)))),"-")</f>
        <v>0.150411394246652</v>
      </c>
      <c r="BN27" s="186" t="n">
        <f aca="false">IF(BN$6&lt;Total_Lanes,900*Peak_Time_Eve*(($BL27/(Total_Lanes-BN$6))-1+SQRT((($BL27/(Total_Lanes-BN$6))-1)^2+8*($BL27/(Total_Lanes-BN$6))/(Peak_Time_Eve*$N60*(Total_Lanes-BN$6)))),"-")</f>
        <v>0.186401278008241</v>
      </c>
      <c r="BO27" s="186" t="n">
        <f aca="false">IF(BO$6&lt;Total_Lanes,900*Peak_Time_Eve*(($BL27/(Total_Lanes-BO$6))-1+SQRT((($BL27/(Total_Lanes-BO$6))-1)^2+8*($BL27/(Total_Lanes-BO$6))/(Peak_Time_Eve*$N60*(Total_Lanes-BO$6)))),"-")</f>
        <v>0.237137097746909</v>
      </c>
      <c r="BP27" s="186" t="n">
        <f aca="false">IF(BP$6&lt;Total_Lanes,900*Peak_Time_Eve*(($BL27/(Total_Lanes-BP$6))-1+SQRT((($BL27/(Total_Lanes-BP$6))-1)^2+8*($BL27/(Total_Lanes-BP$6))/(Peak_Time_Eve*$N60*(Total_Lanes-BP$6)))),"-")</f>
        <v>0.312009256712642</v>
      </c>
      <c r="BQ27" s="186" t="n">
        <f aca="false">IF(BQ$6&lt;Total_Lanes,900*Peak_Time_Eve*(($BL27/(Total_Lanes-BQ$6))-1+SQRT((($BL27/(Total_Lanes-BQ$6))-1)^2+8*($BL27/(Total_Lanes-BQ$6))/(Peak_Time_Eve*$N60*(Total_Lanes-BQ$6)))),"-")</f>
        <v>0.429375834246137</v>
      </c>
      <c r="BR27" s="186" t="n">
        <f aca="false">IF(BR$6&lt;Total_Lanes,900*Peak_Time_Eve*(($BL27/(Total_Lanes-BR$6))-1+SQRT((($BL27/(Total_Lanes-BR$6))-1)^2+8*($BL27/(Total_Lanes-BR$6))/(Peak_Time_Eve*$N60*(Total_Lanes-BR$6)))),"-")</f>
        <v>0.629421279038378</v>
      </c>
      <c r="BS27" s="186" t="n">
        <f aca="false">IF(BS$6&lt;Total_Lanes,900*Peak_Time_Eve*(($BL27/(Total_Lanes-BS$6))-1+SQRT((($BL27/(Total_Lanes-BS$6))-1)^2+8*($BL27/(Total_Lanes-BS$6))/(Peak_Time_Eve*$N60*(Total_Lanes-BS$6)))),"-")</f>
        <v>1.01580498790859</v>
      </c>
      <c r="BT27" s="186" t="n">
        <f aca="false">IF(BT$6&lt;Total_Lanes,900*Peak_Time_Eve*(($BL27/(Total_Lanes-BT$6))-1+SQRT((($BL27/(Total_Lanes-BT$6))-1)^2+8*($BL27/(Total_Lanes-BT$6))/(Peak_Time_Eve*$N60*(Total_Lanes-BT$6)))),"-")</f>
        <v>1.93785360533891</v>
      </c>
      <c r="BU27" s="186" t="n">
        <f aca="false">IF(BU$6&lt;Total_Lanes,900*Peak_Time_Eve*(($BL27/(Total_Lanes-BU$6))-1+SQRT((($BL27/(Total_Lanes-BU$6))-1)^2+8*($BL27/(Total_Lanes-BU$6))/(Peak_Time_Eve*$N60*(Total_Lanes-BU$6)))),"-")</f>
        <v>5.44300600940406</v>
      </c>
      <c r="BV27" s="186" t="n">
        <f aca="false">IF(BV$6&lt;Total_Lanes,900*Peak_Time_Eve*(($BL27/(Total_Lanes-BV$6))-1+SQRT((($BL27/(Total_Lanes-BV$6))-1)^2+8*($BL27/(Total_Lanes-BV$6))/(Peak_Time_Eve*$N60*(Total_Lanes-BV$6)))),"-")</f>
        <v>240.503451871451</v>
      </c>
      <c r="BW27" s="186" t="n">
        <f aca="false">IF(BW$6&lt;Total_Lanes,900*Peak_Time_Eve*(($BL27/(Total_Lanes-BW$6))-1+SQRT((($BL27/(Total_Lanes-BW$6))-1)^2+8*($BL27/(Total_Lanes-BW$6))/(Peak_Time_Eve*$N60*(Total_Lanes-BW$6)))),"-")</f>
        <v>3984.13180592</v>
      </c>
      <c r="BX27" s="178" t="str">
        <f aca="false">IF(BX$6&lt;Total_Lanes,900*Peak_Time_Eve*(($BL27/(Total_Lanes-BX$6))-1+SQRT((($BL27/(Total_Lanes-BX$6))-1)^2+8*($BL27/(Total_Lanes-BX$6))/(Peak_Time_Eve*$N60*(Total_Lanes-BX$6)))),"-")</f>
        <v>-</v>
      </c>
      <c r="BY27" s="178" t="str">
        <f aca="false">IF(BY$6&lt;Total_Lanes,900*Peak_Time_Eve*(($BL27/(Total_Lanes-BY$6))-1+SQRT((($BL27/(Total_Lanes-BY$6))-1)^2+8*($BL27/(Total_Lanes-BY$6))/(Peak_Time_Eve*$N60*(Total_Lanes-BY$6)))),"-")</f>
        <v>-</v>
      </c>
      <c r="BZ27" s="178" t="str">
        <f aca="false">IF(BZ$6&lt;Total_Lanes,900*Peak_Time_Eve*(($BL27/(Total_Lanes-BZ$6))-1+SQRT((($BL27/(Total_Lanes-BZ$6))-1)^2+8*($BL27/(Total_Lanes-BZ$6))/(Peak_Time_Eve*$N60*(Total_Lanes-BZ$6)))),"-")</f>
        <v>-</v>
      </c>
      <c r="CA27" s="178" t="str">
        <f aca="false">IF(CA$6&lt;Total_Lanes,900*Peak_Time_Eve*(($BL27/(Total_Lanes-CA$6))-1+SQRT((($BL27/(Total_Lanes-CA$6))-1)^2+8*($BL27/(Total_Lanes-CA$6))/(Peak_Time_Eve*$N60*(Total_Lanes-CA$6)))),"-")</f>
        <v>-</v>
      </c>
      <c r="CB27" s="178" t="str">
        <f aca="false">IF(CB$6&lt;Total_Lanes,900*Peak_Time_Eve*(($BL27/(Total_Lanes-CB$6))-1+SQRT((($BL27/(Total_Lanes-CB$6))-1)^2+8*($BL27/(Total_Lanes-CB$6))/(Peak_Time_Eve*$N60*(Total_Lanes-CB$6)))),"-")</f>
        <v>-</v>
      </c>
      <c r="CC27" s="178" t="str">
        <f aca="false">IF(CC$6&lt;Total_Lanes,900*Peak_Time_Eve*(($BL27/(Total_Lanes-CC$6))-1+SQRT((($BL27/(Total_Lanes-CC$6))-1)^2+8*($BL27/(Total_Lanes-CC$6))/(Peak_Time_Eve*$N60*(Total_Lanes-CC$6)))),"-")</f>
        <v>-</v>
      </c>
      <c r="CD27" s="178" t="str">
        <f aca="false">IF(CD$6&lt;Total_Lanes,900*Peak_Time_Eve*(($BL27/(Total_Lanes-CD$6))-1+SQRT((($BL27/(Total_Lanes-CD$6))-1)^2+8*($BL27/(Total_Lanes-CD$6))/(Peak_Time_Eve*$N60*(Total_Lanes-CD$6)))),"-")</f>
        <v>-</v>
      </c>
      <c r="CE27" s="178" t="str">
        <f aca="false">IF(CE$6&lt;Total_Lanes,900*Peak_Time_Eve*(($BL27/(Total_Lanes-CE$6))-1+SQRT((($BL27/(Total_Lanes-CE$6))-1)^2+8*($BL27/(Total_Lanes-CE$6))/(Peak_Time_Eve*$N60*(Total_Lanes-CE$6)))),"-")</f>
        <v>-</v>
      </c>
      <c r="CF27" s="178" t="str">
        <f aca="false">IF(CF$6&lt;Total_Lanes,900*Peak_Time_Eve*(($BL27/(Total_Lanes-CF$6))-1+SQRT((($BL27/(Total_Lanes-CF$6))-1)^2+8*($BL27/(Total_Lanes-CF$6))/(Peak_Time_Eve*$N60*(Total_Lanes-CF$6)))),"-")</f>
        <v>-</v>
      </c>
      <c r="CG27" s="187" t="str">
        <f aca="false">IF(CG$6&lt;Total_Lanes,900*Peak_Time_Eve*(($BL27/(Total_Lanes-CG$6))-1+SQRT((($BL27/(Total_Lanes-CG$6))-1)^2+8*($BL27/(Total_Lanes-CG$6))/(Peak_Time_Eve*$N60*(Total_Lanes-CG$6)))),"-")</f>
        <v>-</v>
      </c>
      <c r="CH27" s="188" t="n">
        <f aca="false">3600/N60</f>
        <v>7</v>
      </c>
      <c r="CJ27" s="82" t="n">
        <v>20</v>
      </c>
      <c r="CK27" s="169" t="n">
        <f aca="false">$X27</f>
        <v>0.880563950021381</v>
      </c>
      <c r="CL27" s="89" t="n">
        <f aca="false">$AC27</f>
        <v>9055.44980054609</v>
      </c>
      <c r="CM27" s="172" t="n">
        <f aca="false">CL27*CK27</f>
        <v>7973.90264558919</v>
      </c>
      <c r="CN27" s="189" t="n">
        <f aca="false">CM27/O59</f>
        <v>5.31593509705946</v>
      </c>
      <c r="CO27" s="186" t="n">
        <f aca="false">IF(CO$6&lt;Total_Lanes,900*Peak_Time_Eve*(($CN27/CO$6-1)+SQRT(($CN27/CO$6-1)^2+8*($CN27/CO$6)/(Peak_Time_Eve*$O60*CO$6))),"-")</f>
        <v>15540.3218660137</v>
      </c>
      <c r="CP27" s="186" t="n">
        <f aca="false">IF(CP$6&lt;Total_Lanes,900*Peak_Time_Eve*(($CN27/CP$6-1)+SQRT(($CN27/CP$6-1)^2+8*($CN27/CP$6)/(Peak_Time_Eve*$O60*CP$6))),"-")</f>
        <v>5970.60633278674</v>
      </c>
      <c r="CQ27" s="186" t="n">
        <f aca="false">IF(CQ$6&lt;Total_Lanes,900*Peak_Time_Eve*(($CN27/CQ$6-1)+SQRT(($CN27/CQ$6-1)^2+8*($CN27/CQ$6)/(Peak_Time_Eve*$O60*CQ$6))),"-")</f>
        <v>2780.95720321317</v>
      </c>
      <c r="CR27" s="186" t="n">
        <f aca="false">IF(CR$6&lt;Total_Lanes,900*Peak_Time_Eve*(($CN27/CR$6-1)+SQRT(($CN27/CR$6-1)^2+8*($CN27/CR$6)/(Peak_Time_Eve*$O60*CR$6))),"-")</f>
        <v>1186.76044531575</v>
      </c>
      <c r="CS27" s="186" t="n">
        <f aca="false">IF(CS$6&lt;Total_Lanes,900*Peak_Time_Eve*(($CN27/CS$6-1)+SQRT(($CN27/CS$6-1)^2+8*($CN27/CS$6)/(Peak_Time_Eve*$O60*CS$6))),"-")</f>
        <v>235.281726563151</v>
      </c>
      <c r="CT27" s="190" t="n">
        <f aca="false">IF(CT$6&lt;Total_Lanes,900*Peak_Time_Eve*(($CN27/CT$6-1)+SQRT(($CN27/CT$6-1)^2+8*($CN27/CT$6)/(Peak_Time_Eve*$O60*CT$6))),"-")</f>
        <v>3.08524738520902</v>
      </c>
      <c r="CU27" s="190" t="n">
        <f aca="false">IF(CU$6&lt;Total_Lanes,900*Peak_Time_Eve*(($CN27/CU$6-1)+SQRT(($CN27/CU$6-1)^2+8*($CN27/CU$6)/(Peak_Time_Eve*$O60*CU$6))),"-")</f>
        <v>1.08091704931976</v>
      </c>
      <c r="CV27" s="190" t="n">
        <f aca="false">IF(CV$6&lt;Total_Lanes,900*Peak_Time_Eve*(($CN27/CV$6-1)+SQRT(($CN27/CV$6-1)^2+8*($CN27/CV$6)/(Peak_Time_Eve*$O60*CV$6))),"-")</f>
        <v>0.593874156903551</v>
      </c>
      <c r="CW27" s="190" t="n">
        <f aca="false">IF(CW$6&lt;Total_Lanes,900*Peak_Time_Eve*(($CN27/CW$6-1)+SQRT(($CN27/CW$6-1)^2+8*($CN27/CW$6)/(Peak_Time_Eve*$O60*CW$6))),"-")</f>
        <v>0.384687232505321</v>
      </c>
      <c r="CX27" s="190" t="n">
        <f aca="false">IF(CX$6&lt;Total_Lanes,900*Peak_Time_Eve*(($CN27/CX$6-1)+SQRT(($CN27/CX$6-1)^2+8*($CN27/CX$6)/(Peak_Time_Eve*$O60*CX$6))),"-")</f>
        <v>0.27233149782937</v>
      </c>
      <c r="CY27" s="190" t="n">
        <f aca="false">IF(CY$6&lt;Total_Lanes,900*Peak_Time_Eve*(($CN27/CY$6-1)+SQRT(($CN27/CY$6-1)^2+8*($CN27/CY$6)/(Peak_Time_Eve*$O60*CY$6))),"-")</f>
        <v>0.20402884355748</v>
      </c>
      <c r="CZ27" s="191" t="str">
        <f aca="false">IF(CZ$6&lt;Total_Lanes,900*Peak_Time_Eve*(($CN27/CZ$6-1)+SQRT(($CN27/CZ$6-1)^2+8*($CN27/CZ$6)/(Peak_Time_Eve*$O60*CZ$6))),"-")</f>
        <v>-</v>
      </c>
      <c r="DA27" s="191" t="str">
        <f aca="false">IF(DA$6&lt;Total_Lanes,900*Peak_Time_Eve*(($CN27/DA$6-1)+SQRT(($CN27/DA$6-1)^2+8*($CN27/DA$6)/(Peak_Time_Eve*$O60*DA$6))),"-")</f>
        <v>-</v>
      </c>
      <c r="DB27" s="191" t="str">
        <f aca="false">IF(DB$6&lt;Total_Lanes,900*Peak_Time_Eve*(($CN27/DB$6-1)+SQRT(($CN27/DB$6-1)^2+8*($CN27/DB$6)/(Peak_Time_Eve*$O60*DB$6))),"-")</f>
        <v>-</v>
      </c>
      <c r="DC27" s="191" t="str">
        <f aca="false">IF(DC$6&lt;Total_Lanes,900*Peak_Time_Eve*(($CN27/DC$6-1)+SQRT(($CN27/DC$6-1)^2+8*($CN27/DC$6)/(Peak_Time_Eve*$O60*DC$6))),"-")</f>
        <v>-</v>
      </c>
      <c r="DD27" s="191" t="str">
        <f aca="false">IF(DD$6&lt;Total_Lanes,900*Peak_Time_Eve*(($CN27/DD$6-1)+SQRT(($CN27/DD$6-1)^2+8*($CN27/DD$6)/(Peak_Time_Eve*$O60*DD$6))),"-")</f>
        <v>-</v>
      </c>
      <c r="DE27" s="191" t="str">
        <f aca="false">IF(DE$6&lt;Total_Lanes,900*Peak_Time_Eve*(($CN27/DE$6-1)+SQRT(($CN27/DE$6-1)^2+8*($CN27/DE$6)/(Peak_Time_Eve*$O60*DE$6))),"-")</f>
        <v>-</v>
      </c>
      <c r="DF27" s="191" t="str">
        <f aca="false">IF(DF$6&lt;Total_Lanes,900*Peak_Time_Eve*(($CN27/DF$6-1)+SQRT(($CN27/DF$6-1)^2+8*($CN27/DF$6)/(Peak_Time_Eve*$O60*DF$6))),"-")</f>
        <v>-</v>
      </c>
      <c r="DG27" s="191" t="str">
        <f aca="false">IF(DG$6&lt;Total_Lanes,900*Peak_Time_Eve*(($CN27/DG$6-1)+SQRT(($CN27/DG$6-1)^2+8*($CN27/DG$6)/(Peak_Time_Eve*$O60*DG$6))),"-")</f>
        <v>-</v>
      </c>
      <c r="DH27" s="191" t="str">
        <f aca="false">IF(DH$6&lt;Total_Lanes,900*Peak_Time_Eve*(($CN27/DH$6-1)+SQRT(($CN27/DH$6-1)^2+8*($CN27/DH$6)/(Peak_Time_Eve*$O60*DH$6))),"-")</f>
        <v>-</v>
      </c>
      <c r="DI27" s="192" t="str">
        <f aca="false">IF(DI$6&lt;Total_Lanes,900*Peak_Time_Eve*(($CN27/DI$6-1)+SQRT(($CN27/DI$6-1)^2+8*($CN27/DI$6)/(Peak_Time_Eve*$O60*DI$6))),"-")</f>
        <v>-</v>
      </c>
      <c r="DJ27" s="193" t="n">
        <f aca="false">3600/O60</f>
        <v>2.4</v>
      </c>
    </row>
    <row r="29" customFormat="false" ht="12.75" hidden="false" customHeight="false" outlineLevel="0" collapsed="false">
      <c r="B29" s="4"/>
      <c r="C29" s="4"/>
      <c r="D29" s="4"/>
      <c r="E29" s="4"/>
    </row>
    <row r="30" customFormat="false" ht="14.25" hidden="false" customHeight="false" outlineLevel="0" collapsed="false">
      <c r="B30" s="4"/>
      <c r="C30" s="4"/>
      <c r="D30" s="4"/>
      <c r="E30" s="4"/>
      <c r="H30" s="194" t="s">
        <v>65</v>
      </c>
      <c r="V30" s="194" t="s">
        <v>65</v>
      </c>
    </row>
    <row r="31" customFormat="false" ht="13.5" hidden="false" customHeight="false" outlineLevel="0" collapsed="false">
      <c r="B31" s="4"/>
      <c r="C31" s="4"/>
      <c r="D31" s="4"/>
      <c r="E31" s="4"/>
      <c r="H31" s="195" t="s">
        <v>66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7"/>
      <c r="T31" s="1"/>
      <c r="U31" s="1"/>
      <c r="V31" s="198" t="s">
        <v>67</v>
      </c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200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false" outlineLevel="0" collapsed="false">
      <c r="B32" s="4"/>
      <c r="C32" s="4"/>
      <c r="D32" s="4"/>
      <c r="E32" s="4"/>
      <c r="H32" s="201" t="s">
        <v>68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3"/>
      <c r="T32" s="1"/>
      <c r="U32" s="1"/>
      <c r="V32" s="204" t="s">
        <v>69</v>
      </c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6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201" t="s">
        <v>70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5"/>
      <c r="S33" s="203" t="n">
        <v>52</v>
      </c>
      <c r="T33" s="4"/>
      <c r="U33" s="4"/>
      <c r="V33" s="207" t="s">
        <v>71</v>
      </c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6"/>
      <c r="CF33" s="4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customFormat="false" ht="13.5" hidden="false" customHeight="false" outlineLevel="0" collapsed="false">
      <c r="B34" s="4"/>
      <c r="C34" s="4"/>
      <c r="D34" s="4"/>
      <c r="E34" s="4"/>
      <c r="H34" s="208" t="s">
        <v>72</v>
      </c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10" t="n">
        <f aca="false">5*S33</f>
        <v>260</v>
      </c>
      <c r="T34" s="1"/>
      <c r="U34" s="1"/>
      <c r="V34" s="207" t="s">
        <v>73</v>
      </c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6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3.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207" t="s">
        <v>74</v>
      </c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6"/>
      <c r="CF35" s="4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07" t="s">
        <v>75</v>
      </c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6"/>
      <c r="CF36" s="4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7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207" t="s">
        <v>77</v>
      </c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6"/>
      <c r="CF37" s="4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14" t="s">
        <v>4</v>
      </c>
      <c r="I38" s="211" t="s">
        <v>78</v>
      </c>
      <c r="J38" s="211"/>
      <c r="K38" s="211"/>
      <c r="L38" s="212" t="s">
        <v>79</v>
      </c>
      <c r="M38" s="212"/>
      <c r="N38" s="212"/>
      <c r="O38" s="14" t="s">
        <v>80</v>
      </c>
      <c r="P38" s="4"/>
      <c r="Q38" s="4"/>
      <c r="R38" s="4"/>
      <c r="S38" s="4"/>
      <c r="T38" s="4"/>
      <c r="U38" s="4"/>
      <c r="V38" s="207" t="s">
        <v>81</v>
      </c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6"/>
      <c r="CF38" s="4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customFormat="false" ht="13.5" hidden="false" customHeight="false" outlineLevel="0" collapsed="false">
      <c r="A39" s="4"/>
      <c r="B39" s="4"/>
      <c r="C39" s="4"/>
      <c r="D39" s="4"/>
      <c r="E39" s="4"/>
      <c r="F39" s="4"/>
      <c r="G39" s="4"/>
      <c r="H39" s="14"/>
      <c r="I39" s="213" t="s">
        <v>82</v>
      </c>
      <c r="J39" s="214" t="s">
        <v>24</v>
      </c>
      <c r="K39" s="214" t="s">
        <v>83</v>
      </c>
      <c r="L39" s="213" t="s">
        <v>84</v>
      </c>
      <c r="M39" s="214" t="s">
        <v>24</v>
      </c>
      <c r="N39" s="214" t="s">
        <v>83</v>
      </c>
      <c r="O39" s="14"/>
      <c r="P39" s="4"/>
      <c r="Q39" s="4"/>
      <c r="R39" s="4"/>
      <c r="S39" s="4"/>
      <c r="T39" s="4"/>
      <c r="U39" s="4"/>
      <c r="V39" s="207" t="s">
        <v>85</v>
      </c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6"/>
      <c r="CF39" s="4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customFormat="false" ht="13.5" hidden="false" customHeight="false" outlineLevel="0" collapsed="false">
      <c r="A40" s="4"/>
      <c r="B40" s="4"/>
      <c r="C40" s="4"/>
      <c r="D40" s="4"/>
      <c r="E40" s="4"/>
      <c r="F40" s="4"/>
      <c r="G40" s="4"/>
      <c r="H40" s="215" t="s">
        <v>64</v>
      </c>
      <c r="I40" s="216" t="n">
        <f aca="false">'Input-Detail'!BH13</f>
        <v>0.83</v>
      </c>
      <c r="J40" s="217" t="n">
        <f aca="false">1-I40</f>
        <v>0.17</v>
      </c>
      <c r="K40" s="218" t="n">
        <f aca="false">3600/(Trans_Time_Cash*I40+Trans_Time_Ticket*J40)</f>
        <v>547.528517110266</v>
      </c>
      <c r="L40" s="216" t="n">
        <f aca="false">'Input-Detail'!BJ13</f>
        <v>0.83</v>
      </c>
      <c r="M40" s="217" t="n">
        <f aca="false">1-L40</f>
        <v>0.17</v>
      </c>
      <c r="N40" s="218" t="n">
        <f aca="false">3600/(Trans_Time_Cash*L40+Trans_Time_Ticket*M40)</f>
        <v>547.528517110266</v>
      </c>
      <c r="O40" s="218" t="n">
        <f aca="false">3600/Headway_ETC</f>
        <v>1500</v>
      </c>
      <c r="P40" s="4"/>
      <c r="Q40" s="4"/>
      <c r="R40" s="4"/>
      <c r="S40" s="4"/>
      <c r="T40" s="4"/>
      <c r="U40" s="4"/>
      <c r="V40" s="207" t="s">
        <v>86</v>
      </c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6"/>
      <c r="CF40" s="4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customFormat="false" ht="12.75" hidden="false" customHeight="false" outlineLevel="0" collapsed="false">
      <c r="A41" s="4"/>
      <c r="B41" s="4"/>
      <c r="C41" s="4"/>
      <c r="D41" s="4"/>
      <c r="E41" s="4"/>
      <c r="F41" s="4"/>
      <c r="G41" s="4"/>
      <c r="H41" s="215" t="n">
        <v>1</v>
      </c>
      <c r="I41" s="216" t="n">
        <f aca="false">'Input-Detail'!BH14</f>
        <v>0.83</v>
      </c>
      <c r="J41" s="217" t="n">
        <f aca="false">1-I41</f>
        <v>0.17</v>
      </c>
      <c r="K41" s="218" t="n">
        <f aca="false">3600/(Trans_Time_Cash*I41+Trans_Time_Ticket*J41)</f>
        <v>547.528517110266</v>
      </c>
      <c r="L41" s="216" t="n">
        <f aca="false">'Input-Detail'!BJ14</f>
        <v>0.8385</v>
      </c>
      <c r="M41" s="217" t="n">
        <f aca="false">1-L41</f>
        <v>0.1615</v>
      </c>
      <c r="N41" s="218" t="n">
        <f aca="false">3600/(Trans_Time_Cash*L41+Trans_Time_Ticket*M41)</f>
        <v>545.764638999432</v>
      </c>
      <c r="O41" s="218" t="n">
        <f aca="false">3600/Headway_ETC</f>
        <v>1500</v>
      </c>
      <c r="P41" s="4"/>
      <c r="Q41" s="4"/>
      <c r="R41" s="4"/>
      <c r="S41" s="4"/>
      <c r="T41" s="4"/>
      <c r="U41" s="4"/>
      <c r="V41" s="207" t="s">
        <v>87</v>
      </c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6"/>
      <c r="CF41" s="4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customFormat="false" ht="12.75" hidden="false" customHeight="false" outlineLevel="0" collapsed="false">
      <c r="A42" s="4"/>
      <c r="B42" s="4"/>
      <c r="C42" s="4"/>
      <c r="D42" s="4"/>
      <c r="E42" s="4"/>
      <c r="F42" s="4"/>
      <c r="G42" s="4"/>
      <c r="H42" s="215" t="n">
        <v>2</v>
      </c>
      <c r="I42" s="216" t="n">
        <f aca="false">'Input-Detail'!BH15</f>
        <v>0.83</v>
      </c>
      <c r="J42" s="217" t="n">
        <f aca="false">1-I42</f>
        <v>0.17</v>
      </c>
      <c r="K42" s="218" t="n">
        <f aca="false">3600/(Trans_Time_Cash*I42+Trans_Time_Ticket*J42)</f>
        <v>547.528517110266</v>
      </c>
      <c r="L42" s="216" t="n">
        <f aca="false">'Input-Detail'!BJ15</f>
        <v>0.847</v>
      </c>
      <c r="M42" s="217" t="n">
        <f aca="false">1-L42</f>
        <v>0.153</v>
      </c>
      <c r="N42" s="218" t="n">
        <f aca="false">3600/(Trans_Time_Cash*L42+Trans_Time_Ticket*M42)</f>
        <v>544.012089157537</v>
      </c>
      <c r="O42" s="218" t="n">
        <f aca="false">3600/Headway_ETC</f>
        <v>1500</v>
      </c>
      <c r="P42" s="4"/>
      <c r="Q42" s="4"/>
      <c r="R42" s="4"/>
      <c r="S42" s="4"/>
      <c r="T42" s="4"/>
      <c r="U42" s="4"/>
      <c r="V42" s="207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6"/>
      <c r="CF42" s="4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215" t="n">
        <v>3</v>
      </c>
      <c r="I43" s="216" t="n">
        <f aca="false">'Input-Detail'!BH16</f>
        <v>0.83</v>
      </c>
      <c r="J43" s="217" t="n">
        <f aca="false">1-I43</f>
        <v>0.17</v>
      </c>
      <c r="K43" s="218" t="n">
        <f aca="false">3600/(Trans_Time_Cash*I43+Trans_Time_Ticket*J43)</f>
        <v>547.528517110266</v>
      </c>
      <c r="L43" s="216" t="n">
        <f aca="false">'Input-Detail'!BJ16</f>
        <v>0.8555</v>
      </c>
      <c r="M43" s="217" t="n">
        <f aca="false">1-L43</f>
        <v>0.1445</v>
      </c>
      <c r="N43" s="218" t="n">
        <f aca="false">3600/(Trans_Time_Cash*L43+Trans_Time_Ticket*M43)</f>
        <v>542.270758802485</v>
      </c>
      <c r="O43" s="218" t="n">
        <f aca="false">3600/Headway_ETC</f>
        <v>1500</v>
      </c>
      <c r="P43" s="4"/>
      <c r="Q43" s="4"/>
      <c r="R43" s="4"/>
      <c r="S43" s="4"/>
      <c r="T43" s="4"/>
      <c r="U43" s="4"/>
      <c r="V43" s="204" t="s">
        <v>88</v>
      </c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6"/>
      <c r="CF43" s="4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customFormat="false" ht="12.75" hidden="false" customHeight="false" outlineLevel="0" collapsed="false">
      <c r="A44" s="4"/>
      <c r="B44" s="4"/>
      <c r="C44" s="4"/>
      <c r="D44" s="4"/>
      <c r="E44" s="4"/>
      <c r="F44" s="4"/>
      <c r="G44" s="4"/>
      <c r="H44" s="215" t="n">
        <v>4</v>
      </c>
      <c r="I44" s="216" t="n">
        <f aca="false">'Input-Detail'!BH17</f>
        <v>0.83</v>
      </c>
      <c r="J44" s="217" t="n">
        <f aca="false">1-I44</f>
        <v>0.17</v>
      </c>
      <c r="K44" s="218" t="n">
        <f aca="false">3600/(Trans_Time_Cash*I44+Trans_Time_Ticket*J44)</f>
        <v>547.528517110266</v>
      </c>
      <c r="L44" s="216" t="n">
        <f aca="false">'Input-Detail'!BJ17</f>
        <v>0.864</v>
      </c>
      <c r="M44" s="217" t="n">
        <f aca="false">1-L44</f>
        <v>0.136</v>
      </c>
      <c r="N44" s="218" t="n">
        <f aca="false">3600/(Trans_Time_Cash*L44+Trans_Time_Ticket*M44)</f>
        <v>540.540540540541</v>
      </c>
      <c r="O44" s="218" t="n">
        <f aca="false">3600/Headway_ETC</f>
        <v>1500</v>
      </c>
      <c r="P44" s="4"/>
      <c r="Q44" s="4"/>
      <c r="R44" s="4"/>
      <c r="S44" s="4"/>
      <c r="T44" s="4"/>
      <c r="U44" s="4"/>
      <c r="V44" s="207" t="s">
        <v>89</v>
      </c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6"/>
      <c r="CF44" s="4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customFormat="false" ht="12.75" hidden="false" customHeight="false" outlineLevel="0" collapsed="false">
      <c r="A45" s="4"/>
      <c r="B45" s="4"/>
      <c r="C45" s="4"/>
      <c r="D45" s="4"/>
      <c r="E45" s="4"/>
      <c r="F45" s="4"/>
      <c r="G45" s="4"/>
      <c r="H45" s="215" t="n">
        <v>5</v>
      </c>
      <c r="I45" s="216" t="n">
        <f aca="false">'Input-Detail'!BH18</f>
        <v>0.83</v>
      </c>
      <c r="J45" s="217" t="n">
        <f aca="false">1-I45</f>
        <v>0.17</v>
      </c>
      <c r="K45" s="218" t="n">
        <f aca="false">3600/(Trans_Time_Cash*I45+Trans_Time_Ticket*J45)</f>
        <v>547.528517110266</v>
      </c>
      <c r="L45" s="216" t="n">
        <f aca="false">'Input-Detail'!BJ18</f>
        <v>0.8725</v>
      </c>
      <c r="M45" s="217" t="n">
        <f aca="false">1-L45</f>
        <v>0.1275</v>
      </c>
      <c r="N45" s="218" t="n">
        <f aca="false">3600/(Trans_Time_Cash*L45+Trans_Time_Ticket*M45)</f>
        <v>538.821328344247</v>
      </c>
      <c r="O45" s="218" t="n">
        <f aca="false">3600/Headway_ETC</f>
        <v>1500</v>
      </c>
      <c r="P45" s="4"/>
      <c r="Q45" s="4"/>
      <c r="R45" s="4"/>
      <c r="S45" s="4"/>
      <c r="T45" s="4"/>
      <c r="U45" s="4"/>
      <c r="V45" s="207" t="s">
        <v>90</v>
      </c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6"/>
      <c r="CF45" s="4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</row>
    <row r="46" customFormat="false" ht="12.75" hidden="false" customHeight="false" outlineLevel="0" collapsed="false">
      <c r="A46" s="4"/>
      <c r="B46" s="4"/>
      <c r="C46" s="4"/>
      <c r="D46" s="4"/>
      <c r="E46" s="4"/>
      <c r="F46" s="4"/>
      <c r="G46" s="4"/>
      <c r="H46" s="215" t="n">
        <v>6</v>
      </c>
      <c r="I46" s="216" t="n">
        <f aca="false">'Input-Detail'!BH19</f>
        <v>0.83</v>
      </c>
      <c r="J46" s="217" t="n">
        <f aca="false">1-I46</f>
        <v>0.17</v>
      </c>
      <c r="K46" s="218" t="n">
        <f aca="false">3600/(Trans_Time_Cash*I46+Trans_Time_Ticket*J46)</f>
        <v>547.528517110266</v>
      </c>
      <c r="L46" s="216" t="n">
        <f aca="false">'Input-Detail'!BJ19</f>
        <v>0.881</v>
      </c>
      <c r="M46" s="217" t="n">
        <f aca="false">1-L46</f>
        <v>0.119</v>
      </c>
      <c r="N46" s="218" t="n">
        <f aca="false">3600/(Trans_Time_Cash*L46+Trans_Time_Ticket*M46)</f>
        <v>537.113017530772</v>
      </c>
      <c r="O46" s="218" t="n">
        <f aca="false">3600/Headway_ETC</f>
        <v>1500</v>
      </c>
      <c r="P46" s="4"/>
      <c r="Q46" s="4"/>
      <c r="R46" s="4"/>
      <c r="S46" s="4"/>
      <c r="T46" s="4"/>
      <c r="U46" s="4"/>
      <c r="V46" s="207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6"/>
      <c r="CF46" s="4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customFormat="false" ht="13.5" hidden="false" customHeight="false" outlineLevel="0" collapsed="false">
      <c r="A47" s="4"/>
      <c r="B47" s="4"/>
      <c r="C47" s="4"/>
      <c r="D47" s="4"/>
      <c r="E47" s="4"/>
      <c r="F47" s="4"/>
      <c r="G47" s="4"/>
      <c r="H47" s="215" t="n">
        <v>7</v>
      </c>
      <c r="I47" s="216" t="n">
        <f aca="false">'Input-Detail'!BH20</f>
        <v>0.83</v>
      </c>
      <c r="J47" s="217" t="n">
        <f aca="false">1-I47</f>
        <v>0.17</v>
      </c>
      <c r="K47" s="218" t="n">
        <f aca="false">3600/(Trans_Time_Cash*I47+Trans_Time_Ticket*J47)</f>
        <v>547.528517110266</v>
      </c>
      <c r="L47" s="216" t="n">
        <f aca="false">'Input-Detail'!BJ20</f>
        <v>0.8895</v>
      </c>
      <c r="M47" s="217" t="n">
        <f aca="false">1-L47</f>
        <v>0.1105</v>
      </c>
      <c r="N47" s="218" t="n">
        <f aca="false">3600/(Trans_Time_Cash*L47+Trans_Time_Ticket*M47)</f>
        <v>535.415504740658</v>
      </c>
      <c r="O47" s="218" t="n">
        <f aca="false">3600/Headway_ETC</f>
        <v>1500</v>
      </c>
      <c r="P47" s="4"/>
      <c r="Q47" s="4"/>
      <c r="R47" s="4"/>
      <c r="S47" s="4"/>
      <c r="T47" s="4"/>
      <c r="U47" s="4"/>
      <c r="V47" s="219" t="s">
        <v>91</v>
      </c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1"/>
      <c r="CF47" s="4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customFormat="false" ht="13.5" hidden="false" customHeight="false" outlineLevel="0" collapsed="false">
      <c r="A48" s="4"/>
      <c r="B48" s="4"/>
      <c r="C48" s="4"/>
      <c r="D48" s="4"/>
      <c r="E48" s="4"/>
      <c r="F48" s="4"/>
      <c r="G48" s="4"/>
      <c r="H48" s="215" t="n">
        <v>8</v>
      </c>
      <c r="I48" s="216" t="n">
        <f aca="false">'Input-Detail'!BH21</f>
        <v>0.83</v>
      </c>
      <c r="J48" s="217" t="n">
        <f aca="false">1-I48</f>
        <v>0.17</v>
      </c>
      <c r="K48" s="218" t="n">
        <f aca="false">3600/(Trans_Time_Cash*I48+Trans_Time_Ticket*J48)</f>
        <v>547.528517110266</v>
      </c>
      <c r="L48" s="216" t="n">
        <f aca="false">'Input-Detail'!BJ21</f>
        <v>0.898</v>
      </c>
      <c r="M48" s="217" t="n">
        <f aca="false">1-L48</f>
        <v>0.102</v>
      </c>
      <c r="N48" s="218" t="n">
        <f aca="false">3600/(Trans_Time_Cash*L48+Trans_Time_Ticket*M48)</f>
        <v>533.728687916976</v>
      </c>
      <c r="O48" s="218" t="n">
        <f aca="false">3600/Headway_ETC</f>
        <v>1500</v>
      </c>
      <c r="P48" s="4"/>
      <c r="Q48" s="4"/>
      <c r="R48" s="4"/>
      <c r="S48" s="4"/>
      <c r="T48" s="4"/>
      <c r="U48" s="4"/>
      <c r="CF48" s="4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</row>
    <row r="49" customFormat="false" ht="12.75" hidden="false" customHeight="false" outlineLevel="0" collapsed="false">
      <c r="A49" s="4"/>
      <c r="B49" s="4"/>
      <c r="C49" s="4"/>
      <c r="D49" s="4"/>
      <c r="E49" s="4"/>
      <c r="F49" s="4"/>
      <c r="G49" s="4"/>
      <c r="H49" s="215" t="n">
        <v>9</v>
      </c>
      <c r="I49" s="216" t="n">
        <f aca="false">'Input-Detail'!BH22</f>
        <v>0.83</v>
      </c>
      <c r="J49" s="217" t="n">
        <f aca="false">1-I49</f>
        <v>0.17</v>
      </c>
      <c r="K49" s="218" t="n">
        <f aca="false">3600/(Trans_Time_Cash*I49+Trans_Time_Ticket*J49)</f>
        <v>547.528517110266</v>
      </c>
      <c r="L49" s="216" t="n">
        <f aca="false">'Input-Detail'!BJ22</f>
        <v>0.9065</v>
      </c>
      <c r="M49" s="217" t="n">
        <f aca="false">1-L49</f>
        <v>0.0935</v>
      </c>
      <c r="N49" s="218" t="n">
        <f aca="false">3600/(Trans_Time_Cash*L49+Trans_Time_Ticket*M49)</f>
        <v>532.05246628487</v>
      </c>
      <c r="O49" s="218" t="n">
        <f aca="false">3600/Headway_ETC</f>
        <v>1500</v>
      </c>
      <c r="P49" s="4"/>
      <c r="Q49" s="4"/>
      <c r="R49" s="4"/>
      <c r="S49" s="4"/>
      <c r="T49" s="4"/>
      <c r="U49" s="4"/>
      <c r="CF49" s="4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customFormat="false" ht="12.75" hidden="false" customHeight="false" outlineLevel="0" collapsed="false">
      <c r="A50" s="4"/>
      <c r="B50" s="4"/>
      <c r="C50" s="4"/>
      <c r="D50" s="4"/>
      <c r="E50" s="4"/>
      <c r="F50" s="4"/>
      <c r="G50" s="4"/>
      <c r="H50" s="215" t="n">
        <v>10</v>
      </c>
      <c r="I50" s="216" t="n">
        <f aca="false">'Input-Detail'!BH23</f>
        <v>0.83</v>
      </c>
      <c r="J50" s="217" t="n">
        <f aca="false">1-I50</f>
        <v>0.17</v>
      </c>
      <c r="K50" s="218" t="n">
        <f aca="false">3600/(Trans_Time_Cash*I50+Trans_Time_Ticket*J50)</f>
        <v>547.528517110266</v>
      </c>
      <c r="L50" s="216" t="n">
        <f aca="false">'Input-Detail'!BJ23</f>
        <v>0.915</v>
      </c>
      <c r="M50" s="217" t="n">
        <f aca="false">1-L50</f>
        <v>0.085</v>
      </c>
      <c r="N50" s="218" t="n">
        <f aca="false">3600/(Trans_Time_Cash*L50+Trans_Time_Ticket*M50)</f>
        <v>530.386740331492</v>
      </c>
      <c r="O50" s="218" t="n">
        <f aca="false">3600/Headway_ETC</f>
        <v>1500</v>
      </c>
      <c r="P50" s="4"/>
      <c r="Q50" s="4"/>
      <c r="R50" s="4"/>
      <c r="S50" s="4"/>
      <c r="T50" s="4"/>
      <c r="U50" s="4"/>
      <c r="V50" s="3" t="s">
        <v>92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3" t="s">
        <v>42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3" t="s">
        <v>3</v>
      </c>
      <c r="CK50" s="4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customFormat="false" ht="12.75" hidden="false" customHeight="false" outlineLevel="0" collapsed="false">
      <c r="A51" s="4"/>
      <c r="B51" s="4"/>
      <c r="C51" s="4"/>
      <c r="D51" s="4"/>
      <c r="E51" s="4"/>
      <c r="F51" s="4"/>
      <c r="G51" s="4"/>
      <c r="H51" s="215" t="n">
        <v>11</v>
      </c>
      <c r="I51" s="216" t="n">
        <f aca="false">'Input-Detail'!BH24</f>
        <v>0.83</v>
      </c>
      <c r="J51" s="217" t="n">
        <f aca="false">1-I51</f>
        <v>0.17</v>
      </c>
      <c r="K51" s="218" t="n">
        <f aca="false">3600/(Trans_Time_Cash*I51+Trans_Time_Ticket*J51)</f>
        <v>547.528517110266</v>
      </c>
      <c r="L51" s="216" t="n">
        <f aca="false">'Input-Detail'!BJ24</f>
        <v>0.9235</v>
      </c>
      <c r="M51" s="217" t="n">
        <f aca="false">1-L51</f>
        <v>0.0765</v>
      </c>
      <c r="N51" s="218" t="n">
        <f aca="false">3600/(Trans_Time_Cash*L51+Trans_Time_Ticket*M51)</f>
        <v>528.731411786304</v>
      </c>
      <c r="O51" s="218" t="n">
        <f aca="false">3600/Headway_ETC</f>
        <v>1500</v>
      </c>
      <c r="P51" s="4"/>
      <c r="Q51" s="4"/>
      <c r="R51" s="4"/>
      <c r="S51" s="4"/>
      <c r="T51" s="4"/>
      <c r="U51" s="4"/>
      <c r="X51" s="100"/>
      <c r="CF51" s="4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customFormat="false" ht="18" hidden="false" customHeight="true" outlineLevel="0" collapsed="false">
      <c r="A52" s="4"/>
      <c r="B52" s="4"/>
      <c r="C52" s="4"/>
      <c r="D52" s="4"/>
      <c r="E52" s="4"/>
      <c r="F52" s="4"/>
      <c r="G52" s="4"/>
      <c r="H52" s="215" t="n">
        <v>12</v>
      </c>
      <c r="I52" s="216" t="n">
        <f aca="false">'Input-Detail'!BH25</f>
        <v>0.83</v>
      </c>
      <c r="J52" s="217" t="n">
        <f aca="false">1-I52</f>
        <v>0.17</v>
      </c>
      <c r="K52" s="218" t="n">
        <f aca="false">3600/(Trans_Time_Cash*I52+Trans_Time_Ticket*J52)</f>
        <v>547.528517110266</v>
      </c>
      <c r="L52" s="216" t="n">
        <f aca="false">'Input-Detail'!BJ25</f>
        <v>0.932</v>
      </c>
      <c r="M52" s="217" t="n">
        <f aca="false">1-L52</f>
        <v>0.0680000000000001</v>
      </c>
      <c r="N52" s="218" t="n">
        <f aca="false">3600/(Trans_Time_Cash*L52+Trans_Time_Ticket*M52)</f>
        <v>527.086383601757</v>
      </c>
      <c r="O52" s="218" t="n">
        <f aca="false">3600/Headway_ETC</f>
        <v>1500</v>
      </c>
      <c r="P52" s="4"/>
      <c r="Q52" s="4"/>
      <c r="R52" s="4"/>
      <c r="S52" s="4"/>
      <c r="T52" s="4"/>
      <c r="U52" s="4"/>
      <c r="V52" s="14" t="s">
        <v>4</v>
      </c>
      <c r="W52" s="14" t="s">
        <v>43</v>
      </c>
      <c r="X52" s="14" t="s">
        <v>10</v>
      </c>
      <c r="Y52" s="14" t="s">
        <v>48</v>
      </c>
      <c r="Z52" s="14" t="s">
        <v>49</v>
      </c>
      <c r="AA52" s="14" t="s">
        <v>11</v>
      </c>
      <c r="AB52" s="107" t="s">
        <v>50</v>
      </c>
      <c r="AC52" s="14" t="s">
        <v>12</v>
      </c>
      <c r="AD52" s="222" t="s">
        <v>14</v>
      </c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106" t="s">
        <v>51</v>
      </c>
      <c r="BA52" s="107" t="s">
        <v>52</v>
      </c>
      <c r="BB52" s="106" t="s">
        <v>53</v>
      </c>
      <c r="BC52" s="107" t="s">
        <v>52</v>
      </c>
      <c r="BF52" s="14" t="s">
        <v>4</v>
      </c>
      <c r="BG52" s="108" t="s">
        <v>10</v>
      </c>
      <c r="BH52" s="109" t="s">
        <v>12</v>
      </c>
      <c r="BI52" s="107" t="s">
        <v>93</v>
      </c>
      <c r="BJ52" s="111" t="s">
        <v>14</v>
      </c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4" t="s">
        <v>55</v>
      </c>
      <c r="CJ52" s="14" t="s">
        <v>4</v>
      </c>
      <c r="CK52" s="108" t="s">
        <v>10</v>
      </c>
      <c r="CL52" s="14" t="s">
        <v>12</v>
      </c>
      <c r="CM52" s="14" t="s">
        <v>56</v>
      </c>
      <c r="CN52" s="111" t="s">
        <v>14</v>
      </c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  <c r="DB52" s="111"/>
      <c r="DC52" s="111"/>
      <c r="DD52" s="111"/>
      <c r="DE52" s="111"/>
      <c r="DF52" s="111"/>
      <c r="DG52" s="111"/>
      <c r="DH52" s="111"/>
      <c r="DI52" s="111"/>
      <c r="DJ52" s="14" t="s">
        <v>57</v>
      </c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customFormat="false" ht="34.5" hidden="false" customHeight="true" outlineLevel="0" collapsed="false">
      <c r="A53" s="4"/>
      <c r="B53" s="4"/>
      <c r="C53" s="4"/>
      <c r="D53" s="4"/>
      <c r="E53" s="4"/>
      <c r="F53" s="4"/>
      <c r="G53" s="4"/>
      <c r="H53" s="215" t="n">
        <v>13</v>
      </c>
      <c r="I53" s="216" t="n">
        <f aca="false">'Input-Detail'!BH26</f>
        <v>0.83</v>
      </c>
      <c r="J53" s="217" t="n">
        <f aca="false">1-I53</f>
        <v>0.17</v>
      </c>
      <c r="K53" s="218" t="n">
        <f aca="false">3600/(Trans_Time_Cash*I53+Trans_Time_Ticket*J53)</f>
        <v>547.528517110266</v>
      </c>
      <c r="L53" s="216" t="n">
        <f aca="false">'Input-Detail'!BJ26</f>
        <v>0.9405</v>
      </c>
      <c r="M53" s="217" t="n">
        <f aca="false">1-L53</f>
        <v>0.0595</v>
      </c>
      <c r="N53" s="218" t="n">
        <f aca="false">3600/(Trans_Time_Cash*L53+Trans_Time_Ticket*M53)</f>
        <v>525.451559934319</v>
      </c>
      <c r="O53" s="218" t="n">
        <f aca="false">3600/Headway_ETC</f>
        <v>1500</v>
      </c>
      <c r="P53" s="4"/>
      <c r="Q53" s="4"/>
      <c r="R53" s="4"/>
      <c r="S53" s="4"/>
      <c r="T53" s="4"/>
      <c r="U53" s="4"/>
      <c r="V53" s="14"/>
      <c r="W53" s="14"/>
      <c r="X53" s="14"/>
      <c r="Y53" s="14"/>
      <c r="Z53" s="14"/>
      <c r="AA53" s="14"/>
      <c r="AB53" s="107"/>
      <c r="AC53" s="14"/>
      <c r="AD53" s="223" t="s">
        <v>61</v>
      </c>
      <c r="AE53" s="122" t="n">
        <v>1</v>
      </c>
      <c r="AF53" s="122" t="n">
        <v>2</v>
      </c>
      <c r="AG53" s="122" t="n">
        <v>3</v>
      </c>
      <c r="AH53" s="122" t="n">
        <v>4</v>
      </c>
      <c r="AI53" s="122" t="n">
        <v>5</v>
      </c>
      <c r="AJ53" s="122" t="n">
        <v>6</v>
      </c>
      <c r="AK53" s="122" t="n">
        <v>7</v>
      </c>
      <c r="AL53" s="122" t="n">
        <v>8</v>
      </c>
      <c r="AM53" s="122" t="n">
        <v>9</v>
      </c>
      <c r="AN53" s="122" t="n">
        <v>10</v>
      </c>
      <c r="AO53" s="122" t="n">
        <v>11</v>
      </c>
      <c r="AP53" s="122" t="n">
        <v>12</v>
      </c>
      <c r="AQ53" s="122" t="n">
        <v>13</v>
      </c>
      <c r="AR53" s="122" t="n">
        <v>14</v>
      </c>
      <c r="AS53" s="122" t="n">
        <v>15</v>
      </c>
      <c r="AT53" s="122" t="n">
        <v>16</v>
      </c>
      <c r="AU53" s="122" t="n">
        <v>17</v>
      </c>
      <c r="AV53" s="122" t="n">
        <v>18</v>
      </c>
      <c r="AW53" s="122" t="n">
        <v>19</v>
      </c>
      <c r="AX53" s="122" t="n">
        <v>20</v>
      </c>
      <c r="AY53" s="123" t="n">
        <v>21</v>
      </c>
      <c r="AZ53" s="106"/>
      <c r="BA53" s="107"/>
      <c r="BB53" s="106"/>
      <c r="BC53" s="107"/>
      <c r="BF53" s="14"/>
      <c r="BG53" s="108"/>
      <c r="BH53" s="109"/>
      <c r="BI53" s="107"/>
      <c r="BJ53" s="117" t="s">
        <v>62</v>
      </c>
      <c r="BK53" s="224" t="s">
        <v>61</v>
      </c>
      <c r="BL53" s="117" t="s">
        <v>63</v>
      </c>
      <c r="BM53" s="122" t="n">
        <v>1</v>
      </c>
      <c r="BN53" s="122" t="n">
        <v>2</v>
      </c>
      <c r="BO53" s="122" t="n">
        <v>3</v>
      </c>
      <c r="BP53" s="122" t="n">
        <v>4</v>
      </c>
      <c r="BQ53" s="122" t="n">
        <v>5</v>
      </c>
      <c r="BR53" s="122" t="n">
        <v>6</v>
      </c>
      <c r="BS53" s="122" t="n">
        <v>7</v>
      </c>
      <c r="BT53" s="122" t="n">
        <v>8</v>
      </c>
      <c r="BU53" s="122" t="n">
        <v>9</v>
      </c>
      <c r="BV53" s="122" t="n">
        <v>10</v>
      </c>
      <c r="BW53" s="122" t="n">
        <v>11</v>
      </c>
      <c r="BX53" s="122" t="n">
        <v>12</v>
      </c>
      <c r="BY53" s="122" t="n">
        <v>13</v>
      </c>
      <c r="BZ53" s="122" t="n">
        <v>14</v>
      </c>
      <c r="CA53" s="122" t="n">
        <v>15</v>
      </c>
      <c r="CB53" s="122" t="n">
        <v>16</v>
      </c>
      <c r="CC53" s="122" t="n">
        <v>17</v>
      </c>
      <c r="CD53" s="122" t="n">
        <v>18</v>
      </c>
      <c r="CE53" s="122" t="n">
        <v>19</v>
      </c>
      <c r="CF53" s="122" t="n">
        <v>20</v>
      </c>
      <c r="CG53" s="123" t="n">
        <v>21</v>
      </c>
      <c r="CH53" s="14"/>
      <c r="CJ53" s="14"/>
      <c r="CK53" s="108"/>
      <c r="CL53" s="14"/>
      <c r="CM53" s="14"/>
      <c r="CN53" s="121" t="s">
        <v>63</v>
      </c>
      <c r="CO53" s="122" t="n">
        <v>1</v>
      </c>
      <c r="CP53" s="122" t="n">
        <v>2</v>
      </c>
      <c r="CQ53" s="122" t="n">
        <v>3</v>
      </c>
      <c r="CR53" s="122" t="n">
        <v>4</v>
      </c>
      <c r="CS53" s="122" t="n">
        <v>5</v>
      </c>
      <c r="CT53" s="122" t="n">
        <v>6</v>
      </c>
      <c r="CU53" s="122" t="n">
        <v>7</v>
      </c>
      <c r="CV53" s="122" t="n">
        <v>8</v>
      </c>
      <c r="CW53" s="122" t="n">
        <v>9</v>
      </c>
      <c r="CX53" s="122" t="n">
        <v>10</v>
      </c>
      <c r="CY53" s="122" t="n">
        <v>11</v>
      </c>
      <c r="CZ53" s="122" t="n">
        <v>12</v>
      </c>
      <c r="DA53" s="122" t="n">
        <v>13</v>
      </c>
      <c r="DB53" s="122" t="n">
        <v>14</v>
      </c>
      <c r="DC53" s="122" t="n">
        <v>15</v>
      </c>
      <c r="DD53" s="122" t="n">
        <v>16</v>
      </c>
      <c r="DE53" s="122" t="n">
        <v>17</v>
      </c>
      <c r="DF53" s="122" t="n">
        <v>18</v>
      </c>
      <c r="DG53" s="122" t="n">
        <v>19</v>
      </c>
      <c r="DH53" s="122" t="n">
        <v>20</v>
      </c>
      <c r="DI53" s="123" t="n">
        <v>21</v>
      </c>
      <c r="DJ53" s="1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customFormat="false" ht="13.5" hidden="false" customHeight="false" outlineLevel="0" collapsed="false">
      <c r="A54" s="4"/>
      <c r="B54" s="4"/>
      <c r="C54" s="4"/>
      <c r="D54" s="4"/>
      <c r="E54" s="4"/>
      <c r="F54" s="4"/>
      <c r="G54" s="4"/>
      <c r="H54" s="215" t="n">
        <v>14</v>
      </c>
      <c r="I54" s="216" t="n">
        <f aca="false">'Input-Detail'!BH27</f>
        <v>0.83</v>
      </c>
      <c r="J54" s="217" t="n">
        <f aca="false">1-I54</f>
        <v>0.17</v>
      </c>
      <c r="K54" s="218" t="n">
        <f aca="false">3600/(Trans_Time_Cash*I54+Trans_Time_Ticket*J54)</f>
        <v>547.528517110266</v>
      </c>
      <c r="L54" s="216" t="n">
        <f aca="false">'Input-Detail'!BJ27</f>
        <v>0.949</v>
      </c>
      <c r="M54" s="217" t="n">
        <f aca="false">1-L54</f>
        <v>0.051</v>
      </c>
      <c r="N54" s="218" t="n">
        <f aca="false">3600/(Trans_Time_Cash*L54+Trans_Time_Ticket*M54)</f>
        <v>523.826846125864</v>
      </c>
      <c r="O54" s="218" t="n">
        <f aca="false">3600/Headway_ETC</f>
        <v>1500</v>
      </c>
      <c r="P54" s="4"/>
      <c r="Q54" s="4"/>
      <c r="R54" s="4"/>
      <c r="S54" s="4"/>
      <c r="T54" s="4"/>
      <c r="U54" s="4"/>
      <c r="V54" s="50" t="s">
        <v>64</v>
      </c>
      <c r="W54" s="124" t="n">
        <f aca="false">W7</f>
        <v>19016173</v>
      </c>
      <c r="X54" s="131" t="n">
        <f aca="false">X7</f>
        <v>0</v>
      </c>
      <c r="Y54" s="124" t="n">
        <f aca="false">'Input-Detail'!M18</f>
        <v>8200</v>
      </c>
      <c r="Z54" s="124" t="n">
        <f aca="false">'Input-Detail'!N18</f>
        <v>2319.04548780488</v>
      </c>
      <c r="AA54" s="124" t="n">
        <f aca="false">'Input-Detail'!O18</f>
        <v>2</v>
      </c>
      <c r="AB54" s="225" t="n">
        <f aca="false">'Input-Detail'!P18</f>
        <v>0.3</v>
      </c>
      <c r="AC54" s="128" t="n">
        <f aca="false">Y54*AB54</f>
        <v>2460</v>
      </c>
      <c r="AD54" s="135" t="n">
        <f aca="false">Peak_Time_Mor*$BH54*(CH54+BK54)/3600</f>
        <v>9.43392928235184</v>
      </c>
      <c r="AE54" s="13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7"/>
      <c r="AZ54" s="138"/>
      <c r="BA54" s="139"/>
      <c r="BB54" s="140"/>
      <c r="BC54" s="140"/>
      <c r="BF54" s="50" t="s">
        <v>64</v>
      </c>
      <c r="BG54" s="131" t="n">
        <f aca="false">$X54</f>
        <v>0</v>
      </c>
      <c r="BH54" s="57" t="n">
        <f aca="false">$AC54</f>
        <v>2460</v>
      </c>
      <c r="BI54" s="149" t="n">
        <f aca="false">BH54*(1-BG54)</f>
        <v>2460</v>
      </c>
      <c r="BJ54" s="143" t="n">
        <f aca="false">Peak_Arrival_Manual_Mor/K40</f>
        <v>4.49291666666667</v>
      </c>
      <c r="BK54" s="228" t="n">
        <f aca="false">900*Peak_Time_Mor*($BJ54/Total_Lanes-1+SQRT(($BJ54/Total_Lanes-1)^2+8*($BJ54/Total_Lanes)/(Peak_Time_Mor*$K40*Total_Lanes)))</f>
        <v>0.327875084647689</v>
      </c>
      <c r="BL54" s="143" t="n">
        <f aca="false">Peak_Arrival_Manual_Mor/N40</f>
        <v>4.49291666666667</v>
      </c>
      <c r="BM54" s="229" t="n">
        <f aca="false">IF(BM$6&lt;Total_Lanes,900*Peak_Time_Mor*($BL54/(Total_Lanes-BM$6)-1+SQRT(($BL54/(Total_Lanes-BM$6)-1)^2+8*($BL54/(Total_Lanes-BM$6))/(Peak_Time_Mor*$N40*(Total_Lanes-BM$6)))),"-")</f>
        <v>0.412630119867385</v>
      </c>
      <c r="BN54" s="165" t="n">
        <f aca="false">IF(BN$6&lt;Total_Lanes,900*Peak_Time_Mor*($BL54/(Total_Lanes-BN$6)-1+SQRT(($BL54/(Total_Lanes-BN$6)-1)^2+8*($BL54/(Total_Lanes-BN$6))/(Peak_Time_Mor*$N40*(Total_Lanes-BN$6)))),"-")</f>
        <v>0.536271865772009</v>
      </c>
      <c r="BO54" s="165" t="n">
        <f aca="false">IF(BO$6&lt;Total_Lanes,900*Peak_Time_Mor*($BL54/(Total_Lanes-BO$6)-1+SQRT(($BL54/(Total_Lanes-BO$6)-1)^2+8*($BL54/(Total_Lanes-BO$6))/(Peak_Time_Mor*$N40*(Total_Lanes-BO$6)))),"-")</f>
        <v>0.727965328135594</v>
      </c>
      <c r="BP54" s="165" t="n">
        <f aca="false">IF(BP$6&lt;Total_Lanes,900*Peak_Time_Mor*($BL54/(Total_Lanes-BP$6)-1+SQRT(($BL54/(Total_Lanes-BP$6)-1)^2+8*($BL54/(Total_Lanes-BP$6))/(Peak_Time_Mor*$N40*(Total_Lanes-BP$6)))),"-")</f>
        <v>1.05220071891619</v>
      </c>
      <c r="BQ54" s="165" t="n">
        <f aca="false">IF(BQ$6&lt;Total_Lanes,900*Peak_Time_Mor*($BL54/(Total_Lanes-BQ$6)-1+SQRT(($BL54/(Total_Lanes-BQ$6)-1)^2+8*($BL54/(Total_Lanes-BQ$6))/(Peak_Time_Mor*$N40*(Total_Lanes-BQ$6)))),"-")</f>
        <v>1.68109182843778</v>
      </c>
      <c r="BR54" s="165" t="n">
        <f aca="false">IF(BR$6&lt;Total_Lanes,900*Peak_Time_Mor*($BL54/(Total_Lanes-BR$6)-1+SQRT(($BL54/(Total_Lanes-BR$6)-1)^2+8*($BL54/(Total_Lanes-BR$6))/(Peak_Time_Mor*$N40*(Total_Lanes-BR$6)))),"-")</f>
        <v>3.25517999615812</v>
      </c>
      <c r="BS54" s="165" t="n">
        <f aca="false">IF(BS$6&lt;Total_Lanes,900*Peak_Time_Mor*($BL54/(Total_Lanes-BS$6)-1+SQRT(($BL54/(Total_Lanes-BS$6)-1)^2+8*($BL54/(Total_Lanes-BS$6))/(Peak_Time_Mor*$N40*(Total_Lanes-BS$6)))),"-")</f>
        <v>11.3014792308792</v>
      </c>
      <c r="BT54" s="165" t="n">
        <f aca="false">IF(BT$6&lt;Total_Lanes,900*Peak_Time_Mor*($BL54/(Total_Lanes-BT$6)-1+SQRT(($BL54/(Total_Lanes-BT$6)-1)^2+8*($BL54/(Total_Lanes-BT$6))/(Peak_Time_Mor*$N40*(Total_Lanes-BT$6)))),"-")</f>
        <v>458.133243376454</v>
      </c>
      <c r="BU54" s="165" t="n">
        <f aca="false">IF(BU$6&lt;Total_Lanes,900*Peak_Time_Mor*($BL54/(Total_Lanes-BU$6)-1+SQRT(($BL54/(Total_Lanes-BU$6)-1)^2+8*($BL54/(Total_Lanes-BU$6))/(Peak_Time_Mor*$N40*(Total_Lanes-BU$6)))),"-")</f>
        <v>1798.07169060338</v>
      </c>
      <c r="BV54" s="165" t="n">
        <f aca="false">IF(BV$6&lt;Total_Lanes,900*Peak_Time_Mor*($BL54/(Total_Lanes-BV$6)-1+SQRT(($BL54/(Total_Lanes-BV$6)-1)^2+8*($BL54/(Total_Lanes-BV$6))/(Peak_Time_Mor*$N40*(Total_Lanes-BV$6)))),"-")</f>
        <v>4493.16717008706</v>
      </c>
      <c r="BW54" s="230" t="n">
        <f aca="false">IF(BW$6&lt;Total_Lanes,900*Peak_Time_Mor*($BL54/(Total_Lanes-BW$6)-1+SQRT(($BL54/(Total_Lanes-BW$6)-1)^2+8*($BL54/(Total_Lanes-BW$6))/(Peak_Time_Mor*$N40*(Total_Lanes-BW$6)))),"-")</f>
        <v>12582.9517003667</v>
      </c>
      <c r="BX54" s="165" t="str">
        <f aca="false">IF(BX$6&lt;Total_Lanes,900*Peak_Time_Mor*($BL54/(Total_Lanes-BX$6)-1+SQRT(($BL54/(Total_Lanes-BX$6)-1)^2+8*($BL54/(Total_Lanes-BX$6))/(Peak_Time_Mor*$N40*(Total_Lanes-BX$6)))),"-")</f>
        <v>-</v>
      </c>
      <c r="BY54" s="165" t="str">
        <f aca="false">IF(BY$6&lt;Total_Lanes,900*Peak_Time_Mor*($BL54/(Total_Lanes-BY$6)-1+SQRT(($BL54/(Total_Lanes-BY$6)-1)^2+8*($BL54/(Total_Lanes-BY$6))/(Peak_Time_Mor*$N40*(Total_Lanes-BY$6)))),"-")</f>
        <v>-</v>
      </c>
      <c r="BZ54" s="165" t="str">
        <f aca="false">IF(BZ$6&lt;Total_Lanes,900*Peak_Time_Mor*($BL54/(Total_Lanes-BZ$6)-1+SQRT(($BL54/(Total_Lanes-BZ$6)-1)^2+8*($BL54/(Total_Lanes-BZ$6))/(Peak_Time_Mor*$N40*(Total_Lanes-BZ$6)))),"-")</f>
        <v>-</v>
      </c>
      <c r="CA54" s="165" t="str">
        <f aca="false">IF(CA$6&lt;Total_Lanes,900*Peak_Time_Mor*($BL54/(Total_Lanes-CA$6)-1+SQRT(($BL54/(Total_Lanes-CA$6)-1)^2+8*($BL54/(Total_Lanes-CA$6))/(Peak_Time_Mor*$N40*(Total_Lanes-CA$6)))),"-")</f>
        <v>-</v>
      </c>
      <c r="CB54" s="165" t="str">
        <f aca="false">IF(CB$6&lt;Total_Lanes,900*Peak_Time_Mor*($BL54/(Total_Lanes-CB$6)-1+SQRT(($BL54/(Total_Lanes-CB$6)-1)^2+8*($BL54/(Total_Lanes-CB$6))/(Peak_Time_Mor*$N40*(Total_Lanes-CB$6)))),"-")</f>
        <v>-</v>
      </c>
      <c r="CC54" s="165" t="str">
        <f aca="false">IF(CC$6&lt;Total_Lanes,900*Peak_Time_Mor*($BL54/(Total_Lanes-CC$6)-1+SQRT(($BL54/(Total_Lanes-CC$6)-1)^2+8*($BL54/(Total_Lanes-CC$6))/(Peak_Time_Mor*$N40*(Total_Lanes-CC$6)))),"-")</f>
        <v>-</v>
      </c>
      <c r="CD54" s="165" t="str">
        <f aca="false">IF(CD$6&lt;Total_Lanes,900*Peak_Time_Mor*($BL54/(Total_Lanes-CD$6)-1+SQRT(($BL54/(Total_Lanes-CD$6)-1)^2+8*($BL54/(Total_Lanes-CD$6))/(Peak_Time_Mor*$N40*(Total_Lanes-CD$6)))),"-")</f>
        <v>-</v>
      </c>
      <c r="CE54" s="165" t="str">
        <f aca="false">IF(CE$6&lt;Total_Lanes,900*Peak_Time_Mor*($BL54/(Total_Lanes-CE$6)-1+SQRT(($BL54/(Total_Lanes-CE$6)-1)^2+8*($BL54/(Total_Lanes-CE$6))/(Peak_Time_Mor*$N40*(Total_Lanes-CE$6)))),"-")</f>
        <v>-</v>
      </c>
      <c r="CF54" s="165" t="str">
        <f aca="false">IF(CF$6&lt;Total_Lanes,900*Peak_Time_Mor*($BL54/(Total_Lanes-CF$6)-1+SQRT(($BL54/(Total_Lanes-CF$6)-1)^2+8*($BL54/(Total_Lanes-CF$6))/(Peak_Time_Mor*$N40*(Total_Lanes-CF$6)))),"-")</f>
        <v>-</v>
      </c>
      <c r="CG54" s="166" t="str">
        <f aca="false">IF(CG$6&lt;Total_Lanes,900*Peak_Time_Mor*($BL54/(Total_Lanes-CG$6)-1+SQRT(($BL54/(Total_Lanes-CG$6)-1)^2+8*($BL54/(Total_Lanes-CG$6))/(Peak_Time_Mor*$N40*(Total_Lanes-CG$6)))),"-")</f>
        <v>-</v>
      </c>
      <c r="CH54" s="231" t="n">
        <f aca="false">3600/N40</f>
        <v>6.575</v>
      </c>
      <c r="CJ54" s="50" t="s">
        <v>64</v>
      </c>
      <c r="CK54" s="131" t="n">
        <f aca="false">$X54</f>
        <v>0</v>
      </c>
      <c r="CL54" s="150" t="n">
        <f aca="false">$AC54</f>
        <v>2460</v>
      </c>
      <c r="CM54" s="232" t="n">
        <f aca="false">CL54*CK54</f>
        <v>0</v>
      </c>
      <c r="CN54" s="150"/>
      <c r="CO54" s="164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3"/>
      <c r="DJ54" s="148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customFormat="false" ht="12.75" hidden="false" customHeight="false" outlineLevel="0" collapsed="false">
      <c r="A55" s="4"/>
      <c r="B55" s="4"/>
      <c r="C55" s="4"/>
      <c r="D55" s="4"/>
      <c r="E55" s="4"/>
      <c r="F55" s="4"/>
      <c r="G55" s="4"/>
      <c r="H55" s="215" t="n">
        <v>15</v>
      </c>
      <c r="I55" s="216" t="n">
        <f aca="false">'Input-Detail'!BH28</f>
        <v>0.83</v>
      </c>
      <c r="J55" s="217" t="n">
        <f aca="false">1-I55</f>
        <v>0.17</v>
      </c>
      <c r="K55" s="218" t="n">
        <f aca="false">3600/(Trans_Time_Cash*I55+Trans_Time_Ticket*J55)</f>
        <v>547.528517110266</v>
      </c>
      <c r="L55" s="216" t="n">
        <f aca="false">'Input-Detail'!BJ28</f>
        <v>0.9575</v>
      </c>
      <c r="M55" s="217" t="n">
        <f aca="false">1-L55</f>
        <v>0.0425</v>
      </c>
      <c r="N55" s="218" t="n">
        <f aca="false">3600/(Trans_Time_Cash*L55+Trans_Time_Ticket*M55)</f>
        <v>522.212148685403</v>
      </c>
      <c r="O55" s="218" t="n">
        <f aca="false">3600/Headway_ETC</f>
        <v>1500</v>
      </c>
      <c r="P55" s="4"/>
      <c r="Q55" s="4"/>
      <c r="R55" s="4"/>
      <c r="S55" s="4"/>
      <c r="T55" s="4"/>
      <c r="U55" s="4"/>
      <c r="V55" s="50" t="n">
        <v>1</v>
      </c>
      <c r="W55" s="124" t="n">
        <f aca="false">W8</f>
        <v>19565364.35</v>
      </c>
      <c r="X55" s="131" t="n">
        <f aca="false">X8</f>
        <v>0.0699842202922738</v>
      </c>
      <c r="Y55" s="124" t="n">
        <f aca="false">Y8</f>
        <v>8436.81784289615</v>
      </c>
      <c r="Z55" s="133" t="n">
        <f aca="false">W55/Y55</f>
        <v>2319.04548780488</v>
      </c>
      <c r="AA55" s="233" t="n">
        <f aca="false">AA8</f>
        <v>2</v>
      </c>
      <c r="AB55" s="157" t="n">
        <f aca="false">1-AB8</f>
        <v>0.3</v>
      </c>
      <c r="AC55" s="128" t="n">
        <f aca="false">Y55*AB55</f>
        <v>2531.04535286885</v>
      </c>
      <c r="AD55" s="150" t="n">
        <f aca="false">Peak_Time_Mor*$BH55*(CH55+BK55)/3600</f>
        <v>9.70528734148185</v>
      </c>
      <c r="AE55" s="136" t="n">
        <f aca="false">IF(AE$53&lt;Total_Lanes,($BI55*($CH55+BM55)+$CM55*CO55)*Peak_Time_Mor/3600,"-")</f>
        <v>9.16343938312437</v>
      </c>
      <c r="AF55" s="136" t="n">
        <f aca="false">IF(AF$53&lt;Total_Lanes,($BI55*($CH55+BN55)+$CM55*CP55)*Peak_Time_Mor/3600,"-")</f>
        <v>9.2875722634601</v>
      </c>
      <c r="AG55" s="136" t="n">
        <f aca="false">IF(AG$53&lt;Total_Lanes,($BI55*($CH55+BO55)+$CM55*CQ55)*Peak_Time_Mor/3600,"-")</f>
        <v>9.51101305619872</v>
      </c>
      <c r="AH55" s="136" t="n">
        <f aca="false">IF(AH$53&lt;Total_Lanes,($BI55*($CH55+BP55)+$CM55*CR55)*Peak_Time_Mor/3600,"-")</f>
        <v>9.88854190584065</v>
      </c>
      <c r="AI55" s="136" t="n">
        <f aca="false">IF(AI$53&lt;Total_Lanes,($BI55*($CH55+BQ55)+$CM55*CS55)*Peak_Time_Mor/3600,"-")</f>
        <v>10.6031637036126</v>
      </c>
      <c r="AJ55" s="136" t="n">
        <f aca="false">IF(AJ$53&lt;Total_Lanes,($BI55*($CH55+BR55)+$CM55*CT55)*Peak_Time_Mor/3600,"-")</f>
        <v>12.2925061203919</v>
      </c>
      <c r="AK55" s="136" t="n">
        <f aca="false">IF(AK$53&lt;Total_Lanes,($BI55*($CH55+BS55)+$CM55*CU55)*Peak_Time_Mor/3600,"-")</f>
        <v>19.2830716762181</v>
      </c>
      <c r="AL55" s="136" t="n">
        <f aca="false">IF(AL$53&lt;Total_Lanes,($BI55*($CH55+BT55)+$CM55*CV55)*Peak_Time_Mor/3600,"-")</f>
        <v>404.714909923171</v>
      </c>
      <c r="AM55" s="136" t="n">
        <f aca="false">IF(AM$53&lt;Total_Lanes,($BI55*($CH55+BU55)+$CM55*CW55)*Peak_Time_Mor/3600,"-")</f>
        <v>2078.57021160389</v>
      </c>
      <c r="AN55" s="136" t="n">
        <f aca="false">IF(AN$53&lt;Total_Lanes,($BI55*($CH55+BV55)+$CM55*CX55)*Peak_Time_Mor/3600,"-")</f>
        <v>5461.38170929617</v>
      </c>
      <c r="AO55" s="136" t="n">
        <f aca="false">IF(AO$53&lt;Total_Lanes,($BI55*($CH55+BW55)+$CM55*CY55)*Peak_Time_Mor/3600,"-")</f>
        <v>15617.1218709211</v>
      </c>
      <c r="AP55" s="136" t="str">
        <f aca="false">IF(AP$53&lt;Total_Lanes,($BI55*($CH55+BX55)+$CM55*CZ55)*Peak_Time_Mor/3600,"-")</f>
        <v>-</v>
      </c>
      <c r="AQ55" s="136" t="str">
        <f aca="false">IF(AQ$53&lt;Total_Lanes,($BI55*($CH55+BY55)+$CM55*DA55)*Peak_Time_Mor/3600,"-")</f>
        <v>-</v>
      </c>
      <c r="AR55" s="136" t="str">
        <f aca="false">IF(AR$53&lt;Total_Lanes,($BI55*($CH55+BZ55)+$CM55*DB55)*Peak_Time_Mor/3600,"-")</f>
        <v>-</v>
      </c>
      <c r="AS55" s="136" t="str">
        <f aca="false">IF(AS$53&lt;Total_Lanes,($BI55*($CH55+CA55)+$CM55*DC55)*Peak_Time_Mor/3600,"-")</f>
        <v>-</v>
      </c>
      <c r="AT55" s="136" t="str">
        <f aca="false">IF(AT$53&lt;Total_Lanes,($BI55*($CH55+CB55)+$CM55*DD55)*Peak_Time_Mor/3600,"-")</f>
        <v>-</v>
      </c>
      <c r="AU55" s="136" t="str">
        <f aca="false">IF(AU$53&lt;Total_Lanes,($BI55*($CH55+CC55)+$CM55*DE55)*Peak_Time_Mor/3600,"-")</f>
        <v>-</v>
      </c>
      <c r="AV55" s="136" t="str">
        <f aca="false">IF(AV$53&lt;Total_Lanes,($BI55*($CH55+CD55)+$CM55*DF55)*Peak_Time_Mor/3600,"-")</f>
        <v>-</v>
      </c>
      <c r="AW55" s="136" t="str">
        <f aca="false">IF(AW$53&lt;Total_Lanes,($BI55*($CH55+CE55)+$CM55*DG55)*Peak_Time_Mor/3600,"-")</f>
        <v>-</v>
      </c>
      <c r="AX55" s="136" t="str">
        <f aca="false">IF(AX$53&lt;Total_Lanes,($BI55*($CH55+CF55)+$CM55*DH55)*Peak_Time_Mor/3600,"-")</f>
        <v>-</v>
      </c>
      <c r="AY55" s="137" t="str">
        <f aca="false">IF(AY$53&lt;Total_Lanes,($BI55*($CH55+CG55)+$CM55*DI55)*Peak_Time_Mor/3600,"-")</f>
        <v>-</v>
      </c>
      <c r="AZ55" s="158" t="n">
        <f aca="false">SUMIF(AE55:AY55,BA55,$AE$53:$AY$53)</f>
        <v>1</v>
      </c>
      <c r="BA55" s="159" t="n">
        <f aca="false">MIN(AE55:AY55)</f>
        <v>9.16343938312437</v>
      </c>
      <c r="BB55" s="158" t="n">
        <f aca="false">IF((SUMIF($BM53:$CG53,$AZ55,$BM55:$CG55)+$CH55)&lt;(SUMIF($CO53:$DI53,$AZ55,$CO55:$DI55)+$DJ55),AZ55+1,AZ55)</f>
        <v>1</v>
      </c>
      <c r="BC55" s="159" t="n">
        <f aca="false">SUMIF($AE$53:$AY$53,$BB55,$AE55:$AY55)</f>
        <v>9.16343938312437</v>
      </c>
      <c r="BF55" s="50" t="n">
        <v>1</v>
      </c>
      <c r="BG55" s="131" t="n">
        <f aca="false">$X55</f>
        <v>0.0699842202922738</v>
      </c>
      <c r="BH55" s="57" t="n">
        <f aca="false">$AC55</f>
        <v>2531.04535286885</v>
      </c>
      <c r="BI55" s="135" t="n">
        <f aca="false">BH55*(1-BG55)</f>
        <v>2353.91211732394</v>
      </c>
      <c r="BJ55" s="143" t="n">
        <f aca="false">Peak_Arrival_Manual_Mor/K41</f>
        <v>4.29915893650136</v>
      </c>
      <c r="BK55" s="228" t="n">
        <f aca="false">900*Peak_Time_Mor*($BJ55/Total_Lanes-1+SQRT(($BJ55/Total_Lanes-1)^2+8*($BJ55/Total_Lanes)/(Peak_Time_Mor*$K41*Total_Lanes)))</f>
        <v>0.305845687406903</v>
      </c>
      <c r="BL55" s="143" t="n">
        <f aca="false">Peak_Arrival_Manual_Mor/N41</f>
        <v>4.31305355663834</v>
      </c>
      <c r="BM55" s="229" t="n">
        <f aca="false">IF(BM$6&lt;Total_Lanes,900*Peak_Time_Mor*($BL55/(Total_Lanes-BM$6)-1+SQRT(($BL55/(Total_Lanes-BM$6)-1)^2+8*($BL55/(Total_Lanes-BM$6))/(Peak_Time_Mor*$N41*(Total_Lanes-BM$6)))),"-")</f>
        <v>0.386709368215299</v>
      </c>
      <c r="BN55" s="165" t="n">
        <f aca="false">IF(BN$6&lt;Total_Lanes,900*Peak_Time_Mor*($BL55/(Total_Lanes-BN$6)-1+SQRT(($BL55/(Total_Lanes-BN$6)-1)^2+8*($BL55/(Total_Lanes-BN$6))/(Peak_Time_Mor*$N41*(Total_Lanes-BN$6)))),"-")</f>
        <v>0.500145927303519</v>
      </c>
      <c r="BO55" s="165" t="n">
        <f aca="false">IF(BO$6&lt;Total_Lanes,900*Peak_Time_Mor*($BL55/(Total_Lanes-BO$6)-1+SQRT(($BL55/(Total_Lanes-BO$6)-1)^2+8*($BL55/(Total_Lanes-BO$6))/(Peak_Time_Mor*$N41*(Total_Lanes-BO$6)))),"-")</f>
        <v>0.674207074078104</v>
      </c>
      <c r="BP55" s="165" t="n">
        <f aca="false">IF(BP$6&lt;Total_Lanes,900*Peak_Time_Mor*($BL55/(Total_Lanes-BP$6)-1+SQRT(($BL55/(Total_Lanes-BP$6)-1)^2+8*($BL55/(Total_Lanes-BP$6))/(Peak_Time_Mor*$N41*(Total_Lanes-BP$6)))),"-")</f>
        <v>0.963990779972279</v>
      </c>
      <c r="BQ55" s="165" t="n">
        <f aca="false">IF(BQ$6&lt;Total_Lanes,900*Peak_Time_Mor*($BL55/(Total_Lanes-BQ$6)-1+SQRT(($BL55/(Total_Lanes-BQ$6)-1)^2+8*($BL55/(Total_Lanes-BQ$6))/(Peak_Time_Mor*$N41*(Total_Lanes-BQ$6)))),"-")</f>
        <v>1.51095072498484</v>
      </c>
      <c r="BR55" s="165" t="n">
        <f aca="false">IF(BR$6&lt;Total_Lanes,900*Peak_Time_Mor*($BL55/(Total_Lanes-BR$6)-1+SQRT(($BL55/(Total_Lanes-BR$6)-1)^2+8*($BL55/(Total_Lanes-BR$6))/(Peak_Time_Mor*$N41*(Total_Lanes-BR$6)))),"-")</f>
        <v>2.80303401035521</v>
      </c>
      <c r="BS55" s="165" t="n">
        <f aca="false">IF(BS$6&lt;Total_Lanes,900*Peak_Time_Mor*($BL55/(Total_Lanes-BS$6)-1+SQRT(($BL55/(Total_Lanes-BS$6)-1)^2+8*($BL55/(Total_Lanes-BS$6))/(Peak_Time_Mor*$N41*(Total_Lanes-BS$6)))),"-")</f>
        <v>8.14877240540621</v>
      </c>
      <c r="BT55" s="165" t="n">
        <f aca="false">IF(BT$6&lt;Total_Lanes,900*Peak_Time_Mor*($BL55/(Total_Lanes-BT$6)-1+SQRT(($BL55/(Total_Lanes-BT$6)-1)^2+8*($BL55/(Total_Lanes-BT$6))/(Peak_Time_Mor*$N41*(Total_Lanes-BT$6)))),"-")</f>
        <v>302.882611315423</v>
      </c>
      <c r="BU55" s="165" t="n">
        <f aca="false">IF(BU$6&lt;Total_Lanes,900*Peak_Time_Mor*($BL55/(Total_Lanes-BU$6)-1+SQRT(($BL55/(Total_Lanes-BU$6)-1)^2+8*($BL55/(Total_Lanes-BU$6))/(Peak_Time_Mor*$N41*(Total_Lanes-BU$6)))),"-")</f>
        <v>1582.85380862175</v>
      </c>
      <c r="BV55" s="165" t="n">
        <f aca="false">IF(BV$6&lt;Total_Lanes,900*Peak_Time_Mor*($BL55/(Total_Lanes-BV$6)-1+SQRT(($BL55/(Total_Lanes-BV$6)-1)^2+8*($BL55/(Total_Lanes-BV$6))/(Peak_Time_Mor*$N41*(Total_Lanes-BV$6)))),"-")</f>
        <v>4169.63721953638</v>
      </c>
      <c r="BW55" s="230" t="n">
        <f aca="false">IF(BW$6&lt;Total_Lanes,900*Peak_Time_Mor*($BL55/(Total_Lanes-BW$6)-1+SQRT(($BL55/(Total_Lanes-BW$6)-1)^2+8*($BL55/(Total_Lanes-BW$6))/(Peak_Time_Mor*$N41*(Total_Lanes-BW$6)))),"-")</f>
        <v>11935.573868153</v>
      </c>
      <c r="BX55" s="165" t="str">
        <f aca="false">IF(BX$6&lt;Total_Lanes,900*Peak_Time_Mor*($BL55/(Total_Lanes-BX$6)-1+SQRT(($BL55/(Total_Lanes-BX$6)-1)^2+8*($BL55/(Total_Lanes-BX$6))/(Peak_Time_Mor*$N41*(Total_Lanes-BX$6)))),"-")</f>
        <v>-</v>
      </c>
      <c r="BY55" s="165" t="str">
        <f aca="false">IF(BY$6&lt;Total_Lanes,900*Peak_Time_Mor*($BL55/(Total_Lanes-BY$6)-1+SQRT(($BL55/(Total_Lanes-BY$6)-1)^2+8*($BL55/(Total_Lanes-BY$6))/(Peak_Time_Mor*$N41*(Total_Lanes-BY$6)))),"-")</f>
        <v>-</v>
      </c>
      <c r="BZ55" s="165" t="str">
        <f aca="false">IF(BZ$6&lt;Total_Lanes,900*Peak_Time_Mor*($BL55/(Total_Lanes-BZ$6)-1+SQRT(($BL55/(Total_Lanes-BZ$6)-1)^2+8*($BL55/(Total_Lanes-BZ$6))/(Peak_Time_Mor*$N41*(Total_Lanes-BZ$6)))),"-")</f>
        <v>-</v>
      </c>
      <c r="CA55" s="165" t="str">
        <f aca="false">IF(CA$6&lt;Total_Lanes,900*Peak_Time_Mor*($BL55/(Total_Lanes-CA$6)-1+SQRT(($BL55/(Total_Lanes-CA$6)-1)^2+8*($BL55/(Total_Lanes-CA$6))/(Peak_Time_Mor*$N41*(Total_Lanes-CA$6)))),"-")</f>
        <v>-</v>
      </c>
      <c r="CB55" s="165" t="str">
        <f aca="false">IF(CB$6&lt;Total_Lanes,900*Peak_Time_Mor*($BL55/(Total_Lanes-CB$6)-1+SQRT(($BL55/(Total_Lanes-CB$6)-1)^2+8*($BL55/(Total_Lanes-CB$6))/(Peak_Time_Mor*$N41*(Total_Lanes-CB$6)))),"-")</f>
        <v>-</v>
      </c>
      <c r="CC55" s="165" t="str">
        <f aca="false">IF(CC$6&lt;Total_Lanes,900*Peak_Time_Mor*($BL55/(Total_Lanes-CC$6)-1+SQRT(($BL55/(Total_Lanes-CC$6)-1)^2+8*($BL55/(Total_Lanes-CC$6))/(Peak_Time_Mor*$N41*(Total_Lanes-CC$6)))),"-")</f>
        <v>-</v>
      </c>
      <c r="CD55" s="165" t="str">
        <f aca="false">IF(CD$6&lt;Total_Lanes,900*Peak_Time_Mor*($BL55/(Total_Lanes-CD$6)-1+SQRT(($BL55/(Total_Lanes-CD$6)-1)^2+8*($BL55/(Total_Lanes-CD$6))/(Peak_Time_Mor*$N41*(Total_Lanes-CD$6)))),"-")</f>
        <v>-</v>
      </c>
      <c r="CE55" s="165" t="str">
        <f aca="false">IF(CE$6&lt;Total_Lanes,900*Peak_Time_Mor*($BL55/(Total_Lanes-CE$6)-1+SQRT(($BL55/(Total_Lanes-CE$6)-1)^2+8*($BL55/(Total_Lanes-CE$6))/(Peak_Time_Mor*$N41*(Total_Lanes-CE$6)))),"-")</f>
        <v>-</v>
      </c>
      <c r="CF55" s="165" t="str">
        <f aca="false">IF(CF$6&lt;Total_Lanes,900*Peak_Time_Mor*($BL55/(Total_Lanes-CF$6)-1+SQRT(($BL55/(Total_Lanes-CF$6)-1)^2+8*($BL55/(Total_Lanes-CF$6))/(Peak_Time_Mor*$N41*(Total_Lanes-CF$6)))),"-")</f>
        <v>-</v>
      </c>
      <c r="CG55" s="166" t="str">
        <f aca="false">IF(CG$6&lt;Total_Lanes,900*Peak_Time_Mor*($BL55/(Total_Lanes-CG$6)-1+SQRT(($BL55/(Total_Lanes-CG$6)-1)^2+8*($BL55/(Total_Lanes-CG$6))/(Peak_Time_Mor*$N41*(Total_Lanes-CG$6)))),"-")</f>
        <v>-</v>
      </c>
      <c r="CH55" s="234" t="n">
        <f aca="false">3600/N41</f>
        <v>6.59625</v>
      </c>
      <c r="CJ55" s="50" t="n">
        <v>1</v>
      </c>
      <c r="CK55" s="131" t="n">
        <f aca="false">$X55</f>
        <v>0.0699842202922738</v>
      </c>
      <c r="CL55" s="150" t="n">
        <f aca="false">$AC55</f>
        <v>2531.04535286885</v>
      </c>
      <c r="CM55" s="150" t="n">
        <f aca="false">CL55*CK55</f>
        <v>177.133235544909</v>
      </c>
      <c r="CN55" s="161" t="n">
        <f aca="false">CM55/O41</f>
        <v>0.118088823696606</v>
      </c>
      <c r="CO55" s="165" t="n">
        <f aca="false">IF(CO$53&lt;Total_Lanes,900*Peak_Time_Mor*($CN55/CO$53-1+SQRT(($CN55/CO$53-1)^2+8*($CN55/CO$53)/(Peak_Time_Mor*$O41*CO$53))),"-")</f>
        <v>0.321329974163698</v>
      </c>
      <c r="CP55" s="165" t="n">
        <f aca="false">IF(CP$53&lt;Total_Lanes,900*Peak_Time_Mor*($CN55/CP$53-1+SQRT(($CN55/CP$53-1)^2+8*($CN55/CP$53)/(Peak_Time_Mor*$O41*CP$53))),"-")</f>
        <v>0.0752976231658042</v>
      </c>
      <c r="CQ55" s="165" t="n">
        <f aca="false">IF(CQ$53&lt;Total_Lanes,900*Peak_Time_Mor*($CN55/CQ$53-1+SQRT(($CN55/CQ$53-1)^2+8*($CN55/CQ$53)/(Peak_Time_Mor*$O41*CQ$53))),"-")</f>
        <v>0.0327803869434762</v>
      </c>
      <c r="CR55" s="165" t="n">
        <f aca="false">IF(CR$53&lt;Total_Lanes,900*Peak_Time_Mor*($CN55/CR$53-1+SQRT(($CN55/CR$53-1)^2+8*($CN55/CR$53)/(Peak_Time_Mor*$O41*CR$53))),"-")</f>
        <v>0.018252072457825</v>
      </c>
      <c r="CS55" s="165" t="n">
        <f aca="false">IF(CS$53&lt;Total_Lanes,900*Peak_Time_Mor*($CN55/CS$53-1+SQRT(($CN55/CS$53-1)^2+8*($CN55/CS$53)/(Peak_Time_Mor*$O41*CS$53))),"-")</f>
        <v>0.0116107086125528</v>
      </c>
      <c r="CT55" s="165" t="n">
        <f aca="false">IF(CT$53&lt;Total_Lanes,900*Peak_Time_Mor*($CN55/CT$53-1+SQRT(($CN55/CT$53-1)^2+8*($CN55/CT$53)/(Peak_Time_Mor*$O41*CT$53))),"-")</f>
        <v>0.0080306248391171</v>
      </c>
      <c r="CU55" s="165" t="n">
        <f aca="false">IF(CU$53&lt;Total_Lanes,900*Peak_Time_Mor*($CN55/CU$53-1+SQRT(($CN55/CU$53-1)^2+8*($CN55/CU$53)/(Peak_Time_Mor*$O41*CU$53))),"-")</f>
        <v>0.0058831810463289</v>
      </c>
      <c r="CV55" s="165" t="n">
        <f aca="false">IF(CV$53&lt;Total_Lanes,900*Peak_Time_Mor*($CN55/CV$53-1+SQRT(($CN55/CV$53-1)^2+8*($CN55/CV$53)/(Peak_Time_Mor*$O41*CV$53))),"-")</f>
        <v>0.00449467158691874</v>
      </c>
      <c r="CW55" s="165" t="n">
        <f aca="false">IF(CW$53&lt;Total_Lanes,900*Peak_Time_Mor*($CN55/CW$53-1+SQRT(($CN55/CW$53-1)^2+8*($CN55/CW$53)/(Peak_Time_Mor*$O41*CW$53))),"-")</f>
        <v>0.00354544432332737</v>
      </c>
      <c r="CX55" s="165" t="n">
        <f aca="false">IF(CX$53&lt;Total_Lanes,900*Peak_Time_Mor*($CN55/CX$53-1+SQRT(($CN55/CX$53-1)^2+8*($CN55/CX$53)/(Peak_Time_Mor*$O41*CX$53))),"-")</f>
        <v>0.00286799732682752</v>
      </c>
      <c r="CY55" s="165" t="n">
        <f aca="false">IF(CY$53&lt;Total_Lanes,900*Peak_Time_Mor*($CN55/CY$53-1+SQRT(($CN55/CY$53-1)^2+8*($CN55/CY$53)/(Peak_Time_Mor*$O41*CY$53))),"-")</f>
        <v>0.00236767390533466</v>
      </c>
      <c r="CZ55" s="165" t="str">
        <f aca="false">IF(CZ$53&lt;Total_Lanes,900*Peak_Time_Mor*($CN55/CZ$53-1+SQRT(($CN55/CZ$53-1)^2+8*($CN55/CZ$53)/(Peak_Time_Mor*$O41*CZ$53))),"-")</f>
        <v>-</v>
      </c>
      <c r="DA55" s="165" t="str">
        <f aca="false">IF(DA$53&lt;Total_Lanes,900*Peak_Time_Mor*($CN55/DA$53-1+SQRT(($CN55/DA$53-1)^2+8*($CN55/DA$53)/(Peak_Time_Mor*$O41*DA$53))),"-")</f>
        <v>-</v>
      </c>
      <c r="DB55" s="165" t="str">
        <f aca="false">IF(DB$53&lt;Total_Lanes,900*Peak_Time_Mor*($CN55/DB$53-1+SQRT(($CN55/DB$53-1)^2+8*($CN55/DB$53)/(Peak_Time_Mor*$O41*DB$53))),"-")</f>
        <v>-</v>
      </c>
      <c r="DC55" s="165" t="str">
        <f aca="false">IF(DC$53&lt;Total_Lanes,900*Peak_Time_Mor*($CN55/DC$53-1+SQRT(($CN55/DC$53-1)^2+8*($CN55/DC$53)/(Peak_Time_Mor*$O41*DC$53))),"-")</f>
        <v>-</v>
      </c>
      <c r="DD55" s="165" t="str">
        <f aca="false">IF(DD$53&lt;Total_Lanes,900*Peak_Time_Mor*($CN55/DD$53-1+SQRT(($CN55/DD$53-1)^2+8*($CN55/DD$53)/(Peak_Time_Mor*$O41*DD$53))),"-")</f>
        <v>-</v>
      </c>
      <c r="DE55" s="165" t="str">
        <f aca="false">IF(DE$53&lt;Total_Lanes,900*Peak_Time_Mor*($CN55/DE$53-1+SQRT(($CN55/DE$53-1)^2+8*($CN55/DE$53)/(Peak_Time_Mor*$O41*DE$53))),"-")</f>
        <v>-</v>
      </c>
      <c r="DF55" s="165" t="str">
        <f aca="false">IF(DF$53&lt;Total_Lanes,900*Peak_Time_Mor*($CN55/DF$53-1+SQRT(($CN55/DF$53-1)^2+8*($CN55/DF$53)/(Peak_Time_Mor*$O41*DF$53))),"-")</f>
        <v>-</v>
      </c>
      <c r="DG55" s="165" t="str">
        <f aca="false">IF(DG$53&lt;Total_Lanes,900*Peak_Time_Mor*($CN55/DG$53-1+SQRT(($CN55/DG$53-1)^2+8*($CN55/DG$53)/(Peak_Time_Mor*$O41*DG$53))),"-")</f>
        <v>-</v>
      </c>
      <c r="DH55" s="165" t="str">
        <f aca="false">IF(DH$53&lt;Total_Lanes,900*Peak_Time_Mor*($CN55/DH$53-1+SQRT(($CN55/DH$53-1)^2+8*($CN55/DH$53)/(Peak_Time_Mor*$O41*DH$53))),"-")</f>
        <v>-</v>
      </c>
      <c r="DI55" s="165" t="str">
        <f aca="false">IF(DI$53&lt;Total_Lanes,900*Peak_Time_Mor*($CN55/DI$53-1+SQRT(($CN55/DI$53-1)^2+8*($CN55/DI$53)/(Peak_Time_Mor*$O41*DI$53))),"-")</f>
        <v>-</v>
      </c>
      <c r="DJ55" s="234" t="n">
        <f aca="false">3600/$O41</f>
        <v>2.4</v>
      </c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customFormat="false" ht="12.75" hidden="false" customHeight="false" outlineLevel="0" collapsed="false">
      <c r="A56" s="4"/>
      <c r="B56" s="4"/>
      <c r="C56" s="4"/>
      <c r="D56" s="4"/>
      <c r="E56" s="4"/>
      <c r="F56" s="4"/>
      <c r="G56" s="4"/>
      <c r="H56" s="215" t="n">
        <v>16</v>
      </c>
      <c r="I56" s="216" t="n">
        <f aca="false">'Input-Detail'!BH29</f>
        <v>0.83</v>
      </c>
      <c r="J56" s="217" t="n">
        <f aca="false">1-I56</f>
        <v>0.17</v>
      </c>
      <c r="K56" s="218" t="n">
        <f aca="false">3600/(Trans_Time_Cash*I56+Trans_Time_Ticket*J56)</f>
        <v>547.528517110266</v>
      </c>
      <c r="L56" s="216" t="n">
        <f aca="false">'Input-Detail'!BJ29</f>
        <v>0.966</v>
      </c>
      <c r="M56" s="217" t="n">
        <f aca="false">1-L56</f>
        <v>0.034</v>
      </c>
      <c r="N56" s="218" t="n">
        <f aca="false">3600/(Trans_Time_Cash*L56+Trans_Time_Ticket*M56)</f>
        <v>520.60737527115</v>
      </c>
      <c r="O56" s="218" t="n">
        <f aca="false">3600/Headway_ETC</f>
        <v>1500</v>
      </c>
      <c r="P56" s="4"/>
      <c r="Q56" s="4"/>
      <c r="R56" s="4"/>
      <c r="S56" s="4"/>
      <c r="T56" s="4"/>
      <c r="U56" s="4"/>
      <c r="V56" s="50" t="n">
        <v>2</v>
      </c>
      <c r="W56" s="124" t="n">
        <f aca="false">W9</f>
        <v>20114555.7</v>
      </c>
      <c r="X56" s="131" t="n">
        <f aca="false">X9</f>
        <v>0.169984220292274</v>
      </c>
      <c r="Y56" s="124" t="n">
        <f aca="false">Y9</f>
        <v>8673.6356857923</v>
      </c>
      <c r="Z56" s="133" t="n">
        <f aca="false">W56/Y56</f>
        <v>2319.04548780488</v>
      </c>
      <c r="AA56" s="233" t="n">
        <f aca="false">AA9</f>
        <v>2</v>
      </c>
      <c r="AB56" s="157" t="n">
        <f aca="false">1-AB9</f>
        <v>0.3</v>
      </c>
      <c r="AC56" s="128" t="n">
        <f aca="false">Y56*AB56</f>
        <v>2602.09070573769</v>
      </c>
      <c r="AD56" s="150" t="n">
        <f aca="false">Peak_Time_Mor*$BH56*(CH56+BK56)/3600</f>
        <v>9.95411780051124</v>
      </c>
      <c r="AE56" s="136" t="n">
        <f aca="false">IF(AE$53&lt;Total_Lanes,($BI56*($CH56+BM56)+$CM56*CO56)*Peak_Time_Mor/3600,"-")</f>
        <v>8.59429964062666</v>
      </c>
      <c r="AF56" s="136" t="n">
        <f aca="false">IF(AF$53&lt;Total_Lanes,($BI56*($CH56+BN56)+$CM56*CP56)*Peak_Time_Mor/3600,"-")</f>
        <v>8.5138446630388</v>
      </c>
      <c r="AG56" s="136" t="n">
        <f aca="false">IF(AG$53&lt;Total_Lanes,($BI56*($CH56+BO56)+$CM56*CQ56)*Peak_Time_Mor/3600,"-")</f>
        <v>8.65775548953662</v>
      </c>
      <c r="AH56" s="136" t="n">
        <f aca="false">IF(AH$53&lt;Total_Lanes,($BI56*($CH56+BP56)+$CM56*CR56)*Peak_Time_Mor/3600,"-")</f>
        <v>8.9292612913318</v>
      </c>
      <c r="AI56" s="136" t="n">
        <f aca="false">IF(AI$53&lt;Total_Lanes,($BI56*($CH56+BQ56)+$CM56*CS56)*Peak_Time_Mor/3600,"-")</f>
        <v>9.43267665511921</v>
      </c>
      <c r="AJ56" s="136" t="n">
        <f aca="false">IF(AJ$53&lt;Total_Lanes,($BI56*($CH56+BR56)+$CM56*CT56)*Peak_Time_Mor/3600,"-")</f>
        <v>10.5289162106671</v>
      </c>
      <c r="AK56" s="136" t="n">
        <f aca="false">IF(AK$53&lt;Total_Lanes,($BI56*($CH56+BS56)+$CM56*CU56)*Peak_Time_Mor/3600,"-")</f>
        <v>14.0238762425084</v>
      </c>
      <c r="AL56" s="136" t="n">
        <f aca="false">IF(AL$53&lt;Total_Lanes,($BI56*($CH56+BT56)+$CM56*CV56)*Peak_Time_Mor/3600,"-")</f>
        <v>85.4474533402442</v>
      </c>
      <c r="AM56" s="136" t="n">
        <f aca="false">IF(AM$53&lt;Total_Lanes,($BI56*($CH56+BU56)+$CM56*CW56)*Peak_Time_Mor/3600,"-")</f>
        <v>1415.47474920018</v>
      </c>
      <c r="AN56" s="136" t="n">
        <f aca="false">IF(AN$53&lt;Total_Lanes,($BI56*($CH56+BV56)+$CM56*CX56)*Peak_Time_Mor/3600,"-")</f>
        <v>4270.87880055568</v>
      </c>
      <c r="AO56" s="136" t="n">
        <f aca="false">IF(AO$53&lt;Total_Lanes,($BI56*($CH56+BW56)+$CM56*CY56)*Peak_Time_Mor/3600,"-")</f>
        <v>12848.0018659341</v>
      </c>
      <c r="AP56" s="136" t="str">
        <f aca="false">IF(AP$53&lt;Total_Lanes,($BI56*($CH56+BX56)+$CM56*CZ56)*Peak_Time_Mor/3600,"-")</f>
        <v>-</v>
      </c>
      <c r="AQ56" s="136" t="str">
        <f aca="false">IF(AQ$53&lt;Total_Lanes,($BI56*($CH56+BY56)+$CM56*DA56)*Peak_Time_Mor/3600,"-")</f>
        <v>-</v>
      </c>
      <c r="AR56" s="136" t="str">
        <f aca="false">IF(AR$53&lt;Total_Lanes,($BI56*($CH56+BZ56)+$CM56*DB56)*Peak_Time_Mor/3600,"-")</f>
        <v>-</v>
      </c>
      <c r="AS56" s="136" t="str">
        <f aca="false">IF(AS$53&lt;Total_Lanes,($BI56*($CH56+CA56)+$CM56*DC56)*Peak_Time_Mor/3600,"-")</f>
        <v>-</v>
      </c>
      <c r="AT56" s="136" t="str">
        <f aca="false">IF(AT$53&lt;Total_Lanes,($BI56*($CH56+CB56)+$CM56*DD56)*Peak_Time_Mor/3600,"-")</f>
        <v>-</v>
      </c>
      <c r="AU56" s="136" t="str">
        <f aca="false">IF(AU$53&lt;Total_Lanes,($BI56*($CH56+CC56)+$CM56*DE56)*Peak_Time_Mor/3600,"-")</f>
        <v>-</v>
      </c>
      <c r="AV56" s="136" t="str">
        <f aca="false">IF(AV$53&lt;Total_Lanes,($BI56*($CH56+CD56)+$CM56*DF56)*Peak_Time_Mor/3600,"-")</f>
        <v>-</v>
      </c>
      <c r="AW56" s="136" t="str">
        <f aca="false">IF(AW$53&lt;Total_Lanes,($BI56*($CH56+CE56)+$CM56*DG56)*Peak_Time_Mor/3600,"-")</f>
        <v>-</v>
      </c>
      <c r="AX56" s="136" t="str">
        <f aca="false">IF(AX$53&lt;Total_Lanes,($BI56*($CH56+CF56)+$CM56*DH56)*Peak_Time_Mor/3600,"-")</f>
        <v>-</v>
      </c>
      <c r="AY56" s="137" t="str">
        <f aca="false">IF(AY$53&lt;Total_Lanes,($BI56*($CH56+CG56)+$CM56*DI56)*Peak_Time_Mor/3600,"-")</f>
        <v>-</v>
      </c>
      <c r="AZ56" s="158" t="n">
        <f aca="false">SUMIF(AE56:AY56,BA56,$AE$53:$AY$53)</f>
        <v>2</v>
      </c>
      <c r="BA56" s="159" t="n">
        <f aca="false">MIN(AE56:AY56)</f>
        <v>8.5138446630388</v>
      </c>
      <c r="BB56" s="158" t="n">
        <f aca="false">IF((SUMIF($BM54:$CG54,$AZ56,$BM56:$CG56)+$CH56)&lt;(SUMIF($CO54:$DI54,$AZ56,$CO56:$DI56)+$DJ56),AZ56+1,AZ56)</f>
        <v>2</v>
      </c>
      <c r="BC56" s="159" t="n">
        <f aca="false">SUMIF($AE$53:$AY$53,$BB56,$AE56:$AY56)</f>
        <v>8.5138446630388</v>
      </c>
      <c r="BF56" s="50" t="n">
        <v>2</v>
      </c>
      <c r="BG56" s="131" t="n">
        <f aca="false">$X56</f>
        <v>0.169984220292274</v>
      </c>
      <c r="BH56" s="57" t="n">
        <f aca="false">$AC56</f>
        <v>2602.09070573769</v>
      </c>
      <c r="BI56" s="135" t="n">
        <f aca="false">BH56*(1-BG56)</f>
        <v>2159.7763459931</v>
      </c>
      <c r="BJ56" s="143" t="n">
        <f aca="false">Peak_Arrival_Manual_Mor/K42</f>
        <v>3.94459152080684</v>
      </c>
      <c r="BK56" s="228" t="n">
        <f aca="false">900*Peak_Time_Mor*($BJ56/Total_Lanes-1+SQRT(($BJ56/Total_Lanes-1)^2+8*($BJ56/Total_Lanes)/(Peak_Time_Mor*$K42*Total_Lanes)))</f>
        <v>0.268275350341085</v>
      </c>
      <c r="BL56" s="143" t="n">
        <f aca="false">Peak_Arrival_Manual_Mor/N42</f>
        <v>3.97008888044703</v>
      </c>
      <c r="BM56" s="229" t="n">
        <f aca="false">IF(BM$6&lt;Total_Lanes,900*Peak_Time_Mor*($BL56/(Total_Lanes-BM$6)-1+SQRT(($BL56/(Total_Lanes-BM$6)-1)^2+8*($BL56/(Total_Lanes-BM$6))/(Peak_Time_Mor*$N42*(Total_Lanes-BM$6)))),"-")</f>
        <v>0.339693738936719</v>
      </c>
      <c r="BN56" s="165" t="n">
        <f aca="false">IF(BN$6&lt;Total_Lanes,900*Peak_Time_Mor*($BL56/(Total_Lanes-BN$6)-1+SQRT(($BL56/(Total_Lanes-BN$6)-1)^2+8*($BL56/(Total_Lanes-BN$6))/(Peak_Time_Mor*$N42*(Total_Lanes-BN$6)))),"-")</f>
        <v>0.435608281534394</v>
      </c>
      <c r="BO56" s="165" t="n">
        <f aca="false">IF(BO$6&lt;Total_Lanes,900*Peak_Time_Mor*($BL56/(Total_Lanes-BO$6)-1+SQRT(($BL56/(Total_Lanes-BO$6)-1)^2+8*($BL56/(Total_Lanes-BO$6))/(Peak_Time_Mor*$N42*(Total_Lanes-BO$6)))),"-")</f>
        <v>0.580184525138572</v>
      </c>
      <c r="BP56" s="165" t="n">
        <f aca="false">IF(BP$6&lt;Total_Lanes,900*Peak_Time_Mor*($BL56/(Total_Lanes-BP$6)-1+SQRT(($BL56/(Total_Lanes-BP$6)-1)^2+8*($BL56/(Total_Lanes-BP$6))/(Peak_Time_Mor*$N42*(Total_Lanes-BP$6)))),"-")</f>
        <v>0.814542405502849</v>
      </c>
      <c r="BQ56" s="165" t="n">
        <f aca="false">IF(BQ$6&lt;Total_Lanes,900*Peak_Time_Mor*($BL56/(Total_Lanes-BQ$6)-1+SQRT(($BL56/(Total_Lanes-BQ$6)-1)^2+8*($BL56/(Total_Lanes-BQ$6))/(Peak_Time_Mor*$N42*(Total_Lanes-BQ$6)))),"-")</f>
        <v>1.23771719803097</v>
      </c>
      <c r="BR56" s="165" t="n">
        <f aca="false">IF(BR$6&lt;Total_Lanes,900*Peak_Time_Mor*($BL56/(Total_Lanes-BR$6)-1+SQRT(($BL56/(Total_Lanes-BR$6)-1)^2+8*($BL56/(Total_Lanes-BR$6))/(Peak_Time_Mor*$N42*(Total_Lanes-BR$6)))),"-")</f>
        <v>2.15327140323051</v>
      </c>
      <c r="BS56" s="165" t="n">
        <f aca="false">IF(BS$6&lt;Total_Lanes,900*Peak_Time_Mor*($BL56/(Total_Lanes-BS$6)-1+SQRT(($BL56/(Total_Lanes-BS$6)-1)^2+8*($BL56/(Total_Lanes-BS$6))/(Peak_Time_Mor*$N42*(Total_Lanes-BS$6)))),"-")</f>
        <v>5.06718580510333</v>
      </c>
      <c r="BT56" s="165" t="n">
        <f aca="false">IF(BT$6&lt;Total_Lanes,900*Peak_Time_Mor*($BL56/(Total_Lanes-BT$6)-1+SQRT(($BL56/(Total_Lanes-BT$6)-1)^2+8*($BL56/(Total_Lanes-BT$6))/(Peak_Time_Mor*$N42*(Total_Lanes-BT$6)))),"-")</f>
        <v>64.5937335536785</v>
      </c>
      <c r="BU56" s="165" t="n">
        <f aca="false">IF(BU$6&lt;Total_Lanes,900*Peak_Time_Mor*($BL56/(Total_Lanes-BU$6)-1+SQRT(($BL56/(Total_Lanes-BU$6)-1)^2+8*($BL56/(Total_Lanes-BU$6))/(Peak_Time_Mor*$N42*(Total_Lanes-BU$6)))),"-")</f>
        <v>1173.06508975411</v>
      </c>
      <c r="BV56" s="165" t="n">
        <f aca="false">IF(BV$6&lt;Total_Lanes,900*Peak_Time_Mor*($BL56/(Total_Lanes-BV$6)-1+SQRT(($BL56/(Total_Lanes-BV$6)-1)^2+8*($BL56/(Total_Lanes-BV$6))/(Peak_Time_Mor*$N42*(Total_Lanes-BV$6)))),"-")</f>
        <v>3552.81523010123</v>
      </c>
      <c r="BW56" s="230" t="n">
        <f aca="false">IF(BW$6&lt;Total_Lanes,900*Peak_Time_Mor*($BL56/(Total_Lanes-BW$6)-1+SQRT(($BL56/(Total_Lanes-BW$6)-1)^2+8*($BL56/(Total_Lanes-BW$6))/(Peak_Time_Mor*$N42*(Total_Lanes-BW$6)))),"-")</f>
        <v>10701.1582117442</v>
      </c>
      <c r="BX56" s="165" t="str">
        <f aca="false">IF(BX$6&lt;Total_Lanes,900*Peak_Time_Mor*($BL56/(Total_Lanes-BX$6)-1+SQRT(($BL56/(Total_Lanes-BX$6)-1)^2+8*($BL56/(Total_Lanes-BX$6))/(Peak_Time_Mor*$N42*(Total_Lanes-BX$6)))),"-")</f>
        <v>-</v>
      </c>
      <c r="BY56" s="165" t="str">
        <f aca="false">IF(BY$6&lt;Total_Lanes,900*Peak_Time_Mor*($BL56/(Total_Lanes-BY$6)-1+SQRT(($BL56/(Total_Lanes-BY$6)-1)^2+8*($BL56/(Total_Lanes-BY$6))/(Peak_Time_Mor*$N42*(Total_Lanes-BY$6)))),"-")</f>
        <v>-</v>
      </c>
      <c r="BZ56" s="165" t="str">
        <f aca="false">IF(BZ$6&lt;Total_Lanes,900*Peak_Time_Mor*($BL56/(Total_Lanes-BZ$6)-1+SQRT(($BL56/(Total_Lanes-BZ$6)-1)^2+8*($BL56/(Total_Lanes-BZ$6))/(Peak_Time_Mor*$N42*(Total_Lanes-BZ$6)))),"-")</f>
        <v>-</v>
      </c>
      <c r="CA56" s="165" t="str">
        <f aca="false">IF(CA$6&lt;Total_Lanes,900*Peak_Time_Mor*($BL56/(Total_Lanes-CA$6)-1+SQRT(($BL56/(Total_Lanes-CA$6)-1)^2+8*($BL56/(Total_Lanes-CA$6))/(Peak_Time_Mor*$N42*(Total_Lanes-CA$6)))),"-")</f>
        <v>-</v>
      </c>
      <c r="CB56" s="165" t="str">
        <f aca="false">IF(CB$6&lt;Total_Lanes,900*Peak_Time_Mor*($BL56/(Total_Lanes-CB$6)-1+SQRT(($BL56/(Total_Lanes-CB$6)-1)^2+8*($BL56/(Total_Lanes-CB$6))/(Peak_Time_Mor*$N42*(Total_Lanes-CB$6)))),"-")</f>
        <v>-</v>
      </c>
      <c r="CC56" s="165" t="str">
        <f aca="false">IF(CC$6&lt;Total_Lanes,900*Peak_Time_Mor*($BL56/(Total_Lanes-CC$6)-1+SQRT(($BL56/(Total_Lanes-CC$6)-1)^2+8*($BL56/(Total_Lanes-CC$6))/(Peak_Time_Mor*$N42*(Total_Lanes-CC$6)))),"-")</f>
        <v>-</v>
      </c>
      <c r="CD56" s="165" t="str">
        <f aca="false">IF(CD$6&lt;Total_Lanes,900*Peak_Time_Mor*($BL56/(Total_Lanes-CD$6)-1+SQRT(($BL56/(Total_Lanes-CD$6)-1)^2+8*($BL56/(Total_Lanes-CD$6))/(Peak_Time_Mor*$N42*(Total_Lanes-CD$6)))),"-")</f>
        <v>-</v>
      </c>
      <c r="CE56" s="165" t="str">
        <f aca="false">IF(CE$6&lt;Total_Lanes,900*Peak_Time_Mor*($BL56/(Total_Lanes-CE$6)-1+SQRT(($BL56/(Total_Lanes-CE$6)-1)^2+8*($BL56/(Total_Lanes-CE$6))/(Peak_Time_Mor*$N42*(Total_Lanes-CE$6)))),"-")</f>
        <v>-</v>
      </c>
      <c r="CF56" s="165" t="str">
        <f aca="false">IF(CF$6&lt;Total_Lanes,900*Peak_Time_Mor*($BL56/(Total_Lanes-CF$6)-1+SQRT(($BL56/(Total_Lanes-CF$6)-1)^2+8*($BL56/(Total_Lanes-CF$6))/(Peak_Time_Mor*$N42*(Total_Lanes-CF$6)))),"-")</f>
        <v>-</v>
      </c>
      <c r="CG56" s="166" t="str">
        <f aca="false">IF(CG$6&lt;Total_Lanes,900*Peak_Time_Mor*($BL56/(Total_Lanes-CG$6)-1+SQRT(($BL56/(Total_Lanes-CG$6)-1)^2+8*($BL56/(Total_Lanes-CG$6))/(Peak_Time_Mor*$N42*(Total_Lanes-CG$6)))),"-")</f>
        <v>-</v>
      </c>
      <c r="CH56" s="234" t="n">
        <f aca="false">3600/N42</f>
        <v>6.6175</v>
      </c>
      <c r="CJ56" s="50" t="n">
        <v>2</v>
      </c>
      <c r="CK56" s="131" t="n">
        <f aca="false">$X56</f>
        <v>0.169984220292274</v>
      </c>
      <c r="CL56" s="150" t="n">
        <f aca="false">$AC56</f>
        <v>2602.09070573769</v>
      </c>
      <c r="CM56" s="150" t="n">
        <f aca="false">CL56*CK56</f>
        <v>442.314359744594</v>
      </c>
      <c r="CN56" s="161" t="n">
        <f aca="false">CM56/O42</f>
        <v>0.294876239829729</v>
      </c>
      <c r="CO56" s="165" t="n">
        <f aca="false">IF(CO$53&lt;Total_Lanes,900*Peak_Time_Mor*($CN56/CO$53-1+SQRT(($CN56/CO$53-1)^2+8*($CN56/CO$53)/(Peak_Time_Mor*$O42*CO$53))),"-")</f>
        <v>1.00326130387771</v>
      </c>
      <c r="CP56" s="165" t="n">
        <f aca="false">IF(CP$53&lt;Total_Lanes,900*Peak_Time_Mor*($CN56/CP$53-1+SQRT(($CN56/CP$53-1)^2+8*($CN56/CP$53)/(Peak_Time_Mor*$O42*CP$53))),"-")</f>
        <v>0.207508436616966</v>
      </c>
      <c r="CQ56" s="165" t="n">
        <f aca="false">IF(CQ$53&lt;Total_Lanes,900*Peak_Time_Mor*($CN56/CQ$53-1+SQRT(($CN56/CQ$53-1)^2+8*($CN56/CQ$53)/(Peak_Time_Mor*$O42*CQ$53))),"-")</f>
        <v>0.0872029067140012</v>
      </c>
      <c r="CR56" s="165" t="n">
        <f aca="false">IF(CR$53&lt;Total_Lanes,900*Peak_Time_Mor*($CN56/CR$53-1+SQRT(($CN56/CR$53-1)^2+8*($CN56/CR$53)/(Peak_Time_Mor*$O42*CR$53))),"-")</f>
        <v>0.0477509583608038</v>
      </c>
      <c r="CS56" s="165" t="n">
        <f aca="false">IF(CS$53&lt;Total_Lanes,900*Peak_Time_Mor*($CN56/CS$53-1+SQRT(($CN56/CS$53-1)^2+8*($CN56/CS$53)/(Peak_Time_Mor*$O42*CS$53))),"-")</f>
        <v>0.0300819586250833</v>
      </c>
      <c r="CT56" s="165" t="n">
        <f aca="false">IF(CT$53&lt;Total_Lanes,900*Peak_Time_Mor*($CN56/CT$53-1+SQRT(($CN56/CT$53-1)^2+8*($CN56/CT$53)/(Peak_Time_Mor*$O42*CT$53))),"-")</f>
        <v>0.0206743601906201</v>
      </c>
      <c r="CU56" s="165" t="n">
        <f aca="false">IF(CU$53&lt;Total_Lanes,900*Peak_Time_Mor*($CN56/CU$53-1+SQRT(($CN56/CU$53-1)^2+8*($CN56/CU$53)/(Peak_Time_Mor*$O42*CU$53))),"-")</f>
        <v>0.0150780189356103</v>
      </c>
      <c r="CV56" s="165" t="n">
        <f aca="false">IF(CV$53&lt;Total_Lanes,900*Peak_Time_Mor*($CN56/CV$53-1+SQRT(($CN56/CV$53-1)^2+8*($CN56/CV$53)/(Peak_Time_Mor*$O42*CV$53))),"-")</f>
        <v>0.0114810068965854</v>
      </c>
      <c r="CW56" s="165" t="n">
        <f aca="false">IF(CW$53&lt;Total_Lanes,900*Peak_Time_Mor*($CN56/CW$53-1+SQRT(($CN56/CW$53-1)^2+8*($CN56/CW$53)/(Peak_Time_Mor*$O42*CW$53))),"-")</f>
        <v>0.00903300885011227</v>
      </c>
      <c r="CX56" s="165" t="n">
        <f aca="false">IF(CX$53&lt;Total_Lanes,900*Peak_Time_Mor*($CN56/CX$53-1+SQRT(($CN56/CX$53-1)^2+8*($CN56/CX$53)/(Peak_Time_Mor*$O42*CX$53))),"-")</f>
        <v>0.00729203991649552</v>
      </c>
      <c r="CY56" s="165" t="n">
        <f aca="false">IF(CY$53&lt;Total_Lanes,900*Peak_Time_Mor*($CN56/CY$53-1+SQRT(($CN56/CY$53-1)^2+8*($CN56/CY$53)/(Peak_Time_Mor*$O42*CY$53))),"-")</f>
        <v>0.00600988136356673</v>
      </c>
      <c r="CZ56" s="165" t="str">
        <f aca="false">IF(CZ$53&lt;Total_Lanes,900*Peak_Time_Mor*($CN56/CZ$53-1+SQRT(($CN56/CZ$53-1)^2+8*($CN56/CZ$53)/(Peak_Time_Mor*$O42*CZ$53))),"-")</f>
        <v>-</v>
      </c>
      <c r="DA56" s="165" t="str">
        <f aca="false">IF(DA$53&lt;Total_Lanes,900*Peak_Time_Mor*($CN56/DA$53-1+SQRT(($CN56/DA$53-1)^2+8*($CN56/DA$53)/(Peak_Time_Mor*$O42*DA$53))),"-")</f>
        <v>-</v>
      </c>
      <c r="DB56" s="165" t="str">
        <f aca="false">IF(DB$53&lt;Total_Lanes,900*Peak_Time_Mor*($CN56/DB$53-1+SQRT(($CN56/DB$53-1)^2+8*($CN56/DB$53)/(Peak_Time_Mor*$O42*DB$53))),"-")</f>
        <v>-</v>
      </c>
      <c r="DC56" s="165" t="str">
        <f aca="false">IF(DC$53&lt;Total_Lanes,900*Peak_Time_Mor*($CN56/DC$53-1+SQRT(($CN56/DC$53-1)^2+8*($CN56/DC$53)/(Peak_Time_Mor*$O42*DC$53))),"-")</f>
        <v>-</v>
      </c>
      <c r="DD56" s="165" t="str">
        <f aca="false">IF(DD$53&lt;Total_Lanes,900*Peak_Time_Mor*($CN56/DD$53-1+SQRT(($CN56/DD$53-1)^2+8*($CN56/DD$53)/(Peak_Time_Mor*$O42*DD$53))),"-")</f>
        <v>-</v>
      </c>
      <c r="DE56" s="165" t="str">
        <f aca="false">IF(DE$53&lt;Total_Lanes,900*Peak_Time_Mor*($CN56/DE$53-1+SQRT(($CN56/DE$53-1)^2+8*($CN56/DE$53)/(Peak_Time_Mor*$O42*DE$53))),"-")</f>
        <v>-</v>
      </c>
      <c r="DF56" s="165" t="str">
        <f aca="false">IF(DF$53&lt;Total_Lanes,900*Peak_Time_Mor*($CN56/DF$53-1+SQRT(($CN56/DF$53-1)^2+8*($CN56/DF$53)/(Peak_Time_Mor*$O42*DF$53))),"-")</f>
        <v>-</v>
      </c>
      <c r="DG56" s="165" t="str">
        <f aca="false">IF(DG$53&lt;Total_Lanes,900*Peak_Time_Mor*($CN56/DG$53-1+SQRT(($CN56/DG$53-1)^2+8*($CN56/DG$53)/(Peak_Time_Mor*$O42*DG$53))),"-")</f>
        <v>-</v>
      </c>
      <c r="DH56" s="165" t="str">
        <f aca="false">IF(DH$53&lt;Total_Lanes,900*Peak_Time_Mor*($CN56/DH$53-1+SQRT(($CN56/DH$53-1)^2+8*($CN56/DH$53)/(Peak_Time_Mor*$O42*DH$53))),"-")</f>
        <v>-</v>
      </c>
      <c r="DI56" s="166" t="str">
        <f aca="false">IF(DI$53&lt;Total_Lanes,900*Peak_Time_Mor*($CN56/DI$53-1+SQRT(($CN56/DI$53-1)^2+8*($CN56/DI$53)/(Peak_Time_Mor*$O42*DI$53))),"-")</f>
        <v>-</v>
      </c>
      <c r="DJ56" s="234" t="n">
        <f aca="false">3600/$O42</f>
        <v>2.4</v>
      </c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customFormat="false" ht="12.75" hidden="false" customHeight="false" outlineLevel="0" collapsed="false">
      <c r="A57" s="4"/>
      <c r="B57" s="4"/>
      <c r="C57" s="4"/>
      <c r="D57" s="4"/>
      <c r="E57" s="4"/>
      <c r="F57" s="4"/>
      <c r="G57" s="4"/>
      <c r="H57" s="215" t="n">
        <v>17</v>
      </c>
      <c r="I57" s="216" t="n">
        <f aca="false">'Input-Detail'!BH30</f>
        <v>0.83</v>
      </c>
      <c r="J57" s="217" t="n">
        <f aca="false">1-I57</f>
        <v>0.17</v>
      </c>
      <c r="K57" s="218" t="n">
        <f aca="false">3600/(Trans_Time_Cash*I57+Trans_Time_Ticket*J57)</f>
        <v>547.528517110266</v>
      </c>
      <c r="L57" s="216" t="n">
        <f aca="false">'Input-Detail'!BJ30</f>
        <v>0.9745</v>
      </c>
      <c r="M57" s="217" t="n">
        <f aca="false">1-L57</f>
        <v>0.0255000000000001</v>
      </c>
      <c r="N57" s="218" t="n">
        <f aca="false">3600/(Trans_Time_Cash*L57+Trans_Time_Ticket*M57)</f>
        <v>519.012434672914</v>
      </c>
      <c r="O57" s="218" t="n">
        <f aca="false">3600/Headway_ETC</f>
        <v>1500</v>
      </c>
      <c r="P57" s="4"/>
      <c r="Q57" s="4"/>
      <c r="R57" s="4"/>
      <c r="S57" s="4"/>
      <c r="T57" s="4"/>
      <c r="U57" s="4"/>
      <c r="V57" s="50" t="n">
        <v>3</v>
      </c>
      <c r="W57" s="124" t="n">
        <f aca="false">W10</f>
        <v>20663747.05</v>
      </c>
      <c r="X57" s="131" t="n">
        <f aca="false">X10</f>
        <v>0.233486220755981</v>
      </c>
      <c r="Y57" s="124" t="n">
        <f aca="false">Y10</f>
        <v>8910.45352868845</v>
      </c>
      <c r="Z57" s="133" t="n">
        <f aca="false">W57/Y57</f>
        <v>2319.04548780488</v>
      </c>
      <c r="AA57" s="233" t="n">
        <f aca="false">AA10</f>
        <v>2</v>
      </c>
      <c r="AB57" s="157" t="n">
        <f aca="false">1-AB10</f>
        <v>0.3</v>
      </c>
      <c r="AC57" s="128" t="n">
        <f aca="false">Y57*AB57</f>
        <v>2673.13605860654</v>
      </c>
      <c r="AD57" s="150" t="n">
        <f aca="false">Peak_Time_Mor*$BH57*(CH57+BK57)/3600</f>
        <v>10.2277622351818</v>
      </c>
      <c r="AE57" s="136" t="n">
        <f aca="false">IF(AE$53&lt;Total_Lanes,($BI57*($CH57+BM57)+$CM57*CO57)*Peak_Time_Mor/3600,"-")</f>
        <v>8.50905375939205</v>
      </c>
      <c r="AF57" s="136" t="n">
        <f aca="false">IF(AF$53&lt;Total_Lanes,($BI57*($CH57+BN57)+$CM57*CP57)*Peak_Time_Mor/3600,"-")</f>
        <v>8.12528153361015</v>
      </c>
      <c r="AG57" s="136" t="n">
        <f aca="false">IF(AG$53&lt;Total_Lanes,($BI57*($CH57+BO57)+$CM57*CQ57)*Peak_Time_Mor/3600,"-")</f>
        <v>8.20924624572354</v>
      </c>
      <c r="AH57" s="136" t="n">
        <f aca="false">IF(AH$53&lt;Total_Lanes,($BI57*($CH57+BP57)+$CM57*CR57)*Peak_Time_Mor/3600,"-")</f>
        <v>8.42644528860591</v>
      </c>
      <c r="AI57" s="136" t="n">
        <f aca="false">IF(AI$53&lt;Total_Lanes,($BI57*($CH57+BQ57)+$CM57*CS57)*Peak_Time_Mor/3600,"-")</f>
        <v>8.83763330148501</v>
      </c>
      <c r="AJ57" s="136" t="n">
        <f aca="false">IF(AJ$53&lt;Total_Lanes,($BI57*($CH57+BR57)+$CM57*CT57)*Peak_Time_Mor/3600,"-")</f>
        <v>9.70676745827276</v>
      </c>
      <c r="AK57" s="136" t="n">
        <f aca="false">IF(AK$53&lt;Total_Lanes,($BI57*($CH57+BS57)+$CM57*CU57)*Peak_Time_Mor/3600,"-")</f>
        <v>12.2185252034749</v>
      </c>
      <c r="AL57" s="136" t="n">
        <f aca="false">IF(AL$53&lt;Total_Lanes,($BI57*($CH57+BT57)+$CM57*CV57)*Peak_Time_Mor/3600,"-")</f>
        <v>36.187165694823</v>
      </c>
      <c r="AM57" s="136" t="n">
        <f aca="false">IF(AM$53&lt;Total_Lanes,($BI57*($CH57+BU57)+$CM57*CW57)*Peak_Time_Mor/3600,"-")</f>
        <v>1083.14298372104</v>
      </c>
      <c r="AN57" s="136" t="n">
        <f aca="false">IF(AN$53&lt;Total_Lanes,($BI57*($CH57+BV57)+$CM57*CX57)*Peak_Time_Mor/3600,"-")</f>
        <v>3659.80597219702</v>
      </c>
      <c r="AO57" s="136" t="n">
        <f aca="false">IF(AO$53&lt;Total_Lanes,($BI57*($CH57+BW57)+$CM57*CY57)*Peak_Time_Mor/3600,"-")</f>
        <v>11404.2895438029</v>
      </c>
      <c r="AP57" s="136" t="str">
        <f aca="false">IF(AP$53&lt;Total_Lanes,($BI57*($CH57+BX57)+$CM57*CZ57)*Peak_Time_Mor/3600,"-")</f>
        <v>-</v>
      </c>
      <c r="AQ57" s="136" t="str">
        <f aca="false">IF(AQ$53&lt;Total_Lanes,($BI57*($CH57+BY57)+$CM57*DA57)*Peak_Time_Mor/3600,"-")</f>
        <v>-</v>
      </c>
      <c r="AR57" s="136" t="str">
        <f aca="false">IF(AR$53&lt;Total_Lanes,($BI57*($CH57+BZ57)+$CM57*DB57)*Peak_Time_Mor/3600,"-")</f>
        <v>-</v>
      </c>
      <c r="AS57" s="136" t="str">
        <f aca="false">IF(AS$53&lt;Total_Lanes,($BI57*($CH57+CA57)+$CM57*DC57)*Peak_Time_Mor/3600,"-")</f>
        <v>-</v>
      </c>
      <c r="AT57" s="136" t="str">
        <f aca="false">IF(AT$53&lt;Total_Lanes,($BI57*($CH57+CB57)+$CM57*DD57)*Peak_Time_Mor/3600,"-")</f>
        <v>-</v>
      </c>
      <c r="AU57" s="136" t="str">
        <f aca="false">IF(AU$53&lt;Total_Lanes,($BI57*($CH57+CC57)+$CM57*DE57)*Peak_Time_Mor/3600,"-")</f>
        <v>-</v>
      </c>
      <c r="AV57" s="136" t="str">
        <f aca="false">IF(AV$53&lt;Total_Lanes,($BI57*($CH57+CD57)+$CM57*DF57)*Peak_Time_Mor/3600,"-")</f>
        <v>-</v>
      </c>
      <c r="AW57" s="136" t="str">
        <f aca="false">IF(AW$53&lt;Total_Lanes,($BI57*($CH57+CE57)+$CM57*DG57)*Peak_Time_Mor/3600,"-")</f>
        <v>-</v>
      </c>
      <c r="AX57" s="136" t="str">
        <f aca="false">IF(AX$53&lt;Total_Lanes,($BI57*($CH57+CF57)+$CM57*DH57)*Peak_Time_Mor/3600,"-")</f>
        <v>-</v>
      </c>
      <c r="AY57" s="137" t="str">
        <f aca="false">IF(AY$53&lt;Total_Lanes,($BI57*($CH57+CG57)+$CM57*DI57)*Peak_Time_Mor/3600,"-")</f>
        <v>-</v>
      </c>
      <c r="AZ57" s="158" t="n">
        <f aca="false">SUMIF(AE57:AY57,BA57,$AE$53:$AY$53)</f>
        <v>2</v>
      </c>
      <c r="BA57" s="159" t="n">
        <f aca="false">MIN(AE57:AY57)</f>
        <v>8.12528153361015</v>
      </c>
      <c r="BB57" s="158" t="n">
        <f aca="false">IF((SUMIF($BM55:$CG55,$AZ57,$BM57:$CG57)+$CH57)&lt;(SUMIF($CO55:$DI55,$AZ57,$CO57:$DI57)+$DJ57),AZ57+1,AZ57)</f>
        <v>2</v>
      </c>
      <c r="BC57" s="159" t="n">
        <f aca="false">SUMIF($AE$53:$AY$53,$BB57,$AE57:$AY57)</f>
        <v>8.12528153361015</v>
      </c>
      <c r="BF57" s="50" t="n">
        <v>3</v>
      </c>
      <c r="BG57" s="131" t="n">
        <f aca="false">$X57</f>
        <v>0.233486220755981</v>
      </c>
      <c r="BH57" s="57" t="n">
        <f aca="false">$AC57</f>
        <v>2673.13605860654</v>
      </c>
      <c r="BI57" s="135" t="n">
        <f aca="false">BH57*(1-BG57)</f>
        <v>2048.99562271596</v>
      </c>
      <c r="BJ57" s="143" t="n">
        <f aca="false">Peak_Arrival_Manual_Mor/K43</f>
        <v>3.74226283871039</v>
      </c>
      <c r="BK57" s="228" t="n">
        <f aca="false">900*Peak_Time_Mor*($BJ57/Total_Lanes-1+SQRT(($BJ57/Total_Lanes-1)^2+8*($BJ57/Total_Lanes)/(Peak_Time_Mor*$K43*Total_Lanes)))</f>
        <v>0.248281419165397</v>
      </c>
      <c r="BL57" s="143" t="n">
        <f aca="false">Peak_Arrival_Manual_Mor/N43</f>
        <v>3.77854713619599</v>
      </c>
      <c r="BM57" s="229" t="n">
        <f aca="false">IF(BM$6&lt;Total_Lanes,900*Peak_Time_Mor*($BL57/(Total_Lanes-BM$6)-1+SQRT(($BL57/(Total_Lanes-BM$6)-1)^2+8*($BL57/(Total_Lanes-BM$6))/(Peak_Time_Mor*$N43*(Total_Lanes-BM$6)))),"-")</f>
        <v>0.315744559065667</v>
      </c>
      <c r="BN57" s="165" t="n">
        <f aca="false">IF(BN$6&lt;Total_Lanes,900*Peak_Time_Mor*($BL57/(Total_Lanes-BN$6)-1+SQRT(($BL57/(Total_Lanes-BN$6)-1)^2+8*($BL57/(Total_Lanes-BN$6))/(Peak_Time_Mor*$N43*(Total_Lanes-BN$6)))),"-")</f>
        <v>0.403126346195348</v>
      </c>
      <c r="BO57" s="165" t="n">
        <f aca="false">IF(BO$6&lt;Total_Lanes,900*Peak_Time_Mor*($BL57/(Total_Lanes-BO$6)-1+SQRT(($BL57/(Total_Lanes-BO$6)-1)^2+8*($BL57/(Total_Lanes-BO$6))/(Peak_Time_Mor*$N43*(Total_Lanes-BO$6)))),"-")</f>
        <v>0.533662066064466</v>
      </c>
      <c r="BP57" s="165" t="n">
        <f aca="false">IF(BP$6&lt;Total_Lanes,900*Peak_Time_Mor*($BL57/(Total_Lanes-BP$6)-1+SQRT(($BL57/(Total_Lanes-BP$6)-1)^2+8*($BL57/(Total_Lanes-BP$6))/(Peak_Time_Mor*$N43*(Total_Lanes-BP$6)))),"-")</f>
        <v>0.742488129170149</v>
      </c>
      <c r="BQ57" s="165" t="n">
        <f aca="false">IF(BQ$6&lt;Total_Lanes,900*Peak_Time_Mor*($BL57/(Total_Lanes-BQ$6)-1+SQRT(($BL57/(Total_Lanes-BQ$6)-1)^2+8*($BL57/(Total_Lanes-BQ$6))/(Peak_Time_Mor*$N43*(Total_Lanes-BQ$6)))),"-")</f>
        <v>1.11165500980368</v>
      </c>
      <c r="BR57" s="165" t="n">
        <f aca="false">IF(BR$6&lt;Total_Lanes,900*Peak_Time_Mor*($BL57/(Total_Lanes-BR$6)-1+SQRT(($BL57/(Total_Lanes-BR$6)-1)^2+8*($BL57/(Total_Lanes-BR$6))/(Peak_Time_Mor*$N43*(Total_Lanes-BR$6)))),"-")</f>
        <v>1.8793638855626</v>
      </c>
      <c r="BS57" s="165" t="n">
        <f aca="false">IF(BS$6&lt;Total_Lanes,900*Peak_Time_Mor*($BL57/(Total_Lanes-BS$6)-1+SQRT(($BL57/(Total_Lanes-BS$6)-1)^2+8*($BL57/(Total_Lanes-BS$6))/(Peak_Time_Mor*$N43*(Total_Lanes-BS$6)))),"-")</f>
        <v>4.08836980369437</v>
      </c>
      <c r="BT57" s="165" t="n">
        <f aca="false">IF(BT$6&lt;Total_Lanes,900*Peak_Time_Mor*($BL57/(Total_Lanes-BT$6)-1+SQRT(($BL57/(Total_Lanes-BT$6)-1)^2+8*($BL57/(Total_Lanes-BT$6))/(Peak_Time_Mor*$N43*(Total_Lanes-BT$6)))),"-")</f>
        <v>25.1459080414799</v>
      </c>
      <c r="BU57" s="165" t="n">
        <f aca="false">IF(BU$6&lt;Total_Lanes,900*Peak_Time_Mor*($BL57/(Total_Lanes-BU$6)-1+SQRT(($BL57/(Total_Lanes-BU$6)-1)^2+8*($BL57/(Total_Lanes-BU$6))/(Peak_Time_Mor*$N43*(Total_Lanes-BU$6)))),"-")</f>
        <v>944.875875642044</v>
      </c>
      <c r="BV57" s="165" t="n">
        <f aca="false">IF(BV$6&lt;Total_Lanes,900*Peak_Time_Mor*($BL57/(Total_Lanes-BV$6)-1+SQRT(($BL57/(Total_Lanes-BV$6)-1)^2+8*($BL57/(Total_Lanes-BV$6))/(Peak_Time_Mor*$N43*(Total_Lanes-BV$6)))),"-")</f>
        <v>3208.42143534995</v>
      </c>
      <c r="BW57" s="230" t="n">
        <f aca="false">IF(BW$6&lt;Total_Lanes,900*Peak_Time_Mor*($BL57/(Total_Lanes-BW$6)-1+SQRT(($BL57/(Total_Lanes-BW$6)-1)^2+8*($BL57/(Total_Lanes-BW$6))/(Peak_Time_Mor*$N43*(Total_Lanes-BW$6)))),"-")</f>
        <v>10011.7895949315</v>
      </c>
      <c r="BX57" s="165" t="str">
        <f aca="false">IF(BX$6&lt;Total_Lanes,900*Peak_Time_Mor*($BL57/(Total_Lanes-BX$6)-1+SQRT(($BL57/(Total_Lanes-BX$6)-1)^2+8*($BL57/(Total_Lanes-BX$6))/(Peak_Time_Mor*$N43*(Total_Lanes-BX$6)))),"-")</f>
        <v>-</v>
      </c>
      <c r="BY57" s="165" t="str">
        <f aca="false">IF(BY$6&lt;Total_Lanes,900*Peak_Time_Mor*($BL57/(Total_Lanes-BY$6)-1+SQRT(($BL57/(Total_Lanes-BY$6)-1)^2+8*($BL57/(Total_Lanes-BY$6))/(Peak_Time_Mor*$N43*(Total_Lanes-BY$6)))),"-")</f>
        <v>-</v>
      </c>
      <c r="BZ57" s="165" t="str">
        <f aca="false">IF(BZ$6&lt;Total_Lanes,900*Peak_Time_Mor*($BL57/(Total_Lanes-BZ$6)-1+SQRT(($BL57/(Total_Lanes-BZ$6)-1)^2+8*($BL57/(Total_Lanes-BZ$6))/(Peak_Time_Mor*$N43*(Total_Lanes-BZ$6)))),"-")</f>
        <v>-</v>
      </c>
      <c r="CA57" s="165" t="str">
        <f aca="false">IF(CA$6&lt;Total_Lanes,900*Peak_Time_Mor*($BL57/(Total_Lanes-CA$6)-1+SQRT(($BL57/(Total_Lanes-CA$6)-1)^2+8*($BL57/(Total_Lanes-CA$6))/(Peak_Time_Mor*$N43*(Total_Lanes-CA$6)))),"-")</f>
        <v>-</v>
      </c>
      <c r="CB57" s="165" t="str">
        <f aca="false">IF(CB$6&lt;Total_Lanes,900*Peak_Time_Mor*($BL57/(Total_Lanes-CB$6)-1+SQRT(($BL57/(Total_Lanes-CB$6)-1)^2+8*($BL57/(Total_Lanes-CB$6))/(Peak_Time_Mor*$N43*(Total_Lanes-CB$6)))),"-")</f>
        <v>-</v>
      </c>
      <c r="CC57" s="165" t="str">
        <f aca="false">IF(CC$6&lt;Total_Lanes,900*Peak_Time_Mor*($BL57/(Total_Lanes-CC$6)-1+SQRT(($BL57/(Total_Lanes-CC$6)-1)^2+8*($BL57/(Total_Lanes-CC$6))/(Peak_Time_Mor*$N43*(Total_Lanes-CC$6)))),"-")</f>
        <v>-</v>
      </c>
      <c r="CD57" s="165" t="str">
        <f aca="false">IF(CD$6&lt;Total_Lanes,900*Peak_Time_Mor*($BL57/(Total_Lanes-CD$6)-1+SQRT(($BL57/(Total_Lanes-CD$6)-1)^2+8*($BL57/(Total_Lanes-CD$6))/(Peak_Time_Mor*$N43*(Total_Lanes-CD$6)))),"-")</f>
        <v>-</v>
      </c>
      <c r="CE57" s="165" t="str">
        <f aca="false">IF(CE$6&lt;Total_Lanes,900*Peak_Time_Mor*($BL57/(Total_Lanes-CE$6)-1+SQRT(($BL57/(Total_Lanes-CE$6)-1)^2+8*($BL57/(Total_Lanes-CE$6))/(Peak_Time_Mor*$N43*(Total_Lanes-CE$6)))),"-")</f>
        <v>-</v>
      </c>
      <c r="CF57" s="165" t="str">
        <f aca="false">IF(CF$6&lt;Total_Lanes,900*Peak_Time_Mor*($BL57/(Total_Lanes-CF$6)-1+SQRT(($BL57/(Total_Lanes-CF$6)-1)^2+8*($BL57/(Total_Lanes-CF$6))/(Peak_Time_Mor*$N43*(Total_Lanes-CF$6)))),"-")</f>
        <v>-</v>
      </c>
      <c r="CG57" s="166" t="str">
        <f aca="false">IF(CG$6&lt;Total_Lanes,900*Peak_Time_Mor*($BL57/(Total_Lanes-CG$6)-1+SQRT(($BL57/(Total_Lanes-CG$6)-1)^2+8*($BL57/(Total_Lanes-CG$6))/(Peak_Time_Mor*$N43*(Total_Lanes-CG$6)))),"-")</f>
        <v>-</v>
      </c>
      <c r="CH57" s="234" t="n">
        <f aca="false">3600/N43</f>
        <v>6.63875</v>
      </c>
      <c r="CJ57" s="50" t="n">
        <v>3</v>
      </c>
      <c r="CK57" s="131" t="n">
        <f aca="false">$X57</f>
        <v>0.233486220755981</v>
      </c>
      <c r="CL57" s="150" t="n">
        <f aca="false">$AC57</f>
        <v>2673.13605860654</v>
      </c>
      <c r="CM57" s="150" t="n">
        <f aca="false">CL57*CK57</f>
        <v>624.140435890578</v>
      </c>
      <c r="CN57" s="161" t="n">
        <f aca="false">CM57/O43</f>
        <v>0.416093623927052</v>
      </c>
      <c r="CO57" s="165" t="n">
        <f aca="false">IF(CO$53&lt;Total_Lanes,900*Peak_Time_Mor*($CN57/CO$53-1+SQRT(($CN57/CO$53-1)^2+8*($CN57/CO$53)/(Peak_Time_Mor*$O43*CO$53))),"-")</f>
        <v>1.70885876935103</v>
      </c>
      <c r="CP57" s="165" t="n">
        <f aca="false">IF(CP$53&lt;Total_Lanes,900*Peak_Time_Mor*($CN57/CP$53-1+SQRT(($CN57/CP$53-1)^2+8*($CN57/CP$53)/(Peak_Time_Mor*$O43*CP$53))),"-")</f>
        <v>0.315206226233755</v>
      </c>
      <c r="CQ57" s="165" t="n">
        <f aca="false">IF(CQ$53&lt;Total_Lanes,900*Peak_Time_Mor*($CN57/CQ$53-1+SQRT(($CN57/CQ$53-1)^2+8*($CN57/CQ$53)/(Peak_Time_Mor*$O43*CQ$53))),"-")</f>
        <v>0.128820871069557</v>
      </c>
      <c r="CR57" s="165" t="n">
        <f aca="false">IF(CR$53&lt;Total_Lanes,900*Peak_Time_Mor*($CN57/CR$53-1+SQRT(($CN57/CR$53-1)^2+8*($CN57/CR$53)/(Peak_Time_Mor*$O43*CR$53))),"-")</f>
        <v>0.0696588461454928</v>
      </c>
      <c r="CS57" s="165" t="n">
        <f aca="false">IF(CS$53&lt;Total_Lanes,900*Peak_Time_Mor*($CN57/CS$53-1+SQRT(($CN57/CS$53-1)^2+8*($CN57/CS$53)/(Peak_Time_Mor*$O43*CS$53))),"-")</f>
        <v>0.0435703276789656</v>
      </c>
      <c r="CT57" s="165" t="n">
        <f aca="false">IF(CT$53&lt;Total_Lanes,900*Peak_Time_Mor*($CN57/CT$53-1+SQRT(($CN57/CT$53-1)^2+8*($CN57/CT$53)/(Peak_Time_Mor*$O43*CT$53))),"-")</f>
        <v>0.0298063680982841</v>
      </c>
      <c r="CU57" s="165" t="n">
        <f aca="false">IF(CU$53&lt;Total_Lanes,900*Peak_Time_Mor*($CN57/CU$53-1+SQRT(($CN57/CU$53-1)^2+8*($CN57/CU$53)/(Peak_Time_Mor*$O43*CU$53))),"-")</f>
        <v>0.0216679506049644</v>
      </c>
      <c r="CV57" s="165" t="n">
        <f aca="false">IF(CV$53&lt;Total_Lanes,900*Peak_Time_Mor*($CN57/CV$53-1+SQRT(($CN57/CV$53-1)^2+8*($CN57/CV$53)/(Peak_Time_Mor*$O43*CV$53))),"-")</f>
        <v>0.0164595234899645</v>
      </c>
      <c r="CW57" s="165" t="n">
        <f aca="false">IF(CW$53&lt;Total_Lanes,900*Peak_Time_Mor*($CN57/CW$53-1+SQRT(($CN57/CW$53-1)^2+8*($CN57/CW$53)/(Peak_Time_Mor*$O43*CW$53))),"-")</f>
        <v>0.0129262688956633</v>
      </c>
      <c r="CX57" s="165" t="n">
        <f aca="false">IF(CX$53&lt;Total_Lanes,900*Peak_Time_Mor*($CN57/CX$53-1+SQRT(($CN57/CX$53-1)^2+8*($CN57/CX$53)/(Peak_Time_Mor*$O43*CX$53))),"-")</f>
        <v>0.0104197770967485</v>
      </c>
      <c r="CY57" s="165" t="n">
        <f aca="false">IF(CY$53&lt;Total_Lanes,900*Peak_Time_Mor*($CN57/CY$53-1+SQRT(($CN57/CY$53-1)^2+8*($CN57/CY$53)/(Peak_Time_Mor*$O43*CY$53))),"-")</f>
        <v>0.00857753605962852</v>
      </c>
      <c r="CZ57" s="165" t="str">
        <f aca="false">IF(CZ$53&lt;Total_Lanes,900*Peak_Time_Mor*($CN57/CZ$53-1+SQRT(($CN57/CZ$53-1)^2+8*($CN57/CZ$53)/(Peak_Time_Mor*$O43*CZ$53))),"-")</f>
        <v>-</v>
      </c>
      <c r="DA57" s="165" t="str">
        <f aca="false">IF(DA$53&lt;Total_Lanes,900*Peak_Time_Mor*($CN57/DA$53-1+SQRT(($CN57/DA$53-1)^2+8*($CN57/DA$53)/(Peak_Time_Mor*$O43*DA$53))),"-")</f>
        <v>-</v>
      </c>
      <c r="DB57" s="165" t="str">
        <f aca="false">IF(DB$53&lt;Total_Lanes,900*Peak_Time_Mor*($CN57/DB$53-1+SQRT(($CN57/DB$53-1)^2+8*($CN57/DB$53)/(Peak_Time_Mor*$O43*DB$53))),"-")</f>
        <v>-</v>
      </c>
      <c r="DC57" s="165" t="str">
        <f aca="false">IF(DC$53&lt;Total_Lanes,900*Peak_Time_Mor*($CN57/DC$53-1+SQRT(($CN57/DC$53-1)^2+8*($CN57/DC$53)/(Peak_Time_Mor*$O43*DC$53))),"-")</f>
        <v>-</v>
      </c>
      <c r="DD57" s="165" t="str">
        <f aca="false">IF(DD$53&lt;Total_Lanes,900*Peak_Time_Mor*($CN57/DD$53-1+SQRT(($CN57/DD$53-1)^2+8*($CN57/DD$53)/(Peak_Time_Mor*$O43*DD$53))),"-")</f>
        <v>-</v>
      </c>
      <c r="DE57" s="165" t="str">
        <f aca="false">IF(DE$53&lt;Total_Lanes,900*Peak_Time_Mor*($CN57/DE$53-1+SQRT(($CN57/DE$53-1)^2+8*($CN57/DE$53)/(Peak_Time_Mor*$O43*DE$53))),"-")</f>
        <v>-</v>
      </c>
      <c r="DF57" s="165" t="str">
        <f aca="false">IF(DF$53&lt;Total_Lanes,900*Peak_Time_Mor*($CN57/DF$53-1+SQRT(($CN57/DF$53-1)^2+8*($CN57/DF$53)/(Peak_Time_Mor*$O43*DF$53))),"-")</f>
        <v>-</v>
      </c>
      <c r="DG57" s="165" t="str">
        <f aca="false">IF(DG$53&lt;Total_Lanes,900*Peak_Time_Mor*($CN57/DG$53-1+SQRT(($CN57/DG$53-1)^2+8*($CN57/DG$53)/(Peak_Time_Mor*$O43*DG$53))),"-")</f>
        <v>-</v>
      </c>
      <c r="DH57" s="165" t="str">
        <f aca="false">IF(DH$53&lt;Total_Lanes,900*Peak_Time_Mor*($CN57/DH$53-1+SQRT(($CN57/DH$53-1)^2+8*($CN57/DH$53)/(Peak_Time_Mor*$O43*DH$53))),"-")</f>
        <v>-</v>
      </c>
      <c r="DI57" s="166" t="str">
        <f aca="false">IF(DI$53&lt;Total_Lanes,900*Peak_Time_Mor*($CN57/DI$53-1+SQRT(($CN57/DI$53-1)^2+8*($CN57/DI$53)/(Peak_Time_Mor*$O43*DI$53))),"-")</f>
        <v>-</v>
      </c>
      <c r="DJ57" s="234" t="n">
        <f aca="false">3600/$O43</f>
        <v>2.4</v>
      </c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customFormat="false" ht="12.75" hidden="false" customHeight="false" outlineLevel="0" collapsed="false">
      <c r="A58" s="4"/>
      <c r="B58" s="4"/>
      <c r="C58" s="4"/>
      <c r="D58" s="4"/>
      <c r="E58" s="4"/>
      <c r="F58" s="4"/>
      <c r="G58" s="4"/>
      <c r="H58" s="215" t="n">
        <v>18</v>
      </c>
      <c r="I58" s="216" t="n">
        <f aca="false">'Input-Detail'!BH31</f>
        <v>0.83</v>
      </c>
      <c r="J58" s="217" t="n">
        <f aca="false">1-I58</f>
        <v>0.17</v>
      </c>
      <c r="K58" s="218" t="n">
        <f aca="false">3600/(Trans_Time_Cash*I58+Trans_Time_Ticket*J58)</f>
        <v>547.528517110266</v>
      </c>
      <c r="L58" s="216" t="n">
        <f aca="false">'Input-Detail'!BJ31</f>
        <v>0.983</v>
      </c>
      <c r="M58" s="217" t="n">
        <f aca="false">1-L58</f>
        <v>0.017</v>
      </c>
      <c r="N58" s="218" t="n">
        <f aca="false">3600/(Trans_Time_Cash*L58+Trans_Time_Ticket*M58)</f>
        <v>517.427236794826</v>
      </c>
      <c r="O58" s="218" t="n">
        <f aca="false">3600/Headway_ETC</f>
        <v>1500</v>
      </c>
      <c r="P58" s="4"/>
      <c r="Q58" s="4"/>
      <c r="R58" s="4"/>
      <c r="S58" s="4"/>
      <c r="T58" s="4"/>
      <c r="U58" s="4"/>
      <c r="V58" s="50" t="n">
        <v>4</v>
      </c>
      <c r="W58" s="124" t="n">
        <f aca="false">W11</f>
        <v>21212938.4</v>
      </c>
      <c r="X58" s="131" t="n">
        <f aca="false">X11</f>
        <v>0.292291508405303</v>
      </c>
      <c r="Y58" s="124" t="n">
        <f aca="false">Y11</f>
        <v>9147.2713715846</v>
      </c>
      <c r="Z58" s="133" t="n">
        <f aca="false">W58/Y58</f>
        <v>2319.04548780488</v>
      </c>
      <c r="AA58" s="233" t="n">
        <f aca="false">AA11</f>
        <v>2</v>
      </c>
      <c r="AB58" s="157" t="n">
        <f aca="false">1-AB11</f>
        <v>0.3</v>
      </c>
      <c r="AC58" s="128" t="n">
        <f aca="false">Y58*AB58</f>
        <v>2744.18141147538</v>
      </c>
      <c r="AD58" s="150" t="n">
        <f aca="false">Peak_Time_Mor*$BH58*(CH58+BK58)/3600</f>
        <v>10.5039524573916</v>
      </c>
      <c r="AE58" s="136" t="n">
        <f aca="false">IF(AE$53&lt;Total_Lanes,($BI58*($CH58+BM58)+$CM58*CO58)*Peak_Time_Mor/3600,"-")</f>
        <v>8.72964731678201</v>
      </c>
      <c r="AF58" s="136" t="n">
        <f aca="false">IF(AF$53&lt;Total_Lanes,($BI58*($CH58+BN58)+$CM58*CP58)*Peak_Time_Mor/3600,"-")</f>
        <v>7.78368828003676</v>
      </c>
      <c r="AG58" s="136" t="n">
        <f aca="false">IF(AG$53&lt;Total_Lanes,($BI58*($CH58+BO58)+$CM58*CQ58)*Peak_Time_Mor/3600,"-")</f>
        <v>7.79341185736939</v>
      </c>
      <c r="AH58" s="136" t="n">
        <f aca="false">IF(AH$53&lt;Total_Lanes,($BI58*($CH58+BP58)+$CM58*CR58)*Peak_Time_Mor/3600,"-")</f>
        <v>7.95895523960967</v>
      </c>
      <c r="AI58" s="136" t="n">
        <f aca="false">IF(AI$53&lt;Total_Lanes,($BI58*($CH58+BQ58)+$CM58*CS58)*Peak_Time_Mor/3600,"-")</f>
        <v>8.29316937475702</v>
      </c>
      <c r="AJ58" s="136" t="n">
        <f aca="false">IF(AJ$53&lt;Total_Lanes,($BI58*($CH58+BR58)+$CM58*CT58)*Peak_Time_Mor/3600,"-")</f>
        <v>8.98862149287935</v>
      </c>
      <c r="AK58" s="136" t="n">
        <f aca="false">IF(AK$53&lt;Total_Lanes,($BI58*($CH58+BS58)+$CM58*CU58)*Peak_Time_Mor/3600,"-")</f>
        <v>10.8555162326271</v>
      </c>
      <c r="AL58" s="136" t="n">
        <f aca="false">IF(AL$53&lt;Total_Lanes,($BI58*($CH58+BT58)+$CM58*CV58)*Peak_Time_Mor/3600,"-")</f>
        <v>22.4583363398884</v>
      </c>
      <c r="AM58" s="136" t="n">
        <f aca="false">IF(AM$53&lt;Total_Lanes,($BI58*($CH58+BU58)+$CM58*CW58)*Peak_Time_Mor/3600,"-")</f>
        <v>789.017983897369</v>
      </c>
      <c r="AN58" s="136" t="n">
        <f aca="false">IF(AN$53&lt;Total_Lanes,($BI58*($CH58+BV58)+$CM58*CX58)*Peak_Time_Mor/3600,"-")</f>
        <v>3108.71546334537</v>
      </c>
      <c r="AO58" s="136" t="n">
        <f aca="false">IF(AO$53&lt;Total_Lanes,($BI58*($CH58+BW58)+$CM58*CY58)*Peak_Time_Mor/3600,"-")</f>
        <v>10088.1804079748</v>
      </c>
      <c r="AP58" s="136" t="str">
        <f aca="false">IF(AP$53&lt;Total_Lanes,($BI58*($CH58+BX58)+$CM58*CZ58)*Peak_Time_Mor/3600,"-")</f>
        <v>-</v>
      </c>
      <c r="AQ58" s="136" t="str">
        <f aca="false">IF(AQ$53&lt;Total_Lanes,($BI58*($CH58+BY58)+$CM58*DA58)*Peak_Time_Mor/3600,"-")</f>
        <v>-</v>
      </c>
      <c r="AR58" s="136" t="str">
        <f aca="false">IF(AR$53&lt;Total_Lanes,($BI58*($CH58+BZ58)+$CM58*DB58)*Peak_Time_Mor/3600,"-")</f>
        <v>-</v>
      </c>
      <c r="AS58" s="136" t="str">
        <f aca="false">IF(AS$53&lt;Total_Lanes,($BI58*($CH58+CA58)+$CM58*DC58)*Peak_Time_Mor/3600,"-")</f>
        <v>-</v>
      </c>
      <c r="AT58" s="136" t="str">
        <f aca="false">IF(AT$53&lt;Total_Lanes,($BI58*($CH58+CB58)+$CM58*DD58)*Peak_Time_Mor/3600,"-")</f>
        <v>-</v>
      </c>
      <c r="AU58" s="136" t="str">
        <f aca="false">IF(AU$53&lt;Total_Lanes,($BI58*($CH58+CC58)+$CM58*DE58)*Peak_Time_Mor/3600,"-")</f>
        <v>-</v>
      </c>
      <c r="AV58" s="136" t="str">
        <f aca="false">IF(AV$53&lt;Total_Lanes,($BI58*($CH58+CD58)+$CM58*DF58)*Peak_Time_Mor/3600,"-")</f>
        <v>-</v>
      </c>
      <c r="AW58" s="136" t="str">
        <f aca="false">IF(AW$53&lt;Total_Lanes,($BI58*($CH58+CE58)+$CM58*DG58)*Peak_Time_Mor/3600,"-")</f>
        <v>-</v>
      </c>
      <c r="AX58" s="136" t="str">
        <f aca="false">IF(AX$53&lt;Total_Lanes,($BI58*($CH58+CF58)+$CM58*DH58)*Peak_Time_Mor/3600,"-")</f>
        <v>-</v>
      </c>
      <c r="AY58" s="137" t="str">
        <f aca="false">IF(AY$53&lt;Total_Lanes,($BI58*($CH58+CG58)+$CM58*DI58)*Peak_Time_Mor/3600,"-")</f>
        <v>-</v>
      </c>
      <c r="AZ58" s="158" t="n">
        <f aca="false">SUMIF(AE58:AY58,BA58,$AE$53:$AY$53)</f>
        <v>2</v>
      </c>
      <c r="BA58" s="159" t="n">
        <f aca="false">MIN(AE58:AY58)</f>
        <v>7.78368828003676</v>
      </c>
      <c r="BB58" s="158" t="n">
        <f aca="false">IF((SUMIF($BM56:$CG56,$AZ58,$BM58:$CG58)+$CH58)&lt;(SUMIF($CO56:$DI56,$AZ58,$CO58:$DI58)+$DJ58),AZ58+1,AZ58)</f>
        <v>2</v>
      </c>
      <c r="BC58" s="159" t="n">
        <f aca="false">SUMIF($AE$53:$AY$53,$BB58,$AE58:$AY58)</f>
        <v>7.78368828003676</v>
      </c>
      <c r="BF58" s="50" t="n">
        <v>4</v>
      </c>
      <c r="BG58" s="131" t="n">
        <f aca="false">$X58</f>
        <v>0.292291508405303</v>
      </c>
      <c r="BH58" s="57" t="n">
        <f aca="false">$AC58</f>
        <v>2744.18141147538</v>
      </c>
      <c r="BI58" s="135" t="n">
        <f aca="false">BH58*(1-BG58)</f>
        <v>1942.08048737745</v>
      </c>
      <c r="BJ58" s="143" t="n">
        <f aca="false">Peak_Arrival_Manual_Mor/K44</f>
        <v>3.54699422347409</v>
      </c>
      <c r="BK58" s="228" t="n">
        <f aca="false">900*Peak_Time_Mor*($BJ58/Total_Lanes-1+SQRT(($BJ58/Total_Lanes-1)^2+8*($BJ58/Total_Lanes)/(Peak_Time_Mor*$K44*Total_Lanes)))</f>
        <v>0.229892316973213</v>
      </c>
      <c r="BL58" s="143" t="n">
        <f aca="false">Peak_Arrival_Manual_Mor/N44</f>
        <v>3.59284890164828</v>
      </c>
      <c r="BM58" s="229" t="n">
        <f aca="false">IF(BM$6&lt;Total_Lanes,900*Peak_Time_Mor*($BL58/(Total_Lanes-BM$6)-1+SQRT(($BL58/(Total_Lanes-BM$6)-1)^2+8*($BL58/(Total_Lanes-BM$6))/(Peak_Time_Mor*$N44*(Total_Lanes-BM$6)))),"-")</f>
        <v>0.293640996972822</v>
      </c>
      <c r="BN58" s="165" t="n">
        <f aca="false">IF(BN$6&lt;Total_Lanes,900*Peak_Time_Mor*($BL58/(Total_Lanes-BN$6)-1+SQRT(($BL58/(Total_Lanes-BN$6)-1)^2+8*($BL58/(Total_Lanes-BN$6))/(Peak_Time_Mor*$N44*(Total_Lanes-BN$6)))),"-")</f>
        <v>0.373403097034997</v>
      </c>
      <c r="BO58" s="165" t="n">
        <f aca="false">IF(BO$6&lt;Total_Lanes,900*Peak_Time_Mor*($BL58/(Total_Lanes-BO$6)-1+SQRT(($BL58/(Total_Lanes-BO$6)-1)^2+8*($BL58/(Total_Lanes-BO$6))/(Peak_Time_Mor*$N44*(Total_Lanes-BO$6)))),"-")</f>
        <v>0.491590485610027</v>
      </c>
      <c r="BP58" s="165" t="n">
        <f aca="false">IF(BP$6&lt;Total_Lanes,900*Peak_Time_Mor*($BL58/(Total_Lanes-BP$6)-1+SQRT(($BL58/(Total_Lanes-BP$6)-1)^2+8*($BL58/(Total_Lanes-BP$6))/(Peak_Time_Mor*$N44*(Total_Lanes-BP$6)))),"-")</f>
        <v>0.678448224895845</v>
      </c>
      <c r="BQ58" s="165" t="n">
        <f aca="false">IF(BQ$6&lt;Total_Lanes,900*Peak_Time_Mor*($BL58/(Total_Lanes-BQ$6)-1+SQRT(($BL58/(Total_Lanes-BQ$6)-1)^2+8*($BL58/(Total_Lanes-BQ$6))/(Peak_Time_Mor*$N44*(Total_Lanes-BQ$6)))),"-")</f>
        <v>1.00270988930451</v>
      </c>
      <c r="BR58" s="165" t="n">
        <f aca="false">IF(BR$6&lt;Total_Lanes,900*Peak_Time_Mor*($BL58/(Total_Lanes-BR$6)-1+SQRT(($BL58/(Total_Lanes-BR$6)-1)^2+8*($BL58/(Total_Lanes-BR$6))/(Peak_Time_Mor*$N44*(Total_Lanes-BR$6)))),"-")</f>
        <v>1.65485997713954</v>
      </c>
      <c r="BS58" s="165" t="n">
        <f aca="false">IF(BS$6&lt;Total_Lanes,900*Peak_Time_Mor*($BL58/(Total_Lanes-BS$6)-1+SQRT(($BL58/(Total_Lanes-BS$6)-1)^2+8*($BL58/(Total_Lanes-BS$6))/(Peak_Time_Mor*$N44*(Total_Lanes-BS$6)))),"-")</f>
        <v>3.38962674809964</v>
      </c>
      <c r="BT58" s="165" t="n">
        <f aca="false">IF(BT$6&lt;Total_Lanes,900*Peak_Time_Mor*($BL58/(Total_Lanes-BT$6)-1+SQRT(($BL58/(Total_Lanes-BT$6)-1)^2+8*($BL58/(Total_Lanes-BT$6))/(Peak_Time_Mor*$N44*(Total_Lanes-BT$6)))),"-")</f>
        <v>14.1464338921525</v>
      </c>
      <c r="BU58" s="165" t="n">
        <f aca="false">IF(BU$6&lt;Total_Lanes,900*Peak_Time_Mor*($BL58/(Total_Lanes-BU$6)-1+SQRT(($BL58/(Total_Lanes-BU$6)-1)^2+8*($BL58/(Total_Lanes-BU$6))/(Peak_Time_Mor*$N44*(Total_Lanes-BU$6)))),"-")</f>
        <v>724.627332879842</v>
      </c>
      <c r="BV58" s="165" t="n">
        <f aca="false">IF(BV$6&lt;Total_Lanes,900*Peak_Time_Mor*($BL58/(Total_Lanes-BV$6)-1+SQRT(($BL58/(Total_Lanes-BV$6)-1)^2+8*($BL58/(Total_Lanes-BV$6))/(Peak_Time_Mor*$N44*(Total_Lanes-BV$6)))),"-")</f>
        <v>2874.61963544007</v>
      </c>
      <c r="BW58" s="230" t="n">
        <f aca="false">IF(BW$6&lt;Total_Lanes,900*Peak_Time_Mor*($BL58/(Total_Lanes-BW$6)-1+SQRT(($BL58/(Total_Lanes-BW$6)-1)^2+8*($BL58/(Total_Lanes-BW$6))/(Peak_Time_Mor*$N44*(Total_Lanes-BW$6)))),"-")</f>
        <v>9343.47554299028</v>
      </c>
      <c r="BX58" s="165" t="str">
        <f aca="false">IF(BX$6&lt;Total_Lanes,900*Peak_Time_Mor*($BL58/(Total_Lanes-BX$6)-1+SQRT(($BL58/(Total_Lanes-BX$6)-1)^2+8*($BL58/(Total_Lanes-BX$6))/(Peak_Time_Mor*$N44*(Total_Lanes-BX$6)))),"-")</f>
        <v>-</v>
      </c>
      <c r="BY58" s="165" t="str">
        <f aca="false">IF(BY$6&lt;Total_Lanes,900*Peak_Time_Mor*($BL58/(Total_Lanes-BY$6)-1+SQRT(($BL58/(Total_Lanes-BY$6)-1)^2+8*($BL58/(Total_Lanes-BY$6))/(Peak_Time_Mor*$N44*(Total_Lanes-BY$6)))),"-")</f>
        <v>-</v>
      </c>
      <c r="BZ58" s="165" t="str">
        <f aca="false">IF(BZ$6&lt;Total_Lanes,900*Peak_Time_Mor*($BL58/(Total_Lanes-BZ$6)-1+SQRT(($BL58/(Total_Lanes-BZ$6)-1)^2+8*($BL58/(Total_Lanes-BZ$6))/(Peak_Time_Mor*$N44*(Total_Lanes-BZ$6)))),"-")</f>
        <v>-</v>
      </c>
      <c r="CA58" s="165" t="str">
        <f aca="false">IF(CA$6&lt;Total_Lanes,900*Peak_Time_Mor*($BL58/(Total_Lanes-CA$6)-1+SQRT(($BL58/(Total_Lanes-CA$6)-1)^2+8*($BL58/(Total_Lanes-CA$6))/(Peak_Time_Mor*$N44*(Total_Lanes-CA$6)))),"-")</f>
        <v>-</v>
      </c>
      <c r="CB58" s="165" t="str">
        <f aca="false">IF(CB$6&lt;Total_Lanes,900*Peak_Time_Mor*($BL58/(Total_Lanes-CB$6)-1+SQRT(($BL58/(Total_Lanes-CB$6)-1)^2+8*($BL58/(Total_Lanes-CB$6))/(Peak_Time_Mor*$N44*(Total_Lanes-CB$6)))),"-")</f>
        <v>-</v>
      </c>
      <c r="CC58" s="165" t="str">
        <f aca="false">IF(CC$6&lt;Total_Lanes,900*Peak_Time_Mor*($BL58/(Total_Lanes-CC$6)-1+SQRT(($BL58/(Total_Lanes-CC$6)-1)^2+8*($BL58/(Total_Lanes-CC$6))/(Peak_Time_Mor*$N44*(Total_Lanes-CC$6)))),"-")</f>
        <v>-</v>
      </c>
      <c r="CD58" s="165" t="str">
        <f aca="false">IF(CD$6&lt;Total_Lanes,900*Peak_Time_Mor*($BL58/(Total_Lanes-CD$6)-1+SQRT(($BL58/(Total_Lanes-CD$6)-1)^2+8*($BL58/(Total_Lanes-CD$6))/(Peak_Time_Mor*$N44*(Total_Lanes-CD$6)))),"-")</f>
        <v>-</v>
      </c>
      <c r="CE58" s="165" t="str">
        <f aca="false">IF(CE$6&lt;Total_Lanes,900*Peak_Time_Mor*($BL58/(Total_Lanes-CE$6)-1+SQRT(($BL58/(Total_Lanes-CE$6)-1)^2+8*($BL58/(Total_Lanes-CE$6))/(Peak_Time_Mor*$N44*(Total_Lanes-CE$6)))),"-")</f>
        <v>-</v>
      </c>
      <c r="CF58" s="165" t="str">
        <f aca="false">IF(CF$6&lt;Total_Lanes,900*Peak_Time_Mor*($BL58/(Total_Lanes-CF$6)-1+SQRT(($BL58/(Total_Lanes-CF$6)-1)^2+8*($BL58/(Total_Lanes-CF$6))/(Peak_Time_Mor*$N44*(Total_Lanes-CF$6)))),"-")</f>
        <v>-</v>
      </c>
      <c r="CG58" s="166" t="str">
        <f aca="false">IF(CG$6&lt;Total_Lanes,900*Peak_Time_Mor*($BL58/(Total_Lanes-CG$6)-1+SQRT(($BL58/(Total_Lanes-CG$6)-1)^2+8*($BL58/(Total_Lanes-CG$6))/(Peak_Time_Mor*$N44*(Total_Lanes-CG$6)))),"-")</f>
        <v>-</v>
      </c>
      <c r="CH58" s="234" t="n">
        <f aca="false">3600/N44</f>
        <v>6.66</v>
      </c>
      <c r="CJ58" s="50" t="n">
        <v>4</v>
      </c>
      <c r="CK58" s="131" t="n">
        <f aca="false">$X58</f>
        <v>0.292291508405303</v>
      </c>
      <c r="CL58" s="150" t="n">
        <f aca="false">$AC58</f>
        <v>2744.18141147538</v>
      </c>
      <c r="CM58" s="150" t="n">
        <f aca="false">CL58*CK58</f>
        <v>802.100924097932</v>
      </c>
      <c r="CN58" s="161" t="n">
        <f aca="false">CM58/O44</f>
        <v>0.534733949398621</v>
      </c>
      <c r="CO58" s="165" t="n">
        <f aca="false">IF(CO$53&lt;Total_Lanes,900*Peak_Time_Mor*($CN58/CO$53-1+SQRT(($CN58/CO$53-1)^2+8*($CN58/CO$53)/(Peak_Time_Mor*$O44*CO$53))),"-")</f>
        <v>2.75381140626783</v>
      </c>
      <c r="CP58" s="165" t="n">
        <f aca="false">IF(CP$53&lt;Total_Lanes,900*Peak_Time_Mor*($CN58/CP$53-1+SQRT(($CN58/CP$53-1)^2+8*($CN58/CP$53)/(Peak_Time_Mor*$O44*CP$53))),"-")</f>
        <v>0.437855111374375</v>
      </c>
      <c r="CQ58" s="165" t="n">
        <f aca="false">IF(CQ$53&lt;Total_Lanes,900*Peak_Time_Mor*($CN58/CQ$53-1+SQRT(($CN58/CQ$53-1)^2+8*($CN58/CQ$53)/(Peak_Time_Mor*$O44*CQ$53))),"-")</f>
        <v>0.173515580478845</v>
      </c>
      <c r="CR58" s="165" t="n">
        <f aca="false">IF(CR$53&lt;Total_Lanes,900*Peak_Time_Mor*($CN58/CR$53-1+SQRT(($CN58/CR$53-1)^2+8*($CN58/CR$53)/(Peak_Time_Mor*$O44*CR$53))),"-")</f>
        <v>0.0925847656652934</v>
      </c>
      <c r="CS58" s="165" t="n">
        <f aca="false">IF(CS$53&lt;Total_Lanes,900*Peak_Time_Mor*($CN58/CS$53-1+SQRT(($CN58/CS$53-1)^2+8*($CN58/CS$53)/(Peak_Time_Mor*$O44*CS$53))),"-")</f>
        <v>0.0574809437627888</v>
      </c>
      <c r="CT58" s="165" t="n">
        <f aca="false">IF(CT$53&lt;Total_Lanes,900*Peak_Time_Mor*($CN58/CT$53-1+SQRT(($CN58/CT$53-1)^2+8*($CN58/CT$53)/(Peak_Time_Mor*$O44*CT$53))),"-")</f>
        <v>0.0391364345325274</v>
      </c>
      <c r="CU58" s="165" t="n">
        <f aca="false">IF(CU$53&lt;Total_Lanes,900*Peak_Time_Mor*($CN58/CU$53-1+SQRT(($CN58/CU$53-1)^2+8*($CN58/CU$53)/(Peak_Time_Mor*$O44*CU$53))),"-")</f>
        <v>0.0283570372937136</v>
      </c>
      <c r="CV58" s="165" t="n">
        <f aca="false">IF(CV$53&lt;Total_Lanes,900*Peak_Time_Mor*($CN58/CV$53-1+SQRT(($CN58/CV$53-1)^2+8*($CN58/CV$53)/(Peak_Time_Mor*$O44*CV$53))),"-")</f>
        <v>0.0214887396624786</v>
      </c>
      <c r="CW58" s="165" t="n">
        <f aca="false">IF(CW$53&lt;Total_Lanes,900*Peak_Time_Mor*($CN58/CW$53-1+SQRT(($CN58/CW$53-1)^2+8*($CN58/CW$53)/(Peak_Time_Mor*$O44*CW$53))),"-")</f>
        <v>0.0168447169440977</v>
      </c>
      <c r="CX58" s="165" t="n">
        <f aca="false">IF(CX$53&lt;Total_Lanes,900*Peak_Time_Mor*($CN58/CX$53-1+SQRT(($CN58/CX$53-1)^2+8*($CN58/CX$53)/(Peak_Time_Mor*$O44*CX$53))),"-")</f>
        <v>0.0135585874202038</v>
      </c>
      <c r="CY58" s="165" t="n">
        <f aca="false">IF(CY$53&lt;Total_Lanes,900*Peak_Time_Mor*($CN58/CY$53-1+SQRT(($CN58/CY$53-1)^2+8*($CN58/CY$53)/(Peak_Time_Mor*$O44*CY$53))),"-")</f>
        <v>0.0111481968070981</v>
      </c>
      <c r="CZ58" s="165" t="str">
        <f aca="false">IF(CZ$53&lt;Total_Lanes,900*Peak_Time_Mor*($CN58/CZ$53-1+SQRT(($CN58/CZ$53-1)^2+8*($CN58/CZ$53)/(Peak_Time_Mor*$O44*CZ$53))),"-")</f>
        <v>-</v>
      </c>
      <c r="DA58" s="165" t="str">
        <f aca="false">IF(DA$53&lt;Total_Lanes,900*Peak_Time_Mor*($CN58/DA$53-1+SQRT(($CN58/DA$53-1)^2+8*($CN58/DA$53)/(Peak_Time_Mor*$O44*DA$53))),"-")</f>
        <v>-</v>
      </c>
      <c r="DB58" s="165" t="str">
        <f aca="false">IF(DB$53&lt;Total_Lanes,900*Peak_Time_Mor*($CN58/DB$53-1+SQRT(($CN58/DB$53-1)^2+8*($CN58/DB$53)/(Peak_Time_Mor*$O44*DB$53))),"-")</f>
        <v>-</v>
      </c>
      <c r="DC58" s="165" t="str">
        <f aca="false">IF(DC$53&lt;Total_Lanes,900*Peak_Time_Mor*($CN58/DC$53-1+SQRT(($CN58/DC$53-1)^2+8*($CN58/DC$53)/(Peak_Time_Mor*$O44*DC$53))),"-")</f>
        <v>-</v>
      </c>
      <c r="DD58" s="165" t="str">
        <f aca="false">IF(DD$53&lt;Total_Lanes,900*Peak_Time_Mor*($CN58/DD$53-1+SQRT(($CN58/DD$53-1)^2+8*($CN58/DD$53)/(Peak_Time_Mor*$O44*DD$53))),"-")</f>
        <v>-</v>
      </c>
      <c r="DE58" s="165" t="str">
        <f aca="false">IF(DE$53&lt;Total_Lanes,900*Peak_Time_Mor*($CN58/DE$53-1+SQRT(($CN58/DE$53-1)^2+8*($CN58/DE$53)/(Peak_Time_Mor*$O44*DE$53))),"-")</f>
        <v>-</v>
      </c>
      <c r="DF58" s="165" t="str">
        <f aca="false">IF(DF$53&lt;Total_Lanes,900*Peak_Time_Mor*($CN58/DF$53-1+SQRT(($CN58/DF$53-1)^2+8*($CN58/DF$53)/(Peak_Time_Mor*$O44*DF$53))),"-")</f>
        <v>-</v>
      </c>
      <c r="DG58" s="165" t="str">
        <f aca="false">IF(DG$53&lt;Total_Lanes,900*Peak_Time_Mor*($CN58/DG$53-1+SQRT(($CN58/DG$53-1)^2+8*($CN58/DG$53)/(Peak_Time_Mor*$O44*DG$53))),"-")</f>
        <v>-</v>
      </c>
      <c r="DH58" s="165" t="str">
        <f aca="false">IF(DH$53&lt;Total_Lanes,900*Peak_Time_Mor*($CN58/DH$53-1+SQRT(($CN58/DH$53-1)^2+8*($CN58/DH$53)/(Peak_Time_Mor*$O44*DH$53))),"-")</f>
        <v>-</v>
      </c>
      <c r="DI58" s="166" t="str">
        <f aca="false">IF(DI$53&lt;Total_Lanes,900*Peak_Time_Mor*($CN58/DI$53-1+SQRT(($CN58/DI$53-1)^2+8*($CN58/DI$53)/(Peak_Time_Mor*$O44*DI$53))),"-")</f>
        <v>-</v>
      </c>
      <c r="DJ58" s="234" t="n">
        <f aca="false">3600/$O44</f>
        <v>2.4</v>
      </c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customFormat="false" ht="12.75" hidden="false" customHeight="false" outlineLevel="0" collapsed="false">
      <c r="A59" s="4"/>
      <c r="B59" s="4"/>
      <c r="C59" s="4"/>
      <c r="D59" s="4"/>
      <c r="E59" s="4"/>
      <c r="F59" s="4"/>
      <c r="G59" s="4"/>
      <c r="H59" s="215" t="n">
        <v>19</v>
      </c>
      <c r="I59" s="216" t="n">
        <f aca="false">'Input-Detail'!BH32</f>
        <v>0.83</v>
      </c>
      <c r="J59" s="217" t="n">
        <f aca="false">1-I59</f>
        <v>0.17</v>
      </c>
      <c r="K59" s="218" t="n">
        <f aca="false">3600/(Trans_Time_Cash*I59+Trans_Time_Ticket*J59)</f>
        <v>547.528517110266</v>
      </c>
      <c r="L59" s="216" t="n">
        <f aca="false">'Input-Detail'!BJ32</f>
        <v>0.9915</v>
      </c>
      <c r="M59" s="217" t="n">
        <f aca="false">1-L59</f>
        <v>0.00849999999999995</v>
      </c>
      <c r="N59" s="218" t="n">
        <f aca="false">3600/(Trans_Time_Cash*L59+Trans_Time_Ticket*M59)</f>
        <v>515.851692638366</v>
      </c>
      <c r="O59" s="218" t="n">
        <f aca="false">3600/Headway_ETC</f>
        <v>1500</v>
      </c>
      <c r="P59" s="4"/>
      <c r="Q59" s="4"/>
      <c r="R59" s="4"/>
      <c r="S59" s="4"/>
      <c r="T59" s="4"/>
      <c r="U59" s="4"/>
      <c r="V59" s="50" t="n">
        <v>5</v>
      </c>
      <c r="W59" s="124" t="n">
        <f aca="false">W12</f>
        <v>21762129.75</v>
      </c>
      <c r="X59" s="131" t="n">
        <f aca="false">X12</f>
        <v>0.347136906120865</v>
      </c>
      <c r="Y59" s="124" t="n">
        <f aca="false">Y12</f>
        <v>9384.08921448075</v>
      </c>
      <c r="Z59" s="133" t="n">
        <f aca="false">W59/Y59</f>
        <v>2319.04548780488</v>
      </c>
      <c r="AA59" s="233" t="n">
        <f aca="false">AA12</f>
        <v>2</v>
      </c>
      <c r="AB59" s="157" t="n">
        <f aca="false">1-AB12</f>
        <v>0.3</v>
      </c>
      <c r="AC59" s="128" t="n">
        <f aca="false">Y59*AB59</f>
        <v>2815.22676434422</v>
      </c>
      <c r="AD59" s="150" t="n">
        <f aca="false">Peak_Time_Mor*$BH59*(CH59+BK59)/3600</f>
        <v>10.78236814265</v>
      </c>
      <c r="AE59" s="136" t="n">
        <f aca="false">IF(AE$53&lt;Total_Lanes,($BI59*($CH59+BM59)+$CM59*CO59)*Peak_Time_Mor/3600,"-")</f>
        <v>9.5282902243889</v>
      </c>
      <c r="AF59" s="136" t="n">
        <f aca="false">IF(AF$53&lt;Total_Lanes,($BI59*($CH59+BN59)+$CM59*CP59)*Peak_Time_Mor/3600,"-")</f>
        <v>7.48996929100333</v>
      </c>
      <c r="AG59" s="136" t="n">
        <f aca="false">IF(AG$53&lt;Total_Lanes,($BI59*($CH59+BO59)+$CM59*CQ59)*Peak_Time_Mor/3600,"-")</f>
        <v>7.4051694355708</v>
      </c>
      <c r="AH59" s="136" t="n">
        <f aca="false">IF(AH$53&lt;Total_Lanes,($BI59*($CH59+BP59)+$CM59*CR59)*Peak_Time_Mor/3600,"-")</f>
        <v>7.51921515381795</v>
      </c>
      <c r="AI59" s="136" t="n">
        <f aca="false">IF(AI$53&lt;Total_Lanes,($BI59*($CH59+BQ59)+$CM59*CS59)*Peak_Time_Mor/3600,"-")</f>
        <v>7.78702417148329</v>
      </c>
      <c r="AJ59" s="136" t="n">
        <f aca="false">IF(AJ$53&lt;Total_Lanes,($BI59*($CH59+BR59)+$CM59*CT59)*Peak_Time_Mor/3600,"-")</f>
        <v>8.34528011458406</v>
      </c>
      <c r="AK59" s="136" t="n">
        <f aca="false">IF(AK$53&lt;Total_Lanes,($BI59*($CH59+BS59)+$CM59*CU59)*Peak_Time_Mor/3600,"-")</f>
        <v>9.76305441282369</v>
      </c>
      <c r="AL59" s="136" t="n">
        <f aca="false">IF(AL$53&lt;Total_Lanes,($BI59*($CH59+BT59)+$CM59*CV59)*Peak_Time_Mor/3600,"-")</f>
        <v>16.5410116883953</v>
      </c>
      <c r="AM59" s="136" t="n">
        <f aca="false">IF(AM$53&lt;Total_Lanes,($BI59*($CH59+BU59)+$CM59*CW59)*Peak_Time_Mor/3600,"-")</f>
        <v>528.732094925557</v>
      </c>
      <c r="AN59" s="136" t="n">
        <f aca="false">IF(AN$53&lt;Total_Lanes,($BI59*($CH59+BV59)+$CM59*CX59)*Peak_Time_Mor/3600,"-")</f>
        <v>2608.5391968012</v>
      </c>
      <c r="AO59" s="136" t="n">
        <f aca="false">IF(AO$53&lt;Total_Lanes,($BI59*($CH59+BW59)+$CM59*CY59)*Peak_Time_Mor/3600,"-")</f>
        <v>8879.3625271588</v>
      </c>
      <c r="AP59" s="136" t="str">
        <f aca="false">IF(AP$53&lt;Total_Lanes,($BI59*($CH59+BX59)+$CM59*CZ59)*Peak_Time_Mor/3600,"-")</f>
        <v>-</v>
      </c>
      <c r="AQ59" s="136" t="str">
        <f aca="false">IF(AQ$53&lt;Total_Lanes,($BI59*($CH59+BY59)+$CM59*DA59)*Peak_Time_Mor/3600,"-")</f>
        <v>-</v>
      </c>
      <c r="AR59" s="136" t="str">
        <f aca="false">IF(AR$53&lt;Total_Lanes,($BI59*($CH59+BZ59)+$CM59*DB59)*Peak_Time_Mor/3600,"-")</f>
        <v>-</v>
      </c>
      <c r="AS59" s="136" t="str">
        <f aca="false">IF(AS$53&lt;Total_Lanes,($BI59*($CH59+CA59)+$CM59*DC59)*Peak_Time_Mor/3600,"-")</f>
        <v>-</v>
      </c>
      <c r="AT59" s="136" t="str">
        <f aca="false">IF(AT$53&lt;Total_Lanes,($BI59*($CH59+CB59)+$CM59*DD59)*Peak_Time_Mor/3600,"-")</f>
        <v>-</v>
      </c>
      <c r="AU59" s="136" t="str">
        <f aca="false">IF(AU$53&lt;Total_Lanes,($BI59*($CH59+CC59)+$CM59*DE59)*Peak_Time_Mor/3600,"-")</f>
        <v>-</v>
      </c>
      <c r="AV59" s="136" t="str">
        <f aca="false">IF(AV$53&lt;Total_Lanes,($BI59*($CH59+CD59)+$CM59*DF59)*Peak_Time_Mor/3600,"-")</f>
        <v>-</v>
      </c>
      <c r="AW59" s="136" t="str">
        <f aca="false">IF(AW$53&lt;Total_Lanes,($BI59*($CH59+CE59)+$CM59*DG59)*Peak_Time_Mor/3600,"-")</f>
        <v>-</v>
      </c>
      <c r="AX59" s="136" t="str">
        <f aca="false">IF(AX$53&lt;Total_Lanes,($BI59*($CH59+CF59)+$CM59*DH59)*Peak_Time_Mor/3600,"-")</f>
        <v>-</v>
      </c>
      <c r="AY59" s="137" t="str">
        <f aca="false">IF(AY$53&lt;Total_Lanes,($BI59*($CH59+CG59)+$CM59*DI59)*Peak_Time_Mor/3600,"-")</f>
        <v>-</v>
      </c>
      <c r="AZ59" s="158" t="n">
        <f aca="false">SUMIF(AE59:AY59,BA59,$AE$53:$AY$53)</f>
        <v>3</v>
      </c>
      <c r="BA59" s="159" t="n">
        <f aca="false">MIN(AE59:AY59)</f>
        <v>7.4051694355708</v>
      </c>
      <c r="BB59" s="158" t="n">
        <f aca="false">IF((SUMIF($BM57:$CG57,$AZ59,$BM59:$CG59)+$CH59)&lt;(SUMIF($CO57:$DI57,$AZ59,$CO59:$DI59)+$DJ59),AZ59+1,AZ59)</f>
        <v>3</v>
      </c>
      <c r="BC59" s="159" t="n">
        <f aca="false">SUMIF($AE$53:$AY$53,$BB59,$AE59:$AY59)</f>
        <v>7.4051694355708</v>
      </c>
      <c r="BF59" s="50" t="n">
        <v>5</v>
      </c>
      <c r="BG59" s="131" t="n">
        <f aca="false">$X59</f>
        <v>0.347136906120865</v>
      </c>
      <c r="BH59" s="57" t="n">
        <f aca="false">$AC59</f>
        <v>2815.22676434422</v>
      </c>
      <c r="BI59" s="135" t="n">
        <f aca="false">BH59*(1-BG59)</f>
        <v>1837.95765534112</v>
      </c>
      <c r="BJ59" s="143" t="n">
        <f aca="false">Peak_Arrival_Manual_Mor/K45</f>
        <v>3.35682543996329</v>
      </c>
      <c r="BK59" s="228" t="n">
        <f aca="false">900*Peak_Time_Mor*($BJ59/Total_Lanes-1+SQRT(($BJ59/Total_Lanes-1)^2+8*($BJ59/Total_Lanes)/(Peak_Time_Mor*$K45*Total_Lanes)))</f>
        <v>0.212781735767109</v>
      </c>
      <c r="BL59" s="143" t="n">
        <f aca="false">Peak_Arrival_Manual_Mor/N45</f>
        <v>3.41107071798551</v>
      </c>
      <c r="BM59" s="229" t="n">
        <f aca="false">IF(BM$6&lt;Total_Lanes,900*Peak_Time_Mor*($BL59/(Total_Lanes-BM$6)-1+SQRT(($BL59/(Total_Lanes-BM$6)-1)^2+8*($BL59/(Total_Lanes-BM$6))/(Peak_Time_Mor*$N45*(Total_Lanes-BM$6)))),"-")</f>
        <v>0.272977922425022</v>
      </c>
      <c r="BN59" s="165" t="n">
        <f aca="false">IF(BN$6&lt;Total_Lanes,900*Peak_Time_Mor*($BL59/(Total_Lanes-BN$6)-1+SQRT(($BL59/(Total_Lanes-BN$6)-1)^2+8*($BL59/(Total_Lanes-BN$6))/(Peak_Time_Mor*$N45*(Total_Lanes-BN$6)))),"-")</f>
        <v>0.345836067822036</v>
      </c>
      <c r="BO59" s="165" t="n">
        <f aca="false">IF(BO$6&lt;Total_Lanes,900*Peak_Time_Mor*($BL59/(Total_Lanes-BO$6)-1+SQRT(($BL59/(Total_Lanes-BO$6)-1)^2+8*($BL59/(Total_Lanes-BO$6))/(Peak_Time_Mor*$N45*(Total_Lanes-BO$6)))),"-")</f>
        <v>0.452990746347326</v>
      </c>
      <c r="BP59" s="165" t="n">
        <f aca="false">IF(BP$6&lt;Total_Lanes,900*Peak_Time_Mor*($BL59/(Total_Lanes-BP$6)-1+SQRT(($BL59/(Total_Lanes-BP$6)-1)^2+8*($BL59/(Total_Lanes-BP$6))/(Peak_Time_Mor*$N45*(Total_Lanes-BP$6)))),"-")</f>
        <v>0.620606890831255</v>
      </c>
      <c r="BQ59" s="165" t="n">
        <f aca="false">IF(BQ$6&lt;Total_Lanes,900*Peak_Time_Mor*($BL59/(Total_Lanes-BQ$6)-1+SQRT(($BL59/(Total_Lanes-BQ$6)-1)^2+8*($BL59/(Total_Lanes-BQ$6))/(Peak_Time_Mor*$N45*(Total_Lanes-BQ$6)))),"-")</f>
        <v>0.906717942901869</v>
      </c>
      <c r="BR59" s="165" t="n">
        <f aca="false">IF(BR$6&lt;Total_Lanes,900*Peak_Time_Mor*($BL59/(Total_Lanes-BR$6)-1+SQRT(($BL59/(Total_Lanes-BR$6)-1)^2+8*($BL59/(Total_Lanes-BR$6))/(Peak_Time_Mor*$N45*(Total_Lanes-BR$6)))),"-")</f>
        <v>1.46577528021563</v>
      </c>
      <c r="BS59" s="165" t="n">
        <f aca="false">IF(BS$6&lt;Total_Lanes,900*Peak_Time_Mor*($BL59/(Total_Lanes-BS$6)-1+SQRT(($BL59/(Total_Lanes-BS$6)-1)^2+8*($BL59/(Total_Lanes-BS$6))/(Peak_Time_Mor*$N45*(Total_Lanes-BS$6)))),"-")</f>
        <v>2.86146845787325</v>
      </c>
      <c r="BT59" s="165" t="n">
        <f aca="false">IF(BT$6&lt;Total_Lanes,900*Peak_Time_Mor*($BL59/(Total_Lanes-BT$6)-1+SQRT(($BL59/(Total_Lanes-BT$6)-1)^2+8*($BL59/(Total_Lanes-BT$6))/(Peak_Time_Mor*$N45*(Total_Lanes-BT$6)))),"-")</f>
        <v>9.50401298644144</v>
      </c>
      <c r="BU59" s="165" t="n">
        <f aca="false">IF(BU$6&lt;Total_Lanes,900*Peak_Time_Mor*($BL59/(Total_Lanes-BU$6)-1+SQRT(($BL59/(Total_Lanes-BU$6)-1)^2+8*($BL59/(Total_Lanes-BU$6))/(Peak_Time_Mor*$N45*(Total_Lanes-BU$6)))),"-")</f>
        <v>511.120360230532</v>
      </c>
      <c r="BV59" s="165" t="n">
        <f aca="false">IF(BV$6&lt;Total_Lanes,900*Peak_Time_Mor*($BL59/(Total_Lanes-BV$6)-1+SQRT(($BL59/(Total_Lanes-BV$6)-1)^2+8*($BL59/(Total_Lanes-BV$6))/(Peak_Time_Mor*$N45*(Total_Lanes-BV$6)))),"-")</f>
        <v>2547.977283535</v>
      </c>
      <c r="BW59" s="230" t="n">
        <f aca="false">IF(BW$6&lt;Total_Lanes,900*Peak_Time_Mor*($BL59/(Total_Lanes-BW$6)-1+SQRT(($BL59/(Total_Lanes-BW$6)-1)^2+8*($BL59/(Total_Lanes-BW$6))/(Peak_Time_Mor*$N45*(Total_Lanes-BW$6)))),"-")</f>
        <v>8689.29663534036</v>
      </c>
      <c r="BX59" s="165" t="str">
        <f aca="false">IF(BX$6&lt;Total_Lanes,900*Peak_Time_Mor*($BL59/(Total_Lanes-BX$6)-1+SQRT(($BL59/(Total_Lanes-BX$6)-1)^2+8*($BL59/(Total_Lanes-BX$6))/(Peak_Time_Mor*$N45*(Total_Lanes-BX$6)))),"-")</f>
        <v>-</v>
      </c>
      <c r="BY59" s="165" t="str">
        <f aca="false">IF(BY$6&lt;Total_Lanes,900*Peak_Time_Mor*($BL59/(Total_Lanes-BY$6)-1+SQRT(($BL59/(Total_Lanes-BY$6)-1)^2+8*($BL59/(Total_Lanes-BY$6))/(Peak_Time_Mor*$N45*(Total_Lanes-BY$6)))),"-")</f>
        <v>-</v>
      </c>
      <c r="BZ59" s="165" t="str">
        <f aca="false">IF(BZ$6&lt;Total_Lanes,900*Peak_Time_Mor*($BL59/(Total_Lanes-BZ$6)-1+SQRT(($BL59/(Total_Lanes-BZ$6)-1)^2+8*($BL59/(Total_Lanes-BZ$6))/(Peak_Time_Mor*$N45*(Total_Lanes-BZ$6)))),"-")</f>
        <v>-</v>
      </c>
      <c r="CA59" s="165" t="str">
        <f aca="false">IF(CA$6&lt;Total_Lanes,900*Peak_Time_Mor*($BL59/(Total_Lanes-CA$6)-1+SQRT(($BL59/(Total_Lanes-CA$6)-1)^2+8*($BL59/(Total_Lanes-CA$6))/(Peak_Time_Mor*$N45*(Total_Lanes-CA$6)))),"-")</f>
        <v>-</v>
      </c>
      <c r="CB59" s="165" t="str">
        <f aca="false">IF(CB$6&lt;Total_Lanes,900*Peak_Time_Mor*($BL59/(Total_Lanes-CB$6)-1+SQRT(($BL59/(Total_Lanes-CB$6)-1)^2+8*($BL59/(Total_Lanes-CB$6))/(Peak_Time_Mor*$N45*(Total_Lanes-CB$6)))),"-")</f>
        <v>-</v>
      </c>
      <c r="CC59" s="165" t="str">
        <f aca="false">IF(CC$6&lt;Total_Lanes,900*Peak_Time_Mor*($BL59/(Total_Lanes-CC$6)-1+SQRT(($BL59/(Total_Lanes-CC$6)-1)^2+8*($BL59/(Total_Lanes-CC$6))/(Peak_Time_Mor*$N45*(Total_Lanes-CC$6)))),"-")</f>
        <v>-</v>
      </c>
      <c r="CD59" s="165" t="str">
        <f aca="false">IF(CD$6&lt;Total_Lanes,900*Peak_Time_Mor*($BL59/(Total_Lanes-CD$6)-1+SQRT(($BL59/(Total_Lanes-CD$6)-1)^2+8*($BL59/(Total_Lanes-CD$6))/(Peak_Time_Mor*$N45*(Total_Lanes-CD$6)))),"-")</f>
        <v>-</v>
      </c>
      <c r="CE59" s="165" t="str">
        <f aca="false">IF(CE$6&lt;Total_Lanes,900*Peak_Time_Mor*($BL59/(Total_Lanes-CE$6)-1+SQRT(($BL59/(Total_Lanes-CE$6)-1)^2+8*($BL59/(Total_Lanes-CE$6))/(Peak_Time_Mor*$N45*(Total_Lanes-CE$6)))),"-")</f>
        <v>-</v>
      </c>
      <c r="CF59" s="165" t="str">
        <f aca="false">IF(CF$6&lt;Total_Lanes,900*Peak_Time_Mor*($BL59/(Total_Lanes-CF$6)-1+SQRT(($BL59/(Total_Lanes-CF$6)-1)^2+8*($BL59/(Total_Lanes-CF$6))/(Peak_Time_Mor*$N45*(Total_Lanes-CF$6)))),"-")</f>
        <v>-</v>
      </c>
      <c r="CG59" s="166" t="str">
        <f aca="false">IF(CG$6&lt;Total_Lanes,900*Peak_Time_Mor*($BL59/(Total_Lanes-CG$6)-1+SQRT(($BL59/(Total_Lanes-CG$6)-1)^2+8*($BL59/(Total_Lanes-CG$6))/(Peak_Time_Mor*$N45*(Total_Lanes-CG$6)))),"-")</f>
        <v>-</v>
      </c>
      <c r="CH59" s="234" t="n">
        <f aca="false">3600/N45</f>
        <v>6.68125</v>
      </c>
      <c r="CJ59" s="50" t="n">
        <v>5</v>
      </c>
      <c r="CK59" s="131" t="n">
        <f aca="false">$X59</f>
        <v>0.347136906120865</v>
      </c>
      <c r="CL59" s="150" t="n">
        <f aca="false">$AC59</f>
        <v>2815.22676434422</v>
      </c>
      <c r="CM59" s="150" t="n">
        <f aca="false">CL59*CK59</f>
        <v>977.269109003109</v>
      </c>
      <c r="CN59" s="161" t="n">
        <f aca="false">CM59/O45</f>
        <v>0.651512739335406</v>
      </c>
      <c r="CO59" s="165" t="n">
        <f aca="false">IF(CO$53&lt;Total_Lanes,900*Peak_Time_Mor*($CN59/CO$53-1+SQRT(($CN59/CO$53-1)^2+8*($CN59/CO$53)/(Peak_Time_Mor*$O45*CO$53))),"-")</f>
        <v>4.47097520697148</v>
      </c>
      <c r="CP59" s="165" t="n">
        <f aca="false">IF(CP$53&lt;Total_Lanes,900*Peak_Time_Mor*($CN59/CP$53-1+SQRT(($CN59/CP$53-1)^2+8*($CN59/CP$53)/(Peak_Time_Mor*$O45*CP$53))),"-")</f>
        <v>0.579633680726288</v>
      </c>
      <c r="CQ59" s="165" t="n">
        <f aca="false">IF(CQ$53&lt;Total_Lanes,900*Peak_Time_Mor*($CN59/CQ$53-1+SQRT(($CN59/CQ$53-1)^2+8*($CN59/CQ$53)/(Peak_Time_Mor*$O45*CQ$53))),"-")</f>
        <v>0.221916959447421</v>
      </c>
      <c r="CR59" s="165" t="n">
        <f aca="false">IF(CR$53&lt;Total_Lanes,900*Peak_Time_Mor*($CN59/CR$53-1+SQRT(($CN59/CR$53-1)^2+8*($CN59/CR$53)/(Peak_Time_Mor*$O45*CR$53))),"-")</f>
        <v>0.116737043167259</v>
      </c>
      <c r="CS59" s="165" t="n">
        <f aca="false">IF(CS$53&lt;Total_Lanes,900*Peak_Time_Mor*($CN59/CS$53-1+SQRT(($CN59/CS$53-1)^2+8*($CN59/CS$53)/(Peak_Time_Mor*$O45*CS$53))),"-")</f>
        <v>0.0719144183347176</v>
      </c>
      <c r="CT59" s="165" t="n">
        <f aca="false">IF(CT$53&lt;Total_Lanes,900*Peak_Time_Mor*($CN59/CT$53-1+SQRT(($CN59/CT$53-1)^2+8*($CN59/CT$53)/(Peak_Time_Mor*$O45*CT$53))),"-")</f>
        <v>0.0487242702984503</v>
      </c>
      <c r="CU59" s="165" t="n">
        <f aca="false">IF(CU$53&lt;Total_Lanes,900*Peak_Time_Mor*($CN59/CU$53-1+SQRT(($CN59/CU$53-1)^2+8*($CN59/CU$53)/(Peak_Time_Mor*$O45*CU$53))),"-")</f>
        <v>0.0351852937463759</v>
      </c>
      <c r="CV59" s="165" t="n">
        <f aca="false">IF(CV$53&lt;Total_Lanes,900*Peak_Time_Mor*($CN59/CV$53-1+SQRT(($CN59/CV$53-1)^2+8*($CN59/CV$53)/(Peak_Time_Mor*$O45*CV$53))),"-")</f>
        <v>0.0265976170052529</v>
      </c>
      <c r="CW59" s="165" t="n">
        <f aca="false">IF(CW$53&lt;Total_Lanes,900*Peak_Time_Mor*($CN59/CW$53-1+SQRT(($CN59/CW$53-1)^2+8*($CN59/CW$53)/(Peak_Time_Mor*$O45*CW$53))),"-")</f>
        <v>0.0208104345589932</v>
      </c>
      <c r="CX59" s="165" t="n">
        <f aca="false">IF(CX$53&lt;Total_Lanes,900*Peak_Time_Mor*($CN59/CX$53-1+SQRT(($CN59/CX$53-1)^2+8*($CN59/CX$53)/(Peak_Time_Mor*$O45*CX$53))),"-")</f>
        <v>0.0167259446345103</v>
      </c>
      <c r="CY59" s="165" t="n">
        <f aca="false">IF(CY$53&lt;Total_Lanes,900*Peak_Time_Mor*($CN59/CY$53-1+SQRT(($CN59/CY$53-1)^2+8*($CN59/CY$53)/(Peak_Time_Mor*$O45*CY$53))),"-")</f>
        <v>0.0137360808333709</v>
      </c>
      <c r="CZ59" s="165" t="str">
        <f aca="false">IF(CZ$53&lt;Total_Lanes,900*Peak_Time_Mor*($CN59/CZ$53-1+SQRT(($CN59/CZ$53-1)^2+8*($CN59/CZ$53)/(Peak_Time_Mor*$O45*CZ$53))),"-")</f>
        <v>-</v>
      </c>
      <c r="DA59" s="165" t="str">
        <f aca="false">IF(DA$53&lt;Total_Lanes,900*Peak_Time_Mor*($CN59/DA$53-1+SQRT(($CN59/DA$53-1)^2+8*($CN59/DA$53)/(Peak_Time_Mor*$O45*DA$53))),"-")</f>
        <v>-</v>
      </c>
      <c r="DB59" s="165" t="str">
        <f aca="false">IF(DB$53&lt;Total_Lanes,900*Peak_Time_Mor*($CN59/DB$53-1+SQRT(($CN59/DB$53-1)^2+8*($CN59/DB$53)/(Peak_Time_Mor*$O45*DB$53))),"-")</f>
        <v>-</v>
      </c>
      <c r="DC59" s="165" t="str">
        <f aca="false">IF(DC$53&lt;Total_Lanes,900*Peak_Time_Mor*($CN59/DC$53-1+SQRT(($CN59/DC$53-1)^2+8*($CN59/DC$53)/(Peak_Time_Mor*$O45*DC$53))),"-")</f>
        <v>-</v>
      </c>
      <c r="DD59" s="165" t="str">
        <f aca="false">IF(DD$53&lt;Total_Lanes,900*Peak_Time_Mor*($CN59/DD$53-1+SQRT(($CN59/DD$53-1)^2+8*($CN59/DD$53)/(Peak_Time_Mor*$O45*DD$53))),"-")</f>
        <v>-</v>
      </c>
      <c r="DE59" s="165" t="str">
        <f aca="false">IF(DE$53&lt;Total_Lanes,900*Peak_Time_Mor*($CN59/DE$53-1+SQRT(($CN59/DE$53-1)^2+8*($CN59/DE$53)/(Peak_Time_Mor*$O45*DE$53))),"-")</f>
        <v>-</v>
      </c>
      <c r="DF59" s="165" t="str">
        <f aca="false">IF(DF$53&lt;Total_Lanes,900*Peak_Time_Mor*($CN59/DF$53-1+SQRT(($CN59/DF$53-1)^2+8*($CN59/DF$53)/(Peak_Time_Mor*$O45*DF$53))),"-")</f>
        <v>-</v>
      </c>
      <c r="DG59" s="165" t="str">
        <f aca="false">IF(DG$53&lt;Total_Lanes,900*Peak_Time_Mor*($CN59/DG$53-1+SQRT(($CN59/DG$53-1)^2+8*($CN59/DG$53)/(Peak_Time_Mor*$O45*DG$53))),"-")</f>
        <v>-</v>
      </c>
      <c r="DH59" s="165" t="str">
        <f aca="false">IF(DH$53&lt;Total_Lanes,900*Peak_Time_Mor*($CN59/DH$53-1+SQRT(($CN59/DH$53-1)^2+8*($CN59/DH$53)/(Peak_Time_Mor*$O45*DH$53))),"-")</f>
        <v>-</v>
      </c>
      <c r="DI59" s="166" t="str">
        <f aca="false">IF(DI$53&lt;Total_Lanes,900*Peak_Time_Mor*($CN59/DI$53-1+SQRT(($CN59/DI$53-1)^2+8*($CN59/DI$53)/(Peak_Time_Mor*$O45*DI$53))),"-")</f>
        <v>-</v>
      </c>
      <c r="DJ59" s="234" t="n">
        <f aca="false">3600/$O45</f>
        <v>2.4</v>
      </c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  <c r="G60" s="4"/>
      <c r="H60" s="235" t="n">
        <v>20</v>
      </c>
      <c r="I60" s="236" t="n">
        <f aca="false">'Input-Detail'!BH33</f>
        <v>0.83</v>
      </c>
      <c r="J60" s="237" t="n">
        <f aca="false">1-I60</f>
        <v>0.17</v>
      </c>
      <c r="K60" s="238" t="n">
        <f aca="false">3600/(Trans_Time_Cash*I60+Trans_Time_Ticket*J60)</f>
        <v>547.528517110266</v>
      </c>
      <c r="L60" s="236" t="n">
        <f aca="false">'Input-Detail'!BJ33</f>
        <v>1</v>
      </c>
      <c r="M60" s="237" t="n">
        <f aca="false">1-L60</f>
        <v>0</v>
      </c>
      <c r="N60" s="238" t="n">
        <f aca="false">3600/(Trans_Time_Cash*L60+Trans_Time_Ticket*M60)</f>
        <v>514.285714285714</v>
      </c>
      <c r="O60" s="238" t="n">
        <f aca="false">3600/Headway_ETC</f>
        <v>1500</v>
      </c>
      <c r="P60" s="4"/>
      <c r="Q60" s="4"/>
      <c r="R60" s="4"/>
      <c r="S60" s="4"/>
      <c r="T60" s="4"/>
      <c r="U60" s="4"/>
      <c r="V60" s="50" t="n">
        <v>6</v>
      </c>
      <c r="W60" s="124" t="n">
        <f aca="false">W13</f>
        <v>22311321.1</v>
      </c>
      <c r="X60" s="131" t="n">
        <f aca="false">X13</f>
        <v>0.398984514248523</v>
      </c>
      <c r="Y60" s="124" t="n">
        <f aca="false">Y13</f>
        <v>9620.9070573769</v>
      </c>
      <c r="Z60" s="133" t="n">
        <f aca="false">W60/Y60</f>
        <v>2319.04548780488</v>
      </c>
      <c r="AA60" s="233" t="n">
        <f aca="false">AA13</f>
        <v>2</v>
      </c>
      <c r="AB60" s="157" t="n">
        <f aca="false">1-AB13</f>
        <v>0.3</v>
      </c>
      <c r="AC60" s="128" t="n">
        <f aca="false">Y60*AB60</f>
        <v>2886.27211721307</v>
      </c>
      <c r="AD60" s="150" t="n">
        <f aca="false">Peak_Time_Mor*$BH60*(CH60+BK60)/3600</f>
        <v>11.0625034836523</v>
      </c>
      <c r="AE60" s="136" t="n">
        <f aca="false">IF(AE$53&lt;Total_Lanes,($BI60*($CH60+BM60)+$CM60*CO60)*Peak_Time_Mor/3600,"-")</f>
        <v>11.7309321145948</v>
      </c>
      <c r="AF60" s="136" t="n">
        <f aca="false">IF(AF$53&lt;Total_Lanes,($BI60*($CH60+BN60)+$CM60*CP60)*Peak_Time_Mor/3600,"-")</f>
        <v>7.24554862459894</v>
      </c>
      <c r="AG60" s="136" t="n">
        <f aca="false">IF(AG$53&lt;Total_Lanes,($BI60*($CH60+BO60)+$CM60*CQ60)*Peak_Time_Mor/3600,"-")</f>
        <v>7.03695600993758</v>
      </c>
      <c r="AH60" s="136" t="n">
        <f aca="false">IF(AH$53&lt;Total_Lanes,($BI60*($CH60+BP60)+$CM60*CR60)*Peak_Time_Mor/3600,"-")</f>
        <v>7.09699578301969</v>
      </c>
      <c r="AI60" s="136" t="n">
        <f aca="false">IF(AI$53&lt;Total_Lanes,($BI60*($CH60+BQ60)+$CM60*CS60)*Peak_Time_Mor/3600,"-")</f>
        <v>7.30513082387855</v>
      </c>
      <c r="AJ60" s="136" t="n">
        <f aca="false">IF(AJ$53&lt;Total_Lanes,($BI60*($CH60+BR60)+$CM60*CT60)*Peak_Time_Mor/3600,"-")</f>
        <v>7.75094180298837</v>
      </c>
      <c r="AK60" s="136" t="n">
        <f aca="false">IF(AK$53&lt;Total_Lanes,($BI60*($CH60+BS60)+$CM60*CU60)*Peak_Time_Mor/3600,"-")</f>
        <v>8.83862008629076</v>
      </c>
      <c r="AL60" s="136" t="n">
        <f aca="false">IF(AL$53&lt;Total_Lanes,($BI60*($CH60+BT60)+$CM60*CV60)*Peak_Time_Mor/3600,"-")</f>
        <v>13.1826931123329</v>
      </c>
      <c r="AM60" s="136" t="n">
        <f aca="false">IF(AM$53&lt;Total_Lanes,($BI60*($CH60+BU60)+$CM60*CW60)*Peak_Time_Mor/3600,"-")</f>
        <v>299.515168648824</v>
      </c>
      <c r="AN60" s="136" t="n">
        <f aca="false">IF(AN$53&lt;Total_Lanes,($BI60*($CH60+BV60)+$CM60*CX60)*Peak_Time_Mor/3600,"-")</f>
        <v>2148.01117827073</v>
      </c>
      <c r="AO60" s="136" t="n">
        <f aca="false">IF(AO$53&lt;Total_Lanes,($BI60*($CH60+BW60)+$CM60*CY60)*Peak_Time_Mor/3600,"-")</f>
        <v>7751.38323877557</v>
      </c>
      <c r="AP60" s="136" t="str">
        <f aca="false">IF(AP$53&lt;Total_Lanes,($BI60*($CH60+BX60)+$CM60*CZ60)*Peak_Time_Mor/3600,"-")</f>
        <v>-</v>
      </c>
      <c r="AQ60" s="136" t="str">
        <f aca="false">IF(AQ$53&lt;Total_Lanes,($BI60*($CH60+BY60)+$CM60*DA60)*Peak_Time_Mor/3600,"-")</f>
        <v>-</v>
      </c>
      <c r="AR60" s="136" t="str">
        <f aca="false">IF(AR$53&lt;Total_Lanes,($BI60*($CH60+BZ60)+$CM60*DB60)*Peak_Time_Mor/3600,"-")</f>
        <v>-</v>
      </c>
      <c r="AS60" s="136" t="str">
        <f aca="false">IF(AS$53&lt;Total_Lanes,($BI60*($CH60+CA60)+$CM60*DC60)*Peak_Time_Mor/3600,"-")</f>
        <v>-</v>
      </c>
      <c r="AT60" s="136" t="str">
        <f aca="false">IF(AT$53&lt;Total_Lanes,($BI60*($CH60+CB60)+$CM60*DD60)*Peak_Time_Mor/3600,"-")</f>
        <v>-</v>
      </c>
      <c r="AU60" s="136" t="str">
        <f aca="false">IF(AU$53&lt;Total_Lanes,($BI60*($CH60+CC60)+$CM60*DE60)*Peak_Time_Mor/3600,"-")</f>
        <v>-</v>
      </c>
      <c r="AV60" s="136" t="str">
        <f aca="false">IF(AV$53&lt;Total_Lanes,($BI60*($CH60+CD60)+$CM60*DF60)*Peak_Time_Mor/3600,"-")</f>
        <v>-</v>
      </c>
      <c r="AW60" s="136" t="str">
        <f aca="false">IF(AW$53&lt;Total_Lanes,($BI60*($CH60+CE60)+$CM60*DG60)*Peak_Time_Mor/3600,"-")</f>
        <v>-</v>
      </c>
      <c r="AX60" s="136" t="str">
        <f aca="false">IF(AX$53&lt;Total_Lanes,($BI60*($CH60+CF60)+$CM60*DH60)*Peak_Time_Mor/3600,"-")</f>
        <v>-</v>
      </c>
      <c r="AY60" s="137" t="str">
        <f aca="false">IF(AY$53&lt;Total_Lanes,($BI60*($CH60+CG60)+$CM60*DI60)*Peak_Time_Mor/3600,"-")</f>
        <v>-</v>
      </c>
      <c r="AZ60" s="158" t="n">
        <f aca="false">SUMIF(AE60:AY60,BA60,$AE$53:$AY$53)</f>
        <v>3</v>
      </c>
      <c r="BA60" s="159" t="n">
        <f aca="false">MIN(AE60:AY60)</f>
        <v>7.03695600993758</v>
      </c>
      <c r="BB60" s="158" t="n">
        <f aca="false">IF((SUMIF($BM58:$CG58,$AZ60,$BM60:$CG60)+$CH60)&lt;(SUMIF($CO58:$DI58,$AZ60,$CO60:$DI60)+$DJ60),AZ60+1,AZ60)</f>
        <v>3</v>
      </c>
      <c r="BC60" s="159" t="n">
        <f aca="false">SUMIF($AE$53:$AY$53,$BB60,$AE60:$AY60)</f>
        <v>7.03695600993758</v>
      </c>
      <c r="BF60" s="50" t="n">
        <v>6</v>
      </c>
      <c r="BG60" s="131" t="n">
        <f aca="false">$X60</f>
        <v>0.398984514248523</v>
      </c>
      <c r="BH60" s="57" t="n">
        <f aca="false">$AC60</f>
        <v>2886.27211721307</v>
      </c>
      <c r="BI60" s="135" t="n">
        <f aca="false">BH60*(1-BG60)</f>
        <v>1734.69423853776</v>
      </c>
      <c r="BJ60" s="143" t="n">
        <f aca="false">Peak_Arrival_Manual_Mor/K46</f>
        <v>3.16822628288493</v>
      </c>
      <c r="BK60" s="228" t="n">
        <f aca="false">900*Peak_Time_Mor*($BJ60/Total_Lanes-1+SQRT(($BJ60/Total_Lanes-1)^2+8*($BJ60/Total_Lanes)/(Peak_Time_Mor*$K46*Total_Lanes)))</f>
        <v>0.196539820888875</v>
      </c>
      <c r="BL60" s="143" t="n">
        <f aca="false">Peak_Arrival_Manual_Mor/N46</f>
        <v>3.22966337049981</v>
      </c>
      <c r="BM60" s="229" t="n">
        <f aca="false">IF(BM$6&lt;Total_Lanes,900*Peak_Time_Mor*($BL60/(Total_Lanes-BM$6)-1+SQRT(($BL60/(Total_Lanes-BM$6)-1)^2+8*($BL60/(Total_Lanes-BM$6))/(Peak_Time_Mor*$N46*(Total_Lanes-BM$6)))),"-")</f>
        <v>0.25323184373387</v>
      </c>
      <c r="BN60" s="165" t="n">
        <f aca="false">IF(BN$6&lt;Total_Lanes,900*Peak_Time_Mor*($BL60/(Total_Lanes-BN$6)-1+SQRT(($BL60/(Total_Lanes-BN$6)-1)^2+8*($BL60/(Total_Lanes-BN$6))/(Peak_Time_Mor*$N46*(Total_Lanes-BN$6)))),"-")</f>
        <v>0.319688385052253</v>
      </c>
      <c r="BO60" s="165" t="n">
        <f aca="false">IF(BO$6&lt;Total_Lanes,900*Peak_Time_Mor*($BL60/(Total_Lanes-BO$6)-1+SQRT(($BL60/(Total_Lanes-BO$6)-1)^2+8*($BL60/(Total_Lanes-BO$6))/(Peak_Time_Mor*$N46*(Total_Lanes-BO$6)))),"-")</f>
        <v>0.416746550936797</v>
      </c>
      <c r="BP60" s="165" t="n">
        <f aca="false">IF(BP$6&lt;Total_Lanes,900*Peak_Time_Mor*($BL60/(Total_Lanes-BP$6)-1+SQRT(($BL60/(Total_Lanes-BP$6)-1)^2+8*($BL60/(Total_Lanes-BP$6))/(Peak_Time_Mor*$N46*(Total_Lanes-BP$6)))),"-")</f>
        <v>0.56707480921514</v>
      </c>
      <c r="BQ60" s="165" t="n">
        <f aca="false">IF(BQ$6&lt;Total_Lanes,900*Peak_Time_Mor*($BL60/(Total_Lanes-BQ$6)-1+SQRT(($BL60/(Total_Lanes-BQ$6)-1)^2+8*($BL60/(Total_Lanes-BQ$6))/(Peak_Time_Mor*$N46*(Total_Lanes-BQ$6)))),"-")</f>
        <v>0.819846084669496</v>
      </c>
      <c r="BR60" s="165" t="n">
        <f aca="false">IF(BR$6&lt;Total_Lanes,900*Peak_Time_Mor*($BL60/(Total_Lanes-BR$6)-1+SQRT(($BL60/(Total_Lanes-BR$6)-1)^2+8*($BL60/(Total_Lanes-BR$6))/(Peak_Time_Mor*$N46*(Total_Lanes-BR$6)))),"-")</f>
        <v>1.30127901183447</v>
      </c>
      <c r="BS60" s="165" t="n">
        <f aca="false">IF(BS$6&lt;Total_Lanes,900*Peak_Time_Mor*($BL60/(Total_Lanes-BS$6)-1+SQRT(($BL60/(Total_Lanes-BS$6)-1)^2+8*($BL60/(Total_Lanes-BS$6))/(Peak_Time_Mor*$N46*(Total_Lanes-BS$6)))),"-")</f>
        <v>2.44082914320249</v>
      </c>
      <c r="BT60" s="165" t="n">
        <f aca="false">IF(BT$6&lt;Total_Lanes,900*Peak_Time_Mor*($BL60/(Total_Lanes-BT$6)-1+SQRT(($BL60/(Total_Lanes-BT$6)-1)^2+8*($BL60/(Total_Lanes-BT$6))/(Peak_Time_Mor*$N46*(Total_Lanes-BT$6)))),"-")</f>
        <v>6.95533944400635</v>
      </c>
      <c r="BU60" s="165" t="n">
        <f aca="false">IF(BU$6&lt;Total_Lanes,900*Peak_Time_Mor*($BL60/(Total_Lanes-BU$6)-1+SQRT(($BL60/(Total_Lanes-BU$6)-1)^2+8*($BL60/(Total_Lanes-BU$6))/(Peak_Time_Mor*$N46*(Total_Lanes-BU$6)))),"-")</f>
        <v>304.071960263927</v>
      </c>
      <c r="BV60" s="165" t="n">
        <f aca="false">IF(BV$6&lt;Total_Lanes,900*Peak_Time_Mor*($BL60/(Total_Lanes-BV$6)-1+SQRT(($BL60/(Total_Lanes-BV$6)-1)^2+8*($BL60/(Total_Lanes-BV$6))/(Peak_Time_Mor*$N46*(Total_Lanes-BV$6)))),"-")</f>
        <v>2222.16126896496</v>
      </c>
      <c r="BW60" s="230" t="n">
        <f aca="false">IF(BW$6&lt;Total_Lanes,900*Peak_Time_Mor*($BL60/(Total_Lanes-BW$6)-1+SQRT(($BL60/(Total_Lanes-BW$6)-1)^2+8*($BL60/(Total_Lanes-BW$6))/(Peak_Time_Mor*$N46*(Total_Lanes-BW$6)))),"-")</f>
        <v>8036.48497858586</v>
      </c>
      <c r="BX60" s="165" t="str">
        <f aca="false">IF(BX$6&lt;Total_Lanes,900*Peak_Time_Mor*($BL60/(Total_Lanes-BX$6)-1+SQRT(($BL60/(Total_Lanes-BX$6)-1)^2+8*($BL60/(Total_Lanes-BX$6))/(Peak_Time_Mor*$N46*(Total_Lanes-BX$6)))),"-")</f>
        <v>-</v>
      </c>
      <c r="BY60" s="165" t="str">
        <f aca="false">IF(BY$6&lt;Total_Lanes,900*Peak_Time_Mor*($BL60/(Total_Lanes-BY$6)-1+SQRT(($BL60/(Total_Lanes-BY$6)-1)^2+8*($BL60/(Total_Lanes-BY$6))/(Peak_Time_Mor*$N46*(Total_Lanes-BY$6)))),"-")</f>
        <v>-</v>
      </c>
      <c r="BZ60" s="165" t="str">
        <f aca="false">IF(BZ$6&lt;Total_Lanes,900*Peak_Time_Mor*($BL60/(Total_Lanes-BZ$6)-1+SQRT(($BL60/(Total_Lanes-BZ$6)-1)^2+8*($BL60/(Total_Lanes-BZ$6))/(Peak_Time_Mor*$N46*(Total_Lanes-BZ$6)))),"-")</f>
        <v>-</v>
      </c>
      <c r="CA60" s="165" t="str">
        <f aca="false">IF(CA$6&lt;Total_Lanes,900*Peak_Time_Mor*($BL60/(Total_Lanes-CA$6)-1+SQRT(($BL60/(Total_Lanes-CA$6)-1)^2+8*($BL60/(Total_Lanes-CA$6))/(Peak_Time_Mor*$N46*(Total_Lanes-CA$6)))),"-")</f>
        <v>-</v>
      </c>
      <c r="CB60" s="165" t="str">
        <f aca="false">IF(CB$6&lt;Total_Lanes,900*Peak_Time_Mor*($BL60/(Total_Lanes-CB$6)-1+SQRT(($BL60/(Total_Lanes-CB$6)-1)^2+8*($BL60/(Total_Lanes-CB$6))/(Peak_Time_Mor*$N46*(Total_Lanes-CB$6)))),"-")</f>
        <v>-</v>
      </c>
      <c r="CC60" s="165" t="str">
        <f aca="false">IF(CC$6&lt;Total_Lanes,900*Peak_Time_Mor*($BL60/(Total_Lanes-CC$6)-1+SQRT(($BL60/(Total_Lanes-CC$6)-1)^2+8*($BL60/(Total_Lanes-CC$6))/(Peak_Time_Mor*$N46*(Total_Lanes-CC$6)))),"-")</f>
        <v>-</v>
      </c>
      <c r="CD60" s="165" t="str">
        <f aca="false">IF(CD$6&lt;Total_Lanes,900*Peak_Time_Mor*($BL60/(Total_Lanes-CD$6)-1+SQRT(($BL60/(Total_Lanes-CD$6)-1)^2+8*($BL60/(Total_Lanes-CD$6))/(Peak_Time_Mor*$N46*(Total_Lanes-CD$6)))),"-")</f>
        <v>-</v>
      </c>
      <c r="CE60" s="165" t="str">
        <f aca="false">IF(CE$6&lt;Total_Lanes,900*Peak_Time_Mor*($BL60/(Total_Lanes-CE$6)-1+SQRT(($BL60/(Total_Lanes-CE$6)-1)^2+8*($BL60/(Total_Lanes-CE$6))/(Peak_Time_Mor*$N46*(Total_Lanes-CE$6)))),"-")</f>
        <v>-</v>
      </c>
      <c r="CF60" s="165" t="str">
        <f aca="false">IF(CF$6&lt;Total_Lanes,900*Peak_Time_Mor*($BL60/(Total_Lanes-CF$6)-1+SQRT(($BL60/(Total_Lanes-CF$6)-1)^2+8*($BL60/(Total_Lanes-CF$6))/(Peak_Time_Mor*$N46*(Total_Lanes-CF$6)))),"-")</f>
        <v>-</v>
      </c>
      <c r="CG60" s="166" t="str">
        <f aca="false">IF(CG$6&lt;Total_Lanes,900*Peak_Time_Mor*($BL60/(Total_Lanes-CG$6)-1+SQRT(($BL60/(Total_Lanes-CG$6)-1)^2+8*($BL60/(Total_Lanes-CG$6))/(Peak_Time_Mor*$N46*(Total_Lanes-CG$6)))),"-")</f>
        <v>-</v>
      </c>
      <c r="CH60" s="234" t="n">
        <f aca="false">3600/N46</f>
        <v>6.7025</v>
      </c>
      <c r="CJ60" s="50" t="n">
        <v>6</v>
      </c>
      <c r="CK60" s="131" t="n">
        <f aca="false">$X60</f>
        <v>0.398984514248523</v>
      </c>
      <c r="CL60" s="150" t="n">
        <f aca="false">$AC60</f>
        <v>2886.27211721307</v>
      </c>
      <c r="CM60" s="150" t="n">
        <f aca="false">CL60*CK60</f>
        <v>1151.57787867531</v>
      </c>
      <c r="CN60" s="161" t="n">
        <f aca="false">CM60/O46</f>
        <v>0.767718585783542</v>
      </c>
      <c r="CO60" s="165" t="n">
        <f aca="false">IF(CO$53&lt;Total_Lanes,900*Peak_Time_Mor*($CN60/CO$53-1+SQRT(($CN60/CO$53-1)^2+8*($CN60/CO$53)/(Peak_Time_Mor*$O46*CO$53))),"-")</f>
        <v>7.85844363608469</v>
      </c>
      <c r="CP60" s="165" t="n">
        <f aca="false">IF(CP$53&lt;Total_Lanes,900*Peak_Time_Mor*($CN60/CP$53-1+SQRT(($CN60/CP$53-1)^2+8*($CN60/CP$53)/(Peak_Time_Mor*$O46*CP$53))),"-")</f>
        <v>0.747355265100436</v>
      </c>
      <c r="CQ60" s="165" t="n">
        <f aca="false">IF(CQ$53&lt;Total_Lanes,900*Peak_Time_Mor*($CN60/CQ$53-1+SQRT(($CN60/CQ$53-1)^2+8*($CN60/CQ$53)/(Peak_Time_Mor*$O46*CQ$53))),"-")</f>
        <v>0.275105009495502</v>
      </c>
      <c r="CR60" s="165" t="n">
        <f aca="false">IF(CR$53&lt;Total_Lanes,900*Peak_Time_Mor*($CN60/CR$53-1+SQRT(($CN60/CR$53-1)^2+8*($CN60/CR$53)/(Peak_Time_Mor*$O46*CR$53))),"-")</f>
        <v>0.142502625579688</v>
      </c>
      <c r="CS60" s="165" t="n">
        <f aca="false">IF(CS$53&lt;Total_Lanes,900*Peak_Time_Mor*($CN60/CS$53-1+SQRT(($CN60/CS$53-1)^2+8*($CN60/CS$53)/(Peak_Time_Mor*$O46*CS$53))),"-")</f>
        <v>0.0870675544180299</v>
      </c>
      <c r="CT60" s="165" t="n">
        <f aca="false">IF(CT$53&lt;Total_Lanes,900*Peak_Time_Mor*($CN60/CT$53-1+SQRT(($CN60/CT$53-1)^2+8*($CN60/CT$53)/(Peak_Time_Mor*$O46*CT$53))),"-")</f>
        <v>0.0586898274723247</v>
      </c>
      <c r="CU60" s="165" t="n">
        <f aca="false">IF(CU$53&lt;Total_Lanes,900*Peak_Time_Mor*($CN60/CU$53-1+SQRT(($CN60/CU$53-1)^2+8*($CN60/CU$53)/(Peak_Time_Mor*$O46*CU$53))),"-")</f>
        <v>0.0422340255542109</v>
      </c>
      <c r="CV60" s="165" t="n">
        <f aca="false">IF(CV$53&lt;Total_Lanes,900*Peak_Time_Mor*($CN60/CV$53-1+SQRT(($CN60/CV$53-1)^2+8*($CN60/CV$53)/(Peak_Time_Mor*$O46*CV$53))),"-")</f>
        <v>0.0318451825853217</v>
      </c>
      <c r="CW60" s="165" t="n">
        <f aca="false">IF(CW$53&lt;Total_Lanes,900*Peak_Time_Mor*($CN60/CW$53-1+SQRT(($CN60/CW$53-1)^2+8*($CN60/CW$53)/(Peak_Time_Mor*$O46*CW$53))),"-")</f>
        <v>0.024868368781239</v>
      </c>
      <c r="CX60" s="165" t="n">
        <f aca="false">IF(CX$53&lt;Total_Lanes,900*Peak_Time_Mor*($CN60/CX$53-1+SQRT(($CN60/CX$53-1)^2+8*($CN60/CX$53)/(Peak_Time_Mor*$O46*CX$53))),"-")</f>
        <v>0.019957293972217</v>
      </c>
      <c r="CY60" s="165" t="n">
        <f aca="false">IF(CY$53&lt;Total_Lanes,900*Peak_Time_Mor*($CN60/CY$53-1+SQRT(($CN60/CY$53-1)^2+8*($CN60/CY$53)/(Peak_Time_Mor*$O46*CY$53))),"-")</f>
        <v>0.0163698994691597</v>
      </c>
      <c r="CZ60" s="165" t="str">
        <f aca="false">IF(CZ$53&lt;Total_Lanes,900*Peak_Time_Mor*($CN60/CZ$53-1+SQRT(($CN60/CZ$53-1)^2+8*($CN60/CZ$53)/(Peak_Time_Mor*$O46*CZ$53))),"-")</f>
        <v>-</v>
      </c>
      <c r="DA60" s="165" t="str">
        <f aca="false">IF(DA$53&lt;Total_Lanes,900*Peak_Time_Mor*($CN60/DA$53-1+SQRT(($CN60/DA$53-1)^2+8*($CN60/DA$53)/(Peak_Time_Mor*$O46*DA$53))),"-")</f>
        <v>-</v>
      </c>
      <c r="DB60" s="165" t="str">
        <f aca="false">IF(DB$53&lt;Total_Lanes,900*Peak_Time_Mor*($CN60/DB$53-1+SQRT(($CN60/DB$53-1)^2+8*($CN60/DB$53)/(Peak_Time_Mor*$O46*DB$53))),"-")</f>
        <v>-</v>
      </c>
      <c r="DC60" s="165" t="str">
        <f aca="false">IF(DC$53&lt;Total_Lanes,900*Peak_Time_Mor*($CN60/DC$53-1+SQRT(($CN60/DC$53-1)^2+8*($CN60/DC$53)/(Peak_Time_Mor*$O46*DC$53))),"-")</f>
        <v>-</v>
      </c>
      <c r="DD60" s="165" t="str">
        <f aca="false">IF(DD$53&lt;Total_Lanes,900*Peak_Time_Mor*($CN60/DD$53-1+SQRT(($CN60/DD$53-1)^2+8*($CN60/DD$53)/(Peak_Time_Mor*$O46*DD$53))),"-")</f>
        <v>-</v>
      </c>
      <c r="DE60" s="165" t="str">
        <f aca="false">IF(DE$53&lt;Total_Lanes,900*Peak_Time_Mor*($CN60/DE$53-1+SQRT(($CN60/DE$53-1)^2+8*($CN60/DE$53)/(Peak_Time_Mor*$O46*DE$53))),"-")</f>
        <v>-</v>
      </c>
      <c r="DF60" s="165" t="str">
        <f aca="false">IF(DF$53&lt;Total_Lanes,900*Peak_Time_Mor*($CN60/DF$53-1+SQRT(($CN60/DF$53-1)^2+8*($CN60/DF$53)/(Peak_Time_Mor*$O46*DF$53))),"-")</f>
        <v>-</v>
      </c>
      <c r="DG60" s="165" t="str">
        <f aca="false">IF(DG$53&lt;Total_Lanes,900*Peak_Time_Mor*($CN60/DG$53-1+SQRT(($CN60/DG$53-1)^2+8*($CN60/DG$53)/(Peak_Time_Mor*$O46*DG$53))),"-")</f>
        <v>-</v>
      </c>
      <c r="DH60" s="165" t="str">
        <f aca="false">IF(DH$53&lt;Total_Lanes,900*Peak_Time_Mor*($CN60/DH$53-1+SQRT(($CN60/DH$53-1)^2+8*($CN60/DH$53)/(Peak_Time_Mor*$O46*DH$53))),"-")</f>
        <v>-</v>
      </c>
      <c r="DI60" s="166" t="str">
        <f aca="false">IF(DI$53&lt;Total_Lanes,900*Peak_Time_Mor*($CN60/DI$53-1+SQRT(($CN60/DI$53-1)^2+8*($CN60/DI$53)/(Peak_Time_Mor*$O46*DI$53))),"-")</f>
        <v>-</v>
      </c>
      <c r="DJ60" s="234" t="n">
        <f aca="false">3600/$O46</f>
        <v>2.4</v>
      </c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customFormat="false" ht="12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0" t="n">
        <v>7</v>
      </c>
      <c r="W61" s="124" t="n">
        <f aca="false">W14</f>
        <v>22860512.45</v>
      </c>
      <c r="X61" s="131" t="n">
        <f aca="false">X14</f>
        <v>0.44881248351123</v>
      </c>
      <c r="Y61" s="124" t="n">
        <f aca="false">Y14</f>
        <v>9857.72490027305</v>
      </c>
      <c r="Z61" s="133" t="n">
        <f aca="false">W61/Y61</f>
        <v>2319.04548780488</v>
      </c>
      <c r="AA61" s="233" t="n">
        <f aca="false">AA14</f>
        <v>2</v>
      </c>
      <c r="AB61" s="157" t="n">
        <f aca="false">1-AB14</f>
        <v>0.3</v>
      </c>
      <c r="AC61" s="128" t="n">
        <f aca="false">Y61*AB61</f>
        <v>2957.31747008191</v>
      </c>
      <c r="AD61" s="150" t="n">
        <f aca="false">Peak_Time_Mor*$BH61*(CH61+BK61)/3600</f>
        <v>11.3438115978447</v>
      </c>
      <c r="AE61" s="136" t="n">
        <f aca="false">IF(AE$53&lt;Total_Lanes,($BI61*($CH61+BM61)+$CM61*CO61)*Peak_Time_Mor/3600,"-")</f>
        <v>19.3436566855559</v>
      </c>
      <c r="AF61" s="136" t="n">
        <f aca="false">IF(AF$53&lt;Total_Lanes,($BI61*($CH61+BN61)+$CM61*CP61)*Peak_Time_Mor/3600,"-")</f>
        <v>7.05712956516619</v>
      </c>
      <c r="AG61" s="136" t="n">
        <f aca="false">IF(AG$53&lt;Total_Lanes,($BI61*($CH61+BO61)+$CM61*CQ61)*Peak_Time_Mor/3600,"-")</f>
        <v>6.68139989485443</v>
      </c>
      <c r="AH61" s="136" t="n">
        <f aca="false">IF(AH$53&lt;Total_Lanes,($BI61*($CH61+BP61)+$CM61*CR61)*Peak_Time_Mor/3600,"-")</f>
        <v>6.68200420770469</v>
      </c>
      <c r="AI61" s="136" t="n">
        <f aca="false">IF(AI$53&lt;Total_Lanes,($BI61*($CH61+BQ61)+$CM61*CS61)*Peak_Time_Mor/3600,"-")</f>
        <v>6.83420289466776</v>
      </c>
      <c r="AJ61" s="136" t="n">
        <f aca="false">IF(AJ$53&lt;Total_Lanes,($BI61*($CH61+BR61)+$CM61*CT61)*Peak_Time_Mor/3600,"-")</f>
        <v>7.18453081097718</v>
      </c>
      <c r="AK61" s="136" t="n">
        <f aca="false">IF(AK$53&lt;Total_Lanes,($BI61*($CH61+BS61)+$CM61*CU61)*Peak_Time_Mor/3600,"-")</f>
        <v>8.01846899645681</v>
      </c>
      <c r="AL61" s="136" t="n">
        <f aca="false">IF(AL$53&lt;Total_Lanes,($BI61*($CH61+BT61)+$CM61*CV61)*Peak_Time_Mor/3600,"-")</f>
        <v>10.936319293953</v>
      </c>
      <c r="AM61" s="136" t="n">
        <f aca="false">IF(AM$53&lt;Total_Lanes,($BI61*($CH61+BU61)+$CM61*CW61)*Peak_Time_Mor/3600,"-")</f>
        <v>115.678404450511</v>
      </c>
      <c r="AN61" s="136" t="n">
        <f aca="false">IF(AN$53&lt;Total_Lanes,($BI61*($CH61+BV61)+$CM61*CX61)*Peak_Time_Mor/3600,"-")</f>
        <v>1717.39792244294</v>
      </c>
      <c r="AO61" s="136" t="n">
        <f aca="false">IF(AO$53&lt;Total_Lanes,($BI61*($CH61+BW61)+$CM61*CY61)*Peak_Time_Mor/3600,"-")</f>
        <v>6680.15750624379</v>
      </c>
      <c r="AP61" s="136" t="str">
        <f aca="false">IF(AP$53&lt;Total_Lanes,($BI61*($CH61+BX61)+$CM61*CZ61)*Peak_Time_Mor/3600,"-")</f>
        <v>-</v>
      </c>
      <c r="AQ61" s="136" t="str">
        <f aca="false">IF(AQ$53&lt;Total_Lanes,($BI61*($CH61+BY61)+$CM61*DA61)*Peak_Time_Mor/3600,"-")</f>
        <v>-</v>
      </c>
      <c r="AR61" s="136" t="str">
        <f aca="false">IF(AR$53&lt;Total_Lanes,($BI61*($CH61+BZ61)+$CM61*DB61)*Peak_Time_Mor/3600,"-")</f>
        <v>-</v>
      </c>
      <c r="AS61" s="136" t="str">
        <f aca="false">IF(AS$53&lt;Total_Lanes,($BI61*($CH61+CA61)+$CM61*DC61)*Peak_Time_Mor/3600,"-")</f>
        <v>-</v>
      </c>
      <c r="AT61" s="136" t="str">
        <f aca="false">IF(AT$53&lt;Total_Lanes,($BI61*($CH61+CB61)+$CM61*DD61)*Peak_Time_Mor/3600,"-")</f>
        <v>-</v>
      </c>
      <c r="AU61" s="136" t="str">
        <f aca="false">IF(AU$53&lt;Total_Lanes,($BI61*($CH61+CC61)+$CM61*DE61)*Peak_Time_Mor/3600,"-")</f>
        <v>-</v>
      </c>
      <c r="AV61" s="136" t="str">
        <f aca="false">IF(AV$53&lt;Total_Lanes,($BI61*($CH61+CD61)+$CM61*DF61)*Peak_Time_Mor/3600,"-")</f>
        <v>-</v>
      </c>
      <c r="AW61" s="136" t="str">
        <f aca="false">IF(AW$53&lt;Total_Lanes,($BI61*($CH61+CE61)+$CM61*DG61)*Peak_Time_Mor/3600,"-")</f>
        <v>-</v>
      </c>
      <c r="AX61" s="136" t="str">
        <f aca="false">IF(AX$53&lt;Total_Lanes,($BI61*($CH61+CF61)+$CM61*DH61)*Peak_Time_Mor/3600,"-")</f>
        <v>-</v>
      </c>
      <c r="AY61" s="137" t="str">
        <f aca="false">IF(AY$53&lt;Total_Lanes,($BI61*($CH61+CG61)+$CM61*DI61)*Peak_Time_Mor/3600,"-")</f>
        <v>-</v>
      </c>
      <c r="AZ61" s="158" t="n">
        <f aca="false">SUMIF(AE61:AY61,BA61,$AE$53:$AY$53)</f>
        <v>3</v>
      </c>
      <c r="BA61" s="159" t="n">
        <f aca="false">MIN(AE61:AY61)</f>
        <v>6.68139989485443</v>
      </c>
      <c r="BB61" s="158" t="n">
        <f aca="false">IF((SUMIF($BM59:$CG59,$AZ61,$BM61:$CG61)+$CH61)&lt;(SUMIF($CO59:$DI59,$AZ61,$CO61:$DI61)+$DJ61),AZ61+1,AZ61)</f>
        <v>3</v>
      </c>
      <c r="BC61" s="159" t="n">
        <f aca="false">SUMIF($AE$53:$AY$53,$BB61,$AE61:$AY61)</f>
        <v>6.68139989485443</v>
      </c>
      <c r="BF61" s="50" t="n">
        <v>7</v>
      </c>
      <c r="BG61" s="131" t="n">
        <f aca="false">$X61</f>
        <v>0.44881248351123</v>
      </c>
      <c r="BH61" s="57" t="n">
        <f aca="false">$AC61</f>
        <v>2957.31747008191</v>
      </c>
      <c r="BI61" s="135" t="n">
        <f aca="false">BH61*(1-BG61)</f>
        <v>1630.0364718033</v>
      </c>
      <c r="BJ61" s="143" t="n">
        <f aca="false">Peak_Arrival_Manual_Mor/K47</f>
        <v>2.9770805005852</v>
      </c>
      <c r="BK61" s="228" t="n">
        <f aca="false">900*Peak_Time_Mor*($BJ61/Total_Lanes-1+SQRT(($BJ61/Total_Lanes-1)^2+8*($BJ61/Total_Lanes)/(Peak_Time_Mor*$K47*Total_Lanes)))</f>
        <v>0.180771101535604</v>
      </c>
      <c r="BL61" s="143" t="n">
        <f aca="false">Peak_Arrival_Manual_Mor/N47</f>
        <v>3.04443270202429</v>
      </c>
      <c r="BM61" s="229" t="n">
        <f aca="false">IF(BM$6&lt;Total_Lanes,900*Peak_Time_Mor*($BL61/(Total_Lanes-BM$6)-1+SQRT(($BL61/(Total_Lanes-BM$6)-1)^2+8*($BL61/(Total_Lanes-BM$6))/(Peak_Time_Mor*$N47*(Total_Lanes-BM$6)))),"-")</f>
        <v>0.233891847562928</v>
      </c>
      <c r="BN61" s="165" t="n">
        <f aca="false">IF(BN$6&lt;Total_Lanes,900*Peak_Time_Mor*($BL61/(Total_Lanes-BN$6)-1+SQRT(($BL61/(Total_Lanes-BN$6)-1)^2+8*($BL61/(Total_Lanes-BN$6))/(Peak_Time_Mor*$N47*(Total_Lanes-BN$6)))),"-")</f>
        <v>0.29426211005319</v>
      </c>
      <c r="BO61" s="165" t="n">
        <f aca="false">IF(BO$6&lt;Total_Lanes,900*Peak_Time_Mor*($BL61/(Total_Lanes-BO$6)-1+SQRT(($BL61/(Total_Lanes-BO$6)-1)^2+8*($BL61/(Total_Lanes-BO$6))/(Peak_Time_Mor*$N47*(Total_Lanes-BO$6)))),"-")</f>
        <v>0.381841109465375</v>
      </c>
      <c r="BP61" s="165" t="n">
        <f aca="false">IF(BP$6&lt;Total_Lanes,900*Peak_Time_Mor*($BL61/(Total_Lanes-BP$6)-1+SQRT(($BL61/(Total_Lanes-BP$6)-1)^2+8*($BL61/(Total_Lanes-BP$6))/(Peak_Time_Mor*$N47*(Total_Lanes-BP$6)))),"-")</f>
        <v>0.51621907466719</v>
      </c>
      <c r="BQ61" s="165" t="n">
        <f aca="false">IF(BQ$6&lt;Total_Lanes,900*Peak_Time_Mor*($BL61/(Total_Lanes-BQ$6)-1+SQRT(($BL61/(Total_Lanes-BQ$6)-1)^2+8*($BL61/(Total_Lanes-BQ$6))/(Peak_Time_Mor*$N47*(Total_Lanes-BQ$6)))),"-")</f>
        <v>0.739015209240712</v>
      </c>
      <c r="BR61" s="165" t="n">
        <f aca="false">IF(BR$6&lt;Total_Lanes,900*Peak_Time_Mor*($BL61/(Total_Lanes-BR$6)-1+SQRT(($BL61/(Total_Lanes-BR$6)-1)^2+8*($BL61/(Total_Lanes-BR$6))/(Peak_Time_Mor*$N47*(Total_Lanes-BR$6)))),"-")</f>
        <v>1.15356856588833</v>
      </c>
      <c r="BS61" s="165" t="n">
        <f aca="false">IF(BS$6&lt;Total_Lanes,900*Peak_Time_Mor*($BL61/(Total_Lanes-BS$6)-1+SQRT(($BL61/(Total_Lanes-BS$6)-1)^2+8*($BL61/(Total_Lanes-BS$6))/(Peak_Time_Mor*$N47*(Total_Lanes-BS$6)))),"-")</f>
        <v>2.09040707073662</v>
      </c>
      <c r="BT61" s="165" t="n">
        <f aca="false">IF(BT$6&lt;Total_Lanes,900*Peak_Time_Mor*($BL61/(Total_Lanes-BT$6)-1+SQRT(($BL61/(Total_Lanes-BT$6)-1)^2+8*($BL61/(Total_Lanes-BT$6))/(Peak_Time_Mor*$N47*(Total_Lanes-BT$6)))),"-")</f>
        <v>5.32251806704646</v>
      </c>
      <c r="BU61" s="165" t="n">
        <f aca="false">IF(BU$6&lt;Total_Lanes,900*Peak_Time_Mor*($BL61/(Total_Lanes-BU$6)-1+SQRT(($BL61/(Total_Lanes-BU$6)-1)^2+8*($BL61/(Total_Lanes-BU$6))/(Peak_Time_Mor*$N47*(Total_Lanes-BU$6)))),"-")</f>
        <v>120.992739234702</v>
      </c>
      <c r="BV61" s="165" t="n">
        <f aca="false">IF(BV$6&lt;Total_Lanes,900*Peak_Time_Mor*($BL61/(Total_Lanes-BV$6)-1+SQRT(($BL61/(Total_Lanes-BV$6)-1)^2+8*($BL61/(Total_Lanes-BV$6))/(Peak_Time_Mor*$N47*(Total_Lanes-BV$6)))),"-")</f>
        <v>1889.72788838715</v>
      </c>
      <c r="BW61" s="230" t="n">
        <f aca="false">IF(BW$6&lt;Total_Lanes,900*Peak_Time_Mor*($BL61/(Total_Lanes-BW$6)-1+SQRT(($BL61/(Total_Lanes-BW$6)-1)^2+8*($BL61/(Total_Lanes-BW$6))/(Peak_Time_Mor*$N47*(Total_Lanes-BW$6)))),"-")</f>
        <v>7369.9567026874</v>
      </c>
      <c r="BX61" s="165" t="str">
        <f aca="false">IF(BX$6&lt;Total_Lanes,900*Peak_Time_Mor*($BL61/(Total_Lanes-BX$6)-1+SQRT(($BL61/(Total_Lanes-BX$6)-1)^2+8*($BL61/(Total_Lanes-BX$6))/(Peak_Time_Mor*$N47*(Total_Lanes-BX$6)))),"-")</f>
        <v>-</v>
      </c>
      <c r="BY61" s="165" t="str">
        <f aca="false">IF(BY$6&lt;Total_Lanes,900*Peak_Time_Mor*($BL61/(Total_Lanes-BY$6)-1+SQRT(($BL61/(Total_Lanes-BY$6)-1)^2+8*($BL61/(Total_Lanes-BY$6))/(Peak_Time_Mor*$N47*(Total_Lanes-BY$6)))),"-")</f>
        <v>-</v>
      </c>
      <c r="BZ61" s="165" t="str">
        <f aca="false">IF(BZ$6&lt;Total_Lanes,900*Peak_Time_Mor*($BL61/(Total_Lanes-BZ$6)-1+SQRT(($BL61/(Total_Lanes-BZ$6)-1)^2+8*($BL61/(Total_Lanes-BZ$6))/(Peak_Time_Mor*$N47*(Total_Lanes-BZ$6)))),"-")</f>
        <v>-</v>
      </c>
      <c r="CA61" s="165" t="str">
        <f aca="false">IF(CA$6&lt;Total_Lanes,900*Peak_Time_Mor*($BL61/(Total_Lanes-CA$6)-1+SQRT(($BL61/(Total_Lanes-CA$6)-1)^2+8*($BL61/(Total_Lanes-CA$6))/(Peak_Time_Mor*$N47*(Total_Lanes-CA$6)))),"-")</f>
        <v>-</v>
      </c>
      <c r="CB61" s="165" t="str">
        <f aca="false">IF(CB$6&lt;Total_Lanes,900*Peak_Time_Mor*($BL61/(Total_Lanes-CB$6)-1+SQRT(($BL61/(Total_Lanes-CB$6)-1)^2+8*($BL61/(Total_Lanes-CB$6))/(Peak_Time_Mor*$N47*(Total_Lanes-CB$6)))),"-")</f>
        <v>-</v>
      </c>
      <c r="CC61" s="165" t="str">
        <f aca="false">IF(CC$6&lt;Total_Lanes,900*Peak_Time_Mor*($BL61/(Total_Lanes-CC$6)-1+SQRT(($BL61/(Total_Lanes-CC$6)-1)^2+8*($BL61/(Total_Lanes-CC$6))/(Peak_Time_Mor*$N47*(Total_Lanes-CC$6)))),"-")</f>
        <v>-</v>
      </c>
      <c r="CD61" s="165" t="str">
        <f aca="false">IF(CD$6&lt;Total_Lanes,900*Peak_Time_Mor*($BL61/(Total_Lanes-CD$6)-1+SQRT(($BL61/(Total_Lanes-CD$6)-1)^2+8*($BL61/(Total_Lanes-CD$6))/(Peak_Time_Mor*$N47*(Total_Lanes-CD$6)))),"-")</f>
        <v>-</v>
      </c>
      <c r="CE61" s="165" t="str">
        <f aca="false">IF(CE$6&lt;Total_Lanes,900*Peak_Time_Mor*($BL61/(Total_Lanes-CE$6)-1+SQRT(($BL61/(Total_Lanes-CE$6)-1)^2+8*($BL61/(Total_Lanes-CE$6))/(Peak_Time_Mor*$N47*(Total_Lanes-CE$6)))),"-")</f>
        <v>-</v>
      </c>
      <c r="CF61" s="165" t="str">
        <f aca="false">IF(CF$6&lt;Total_Lanes,900*Peak_Time_Mor*($BL61/(Total_Lanes-CF$6)-1+SQRT(($BL61/(Total_Lanes-CF$6)-1)^2+8*($BL61/(Total_Lanes-CF$6))/(Peak_Time_Mor*$N47*(Total_Lanes-CF$6)))),"-")</f>
        <v>-</v>
      </c>
      <c r="CG61" s="166" t="str">
        <f aca="false">IF(CG$6&lt;Total_Lanes,900*Peak_Time_Mor*($BL61/(Total_Lanes-CG$6)-1+SQRT(($BL61/(Total_Lanes-CG$6)-1)^2+8*($BL61/(Total_Lanes-CG$6))/(Peak_Time_Mor*$N47*(Total_Lanes-CG$6)))),"-")</f>
        <v>-</v>
      </c>
      <c r="CH61" s="234" t="n">
        <f aca="false">3600/N47</f>
        <v>6.72375</v>
      </c>
      <c r="CJ61" s="50" t="n">
        <v>7</v>
      </c>
      <c r="CK61" s="131" t="n">
        <f aca="false">$X61</f>
        <v>0.44881248351123</v>
      </c>
      <c r="CL61" s="150" t="n">
        <f aca="false">$AC61</f>
        <v>2957.31747008191</v>
      </c>
      <c r="CM61" s="150" t="n">
        <f aca="false">CL61*CK61</f>
        <v>1327.28099827861</v>
      </c>
      <c r="CN61" s="161" t="n">
        <f aca="false">CM61/O47</f>
        <v>0.884853998852408</v>
      </c>
      <c r="CO61" s="165" t="n">
        <f aca="false">IF(CO$53&lt;Total_Lanes,900*Peak_Time_Mor*($CN61/CO$53-1+SQRT(($CN61/CO$53-1)^2+8*($CN61/CO$53)/(Peak_Time_Mor*$O47*CO$53))),"-")</f>
        <v>17.6883207814899</v>
      </c>
      <c r="CP61" s="165" t="n">
        <f aca="false">IF(CP$53&lt;Total_Lanes,900*Peak_Time_Mor*($CN61/CP$53-1+SQRT(($CN61/CP$53-1)^2+8*($CN61/CP$53)/(Peak_Time_Mor*$O47*CP$53))),"-")</f>
        <v>0.951733295356072</v>
      </c>
      <c r="CQ61" s="165" t="n">
        <f aca="false">IF(CQ$53&lt;Total_Lanes,900*Peak_Time_Mor*($CN61/CQ$53-1+SQRT(($CN61/CQ$53-1)^2+8*($CN61/CQ$53)/(Peak_Time_Mor*$O47*CQ$53))),"-")</f>
        <v>0.334629328050462</v>
      </c>
      <c r="CR61" s="165" t="n">
        <f aca="false">IF(CR$53&lt;Total_Lanes,900*Peak_Time_Mor*($CN61/CR$53-1+SQRT(($CN61/CR$53-1)^2+8*($CN61/CR$53)/(Peak_Time_Mor*$O47*CR$53))),"-")</f>
        <v>0.170419020332746</v>
      </c>
      <c r="CS61" s="165" t="n">
        <f aca="false">IF(CS$53&lt;Total_Lanes,900*Peak_Time_Mor*($CN61/CS$53-1+SQRT(($CN61/CS$53-1)^2+8*($CN61/CS$53)/(Peak_Time_Mor*$O47*CS$53))),"-")</f>
        <v>0.103207790221105</v>
      </c>
      <c r="CT61" s="165" t="n">
        <f aca="false">IF(CT$53&lt;Total_Lanes,900*Peak_Time_Mor*($CN61/CT$53-1+SQRT(($CN61/CT$53-1)^2+8*($CN61/CT$53)/(Peak_Time_Mor*$O47*CT$53))),"-")</f>
        <v>0.0691932585991761</v>
      </c>
      <c r="CU61" s="165" t="n">
        <f aca="false">IF(CU$53&lt;Total_Lanes,900*Peak_Time_Mor*($CN61/CU$53-1+SQRT(($CN61/CU$53-1)^2+8*($CN61/CU$53)/(Peak_Time_Mor*$O47*CU$53))),"-")</f>
        <v>0.0496102183365821</v>
      </c>
      <c r="CV61" s="165" t="n">
        <f aca="false">IF(CV$53&lt;Total_Lanes,900*Peak_Time_Mor*($CN61/CV$53-1+SQRT(($CN61/CV$53-1)^2+8*($CN61/CV$53)/(Peak_Time_Mor*$O47*CV$53))),"-")</f>
        <v>0.037308174210593</v>
      </c>
      <c r="CW61" s="165" t="n">
        <f aca="false">IF(CW$53&lt;Total_Lanes,900*Peak_Time_Mor*($CN61/CW$53-1+SQRT(($CN61/CW$53-1)^2+8*($CN61/CW$53)/(Peak_Time_Mor*$O47*CW$53))),"-")</f>
        <v>0.0290763656919602</v>
      </c>
      <c r="CX61" s="165" t="n">
        <f aca="false">IF(CX$53&lt;Total_Lanes,900*Peak_Time_Mor*($CN61/CX$53-1+SQRT(($CN61/CX$53-1)^2+8*($CN61/CX$53)/(Peak_Time_Mor*$O47*CX$53))),"-")</f>
        <v>0.0232978662048522</v>
      </c>
      <c r="CY61" s="165" t="n">
        <f aca="false">IF(CY$53&lt;Total_Lanes,900*Peak_Time_Mor*($CN61/CY$53-1+SQRT(($CN61/CY$53-1)^2+8*($CN61/CY$53)/(Peak_Time_Mor*$O47*CY$53))),"-")</f>
        <v>0.0190860261637171</v>
      </c>
      <c r="CZ61" s="165" t="str">
        <f aca="false">IF(CZ$53&lt;Total_Lanes,900*Peak_Time_Mor*($CN61/CZ$53-1+SQRT(($CN61/CZ$53-1)^2+8*($CN61/CZ$53)/(Peak_Time_Mor*$O47*CZ$53))),"-")</f>
        <v>-</v>
      </c>
      <c r="DA61" s="165" t="str">
        <f aca="false">IF(DA$53&lt;Total_Lanes,900*Peak_Time_Mor*($CN61/DA$53-1+SQRT(($CN61/DA$53-1)^2+8*($CN61/DA$53)/(Peak_Time_Mor*$O47*DA$53))),"-")</f>
        <v>-</v>
      </c>
      <c r="DB61" s="165" t="str">
        <f aca="false">IF(DB$53&lt;Total_Lanes,900*Peak_Time_Mor*($CN61/DB$53-1+SQRT(($CN61/DB$53-1)^2+8*($CN61/DB$53)/(Peak_Time_Mor*$O47*DB$53))),"-")</f>
        <v>-</v>
      </c>
      <c r="DC61" s="165" t="str">
        <f aca="false">IF(DC$53&lt;Total_Lanes,900*Peak_Time_Mor*($CN61/DC$53-1+SQRT(($CN61/DC$53-1)^2+8*($CN61/DC$53)/(Peak_Time_Mor*$O47*DC$53))),"-")</f>
        <v>-</v>
      </c>
      <c r="DD61" s="165" t="str">
        <f aca="false">IF(DD$53&lt;Total_Lanes,900*Peak_Time_Mor*($CN61/DD$53-1+SQRT(($CN61/DD$53-1)^2+8*($CN61/DD$53)/(Peak_Time_Mor*$O47*DD$53))),"-")</f>
        <v>-</v>
      </c>
      <c r="DE61" s="165" t="str">
        <f aca="false">IF(DE$53&lt;Total_Lanes,900*Peak_Time_Mor*($CN61/DE$53-1+SQRT(($CN61/DE$53-1)^2+8*($CN61/DE$53)/(Peak_Time_Mor*$O47*DE$53))),"-")</f>
        <v>-</v>
      </c>
      <c r="DF61" s="165" t="str">
        <f aca="false">IF(DF$53&lt;Total_Lanes,900*Peak_Time_Mor*($CN61/DF$53-1+SQRT(($CN61/DF$53-1)^2+8*($CN61/DF$53)/(Peak_Time_Mor*$O47*DF$53))),"-")</f>
        <v>-</v>
      </c>
      <c r="DG61" s="165" t="str">
        <f aca="false">IF(DG$53&lt;Total_Lanes,900*Peak_Time_Mor*($CN61/DG$53-1+SQRT(($CN61/DG$53-1)^2+8*($CN61/DG$53)/(Peak_Time_Mor*$O47*DG$53))),"-")</f>
        <v>-</v>
      </c>
      <c r="DH61" s="165" t="str">
        <f aca="false">IF(DH$53&lt;Total_Lanes,900*Peak_Time_Mor*($CN61/DH$53-1+SQRT(($CN61/DH$53-1)^2+8*($CN61/DH$53)/(Peak_Time_Mor*$O47*DH$53))),"-")</f>
        <v>-</v>
      </c>
      <c r="DI61" s="166" t="str">
        <f aca="false">IF(DI$53&lt;Total_Lanes,900*Peak_Time_Mor*($CN61/DI$53-1+SQRT(($CN61/DI$53-1)^2+8*($CN61/DI$53)/(Peak_Time_Mor*$O47*DI$53))),"-")</f>
        <v>-</v>
      </c>
      <c r="DJ61" s="234" t="n">
        <f aca="false">3600/$O47</f>
        <v>2.4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customFormat="false" ht="12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0" t="n">
        <v>8</v>
      </c>
      <c r="W62" s="124" t="n">
        <f aca="false">W15</f>
        <v>23409703.8</v>
      </c>
      <c r="X62" s="131" t="n">
        <f aca="false">X15</f>
        <v>0.49671513105108</v>
      </c>
      <c r="Y62" s="124" t="n">
        <f aca="false">Y15</f>
        <v>10094.5427431692</v>
      </c>
      <c r="Z62" s="133" t="n">
        <f aca="false">W62/Y62</f>
        <v>2319.04548780488</v>
      </c>
      <c r="AA62" s="233" t="n">
        <f aca="false">AA15</f>
        <v>2</v>
      </c>
      <c r="AB62" s="157" t="n">
        <f aca="false">1-AB15</f>
        <v>0.3</v>
      </c>
      <c r="AC62" s="128" t="n">
        <f aca="false">Y62*AB62</f>
        <v>3028.36282295076</v>
      </c>
      <c r="AD62" s="150" t="n">
        <f aca="false">Peak_Time_Mor*$BH62*(CH62+BK62)/3600</f>
        <v>11.6263554477028</v>
      </c>
      <c r="AE62" s="136" t="n">
        <f aca="false">IF(AE$53&lt;Total_Lanes,($BI62*($CH62+BM62)+$CM62*CO62)*Peak_Time_Mor/3600,"-")</f>
        <v>88.0424761663808</v>
      </c>
      <c r="AF62" s="136" t="n">
        <f aca="false">IF(AF$53&lt;Total_Lanes,($BI62*($CH62+BN62)+$CM62*CP62)*Peak_Time_Mor/3600,"-")</f>
        <v>6.94732911753088</v>
      </c>
      <c r="AG62" s="136" t="n">
        <f aca="false">IF(AG$53&lt;Total_Lanes,($BI62*($CH62+BO62)+$CM62*CQ62)*Peak_Time_Mor/3600,"-")</f>
        <v>6.3417695229794</v>
      </c>
      <c r="AH62" s="136" t="n">
        <f aca="false">IF(AH$53&lt;Total_Lanes,($BI62*($CH62+BP62)+$CM62*CR62)*Peak_Time_Mor/3600,"-")</f>
        <v>6.27521188354519</v>
      </c>
      <c r="AI62" s="136" t="n">
        <f aca="false">IF(AI$53&lt;Total_Lanes,($BI62*($CH62+BQ62)+$CM62*CS62)*Peak_Time_Mor/3600,"-")</f>
        <v>6.37388785777332</v>
      </c>
      <c r="AJ62" s="136" t="n">
        <f aca="false">IF(AJ$53&lt;Total_Lanes,($BI62*($CH62+BR62)+$CM62*CT62)*Peak_Time_Mor/3600,"-")</f>
        <v>6.6423270888953</v>
      </c>
      <c r="AK62" s="136" t="n">
        <f aca="false">IF(AK$53&lt;Total_Lanes,($BI62*($CH62+BS62)+$CM62*CU62)*Peak_Time_Mor/3600,"-")</f>
        <v>7.27850899344895</v>
      </c>
      <c r="AL62" s="136" t="n">
        <f aca="false">IF(AL$53&lt;Total_Lanes,($BI62*($CH62+BT62)+$CM62*CV62)*Peak_Time_Mor/3600,"-")</f>
        <v>9.29564752620738</v>
      </c>
      <c r="AM62" s="136" t="n">
        <f aca="false">IF(AM$53&lt;Total_Lanes,($BI62*($CH62+BU62)+$CM62*CW62)*Peak_Time_Mor/3600,"-")</f>
        <v>36.8121920210807</v>
      </c>
      <c r="AN62" s="136" t="n">
        <f aca="false">IF(AN$53&lt;Total_Lanes,($BI62*($CH62+BV62)+$CM62*CX62)*Peak_Time_Mor/3600,"-")</f>
        <v>1319.27913415977</v>
      </c>
      <c r="AO62" s="136" t="n">
        <f aca="false">IF(AO$53&lt;Total_Lanes,($BI62*($CH62+BW62)+$CM62*CY62)*Peak_Time_Mor/3600,"-")</f>
        <v>5670.93057784365</v>
      </c>
      <c r="AP62" s="136" t="str">
        <f aca="false">IF(AP$53&lt;Total_Lanes,($BI62*($CH62+BX62)+$CM62*CZ62)*Peak_Time_Mor/3600,"-")</f>
        <v>-</v>
      </c>
      <c r="AQ62" s="136" t="str">
        <f aca="false">IF(AQ$53&lt;Total_Lanes,($BI62*($CH62+BY62)+$CM62*DA62)*Peak_Time_Mor/3600,"-")</f>
        <v>-</v>
      </c>
      <c r="AR62" s="136" t="str">
        <f aca="false">IF(AR$53&lt;Total_Lanes,($BI62*($CH62+BZ62)+$CM62*DB62)*Peak_Time_Mor/3600,"-")</f>
        <v>-</v>
      </c>
      <c r="AS62" s="136" t="str">
        <f aca="false">IF(AS$53&lt;Total_Lanes,($BI62*($CH62+CA62)+$CM62*DC62)*Peak_Time_Mor/3600,"-")</f>
        <v>-</v>
      </c>
      <c r="AT62" s="136" t="str">
        <f aca="false">IF(AT$53&lt;Total_Lanes,($BI62*($CH62+CB62)+$CM62*DD62)*Peak_Time_Mor/3600,"-")</f>
        <v>-</v>
      </c>
      <c r="AU62" s="136" t="str">
        <f aca="false">IF(AU$53&lt;Total_Lanes,($BI62*($CH62+CC62)+$CM62*DE62)*Peak_Time_Mor/3600,"-")</f>
        <v>-</v>
      </c>
      <c r="AV62" s="136" t="str">
        <f aca="false">IF(AV$53&lt;Total_Lanes,($BI62*($CH62+CD62)+$CM62*DF62)*Peak_Time_Mor/3600,"-")</f>
        <v>-</v>
      </c>
      <c r="AW62" s="136" t="str">
        <f aca="false">IF(AW$53&lt;Total_Lanes,($BI62*($CH62+CE62)+$CM62*DG62)*Peak_Time_Mor/3600,"-")</f>
        <v>-</v>
      </c>
      <c r="AX62" s="136" t="str">
        <f aca="false">IF(AX$53&lt;Total_Lanes,($BI62*($CH62+CF62)+$CM62*DH62)*Peak_Time_Mor/3600,"-")</f>
        <v>-</v>
      </c>
      <c r="AY62" s="137" t="str">
        <f aca="false">IF(AY$53&lt;Total_Lanes,($BI62*($CH62+CG62)+$CM62*DI62)*Peak_Time_Mor/3600,"-")</f>
        <v>-</v>
      </c>
      <c r="AZ62" s="158" t="n">
        <f aca="false">SUMIF(AE62:AY62,BA62,$AE$53:$AY$53)</f>
        <v>4</v>
      </c>
      <c r="BA62" s="159" t="n">
        <f aca="false">MIN(AE62:AY62)</f>
        <v>6.27521188354519</v>
      </c>
      <c r="BB62" s="158" t="n">
        <f aca="false">IF((SUMIF($BM60:$CG60,$AZ62,$BM62:$CG62)+$CH62)&lt;(SUMIF($CO60:$DI60,$AZ62,$CO62:$DI62)+$DJ62),AZ62+1,AZ62)</f>
        <v>4</v>
      </c>
      <c r="BC62" s="159" t="n">
        <f aca="false">SUMIF($AE$53:$AY$53,$BB62,$AE62:$AY62)</f>
        <v>6.27521188354519</v>
      </c>
      <c r="BF62" s="50" t="n">
        <v>8</v>
      </c>
      <c r="BG62" s="131" t="n">
        <f aca="false">$X62</f>
        <v>0.49671513105108</v>
      </c>
      <c r="BH62" s="57" t="n">
        <f aca="false">$AC62</f>
        <v>3028.36282295076</v>
      </c>
      <c r="BI62" s="135" t="n">
        <f aca="false">BH62*(1-BG62)</f>
        <v>1524.12918647855</v>
      </c>
      <c r="BJ62" s="143" t="n">
        <f aca="false">Peak_Arrival_Manual_Mor/K48</f>
        <v>2.78365261141569</v>
      </c>
      <c r="BK62" s="228" t="n">
        <f aca="false">900*Peak_Time_Mor*($BJ62/Total_Lanes-1+SQRT(($BJ62/Total_Lanes-1)^2+8*($BJ62/Total_Lanes)/(Peak_Time_Mor*$K48*Total_Lanes)))</f>
        <v>0.165479697896287</v>
      </c>
      <c r="BL62" s="143" t="n">
        <f aca="false">Peak_Arrival_Manual_Mor/N48</f>
        <v>2.85562537855496</v>
      </c>
      <c r="BM62" s="229" t="n">
        <f aca="false">IF(BM$6&lt;Total_Lanes,900*Peak_Time_Mor*($BL62/(Total_Lanes-BM$6)-1+SQRT(($BL62/(Total_Lanes-BM$6)-1)^2+8*($BL62/(Total_Lanes-BM$6))/(Peak_Time_Mor*$N48*(Total_Lanes-BM$6)))),"-")</f>
        <v>0.214979839027918</v>
      </c>
      <c r="BN62" s="165" t="n">
        <f aca="false">IF(BN$6&lt;Total_Lanes,900*Peak_Time_Mor*($BL62/(Total_Lanes-BN$6)-1+SQRT(($BL62/(Total_Lanes-BN$6)-1)^2+8*($BL62/(Total_Lanes-BN$6))/(Peak_Time_Mor*$N48*(Total_Lanes-BN$6)))),"-")</f>
        <v>0.269571174890748</v>
      </c>
      <c r="BO62" s="165" t="n">
        <f aca="false">IF(BO$6&lt;Total_Lanes,900*Peak_Time_Mor*($BL62/(Total_Lanes-BO$6)-1+SQRT(($BL62/(Total_Lanes-BO$6)-1)^2+8*($BL62/(Total_Lanes-BO$6))/(Peak_Time_Mor*$N48*(Total_Lanes-BO$6)))),"-")</f>
        <v>0.348258284630365</v>
      </c>
      <c r="BP62" s="165" t="n">
        <f aca="false">IF(BP$6&lt;Total_Lanes,900*Peak_Time_Mor*($BL62/(Total_Lanes-BP$6)-1+SQRT(($BL62/(Total_Lanes-BP$6)-1)^2+8*($BL62/(Total_Lanes-BP$6))/(Peak_Time_Mor*$N48*(Total_Lanes-BP$6)))),"-")</f>
        <v>0.46792132534228</v>
      </c>
      <c r="BQ62" s="165" t="n">
        <f aca="false">IF(BQ$6&lt;Total_Lanes,900*Peak_Time_Mor*($BL62/(Total_Lanes-BQ$6)-1+SQRT(($BL62/(Total_Lanes-BQ$6)-1)^2+8*($BL62/(Total_Lanes-BQ$6))/(Peak_Time_Mor*$N48*(Total_Lanes-BQ$6)))),"-")</f>
        <v>0.663729193930984</v>
      </c>
      <c r="BR62" s="165" t="n">
        <f aca="false">IF(BR$6&lt;Total_Lanes,900*Peak_Time_Mor*($BL62/(Total_Lanes-BR$6)-1+SQRT(($BL62/(Total_Lanes-BR$6)-1)^2+8*($BL62/(Total_Lanes-BR$6))/(Peak_Time_Mor*$N48*(Total_Lanes-BR$6)))),"-")</f>
        <v>1.02038209499933</v>
      </c>
      <c r="BS62" s="165" t="n">
        <f aca="false">IF(BS$6&lt;Total_Lanes,900*Peak_Time_Mor*($BL62/(Total_Lanes-BS$6)-1+SQRT(($BL62/(Total_Lanes-BS$6)-1)^2+8*($BL62/(Total_Lanes-BS$6))/(Peak_Time_Mor*$N48*(Total_Lanes-BS$6)))),"-")</f>
        <v>1.79435383339595</v>
      </c>
      <c r="BT62" s="165" t="n">
        <f aca="false">IF(BT$6&lt;Total_Lanes,900*Peak_Time_Mor*($BL62/(Total_Lanes-BT$6)-1+SQRT(($BL62/(Total_Lanes-BT$6)-1)^2+8*($BL62/(Total_Lanes-BT$6))/(Peak_Time_Mor*$N48*(Total_Lanes-BT$6)))),"-")</f>
        <v>4.19074704255359</v>
      </c>
      <c r="BU62" s="165" t="n">
        <f aca="false">IF(BU$6&lt;Total_Lanes,900*Peak_Time_Mor*($BL62/(Total_Lanes-BU$6)-1+SQRT(($BL62/(Total_Lanes-BU$6)-1)^2+8*($BL62/(Total_Lanes-BU$6))/(Peak_Time_Mor*$N48*(Total_Lanes-BU$6)))),"-")</f>
        <v>36.6972792793971</v>
      </c>
      <c r="BV62" s="165" t="n">
        <f aca="false">IF(BV$6&lt;Total_Lanes,900*Peak_Time_Mor*($BL62/(Total_Lanes-BV$6)-1+SQRT(($BL62/(Total_Lanes-BV$6)-1)^2+8*($BL62/(Total_Lanes-BV$6))/(Peak_Time_Mor*$N48*(Total_Lanes-BV$6)))),"-")</f>
        <v>1551.30022618907</v>
      </c>
      <c r="BW62" s="230" t="n">
        <f aca="false">IF(BW$6&lt;Total_Lanes,900*Peak_Time_Mor*($BL62/(Total_Lanes-BW$6)-1+SQRT(($BL62/(Total_Lanes-BW$6)-1)^2+8*($BL62/(Total_Lanes-BW$6))/(Peak_Time_Mor*$N48*(Total_Lanes-BW$6)))),"-")</f>
        <v>6690.61517742524</v>
      </c>
      <c r="BX62" s="165" t="str">
        <f aca="false">IF(BX$6&lt;Total_Lanes,900*Peak_Time_Mor*($BL62/(Total_Lanes-BX$6)-1+SQRT(($BL62/(Total_Lanes-BX$6)-1)^2+8*($BL62/(Total_Lanes-BX$6))/(Peak_Time_Mor*$N48*(Total_Lanes-BX$6)))),"-")</f>
        <v>-</v>
      </c>
      <c r="BY62" s="165" t="str">
        <f aca="false">IF(BY$6&lt;Total_Lanes,900*Peak_Time_Mor*($BL62/(Total_Lanes-BY$6)-1+SQRT(($BL62/(Total_Lanes-BY$6)-1)^2+8*($BL62/(Total_Lanes-BY$6))/(Peak_Time_Mor*$N48*(Total_Lanes-BY$6)))),"-")</f>
        <v>-</v>
      </c>
      <c r="BZ62" s="165" t="str">
        <f aca="false">IF(BZ$6&lt;Total_Lanes,900*Peak_Time_Mor*($BL62/(Total_Lanes-BZ$6)-1+SQRT(($BL62/(Total_Lanes-BZ$6)-1)^2+8*($BL62/(Total_Lanes-BZ$6))/(Peak_Time_Mor*$N48*(Total_Lanes-BZ$6)))),"-")</f>
        <v>-</v>
      </c>
      <c r="CA62" s="165" t="str">
        <f aca="false">IF(CA$6&lt;Total_Lanes,900*Peak_Time_Mor*($BL62/(Total_Lanes-CA$6)-1+SQRT(($BL62/(Total_Lanes-CA$6)-1)^2+8*($BL62/(Total_Lanes-CA$6))/(Peak_Time_Mor*$N48*(Total_Lanes-CA$6)))),"-")</f>
        <v>-</v>
      </c>
      <c r="CB62" s="165" t="str">
        <f aca="false">IF(CB$6&lt;Total_Lanes,900*Peak_Time_Mor*($BL62/(Total_Lanes-CB$6)-1+SQRT(($BL62/(Total_Lanes-CB$6)-1)^2+8*($BL62/(Total_Lanes-CB$6))/(Peak_Time_Mor*$N48*(Total_Lanes-CB$6)))),"-")</f>
        <v>-</v>
      </c>
      <c r="CC62" s="165" t="str">
        <f aca="false">IF(CC$6&lt;Total_Lanes,900*Peak_Time_Mor*($BL62/(Total_Lanes-CC$6)-1+SQRT(($BL62/(Total_Lanes-CC$6)-1)^2+8*($BL62/(Total_Lanes-CC$6))/(Peak_Time_Mor*$N48*(Total_Lanes-CC$6)))),"-")</f>
        <v>-</v>
      </c>
      <c r="CD62" s="165" t="str">
        <f aca="false">IF(CD$6&lt;Total_Lanes,900*Peak_Time_Mor*($BL62/(Total_Lanes-CD$6)-1+SQRT(($BL62/(Total_Lanes-CD$6)-1)^2+8*($BL62/(Total_Lanes-CD$6))/(Peak_Time_Mor*$N48*(Total_Lanes-CD$6)))),"-")</f>
        <v>-</v>
      </c>
      <c r="CE62" s="165" t="str">
        <f aca="false">IF(CE$6&lt;Total_Lanes,900*Peak_Time_Mor*($BL62/(Total_Lanes-CE$6)-1+SQRT(($BL62/(Total_Lanes-CE$6)-1)^2+8*($BL62/(Total_Lanes-CE$6))/(Peak_Time_Mor*$N48*(Total_Lanes-CE$6)))),"-")</f>
        <v>-</v>
      </c>
      <c r="CF62" s="165" t="str">
        <f aca="false">IF(CF$6&lt;Total_Lanes,900*Peak_Time_Mor*($BL62/(Total_Lanes-CF$6)-1+SQRT(($BL62/(Total_Lanes-CF$6)-1)^2+8*($BL62/(Total_Lanes-CF$6))/(Peak_Time_Mor*$N48*(Total_Lanes-CF$6)))),"-")</f>
        <v>-</v>
      </c>
      <c r="CG62" s="166" t="str">
        <f aca="false">IF(CG$6&lt;Total_Lanes,900*Peak_Time_Mor*($BL62/(Total_Lanes-CG$6)-1+SQRT(($BL62/(Total_Lanes-CG$6)-1)^2+8*($BL62/(Total_Lanes-CG$6))/(Peak_Time_Mor*$N48*(Total_Lanes-CG$6)))),"-")</f>
        <v>-</v>
      </c>
      <c r="CH62" s="234" t="n">
        <f aca="false">3600/N48</f>
        <v>6.745</v>
      </c>
      <c r="CJ62" s="50" t="n">
        <v>8</v>
      </c>
      <c r="CK62" s="131" t="n">
        <f aca="false">$X62</f>
        <v>0.49671513105108</v>
      </c>
      <c r="CL62" s="150" t="n">
        <f aca="false">$AC62</f>
        <v>3028.36282295076</v>
      </c>
      <c r="CM62" s="150" t="n">
        <f aca="false">CL62*CK62</f>
        <v>1504.23363647221</v>
      </c>
      <c r="CN62" s="161" t="n">
        <f aca="false">CM62/O48</f>
        <v>1.0028224243148</v>
      </c>
      <c r="CO62" s="165" t="n">
        <f aca="false">IF(CO$53&lt;Total_Lanes,900*Peak_Time_Mor*($CN62/CO$53-1+SQRT(($CN62/CO$53-1)^2+8*($CN62/CO$53)/(Peak_Time_Mor*$O48*CO$53))),"-")</f>
        <v>98.3015836797191</v>
      </c>
      <c r="CP62" s="165" t="n">
        <f aca="false">IF(CP$53&lt;Total_Lanes,900*Peak_Time_Mor*($CN62/CP$53-1+SQRT(($CN62/CP$53-1)^2+8*($CN62/CP$53)/(Peak_Time_Mor*$O48*CP$53))),"-")</f>
        <v>1.20598270726606</v>
      </c>
      <c r="CQ62" s="165" t="n">
        <f aca="false">IF(CQ$53&lt;Total_Lanes,900*Peak_Time_Mor*($CN62/CQ$53-1+SQRT(($CN62/CQ$53-1)^2+8*($CN62/CQ$53)/(Peak_Time_Mor*$O48*CQ$53))),"-")</f>
        <v>0.401628542188326</v>
      </c>
      <c r="CR62" s="165" t="n">
        <f aca="false">IF(CR$53&lt;Total_Lanes,900*Peak_Time_Mor*($CN62/CR$53-1+SQRT(($CN62/CR$53-1)^2+8*($CN62/CR$53)/(Peak_Time_Mor*$O48*CR$53))),"-")</f>
        <v>0.200738416780633</v>
      </c>
      <c r="CS62" s="165" t="n">
        <f aca="false">IF(CS$53&lt;Total_Lanes,900*Peak_Time_Mor*($CN62/CS$53-1+SQRT(($CN62/CS$53-1)^2+8*($CN62/CS$53)/(Peak_Time_Mor*$O48*CS$53))),"-")</f>
        <v>0.120418624084784</v>
      </c>
      <c r="CT62" s="165" t="n">
        <f aca="false">IF(CT$53&lt;Total_Lanes,900*Peak_Time_Mor*($CN62/CT$53-1+SQRT(($CN62/CT$53-1)^2+8*($CN62/CT$53)/(Peak_Time_Mor*$O48*CT$53))),"-")</f>
        <v>0.0802689568545123</v>
      </c>
      <c r="CU62" s="165" t="n">
        <f aca="false">IF(CU$53&lt;Total_Lanes,900*Peak_Time_Mor*($CN62/CU$53-1+SQRT(($CN62/CU$53-1)^2+8*($CN62/CU$53)/(Peak_Time_Mor*$O48*CU$53))),"-")</f>
        <v>0.0573300416709666</v>
      </c>
      <c r="CV62" s="165" t="n">
        <f aca="false">IF(CV$53&lt;Total_Lanes,900*Peak_Time_Mor*($CN62/CV$53-1+SQRT(($CN62/CV$53-1)^2+8*($CN62/CV$53)/(Peak_Time_Mor*$O48*CV$53))),"-")</f>
        <v>0.0429948527294721</v>
      </c>
      <c r="CW62" s="165" t="n">
        <f aca="false">IF(CW$53&lt;Total_Lanes,900*Peak_Time_Mor*($CN62/CW$53-1+SQRT(($CN62/CW$53-1)^2+8*($CN62/CW$53)/(Peak_Time_Mor*$O48*CW$53))),"-")</f>
        <v>0.0334388620517156</v>
      </c>
      <c r="CX62" s="165" t="n">
        <f aca="false">IF(CX$53&lt;Total_Lanes,900*Peak_Time_Mor*($CN62/CX$53-1+SQRT(($CN62/CX$53-1)^2+8*($CN62/CX$53)/(Peak_Time_Mor*$O48*CX$53))),"-")</f>
        <v>0.0267500993641923</v>
      </c>
      <c r="CY62" s="165" t="n">
        <f aca="false">IF(CY$53&lt;Total_Lanes,900*Peak_Time_Mor*($CN62/CY$53-1+SQRT(($CN62/CY$53-1)^2+8*($CN62/CY$53)/(Peak_Time_Mor*$O48*CY$53))),"-")</f>
        <v>0.0218857927269056</v>
      </c>
      <c r="CZ62" s="165" t="str">
        <f aca="false">IF(CZ$53&lt;Total_Lanes,900*Peak_Time_Mor*($CN62/CZ$53-1+SQRT(($CN62/CZ$53-1)^2+8*($CN62/CZ$53)/(Peak_Time_Mor*$O48*CZ$53))),"-")</f>
        <v>-</v>
      </c>
      <c r="DA62" s="165" t="str">
        <f aca="false">IF(DA$53&lt;Total_Lanes,900*Peak_Time_Mor*($CN62/DA$53-1+SQRT(($CN62/DA$53-1)^2+8*($CN62/DA$53)/(Peak_Time_Mor*$O48*DA$53))),"-")</f>
        <v>-</v>
      </c>
      <c r="DB62" s="165" t="str">
        <f aca="false">IF(DB$53&lt;Total_Lanes,900*Peak_Time_Mor*($CN62/DB$53-1+SQRT(($CN62/DB$53-1)^2+8*($CN62/DB$53)/(Peak_Time_Mor*$O48*DB$53))),"-")</f>
        <v>-</v>
      </c>
      <c r="DC62" s="165" t="str">
        <f aca="false">IF(DC$53&lt;Total_Lanes,900*Peak_Time_Mor*($CN62/DC$53-1+SQRT(($CN62/DC$53-1)^2+8*($CN62/DC$53)/(Peak_Time_Mor*$O48*DC$53))),"-")</f>
        <v>-</v>
      </c>
      <c r="DD62" s="165" t="str">
        <f aca="false">IF(DD$53&lt;Total_Lanes,900*Peak_Time_Mor*($CN62/DD$53-1+SQRT(($CN62/DD$53-1)^2+8*($CN62/DD$53)/(Peak_Time_Mor*$O48*DD$53))),"-")</f>
        <v>-</v>
      </c>
      <c r="DE62" s="165" t="str">
        <f aca="false">IF(DE$53&lt;Total_Lanes,900*Peak_Time_Mor*($CN62/DE$53-1+SQRT(($CN62/DE$53-1)^2+8*($CN62/DE$53)/(Peak_Time_Mor*$O48*DE$53))),"-")</f>
        <v>-</v>
      </c>
      <c r="DF62" s="165" t="str">
        <f aca="false">IF(DF$53&lt;Total_Lanes,900*Peak_Time_Mor*($CN62/DF$53-1+SQRT(($CN62/DF$53-1)^2+8*($CN62/DF$53)/(Peak_Time_Mor*$O48*DF$53))),"-")</f>
        <v>-</v>
      </c>
      <c r="DG62" s="165" t="str">
        <f aca="false">IF(DG$53&lt;Total_Lanes,900*Peak_Time_Mor*($CN62/DG$53-1+SQRT(($CN62/DG$53-1)^2+8*($CN62/DG$53)/(Peak_Time_Mor*$O48*DG$53))),"-")</f>
        <v>-</v>
      </c>
      <c r="DH62" s="165" t="str">
        <f aca="false">IF(DH$53&lt;Total_Lanes,900*Peak_Time_Mor*($CN62/DH$53-1+SQRT(($CN62/DH$53-1)^2+8*($CN62/DH$53)/(Peak_Time_Mor*$O48*DH$53))),"-")</f>
        <v>-</v>
      </c>
      <c r="DI62" s="166" t="str">
        <f aca="false">IF(DI$53&lt;Total_Lanes,900*Peak_Time_Mor*($CN62/DI$53-1+SQRT(($CN62/DI$53-1)^2+8*($CN62/DI$53)/(Peak_Time_Mor*$O48*DI$53))),"-")</f>
        <v>-</v>
      </c>
      <c r="DJ62" s="234" t="n">
        <f aca="false">3600/$O48</f>
        <v>2.4</v>
      </c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customFormat="false" ht="12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0" t="n">
        <v>9</v>
      </c>
      <c r="W63" s="124" t="n">
        <f aca="false">W16</f>
        <v>23958895.15</v>
      </c>
      <c r="X63" s="131" t="n">
        <f aca="false">X16</f>
        <v>0.543037513897103</v>
      </c>
      <c r="Y63" s="124" t="n">
        <f aca="false">Y16</f>
        <v>10331.3605860653</v>
      </c>
      <c r="Z63" s="133" t="n">
        <f aca="false">W63/Y63</f>
        <v>2319.04548780488</v>
      </c>
      <c r="AA63" s="233" t="n">
        <f aca="false">AA16</f>
        <v>2</v>
      </c>
      <c r="AB63" s="157" t="n">
        <f aca="false">1-AB16</f>
        <v>0.3</v>
      </c>
      <c r="AC63" s="128" t="n">
        <f aca="false">Y63*AB63</f>
        <v>3099.4081758196</v>
      </c>
      <c r="AD63" s="150" t="n">
        <f aca="false">Peak_Time_Mor*$BH63*(CH63+BK63)/3600</f>
        <v>11.9100062532576</v>
      </c>
      <c r="AE63" s="136" t="n">
        <f aca="false">IF(AE$53&lt;Total_Lanes,($BI63*($CH63+BM63)+$CM63*CO63)*Peak_Time_Mor/3600,"-")</f>
        <v>436.052525811061</v>
      </c>
      <c r="AF63" s="136" t="n">
        <f aca="false">IF(AF$53&lt;Total_Lanes,($BI63*($CH63+BN63)+$CM63*CP63)*Peak_Time_Mor/3600,"-")</f>
        <v>6.94976254412726</v>
      </c>
      <c r="AG63" s="136" t="n">
        <f aca="false">IF(AG$53&lt;Total_Lanes,($BI63*($CH63+BO63)+$CM63*CQ63)*Peak_Time_Mor/3600,"-")</f>
        <v>6.0192415001782</v>
      </c>
      <c r="AH63" s="136" t="n">
        <f aca="false">IF(AH$53&lt;Total_Lanes,($BI63*($CH63+BP63)+$CM63*CR63)*Peak_Time_Mor/3600,"-")</f>
        <v>5.87449171717261</v>
      </c>
      <c r="AI63" s="136" t="n">
        <f aca="false">IF(AI$53&lt;Total_Lanes,($BI63*($CH63+BQ63)+$CM63*CS63)*Peak_Time_Mor/3600,"-")</f>
        <v>5.92040927994793</v>
      </c>
      <c r="AJ63" s="136" t="n">
        <f aca="false">IF(AJ$53&lt;Total_Lanes,($BI63*($CH63+BR63)+$CM63*CT63)*Peak_Time_Mor/3600,"-")</f>
        <v>6.11729534323827</v>
      </c>
      <c r="AK63" s="136" t="n">
        <f aca="false">IF(AK$53&lt;Total_Lanes,($BI63*($CH63+BS63)+$CM63*CU63)*Peak_Time_Mor/3600,"-")</f>
        <v>6.59638264722771</v>
      </c>
      <c r="AL63" s="136" t="n">
        <f aca="false">IF(AL$53&lt;Total_Lanes,($BI63*($CH63+BT63)+$CM63*CV63)*Peak_Time_Mor/3600,"-")</f>
        <v>8.01035995654617</v>
      </c>
      <c r="AM63" s="136" t="n">
        <f aca="false">IF(AM$53&lt;Total_Lanes,($BI63*($CH63+BU63)+$CM63*CW63)*Peak_Time_Mor/3600,"-")</f>
        <v>18.7716515574228</v>
      </c>
      <c r="AN63" s="136" t="n">
        <f aca="false">IF(AN$53&lt;Total_Lanes,($BI63*($CH63+BV63)+$CM63*CX63)*Peak_Time_Mor/3600,"-")</f>
        <v>953.50897482218</v>
      </c>
      <c r="AO63" s="136" t="n">
        <f aca="false">IF(AO$53&lt;Total_Lanes,($BI63*($CH63+BW63)+$CM63*CY63)*Peak_Time_Mor/3600,"-")</f>
        <v>4721.62901571026</v>
      </c>
      <c r="AP63" s="136" t="str">
        <f aca="false">IF(AP$53&lt;Total_Lanes,($BI63*($CH63+BX63)+$CM63*CZ63)*Peak_Time_Mor/3600,"-")</f>
        <v>-</v>
      </c>
      <c r="AQ63" s="136" t="str">
        <f aca="false">IF(AQ$53&lt;Total_Lanes,($BI63*($CH63+BY63)+$CM63*DA63)*Peak_Time_Mor/3600,"-")</f>
        <v>-</v>
      </c>
      <c r="AR63" s="136" t="str">
        <f aca="false">IF(AR$53&lt;Total_Lanes,($BI63*($CH63+BZ63)+$CM63*DB63)*Peak_Time_Mor/3600,"-")</f>
        <v>-</v>
      </c>
      <c r="AS63" s="136" t="str">
        <f aca="false">IF(AS$53&lt;Total_Lanes,($BI63*($CH63+CA63)+$CM63*DC63)*Peak_Time_Mor/3600,"-")</f>
        <v>-</v>
      </c>
      <c r="AT63" s="136" t="str">
        <f aca="false">IF(AT$53&lt;Total_Lanes,($BI63*($CH63+CB63)+$CM63*DD63)*Peak_Time_Mor/3600,"-")</f>
        <v>-</v>
      </c>
      <c r="AU63" s="136" t="str">
        <f aca="false">IF(AU$53&lt;Total_Lanes,($BI63*($CH63+CC63)+$CM63*DE63)*Peak_Time_Mor/3600,"-")</f>
        <v>-</v>
      </c>
      <c r="AV63" s="136" t="str">
        <f aca="false">IF(AV$53&lt;Total_Lanes,($BI63*($CH63+CD63)+$CM63*DF63)*Peak_Time_Mor/3600,"-")</f>
        <v>-</v>
      </c>
      <c r="AW63" s="136" t="str">
        <f aca="false">IF(AW$53&lt;Total_Lanes,($BI63*($CH63+CE63)+$CM63*DG63)*Peak_Time_Mor/3600,"-")</f>
        <v>-</v>
      </c>
      <c r="AX63" s="136" t="str">
        <f aca="false">IF(AX$53&lt;Total_Lanes,($BI63*($CH63+CF63)+$CM63*DH63)*Peak_Time_Mor/3600,"-")</f>
        <v>-</v>
      </c>
      <c r="AY63" s="137" t="str">
        <f aca="false">IF(AY$53&lt;Total_Lanes,($BI63*($CH63+CG63)+$CM63*DI63)*Peak_Time_Mor/3600,"-")</f>
        <v>-</v>
      </c>
      <c r="AZ63" s="158" t="n">
        <f aca="false">SUMIF(AE63:AY63,BA63,$AE$53:$AY$53)</f>
        <v>4</v>
      </c>
      <c r="BA63" s="159" t="n">
        <f aca="false">MIN(AE63:AY63)</f>
        <v>5.87449171717261</v>
      </c>
      <c r="BB63" s="158" t="n">
        <f aca="false">IF((SUMIF($BM61:$CG61,$AZ63,$BM63:$CG63)+$CH63)&lt;(SUMIF($CO61:$DI61,$AZ63,$CO63:$DI63)+$DJ63),AZ63+1,AZ63)</f>
        <v>4</v>
      </c>
      <c r="BC63" s="159" t="n">
        <f aca="false">SUMIF($AE$53:$AY$53,$BB63,$AE63:$AY63)</f>
        <v>5.87449171717261</v>
      </c>
      <c r="BF63" s="50" t="n">
        <v>9</v>
      </c>
      <c r="BG63" s="131" t="n">
        <f aca="false">$X63</f>
        <v>0.543037513897103</v>
      </c>
      <c r="BH63" s="57" t="n">
        <f aca="false">$AC63</f>
        <v>3099.4081758196</v>
      </c>
      <c r="BI63" s="135" t="n">
        <f aca="false">BH63*(1-BG63)</f>
        <v>1416.31326547017</v>
      </c>
      <c r="BJ63" s="143" t="n">
        <f aca="false">Peak_Arrival_Manual_Mor/K49</f>
        <v>2.58673881124066</v>
      </c>
      <c r="BK63" s="228" t="n">
        <f aca="false">900*Peak_Time_Mor*($BJ63/Total_Lanes-1+SQRT(($BJ63/Total_Lanes-1)^2+8*($BJ63/Total_Lanes)/(Peak_Time_Mor*$K49*Total_Lanes)))</f>
        <v>0.150557996802347</v>
      </c>
      <c r="BL63" s="143" t="n">
        <f aca="false">Peak_Arrival_Manual_Mor/N49</f>
        <v>2.66198045346876</v>
      </c>
      <c r="BM63" s="229" t="n">
        <f aca="false">IF(BM$6&lt;Total_Lanes,900*Peak_Time_Mor*($BL63/(Total_Lanes-BM$6)-1+SQRT(($BL63/(Total_Lanes-BM$6)-1)^2+8*($BL63/(Total_Lanes-BM$6))/(Peak_Time_Mor*$N49*(Total_Lanes-BM$6)))),"-")</f>
        <v>0.196365893199824</v>
      </c>
      <c r="BN63" s="165" t="n">
        <f aca="false">IF(BN$6&lt;Total_Lanes,900*Peak_Time_Mor*($BL63/(Total_Lanes-BN$6)-1+SQRT(($BL63/(Total_Lanes-BN$6)-1)^2+8*($BL63/(Total_Lanes-BN$6))/(Peak_Time_Mor*$N49*(Total_Lanes-BN$6)))),"-")</f>
        <v>0.245433415153573</v>
      </c>
      <c r="BO63" s="165" t="n">
        <f aca="false">IF(BO$6&lt;Total_Lanes,900*Peak_Time_Mor*($BL63/(Total_Lanes-BO$6)-1+SQRT(($BL63/(Total_Lanes-BO$6)-1)^2+8*($BL63/(Total_Lanes-BO$6))/(Peak_Time_Mor*$N49*(Total_Lanes-BO$6)))),"-")</f>
        <v>0.31572046764341</v>
      </c>
      <c r="BP63" s="165" t="n">
        <f aca="false">IF(BP$6&lt;Total_Lanes,900*Peak_Time_Mor*($BL63/(Total_Lanes-BP$6)-1+SQRT(($BL63/(Total_Lanes-BP$6)-1)^2+8*($BL63/(Total_Lanes-BP$6))/(Peak_Time_Mor*$N49*(Total_Lanes-BP$6)))),"-")</f>
        <v>0.421702833929616</v>
      </c>
      <c r="BQ63" s="165" t="n">
        <f aca="false">IF(BQ$6&lt;Total_Lanes,900*Peak_Time_Mor*($BL63/(Total_Lanes-BQ$6)-1+SQRT(($BL63/(Total_Lanes-BQ$6)-1)^2+8*($BL63/(Total_Lanes-BQ$6))/(Peak_Time_Mor*$N49*(Total_Lanes-BQ$6)))),"-")</f>
        <v>0.592990776597846</v>
      </c>
      <c r="BR63" s="165" t="n">
        <f aca="false">IF(BR$6&lt;Total_Lanes,900*Peak_Time_Mor*($BL63/(Total_Lanes-BR$6)-1+SQRT(($BL63/(Total_Lanes-BR$6)-1)^2+8*($BL63/(Total_Lanes-BR$6))/(Peak_Time_Mor*$N49*(Total_Lanes-BR$6)))),"-")</f>
        <v>0.898913489356246</v>
      </c>
      <c r="BS63" s="165" t="n">
        <f aca="false">IF(BS$6&lt;Total_Lanes,900*Peak_Time_Mor*($BL63/(Total_Lanes-BS$6)-1+SQRT(($BL63/(Total_Lanes-BS$6)-1)^2+8*($BL63/(Total_Lanes-BS$6))/(Peak_Time_Mor*$N49*(Total_Lanes-BS$6)))),"-")</f>
        <v>1.53935151594174</v>
      </c>
      <c r="BT63" s="165" t="n">
        <f aca="false">IF(BT$6&lt;Total_Lanes,900*Peak_Time_Mor*($BL63/(Total_Lanes-BT$6)-1+SQRT(($BL63/(Total_Lanes-BT$6)-1)^2+8*($BL63/(Total_Lanes-BT$6))/(Peak_Time_Mor*$N49*(Total_Lanes-BT$6)))),"-")</f>
        <v>3.35599893090049</v>
      </c>
      <c r="BU63" s="165" t="n">
        <f aca="false">IF(BU$6&lt;Total_Lanes,900*Peak_Time_Mor*($BL63/(Total_Lanes-BU$6)-1+SQRT(($BL63/(Total_Lanes-BU$6)-1)^2+8*($BL63/(Total_Lanes-BU$6))/(Peak_Time_Mor*$N49*(Total_Lanes-BU$6)))),"-")</f>
        <v>17.0456055470741</v>
      </c>
      <c r="BV63" s="165" t="n">
        <f aca="false">IF(BV$6&lt;Total_Lanes,900*Peak_Time_Mor*($BL63/(Total_Lanes-BV$6)-1+SQRT(($BL63/(Total_Lanes-BV$6)-1)^2+8*($BL63/(Total_Lanes-BV$6))/(Peak_Time_Mor*$N49*(Total_Lanes-BV$6)))),"-")</f>
        <v>1205.01728938401</v>
      </c>
      <c r="BW63" s="230" t="n">
        <f aca="false">IF(BW$6&lt;Total_Lanes,900*Peak_Time_Mor*($BL63/(Total_Lanes-BW$6)-1+SQRT(($BL63/(Total_Lanes-BW$6)-1)^2+8*($BL63/(Total_Lanes-BW$6))/(Peak_Time_Mor*$N49*(Total_Lanes-BW$6)))),"-")</f>
        <v>5993.94752014137</v>
      </c>
      <c r="BX63" s="165" t="str">
        <f aca="false">IF(BX$6&lt;Total_Lanes,900*Peak_Time_Mor*($BL63/(Total_Lanes-BX$6)-1+SQRT(($BL63/(Total_Lanes-BX$6)-1)^2+8*($BL63/(Total_Lanes-BX$6))/(Peak_Time_Mor*$N49*(Total_Lanes-BX$6)))),"-")</f>
        <v>-</v>
      </c>
      <c r="BY63" s="165" t="str">
        <f aca="false">IF(BY$6&lt;Total_Lanes,900*Peak_Time_Mor*($BL63/(Total_Lanes-BY$6)-1+SQRT(($BL63/(Total_Lanes-BY$6)-1)^2+8*($BL63/(Total_Lanes-BY$6))/(Peak_Time_Mor*$N49*(Total_Lanes-BY$6)))),"-")</f>
        <v>-</v>
      </c>
      <c r="BZ63" s="165" t="str">
        <f aca="false">IF(BZ$6&lt;Total_Lanes,900*Peak_Time_Mor*($BL63/(Total_Lanes-BZ$6)-1+SQRT(($BL63/(Total_Lanes-BZ$6)-1)^2+8*($BL63/(Total_Lanes-BZ$6))/(Peak_Time_Mor*$N49*(Total_Lanes-BZ$6)))),"-")</f>
        <v>-</v>
      </c>
      <c r="CA63" s="165" t="str">
        <f aca="false">IF(CA$6&lt;Total_Lanes,900*Peak_Time_Mor*($BL63/(Total_Lanes-CA$6)-1+SQRT(($BL63/(Total_Lanes-CA$6)-1)^2+8*($BL63/(Total_Lanes-CA$6))/(Peak_Time_Mor*$N49*(Total_Lanes-CA$6)))),"-")</f>
        <v>-</v>
      </c>
      <c r="CB63" s="165" t="str">
        <f aca="false">IF(CB$6&lt;Total_Lanes,900*Peak_Time_Mor*($BL63/(Total_Lanes-CB$6)-1+SQRT(($BL63/(Total_Lanes-CB$6)-1)^2+8*($BL63/(Total_Lanes-CB$6))/(Peak_Time_Mor*$N49*(Total_Lanes-CB$6)))),"-")</f>
        <v>-</v>
      </c>
      <c r="CC63" s="165" t="str">
        <f aca="false">IF(CC$6&lt;Total_Lanes,900*Peak_Time_Mor*($BL63/(Total_Lanes-CC$6)-1+SQRT(($BL63/(Total_Lanes-CC$6)-1)^2+8*($BL63/(Total_Lanes-CC$6))/(Peak_Time_Mor*$N49*(Total_Lanes-CC$6)))),"-")</f>
        <v>-</v>
      </c>
      <c r="CD63" s="165" t="str">
        <f aca="false">IF(CD$6&lt;Total_Lanes,900*Peak_Time_Mor*($BL63/(Total_Lanes-CD$6)-1+SQRT(($BL63/(Total_Lanes-CD$6)-1)^2+8*($BL63/(Total_Lanes-CD$6))/(Peak_Time_Mor*$N49*(Total_Lanes-CD$6)))),"-")</f>
        <v>-</v>
      </c>
      <c r="CE63" s="165" t="str">
        <f aca="false">IF(CE$6&lt;Total_Lanes,900*Peak_Time_Mor*($BL63/(Total_Lanes-CE$6)-1+SQRT(($BL63/(Total_Lanes-CE$6)-1)^2+8*($BL63/(Total_Lanes-CE$6))/(Peak_Time_Mor*$N49*(Total_Lanes-CE$6)))),"-")</f>
        <v>-</v>
      </c>
      <c r="CF63" s="165" t="str">
        <f aca="false">IF(CF$6&lt;Total_Lanes,900*Peak_Time_Mor*($BL63/(Total_Lanes-CF$6)-1+SQRT(($BL63/(Total_Lanes-CF$6)-1)^2+8*($BL63/(Total_Lanes-CF$6))/(Peak_Time_Mor*$N49*(Total_Lanes-CF$6)))),"-")</f>
        <v>-</v>
      </c>
      <c r="CG63" s="166" t="str">
        <f aca="false">IF(CG$6&lt;Total_Lanes,900*Peak_Time_Mor*($BL63/(Total_Lanes-CG$6)-1+SQRT(($BL63/(Total_Lanes-CG$6)-1)^2+8*($BL63/(Total_Lanes-CG$6))/(Peak_Time_Mor*$N49*(Total_Lanes-CG$6)))),"-")</f>
        <v>-</v>
      </c>
      <c r="CH63" s="234" t="n">
        <f aca="false">3600/N49</f>
        <v>6.76625</v>
      </c>
      <c r="CJ63" s="50" t="n">
        <v>9</v>
      </c>
      <c r="CK63" s="131" t="n">
        <f aca="false">$X63</f>
        <v>0.543037513897103</v>
      </c>
      <c r="CL63" s="150" t="n">
        <f aca="false">$AC63</f>
        <v>3099.4081758196</v>
      </c>
      <c r="CM63" s="150" t="n">
        <f aca="false">CL63*CK63</f>
        <v>1683.09491034943</v>
      </c>
      <c r="CN63" s="161" t="n">
        <f aca="false">CM63/O49</f>
        <v>1.12206327356629</v>
      </c>
      <c r="CO63" s="165" t="n">
        <f aca="false">IF(CO$53&lt;Total_Lanes,900*Peak_Time_Mor*($CN63/CO$53-1+SQRT(($CN63/CO$53-1)^2+8*($CN63/CO$53)/(Peak_Time_Mor*$O49*CO$53))),"-")</f>
        <v>460.48104384505</v>
      </c>
      <c r="CP63" s="165" t="n">
        <f aca="false">IF(CP$53&lt;Total_Lanes,900*Peak_Time_Mor*($CN63/CP$53-1+SQRT(($CN63/CP$53-1)^2+8*($CN63/CP$53)/(Peak_Time_Mor*$O49*CP$53))),"-")</f>
        <v>1.53219662742279</v>
      </c>
      <c r="CQ63" s="165" t="n">
        <f aca="false">IF(CQ$53&lt;Total_Lanes,900*Peak_Time_Mor*($CN63/CQ$53-1+SQRT(($CN63/CQ$53-1)^2+8*($CN63/CQ$53)/(Peak_Time_Mor*$O49*CQ$53))),"-")</f>
        <v>0.477896983933257</v>
      </c>
      <c r="CR63" s="165" t="n">
        <f aca="false">IF(CR$53&lt;Total_Lanes,900*Peak_Time_Mor*($CN63/CR$53-1+SQRT(($CN63/CR$53-1)^2+8*($CN63/CR$53)/(Peak_Time_Mor*$O49*CR$53))),"-")</f>
        <v>0.233909649551811</v>
      </c>
      <c r="CS63" s="165" t="n">
        <f aca="false">IF(CS$53&lt;Total_Lanes,900*Peak_Time_Mor*($CN63/CS$53-1+SQRT(($CN63/CS$53-1)^2+8*($CN63/CS$53)/(Peak_Time_Mor*$O49*CS$53))),"-")</f>
        <v>0.138878899095007</v>
      </c>
      <c r="CT63" s="165" t="n">
        <f aca="false">IF(CT$53&lt;Total_Lanes,900*Peak_Time_Mor*($CN63/CT$53-1+SQRT(($CN63/CT$53-1)^2+8*($CN63/CT$53)/(Peak_Time_Mor*$O49*CT$53))),"-")</f>
        <v>0.0920084095696439</v>
      </c>
      <c r="CU63" s="165" t="n">
        <f aca="false">IF(CU$53&lt;Total_Lanes,900*Peak_Time_Mor*($CN63/CU$53-1+SQRT(($CN63/CU$53-1)^2+8*($CN63/CU$53)/(Peak_Time_Mor*$O49*CU$53))),"-")</f>
        <v>0.0654479789553575</v>
      </c>
      <c r="CV63" s="165" t="n">
        <f aca="false">IF(CV$53&lt;Total_Lanes,900*Peak_Time_Mor*($CN63/CV$53-1+SQRT(($CN63/CV$53-1)^2+8*($CN63/CV$53)/(Peak_Time_Mor*$O49*CV$53))),"-")</f>
        <v>0.0489410811303381</v>
      </c>
      <c r="CW63" s="165" t="n">
        <f aca="false">IF(CW$53&lt;Total_Lanes,900*Peak_Time_Mor*($CN63/CW$53-1+SQRT(($CN63/CW$53-1)^2+8*($CN63/CW$53)/(Peak_Time_Mor*$O49*CW$53))),"-")</f>
        <v>0.0379811715830236</v>
      </c>
      <c r="CX63" s="165" t="n">
        <f aca="false">IF(CX$53&lt;Total_Lanes,900*Peak_Time_Mor*($CN63/CX$53-1+SQRT(($CN63/CX$53-1)^2+8*($CN63/CX$53)/(Peak_Time_Mor*$O49*CX$53))),"-")</f>
        <v>0.0303327944521925</v>
      </c>
      <c r="CY63" s="165" t="n">
        <f aca="false">IF(CY$53&lt;Total_Lanes,900*Peak_Time_Mor*($CN63/CY$53-1+SQRT(($CN63/CY$53-1)^2+8*($CN63/CY$53)/(Peak_Time_Mor*$O49*CY$53))),"-")</f>
        <v>0.0247837109207172</v>
      </c>
      <c r="CZ63" s="165" t="str">
        <f aca="false">IF(CZ$53&lt;Total_Lanes,900*Peak_Time_Mor*($CN63/CZ$53-1+SQRT(($CN63/CZ$53-1)^2+8*($CN63/CZ$53)/(Peak_Time_Mor*$O49*CZ$53))),"-")</f>
        <v>-</v>
      </c>
      <c r="DA63" s="165" t="str">
        <f aca="false">IF(DA$53&lt;Total_Lanes,900*Peak_Time_Mor*($CN63/DA$53-1+SQRT(($CN63/DA$53-1)^2+8*($CN63/DA$53)/(Peak_Time_Mor*$O49*DA$53))),"-")</f>
        <v>-</v>
      </c>
      <c r="DB63" s="165" t="str">
        <f aca="false">IF(DB$53&lt;Total_Lanes,900*Peak_Time_Mor*($CN63/DB$53-1+SQRT(($CN63/DB$53-1)^2+8*($CN63/DB$53)/(Peak_Time_Mor*$O49*DB$53))),"-")</f>
        <v>-</v>
      </c>
      <c r="DC63" s="165" t="str">
        <f aca="false">IF(DC$53&lt;Total_Lanes,900*Peak_Time_Mor*($CN63/DC$53-1+SQRT(($CN63/DC$53-1)^2+8*($CN63/DC$53)/(Peak_Time_Mor*$O49*DC$53))),"-")</f>
        <v>-</v>
      </c>
      <c r="DD63" s="165" t="str">
        <f aca="false">IF(DD$53&lt;Total_Lanes,900*Peak_Time_Mor*($CN63/DD$53-1+SQRT(($CN63/DD$53-1)^2+8*($CN63/DD$53)/(Peak_Time_Mor*$O49*DD$53))),"-")</f>
        <v>-</v>
      </c>
      <c r="DE63" s="165" t="str">
        <f aca="false">IF(DE$53&lt;Total_Lanes,900*Peak_Time_Mor*($CN63/DE$53-1+SQRT(($CN63/DE$53-1)^2+8*($CN63/DE$53)/(Peak_Time_Mor*$O49*DE$53))),"-")</f>
        <v>-</v>
      </c>
      <c r="DF63" s="165" t="str">
        <f aca="false">IF(DF$53&lt;Total_Lanes,900*Peak_Time_Mor*($CN63/DF$53-1+SQRT(($CN63/DF$53-1)^2+8*($CN63/DF$53)/(Peak_Time_Mor*$O49*DF$53))),"-")</f>
        <v>-</v>
      </c>
      <c r="DG63" s="165" t="str">
        <f aca="false">IF(DG$53&lt;Total_Lanes,900*Peak_Time_Mor*($CN63/DG$53-1+SQRT(($CN63/DG$53-1)^2+8*($CN63/DG$53)/(Peak_Time_Mor*$O49*DG$53))),"-")</f>
        <v>-</v>
      </c>
      <c r="DH63" s="165" t="str">
        <f aca="false">IF(DH$53&lt;Total_Lanes,900*Peak_Time_Mor*($CN63/DH$53-1+SQRT(($CN63/DH$53-1)^2+8*($CN63/DH$53)/(Peak_Time_Mor*$O49*DH$53))),"-")</f>
        <v>-</v>
      </c>
      <c r="DI63" s="166" t="str">
        <f aca="false">IF(DI$53&lt;Total_Lanes,900*Peak_Time_Mor*($CN63/DI$53-1+SQRT(($CN63/DI$53-1)^2+8*($CN63/DI$53)/(Peak_Time_Mor*$O49*DI$53))),"-")</f>
        <v>-</v>
      </c>
      <c r="DJ63" s="234" t="n">
        <f aca="false">3600/$O49</f>
        <v>2.4</v>
      </c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</row>
    <row r="64" customFormat="false" ht="12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0" t="n">
        <v>10</v>
      </c>
      <c r="W64" s="124" t="n">
        <f aca="false">W17</f>
        <v>24508086.5</v>
      </c>
      <c r="X64" s="131" t="n">
        <f aca="false">X17</f>
        <v>0.588152689932575</v>
      </c>
      <c r="Y64" s="124" t="n">
        <f aca="false">Y17</f>
        <v>10568.1784289615</v>
      </c>
      <c r="Z64" s="133" t="n">
        <f aca="false">W64/Y64</f>
        <v>2319.04548780488</v>
      </c>
      <c r="AA64" s="233" t="n">
        <f aca="false">AA17</f>
        <v>2</v>
      </c>
      <c r="AB64" s="157" t="n">
        <f aca="false">1-AB17</f>
        <v>0.3</v>
      </c>
      <c r="AC64" s="128" t="n">
        <f aca="false">Y64*AB64</f>
        <v>3170.45352868845</v>
      </c>
      <c r="AD64" s="150" t="n">
        <f aca="false">Peak_Time_Mor*$BH64*(CH64+BK64)/3600</f>
        <v>12.1946028392157</v>
      </c>
      <c r="AE64" s="136" t="n">
        <f aca="false">IF(AE$53&lt;Total_Lanes,($BI64*($CH64+BM64)+$CM64*CO64)*Peak_Time_Mor/3600,"-")</f>
        <v>924.364862324353</v>
      </c>
      <c r="AF64" s="136" t="n">
        <f aca="false">IF(AF$53&lt;Total_Lanes,($BI64*($CH64+BN64)+$CM64*CP64)*Peak_Time_Mor/3600,"-")</f>
        <v>7.12343972881936</v>
      </c>
      <c r="AG64" s="136" t="n">
        <f aca="false">IF(AG$53&lt;Total_Lanes,($BI64*($CH64+BO64)+$CM64*CQ64)*Peak_Time_Mor/3600,"-")</f>
        <v>5.71598152550279</v>
      </c>
      <c r="AH64" s="136" t="n">
        <f aca="false">IF(AH$53&lt;Total_Lanes,($BI64*($CH64+BP64)+$CM64*CR64)*Peak_Time_Mor/3600,"-")</f>
        <v>5.47754285955266</v>
      </c>
      <c r="AI64" s="136" t="n">
        <f aca="false">IF(AI$53&lt;Total_Lanes,($BI64*($CH64+BQ64)+$CM64*CS64)*Peak_Time_Mor/3600,"-")</f>
        <v>5.46976356439176</v>
      </c>
      <c r="AJ64" s="136" t="n">
        <f aca="false">IF(AJ$53&lt;Total_Lanes,($BI64*($CH64+BR64)+$CM64*CT64)*Peak_Time_Mor/3600,"-")</f>
        <v>5.60281367517149</v>
      </c>
      <c r="AK64" s="136" t="n">
        <f aca="false">IF(AK$53&lt;Total_Lanes,($BI64*($CH64+BS64)+$CM64*CU64)*Peak_Time_Mor/3600,"-")</f>
        <v>5.95490720404705</v>
      </c>
      <c r="AL64" s="136" t="n">
        <f aca="false">IF(AL$53&lt;Total_Lanes,($BI64*($CH64+BT64)+$CM64*CV64)*Peak_Time_Mor/3600,"-")</f>
        <v>6.94724927081426</v>
      </c>
      <c r="AM64" s="136" t="n">
        <f aca="false">IF(AM$53&lt;Total_Lanes,($BI64*($CH64+BU64)+$CM64*CW64)*Peak_Time_Mor/3600,"-")</f>
        <v>12.3598294185764</v>
      </c>
      <c r="AN64" s="136" t="n">
        <f aca="false">IF(AN$53&lt;Total_Lanes,($BI64*($CH64+BV64)+$CM64*CX64)*Peak_Time_Mor/3600,"-")</f>
        <v>620.889933634627</v>
      </c>
      <c r="AO64" s="136" t="n">
        <f aca="false">IF(AO$53&lt;Total_Lanes,($BI64*($CH64+BW64)+$CM64*CY64)*Peak_Time_Mor/3600,"-")</f>
        <v>3830.87658350361</v>
      </c>
      <c r="AP64" s="136" t="str">
        <f aca="false">IF(AP$53&lt;Total_Lanes,($BI64*($CH64+BX64)+$CM64*CZ64)*Peak_Time_Mor/3600,"-")</f>
        <v>-</v>
      </c>
      <c r="AQ64" s="136" t="str">
        <f aca="false">IF(AQ$53&lt;Total_Lanes,($BI64*($CH64+BY64)+$CM64*DA64)*Peak_Time_Mor/3600,"-")</f>
        <v>-</v>
      </c>
      <c r="AR64" s="136" t="str">
        <f aca="false">IF(AR$53&lt;Total_Lanes,($BI64*($CH64+BZ64)+$CM64*DB64)*Peak_Time_Mor/3600,"-")</f>
        <v>-</v>
      </c>
      <c r="AS64" s="136" t="str">
        <f aca="false">IF(AS$53&lt;Total_Lanes,($BI64*($CH64+CA64)+$CM64*DC64)*Peak_Time_Mor/3600,"-")</f>
        <v>-</v>
      </c>
      <c r="AT64" s="136" t="str">
        <f aca="false">IF(AT$53&lt;Total_Lanes,($BI64*($CH64+CB64)+$CM64*DD64)*Peak_Time_Mor/3600,"-")</f>
        <v>-</v>
      </c>
      <c r="AU64" s="136" t="str">
        <f aca="false">IF(AU$53&lt;Total_Lanes,($BI64*($CH64+CC64)+$CM64*DE64)*Peak_Time_Mor/3600,"-")</f>
        <v>-</v>
      </c>
      <c r="AV64" s="136" t="str">
        <f aca="false">IF(AV$53&lt;Total_Lanes,($BI64*($CH64+CD64)+$CM64*DF64)*Peak_Time_Mor/3600,"-")</f>
        <v>-</v>
      </c>
      <c r="AW64" s="136" t="str">
        <f aca="false">IF(AW$53&lt;Total_Lanes,($BI64*($CH64+CE64)+$CM64*DG64)*Peak_Time_Mor/3600,"-")</f>
        <v>-</v>
      </c>
      <c r="AX64" s="136" t="str">
        <f aca="false">IF(AX$53&lt;Total_Lanes,($BI64*($CH64+CF64)+$CM64*DH64)*Peak_Time_Mor/3600,"-")</f>
        <v>-</v>
      </c>
      <c r="AY64" s="137" t="str">
        <f aca="false">IF(AY$53&lt;Total_Lanes,($BI64*($CH64+CG64)+$CM64*DI64)*Peak_Time_Mor/3600,"-")</f>
        <v>-</v>
      </c>
      <c r="AZ64" s="158" t="n">
        <f aca="false">SUMIF(AE64:AY64,BA64,$AE$53:$AY$53)</f>
        <v>5</v>
      </c>
      <c r="BA64" s="159" t="n">
        <f aca="false">MIN(AE64:AY64)</f>
        <v>5.46976356439176</v>
      </c>
      <c r="BB64" s="158" t="n">
        <f aca="false">IF((SUMIF($BM62:$CG62,$AZ64,$BM64:$CG64)+$CH64)&lt;(SUMIF($CO62:$DI62,$AZ64,$CO64:$DI64)+$DJ64),AZ64+1,AZ64)</f>
        <v>5</v>
      </c>
      <c r="BC64" s="159" t="n">
        <f aca="false">SUMIF($AE$53:$AY$53,$BB64,$AE64:$AY64)</f>
        <v>5.46976356439176</v>
      </c>
      <c r="BF64" s="50" t="n">
        <v>10</v>
      </c>
      <c r="BG64" s="131" t="n">
        <f aca="false">$X64</f>
        <v>0.588152689932575</v>
      </c>
      <c r="BH64" s="57" t="n">
        <f aca="false">$AC64</f>
        <v>3170.45352868845</v>
      </c>
      <c r="BI64" s="135" t="n">
        <f aca="false">BH64*(1-BG64)</f>
        <v>1305.74275748411</v>
      </c>
      <c r="BJ64" s="143" t="n">
        <f aca="false">Peak_Arrival_Manual_Mor/K50</f>
        <v>2.38479406401612</v>
      </c>
      <c r="BK64" s="228" t="n">
        <f aca="false">900*Peak_Time_Mor*($BJ64/Total_Lanes-1+SQRT(($BJ64/Total_Lanes-1)^2+8*($BJ64/Total_Lanes)/(Peak_Time_Mor*$K50*Total_Lanes)))</f>
        <v>0.135889638727371</v>
      </c>
      <c r="BL64" s="143" t="n">
        <f aca="false">Peak_Arrival_Manual_Mor/N50</f>
        <v>2.46186915733984</v>
      </c>
      <c r="BM64" s="229" t="n">
        <f aca="false">IF(BM$6&lt;Total_Lanes,900*Peak_Time_Mor*($BL64/(Total_Lanes-BM$6)-1+SQRT(($BL64/(Total_Lanes-BM$6)-1)^2+8*($BL64/(Total_Lanes-BM$6))/(Peak_Time_Mor*$N50*(Total_Lanes-BM$6)))),"-")</f>
        <v>0.177906440031994</v>
      </c>
      <c r="BN64" s="165" t="n">
        <f aca="false">IF(BN$6&lt;Total_Lanes,900*Peak_Time_Mor*($BL64/(Total_Lanes-BN$6)-1+SQRT(($BL64/(Total_Lanes-BN$6)-1)^2+8*($BL64/(Total_Lanes-BN$6))/(Peak_Time_Mor*$N50*(Total_Lanes-BN$6)))),"-")</f>
        <v>0.221654048166675</v>
      </c>
      <c r="BO64" s="165" t="n">
        <f aca="false">IF(BO$6&lt;Total_Lanes,900*Peak_Time_Mor*($BL64/(Total_Lanes-BO$6)-1+SQRT(($BL64/(Total_Lanes-BO$6)-1)^2+8*($BL64/(Total_Lanes-BO$6))/(Peak_Time_Mor*$N50*(Total_Lanes-BO$6)))),"-")</f>
        <v>0.283943246383056</v>
      </c>
      <c r="BP64" s="165" t="n">
        <f aca="false">IF(BP$6&lt;Total_Lanes,900*Peak_Time_Mor*($BL64/(Total_Lanes-BP$6)-1+SQRT(($BL64/(Total_Lanes-BP$6)-1)^2+8*($BL64/(Total_Lanes-BP$6))/(Peak_Time_Mor*$N50*(Total_Lanes-BP$6)))),"-")</f>
        <v>0.377099451716134</v>
      </c>
      <c r="BQ64" s="165" t="n">
        <f aca="false">IF(BQ$6&lt;Total_Lanes,900*Peak_Time_Mor*($BL64/(Total_Lanes-BQ$6)-1+SQRT(($BL64/(Total_Lanes-BQ$6)-1)^2+8*($BL64/(Total_Lanes-BQ$6))/(Peak_Time_Mor*$N50*(Total_Lanes-BQ$6)))),"-")</f>
        <v>0.525898470743247</v>
      </c>
      <c r="BR64" s="165" t="n">
        <f aca="false">IF(BR$6&lt;Total_Lanes,900*Peak_Time_Mor*($BL64/(Total_Lanes-BR$6)-1+SQRT(($BL64/(Total_Lanes-BR$6)-1)^2+8*($BL64/(Total_Lanes-BR$6))/(Peak_Time_Mor*$N50*(Total_Lanes-BR$6)))),"-")</f>
        <v>0.786844165787026</v>
      </c>
      <c r="BS64" s="165" t="n">
        <f aca="false">IF(BS$6&lt;Total_Lanes,900*Peak_Time_Mor*($BL64/(Total_Lanes-BS$6)-1+SQRT(($BL64/(Total_Lanes-BS$6)-1)^2+8*($BL64/(Total_Lanes-BS$6))/(Peak_Time_Mor*$N50*(Total_Lanes-BS$6)))),"-")</f>
        <v>1.31576466807568</v>
      </c>
      <c r="BT64" s="165" t="n">
        <f aca="false">IF(BT$6&lt;Total_Lanes,900*Peak_Time_Mor*($BL64/(Total_Lanes-BT$6)-1+SQRT(($BL64/(Total_Lanes-BT$6)-1)^2+8*($BL64/(Total_Lanes-BT$6))/(Peak_Time_Mor*$N50*(Total_Lanes-BT$6)))),"-")</f>
        <v>2.7106408245446</v>
      </c>
      <c r="BU64" s="165" t="n">
        <f aca="false">IF(BU$6&lt;Total_Lanes,900*Peak_Time_Mor*($BL64/(Total_Lanes-BU$6)-1+SQRT(($BL64/(Total_Lanes-BU$6)-1)^2+8*($BL64/(Total_Lanes-BU$6))/(Peak_Time_Mor*$N50*(Total_Lanes-BU$6)))),"-")</f>
        <v>10.1898119277204</v>
      </c>
      <c r="BV64" s="165" t="n">
        <f aca="false">IF(BV$6&lt;Total_Lanes,900*Peak_Time_Mor*($BL64/(Total_Lanes-BV$6)-1+SQRT(($BL64/(Total_Lanes-BV$6)-1)^2+8*($BL64/(Total_Lanes-BV$6))/(Peak_Time_Mor*$N50*(Total_Lanes-BV$6)))),"-")</f>
        <v>849.076599207987</v>
      </c>
      <c r="BW64" s="230" t="n">
        <f aca="false">IF(BW$6&lt;Total_Lanes,900*Peak_Time_Mor*($BL64/(Total_Lanes-BW$6)-1+SQRT(($BL64/(Total_Lanes-BW$6)-1)^2+8*($BL64/(Total_Lanes-BW$6))/(Peak_Time_Mor*$N50*(Total_Lanes-BW$6)))),"-")</f>
        <v>5274.1347752287</v>
      </c>
      <c r="BX64" s="165" t="str">
        <f aca="false">IF(BX$6&lt;Total_Lanes,900*Peak_Time_Mor*($BL64/(Total_Lanes-BX$6)-1+SQRT(($BL64/(Total_Lanes-BX$6)-1)^2+8*($BL64/(Total_Lanes-BX$6))/(Peak_Time_Mor*$N50*(Total_Lanes-BX$6)))),"-")</f>
        <v>-</v>
      </c>
      <c r="BY64" s="165" t="str">
        <f aca="false">IF(BY$6&lt;Total_Lanes,900*Peak_Time_Mor*($BL64/(Total_Lanes-BY$6)-1+SQRT(($BL64/(Total_Lanes-BY$6)-1)^2+8*($BL64/(Total_Lanes-BY$6))/(Peak_Time_Mor*$N50*(Total_Lanes-BY$6)))),"-")</f>
        <v>-</v>
      </c>
      <c r="BZ64" s="165" t="str">
        <f aca="false">IF(BZ$6&lt;Total_Lanes,900*Peak_Time_Mor*($BL64/(Total_Lanes-BZ$6)-1+SQRT(($BL64/(Total_Lanes-BZ$6)-1)^2+8*($BL64/(Total_Lanes-BZ$6))/(Peak_Time_Mor*$N50*(Total_Lanes-BZ$6)))),"-")</f>
        <v>-</v>
      </c>
      <c r="CA64" s="165" t="str">
        <f aca="false">IF(CA$6&lt;Total_Lanes,900*Peak_Time_Mor*($BL64/(Total_Lanes-CA$6)-1+SQRT(($BL64/(Total_Lanes-CA$6)-1)^2+8*($BL64/(Total_Lanes-CA$6))/(Peak_Time_Mor*$N50*(Total_Lanes-CA$6)))),"-")</f>
        <v>-</v>
      </c>
      <c r="CB64" s="165" t="str">
        <f aca="false">IF(CB$6&lt;Total_Lanes,900*Peak_Time_Mor*($BL64/(Total_Lanes-CB$6)-1+SQRT(($BL64/(Total_Lanes-CB$6)-1)^2+8*($BL64/(Total_Lanes-CB$6))/(Peak_Time_Mor*$N50*(Total_Lanes-CB$6)))),"-")</f>
        <v>-</v>
      </c>
      <c r="CC64" s="165" t="str">
        <f aca="false">IF(CC$6&lt;Total_Lanes,900*Peak_Time_Mor*($BL64/(Total_Lanes-CC$6)-1+SQRT(($BL64/(Total_Lanes-CC$6)-1)^2+8*($BL64/(Total_Lanes-CC$6))/(Peak_Time_Mor*$N50*(Total_Lanes-CC$6)))),"-")</f>
        <v>-</v>
      </c>
      <c r="CD64" s="165" t="str">
        <f aca="false">IF(CD$6&lt;Total_Lanes,900*Peak_Time_Mor*($BL64/(Total_Lanes-CD$6)-1+SQRT(($BL64/(Total_Lanes-CD$6)-1)^2+8*($BL64/(Total_Lanes-CD$6))/(Peak_Time_Mor*$N50*(Total_Lanes-CD$6)))),"-")</f>
        <v>-</v>
      </c>
      <c r="CE64" s="165" t="str">
        <f aca="false">IF(CE$6&lt;Total_Lanes,900*Peak_Time_Mor*($BL64/(Total_Lanes-CE$6)-1+SQRT(($BL64/(Total_Lanes-CE$6)-1)^2+8*($BL64/(Total_Lanes-CE$6))/(Peak_Time_Mor*$N50*(Total_Lanes-CE$6)))),"-")</f>
        <v>-</v>
      </c>
      <c r="CF64" s="165" t="str">
        <f aca="false">IF(CF$6&lt;Total_Lanes,900*Peak_Time_Mor*($BL64/(Total_Lanes-CF$6)-1+SQRT(($BL64/(Total_Lanes-CF$6)-1)^2+8*($BL64/(Total_Lanes-CF$6))/(Peak_Time_Mor*$N50*(Total_Lanes-CF$6)))),"-")</f>
        <v>-</v>
      </c>
      <c r="CG64" s="166" t="str">
        <f aca="false">IF(CG$6&lt;Total_Lanes,900*Peak_Time_Mor*($BL64/(Total_Lanes-CG$6)-1+SQRT(($BL64/(Total_Lanes-CG$6)-1)^2+8*($BL64/(Total_Lanes-CG$6))/(Peak_Time_Mor*$N50*(Total_Lanes-CG$6)))),"-")</f>
        <v>-</v>
      </c>
      <c r="CH64" s="234" t="n">
        <f aca="false">3600/N50</f>
        <v>6.7875</v>
      </c>
      <c r="CJ64" s="50" t="n">
        <v>10</v>
      </c>
      <c r="CK64" s="131" t="n">
        <f aca="false">$X64</f>
        <v>0.588152689932575</v>
      </c>
      <c r="CL64" s="150" t="n">
        <f aca="false">$AC64</f>
        <v>3170.45352868845</v>
      </c>
      <c r="CM64" s="150" t="n">
        <f aca="false">CL64*CK64</f>
        <v>1864.71077120434</v>
      </c>
      <c r="CN64" s="161" t="n">
        <f aca="false">CM64/O50</f>
        <v>1.24314051413622</v>
      </c>
      <c r="CO64" s="165" t="n">
        <f aca="false">IF(CO$53&lt;Total_Lanes,900*Peak_Time_Mor*($CN64/CO$53-1+SQRT(($CN64/CO$53-1)^2+8*($CN64/CO$53)/(Peak_Time_Mor*$O50*CO$53))),"-")</f>
        <v>887.409323057157</v>
      </c>
      <c r="CP64" s="165" t="n">
        <f aca="false">IF(CP$53&lt;Total_Lanes,900*Peak_Time_Mor*($CN64/CP$53-1+SQRT(($CN64/CP$53-1)^2+8*($CN64/CP$53)/(Peak_Time_Mor*$O50*CP$53))),"-")</f>
        <v>1.9681547584028</v>
      </c>
      <c r="CQ64" s="165" t="n">
        <f aca="false">IF(CQ$53&lt;Total_Lanes,900*Peak_Time_Mor*($CN64/CQ$53-1+SQRT(($CN64/CQ$53-1)^2+8*($CN64/CQ$53)/(Peak_Time_Mor*$O50*CQ$53))),"-")</f>
        <v>0.565922049830192</v>
      </c>
      <c r="CR64" s="165" t="n">
        <f aca="false">IF(CR$53&lt;Total_Lanes,900*Peak_Time_Mor*($CN64/CR$53-1+SQRT(($CN64/CR$53-1)^2+8*($CN64/CR$53)/(Peak_Time_Mor*$O50*CR$53))),"-")</f>
        <v>0.270526298572293</v>
      </c>
      <c r="CS64" s="165" t="n">
        <f aca="false">IF(CS$53&lt;Total_Lanes,900*Peak_Time_Mor*($CN64/CS$53-1+SQRT(($CN64/CS$53-1)^2+8*($CN64/CS$53)/(Peak_Time_Mor*$O50*CS$53))),"-")</f>
        <v>0.15882212657865</v>
      </c>
      <c r="CT64" s="165" t="n">
        <f aca="false">IF(CT$53&lt;Total_Lanes,900*Peak_Time_Mor*($CN64/CT$53-1+SQRT(($CN64/CT$53-1)^2+8*($CN64/CT$53)/(Peak_Time_Mor*$O50*CT$53))),"-")</f>
        <v>0.104530729993235</v>
      </c>
      <c r="CU64" s="165" t="n">
        <f aca="false">IF(CU$53&lt;Total_Lanes,900*Peak_Time_Mor*($CN64/CU$53-1+SQRT(($CN64/CU$53-1)^2+8*($CN64/CU$53)/(Peak_Time_Mor*$O50*CU$53))),"-")</f>
        <v>0.0740349748067359</v>
      </c>
      <c r="CV64" s="165" t="n">
        <f aca="false">IF(CV$53&lt;Total_Lanes,900*Peak_Time_Mor*($CN64/CV$53-1+SQRT(($CN64/CV$53-1)^2+8*($CN64/CV$53)/(Peak_Time_Mor*$O50*CV$53))),"-")</f>
        <v>0.0551935977641804</v>
      </c>
      <c r="CW64" s="165" t="n">
        <f aca="false">IF(CW$53&lt;Total_Lanes,900*Peak_Time_Mor*($CN64/CW$53-1+SQRT(($CN64/CW$53-1)^2+8*($CN64/CW$53)/(Peak_Time_Mor*$O50*CW$53))),"-")</f>
        <v>0.042736312514835</v>
      </c>
      <c r="CX64" s="165" t="n">
        <f aca="false">IF(CX$53&lt;Total_Lanes,900*Peak_Time_Mor*($CN64/CX$53-1+SQRT(($CN64/CX$53-1)^2+8*($CN64/CX$53)/(Peak_Time_Mor*$O50*CX$53))),"-")</f>
        <v>0.034070490617566</v>
      </c>
      <c r="CY64" s="165" t="n">
        <f aca="false">IF(CY$53&lt;Total_Lanes,900*Peak_Time_Mor*($CN64/CY$53-1+SQRT(($CN64/CY$53-1)^2+8*($CN64/CY$53)/(Peak_Time_Mor*$O50*CY$53))),"-")</f>
        <v>0.0277987293742177</v>
      </c>
      <c r="CZ64" s="165" t="str">
        <f aca="false">IF(CZ$53&lt;Total_Lanes,900*Peak_Time_Mor*($CN64/CZ$53-1+SQRT(($CN64/CZ$53-1)^2+8*($CN64/CZ$53)/(Peak_Time_Mor*$O50*CZ$53))),"-")</f>
        <v>-</v>
      </c>
      <c r="DA64" s="165" t="str">
        <f aca="false">IF(DA$53&lt;Total_Lanes,900*Peak_Time_Mor*($CN64/DA$53-1+SQRT(($CN64/DA$53-1)^2+8*($CN64/DA$53)/(Peak_Time_Mor*$O50*DA$53))),"-")</f>
        <v>-</v>
      </c>
      <c r="DB64" s="165" t="str">
        <f aca="false">IF(DB$53&lt;Total_Lanes,900*Peak_Time_Mor*($CN64/DB$53-1+SQRT(($CN64/DB$53-1)^2+8*($CN64/DB$53)/(Peak_Time_Mor*$O50*DB$53))),"-")</f>
        <v>-</v>
      </c>
      <c r="DC64" s="165" t="str">
        <f aca="false">IF(DC$53&lt;Total_Lanes,900*Peak_Time_Mor*($CN64/DC$53-1+SQRT(($CN64/DC$53-1)^2+8*($CN64/DC$53)/(Peak_Time_Mor*$O50*DC$53))),"-")</f>
        <v>-</v>
      </c>
      <c r="DD64" s="165" t="str">
        <f aca="false">IF(DD$53&lt;Total_Lanes,900*Peak_Time_Mor*($CN64/DD$53-1+SQRT(($CN64/DD$53-1)^2+8*($CN64/DD$53)/(Peak_Time_Mor*$O50*DD$53))),"-")</f>
        <v>-</v>
      </c>
      <c r="DE64" s="165" t="str">
        <f aca="false">IF(DE$53&lt;Total_Lanes,900*Peak_Time_Mor*($CN64/DE$53-1+SQRT(($CN64/DE$53-1)^2+8*($CN64/DE$53)/(Peak_Time_Mor*$O50*DE$53))),"-")</f>
        <v>-</v>
      </c>
      <c r="DF64" s="165" t="str">
        <f aca="false">IF(DF$53&lt;Total_Lanes,900*Peak_Time_Mor*($CN64/DF$53-1+SQRT(($CN64/DF$53-1)^2+8*($CN64/DF$53)/(Peak_Time_Mor*$O50*DF$53))),"-")</f>
        <v>-</v>
      </c>
      <c r="DG64" s="165" t="str">
        <f aca="false">IF(DG$53&lt;Total_Lanes,900*Peak_Time_Mor*($CN64/DG$53-1+SQRT(($CN64/DG$53-1)^2+8*($CN64/DG$53)/(Peak_Time_Mor*$O50*DG$53))),"-")</f>
        <v>-</v>
      </c>
      <c r="DH64" s="165" t="str">
        <f aca="false">IF(DH$53&lt;Total_Lanes,900*Peak_Time_Mor*($CN64/DH$53-1+SQRT(($CN64/DH$53-1)^2+8*($CN64/DH$53)/(Peak_Time_Mor*$O50*DH$53))),"-")</f>
        <v>-</v>
      </c>
      <c r="DI64" s="166" t="str">
        <f aca="false">IF(DI$53&lt;Total_Lanes,900*Peak_Time_Mor*($CN64/DI$53-1+SQRT(($CN64/DI$53-1)^2+8*($CN64/DI$53)/(Peak_Time_Mor*$O50*DI$53))),"-")</f>
        <v>-</v>
      </c>
      <c r="DJ64" s="234" t="n">
        <f aca="false">3600/$O50</f>
        <v>2.4</v>
      </c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customFormat="false" ht="12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0" t="n">
        <v>11</v>
      </c>
      <c r="W65" s="124" t="n">
        <f aca="false">W18</f>
        <v>25057277.85</v>
      </c>
      <c r="X65" s="131" t="n">
        <f aca="false">X18</f>
        <v>0.581731128248894</v>
      </c>
      <c r="Y65" s="124" t="n">
        <f aca="false">Y18</f>
        <v>10804.9962718576</v>
      </c>
      <c r="Z65" s="133" t="n">
        <f aca="false">W65/Y65</f>
        <v>2319.04548780488</v>
      </c>
      <c r="AA65" s="233" t="n">
        <f aca="false">AA18</f>
        <v>2</v>
      </c>
      <c r="AB65" s="157" t="n">
        <f aca="false">1-AB18</f>
        <v>0.3</v>
      </c>
      <c r="AC65" s="128" t="n">
        <f aca="false">Y65*AB65</f>
        <v>3241.49888155729</v>
      </c>
      <c r="AD65" s="150" t="n">
        <f aca="false">Peak_Time_Mor*$BH65*(CH65+BK65)/3600</f>
        <v>12.5179584743665</v>
      </c>
      <c r="AE65" s="136" t="n">
        <f aca="false">IF(AE$53&lt;Total_Lanes,($BI65*($CH65+BM65)+$CM65*CO65)*Peak_Time_Mor/3600,"-")</f>
        <v>987.105488031576</v>
      </c>
      <c r="AF65" s="136" t="n">
        <f aca="false">IF(AF$53&lt;Total_Lanes,($BI65*($CH65+BN65)+$CM65*CP65)*Peak_Time_Mor/3600,"-")</f>
        <v>7.42953107724062</v>
      </c>
      <c r="AG65" s="136" t="n">
        <f aca="false">IF(AG$53&lt;Total_Lanes,($BI65*($CH65+BO65)+$CM65*CQ65)*Peak_Time_Mor/3600,"-")</f>
        <v>5.95992636902943</v>
      </c>
      <c r="AH65" s="136" t="n">
        <f aca="false">IF(AH$53&lt;Total_Lanes,($BI65*($CH65+BP65)+$CM65*CR65)*Peak_Time_Mor/3600,"-")</f>
        <v>5.71899494217504</v>
      </c>
      <c r="AI65" s="136" t="n">
        <f aca="false">IF(AI$53&lt;Total_Lanes,($BI65*($CH65+BQ65)+$CM65*CS65)*Peak_Time_Mor/3600,"-")</f>
        <v>5.72089367452715</v>
      </c>
      <c r="AJ65" s="136" t="n">
        <f aca="false">IF(AJ$53&lt;Total_Lanes,($BI65*($CH65+BR65)+$CM65*CT65)*Peak_Time_Mor/3600,"-")</f>
        <v>5.8773337207292</v>
      </c>
      <c r="AK65" s="136" t="n">
        <f aca="false">IF(AK$53&lt;Total_Lanes,($BI65*($CH65+BS65)+$CM65*CU65)*Peak_Time_Mor/3600,"-")</f>
        <v>6.28616781752474</v>
      </c>
      <c r="AL65" s="136" t="n">
        <f aca="false">IF(AL$53&lt;Total_Lanes,($BI65*($CH65+BT65)+$CM65*CV65)*Peak_Time_Mor/3600,"-")</f>
        <v>7.4717940305333</v>
      </c>
      <c r="AM65" s="136" t="n">
        <f aca="false">IF(AM$53&lt;Total_Lanes,($BI65*($CH65+BU65)+$CM65*CW65)*Peak_Time_Mor/3600,"-")</f>
        <v>14.9902046495234</v>
      </c>
      <c r="AN65" s="136" t="n">
        <f aca="false">IF(AN$53&lt;Total_Lanes,($BI65*($CH65+BV65)+$CM65*CX65)*Peak_Time_Mor/3600,"-")</f>
        <v>781.713281413163</v>
      </c>
      <c r="AO65" s="136" t="n">
        <f aca="false">IF(AO$53&lt;Total_Lanes,($BI65*($CH65+BW65)+$CM65*CY65)*Peak_Time_Mor/3600,"-")</f>
        <v>4255.32061001592</v>
      </c>
      <c r="AP65" s="136" t="str">
        <f aca="false">IF(AP$53&lt;Total_Lanes,($BI65*($CH65+BX65)+$CM65*CZ65)*Peak_Time_Mor/3600,"-")</f>
        <v>-</v>
      </c>
      <c r="AQ65" s="136" t="str">
        <f aca="false">IF(AQ$53&lt;Total_Lanes,($BI65*($CH65+BY65)+$CM65*DA65)*Peak_Time_Mor/3600,"-")</f>
        <v>-</v>
      </c>
      <c r="AR65" s="136" t="str">
        <f aca="false">IF(AR$53&lt;Total_Lanes,($BI65*($CH65+BZ65)+$CM65*DB65)*Peak_Time_Mor/3600,"-")</f>
        <v>-</v>
      </c>
      <c r="AS65" s="136" t="str">
        <f aca="false">IF(AS$53&lt;Total_Lanes,($BI65*($CH65+CA65)+$CM65*DC65)*Peak_Time_Mor/3600,"-")</f>
        <v>-</v>
      </c>
      <c r="AT65" s="136" t="str">
        <f aca="false">IF(AT$53&lt;Total_Lanes,($BI65*($CH65+CB65)+$CM65*DD65)*Peak_Time_Mor/3600,"-")</f>
        <v>-</v>
      </c>
      <c r="AU65" s="136" t="str">
        <f aca="false">IF(AU$53&lt;Total_Lanes,($BI65*($CH65+CC65)+$CM65*DE65)*Peak_Time_Mor/3600,"-")</f>
        <v>-</v>
      </c>
      <c r="AV65" s="136" t="str">
        <f aca="false">IF(AV$53&lt;Total_Lanes,($BI65*($CH65+CD65)+$CM65*DF65)*Peak_Time_Mor/3600,"-")</f>
        <v>-</v>
      </c>
      <c r="AW65" s="136" t="str">
        <f aca="false">IF(AW$53&lt;Total_Lanes,($BI65*($CH65+CE65)+$CM65*DG65)*Peak_Time_Mor/3600,"-")</f>
        <v>-</v>
      </c>
      <c r="AX65" s="136" t="str">
        <f aca="false">IF(AX$53&lt;Total_Lanes,($BI65*($CH65+CF65)+$CM65*DH65)*Peak_Time_Mor/3600,"-")</f>
        <v>-</v>
      </c>
      <c r="AY65" s="137" t="str">
        <f aca="false">IF(AY$53&lt;Total_Lanes,($BI65*($CH65+CG65)+$CM65*DI65)*Peak_Time_Mor/3600,"-")</f>
        <v>-</v>
      </c>
      <c r="AZ65" s="158" t="n">
        <f aca="false">SUMIF(AE65:AY65,BA65,$AE$53:$AY$53)</f>
        <v>4</v>
      </c>
      <c r="BA65" s="159" t="n">
        <f aca="false">MIN(AE65:AY65)</f>
        <v>5.71899494217504</v>
      </c>
      <c r="BB65" s="158" t="n">
        <f aca="false">IF((SUMIF($BM63:$CG63,$AZ65,$BM65:$CG65)+$CH65)&lt;(SUMIF($CO63:$DI63,$AZ65,$CO65:$DI65)+$DJ65),AZ65+1,AZ65)</f>
        <v>4</v>
      </c>
      <c r="BC65" s="159" t="n">
        <f aca="false">SUMIF($AE$53:$AY$53,$BB65,$AE65:$AY65)</f>
        <v>5.71899494217504</v>
      </c>
      <c r="BF65" s="50" t="n">
        <v>11</v>
      </c>
      <c r="BG65" s="131" t="n">
        <f aca="false">$X65</f>
        <v>0.581731128248894</v>
      </c>
      <c r="BH65" s="57" t="n">
        <f aca="false">$AC65</f>
        <v>3241.49888155729</v>
      </c>
      <c r="BI65" s="135" t="n">
        <f aca="false">BH65*(1-BG65)</f>
        <v>1355.81807997144</v>
      </c>
      <c r="BJ65" s="143" t="n">
        <f aca="false">Peak_Arrival_Manual_Mor/K51</f>
        <v>2.47625107661451</v>
      </c>
      <c r="BK65" s="228" t="n">
        <f aca="false">900*Peak_Time_Mor*($BJ65/Total_Lanes-1+SQRT(($BJ65/Total_Lanes-1)^2+8*($BJ65/Total_Lanes)/(Peak_Time_Mor*$K51*Total_Lanes)))</f>
        <v>0.142455623441307</v>
      </c>
      <c r="BL65" s="143" t="n">
        <f aca="false">Peak_Arrival_Manual_Mor/N51</f>
        <v>2.56428509777932</v>
      </c>
      <c r="BM65" s="229" t="n">
        <f aca="false">IF(BM$6&lt;Total_Lanes,900*Peak_Time_Mor*($BL65/(Total_Lanes-BM$6)-1+SQRT(($BL65/(Total_Lanes-BM$6)-1)^2+8*($BL65/(Total_Lanes-BM$6))/(Peak_Time_Mor*$N51*(Total_Lanes-BM$6)))),"-")</f>
        <v>0.188143631462157</v>
      </c>
      <c r="BN65" s="165" t="n">
        <f aca="false">IF(BN$6&lt;Total_Lanes,900*Peak_Time_Mor*($BL65/(Total_Lanes-BN$6)-1+SQRT(($BL65/(Total_Lanes-BN$6)-1)^2+8*($BL65/(Total_Lanes-BN$6))/(Peak_Time_Mor*$N51*(Total_Lanes-BN$6)))),"-")</f>
        <v>0.234786367540019</v>
      </c>
      <c r="BO65" s="165" t="n">
        <f aca="false">IF(BO$6&lt;Total_Lanes,900*Peak_Time_Mor*($BL65/(Total_Lanes-BO$6)-1+SQRT(($BL65/(Total_Lanes-BO$6)-1)^2+8*($BL65/(Total_Lanes-BO$6))/(Peak_Time_Mor*$N51*(Total_Lanes-BO$6)))),"-")</f>
        <v>0.301400206639202</v>
      </c>
      <c r="BP65" s="165" t="n">
        <f aca="false">IF(BP$6&lt;Total_Lanes,900*Peak_Time_Mor*($BL65/(Total_Lanes-BP$6)-1+SQRT(($BL65/(Total_Lanes-BP$6)-1)^2+8*($BL65/(Total_Lanes-BP$6))/(Peak_Time_Mor*$N51*(Total_Lanes-BP$6)))),"-")</f>
        <v>0.401435495985902</v>
      </c>
      <c r="BQ65" s="165" t="n">
        <f aca="false">IF(BQ$6&lt;Total_Lanes,900*Peak_Time_Mor*($BL65/(Total_Lanes-BQ$6)-1+SQRT(($BL65/(Total_Lanes-BQ$6)-1)^2+8*($BL65/(Total_Lanes-BQ$6))/(Peak_Time_Mor*$N51*(Total_Lanes-BQ$6)))),"-")</f>
        <v>0.562166576388368</v>
      </c>
      <c r="BR65" s="165" t="n">
        <f aca="false">IF(BR$6&lt;Total_Lanes,900*Peak_Time_Mor*($BL65/(Total_Lanes-BR$6)-1+SQRT(($BL65/(Total_Lanes-BR$6)-1)^2+8*($BL65/(Total_Lanes-BR$6))/(Peak_Time_Mor*$N51*(Total_Lanes-BR$6)))),"-")</f>
        <v>0.84661703372646</v>
      </c>
      <c r="BS65" s="165" t="n">
        <f aca="false">IF(BS$6&lt;Total_Lanes,900*Peak_Time_Mor*($BL65/(Total_Lanes-BS$6)-1+SQRT(($BL65/(Total_Lanes-BS$6)-1)^2+8*($BL65/(Total_Lanes-BS$6))/(Peak_Time_Mor*$N51*(Total_Lanes-BS$6)))),"-")</f>
        <v>1.43246046895446</v>
      </c>
      <c r="BT65" s="165" t="n">
        <f aca="false">IF(BT$6&lt;Total_Lanes,900*Peak_Time_Mor*($BL65/(Total_Lanes-BT$6)-1+SQRT(($BL65/(Total_Lanes-BT$6)-1)^2+8*($BL65/(Total_Lanes-BT$6))/(Peak_Time_Mor*$N51*(Total_Lanes-BT$6)))),"-")</f>
        <v>3.03310366454354</v>
      </c>
      <c r="BU65" s="165" t="n">
        <f aca="false">IF(BU$6&lt;Total_Lanes,900*Peak_Time_Mor*($BL65/(Total_Lanes-BU$6)-1+SQRT(($BL65/(Total_Lanes-BU$6)-1)^2+8*($BL65/(Total_Lanes-BU$6))/(Peak_Time_Mor*$N51*(Total_Lanes-BU$6)))),"-")</f>
        <v>13.032206792396</v>
      </c>
      <c r="BV65" s="165" t="n">
        <f aca="false">IF(BV$6&lt;Total_Lanes,900*Peak_Time_Mor*($BL65/(Total_Lanes-BV$6)-1+SQRT(($BL65/(Total_Lanes-BV$6)-1)^2+8*($BL65/(Total_Lanes-BV$6))/(Peak_Time_Mor*$N51*(Total_Lanes-BV$6)))),"-")</f>
        <v>1030.95498459611</v>
      </c>
      <c r="BW65" s="230" t="n">
        <f aca="false">IF(BW$6&lt;Total_Lanes,900*Peak_Time_Mor*($BL65/(Total_Lanes-BW$6)-1+SQRT(($BL65/(Total_Lanes-BW$6)-1)^2+8*($BL65/(Total_Lanes-BW$6))/(Peak_Time_Mor*$N51*(Total_Lanes-BW$6)))),"-")</f>
        <v>5642.56569491668</v>
      </c>
      <c r="BX65" s="165" t="str">
        <f aca="false">IF(BX$6&lt;Total_Lanes,900*Peak_Time_Mor*($BL65/(Total_Lanes-BX$6)-1+SQRT(($BL65/(Total_Lanes-BX$6)-1)^2+8*($BL65/(Total_Lanes-BX$6))/(Peak_Time_Mor*$N51*(Total_Lanes-BX$6)))),"-")</f>
        <v>-</v>
      </c>
      <c r="BY65" s="165" t="str">
        <f aca="false">IF(BY$6&lt;Total_Lanes,900*Peak_Time_Mor*($BL65/(Total_Lanes-BY$6)-1+SQRT(($BL65/(Total_Lanes-BY$6)-1)^2+8*($BL65/(Total_Lanes-BY$6))/(Peak_Time_Mor*$N51*(Total_Lanes-BY$6)))),"-")</f>
        <v>-</v>
      </c>
      <c r="BZ65" s="165" t="str">
        <f aca="false">IF(BZ$6&lt;Total_Lanes,900*Peak_Time_Mor*($BL65/(Total_Lanes-BZ$6)-1+SQRT(($BL65/(Total_Lanes-BZ$6)-1)^2+8*($BL65/(Total_Lanes-BZ$6))/(Peak_Time_Mor*$N51*(Total_Lanes-BZ$6)))),"-")</f>
        <v>-</v>
      </c>
      <c r="CA65" s="165" t="str">
        <f aca="false">IF(CA$6&lt;Total_Lanes,900*Peak_Time_Mor*($BL65/(Total_Lanes-CA$6)-1+SQRT(($BL65/(Total_Lanes-CA$6)-1)^2+8*($BL65/(Total_Lanes-CA$6))/(Peak_Time_Mor*$N51*(Total_Lanes-CA$6)))),"-")</f>
        <v>-</v>
      </c>
      <c r="CB65" s="165" t="str">
        <f aca="false">IF(CB$6&lt;Total_Lanes,900*Peak_Time_Mor*($BL65/(Total_Lanes-CB$6)-1+SQRT(($BL65/(Total_Lanes-CB$6)-1)^2+8*($BL65/(Total_Lanes-CB$6))/(Peak_Time_Mor*$N51*(Total_Lanes-CB$6)))),"-")</f>
        <v>-</v>
      </c>
      <c r="CC65" s="165" t="str">
        <f aca="false">IF(CC$6&lt;Total_Lanes,900*Peak_Time_Mor*($BL65/(Total_Lanes-CC$6)-1+SQRT(($BL65/(Total_Lanes-CC$6)-1)^2+8*($BL65/(Total_Lanes-CC$6))/(Peak_Time_Mor*$N51*(Total_Lanes-CC$6)))),"-")</f>
        <v>-</v>
      </c>
      <c r="CD65" s="165" t="str">
        <f aca="false">IF(CD$6&lt;Total_Lanes,900*Peak_Time_Mor*($BL65/(Total_Lanes-CD$6)-1+SQRT(($BL65/(Total_Lanes-CD$6)-1)^2+8*($BL65/(Total_Lanes-CD$6))/(Peak_Time_Mor*$N51*(Total_Lanes-CD$6)))),"-")</f>
        <v>-</v>
      </c>
      <c r="CE65" s="165" t="str">
        <f aca="false">IF(CE$6&lt;Total_Lanes,900*Peak_Time_Mor*($BL65/(Total_Lanes-CE$6)-1+SQRT(($BL65/(Total_Lanes-CE$6)-1)^2+8*($BL65/(Total_Lanes-CE$6))/(Peak_Time_Mor*$N51*(Total_Lanes-CE$6)))),"-")</f>
        <v>-</v>
      </c>
      <c r="CF65" s="165" t="str">
        <f aca="false">IF(CF$6&lt;Total_Lanes,900*Peak_Time_Mor*($BL65/(Total_Lanes-CF$6)-1+SQRT(($BL65/(Total_Lanes-CF$6)-1)^2+8*($BL65/(Total_Lanes-CF$6))/(Peak_Time_Mor*$N51*(Total_Lanes-CF$6)))),"-")</f>
        <v>-</v>
      </c>
      <c r="CG65" s="166" t="str">
        <f aca="false">IF(CG$6&lt;Total_Lanes,900*Peak_Time_Mor*($BL65/(Total_Lanes-CG$6)-1+SQRT(($BL65/(Total_Lanes-CG$6)-1)^2+8*($BL65/(Total_Lanes-CG$6))/(Peak_Time_Mor*$N51*(Total_Lanes-CG$6)))),"-")</f>
        <v>-</v>
      </c>
      <c r="CH65" s="234" t="n">
        <f aca="false">3600/N51</f>
        <v>6.80875</v>
      </c>
      <c r="CJ65" s="50" t="n">
        <v>11</v>
      </c>
      <c r="CK65" s="131" t="n">
        <f aca="false">$X65</f>
        <v>0.581731128248894</v>
      </c>
      <c r="CL65" s="150" t="n">
        <f aca="false">$AC65</f>
        <v>3241.49888155729</v>
      </c>
      <c r="CM65" s="150" t="n">
        <f aca="false">CL65*CK65</f>
        <v>1885.68080158585</v>
      </c>
      <c r="CN65" s="161" t="n">
        <f aca="false">CM65/O51</f>
        <v>1.25712053439057</v>
      </c>
      <c r="CO65" s="165" t="n">
        <f aca="false">IF(CO$53&lt;Total_Lanes,900*Peak_Time_Mor*($CN65/CO$53-1+SQRT(($CN65/CO$53-1)^2+8*($CN65/CO$53)/(Peak_Time_Mor*$O51*CO$53))),"-")</f>
        <v>937.222971184395</v>
      </c>
      <c r="CP65" s="165" t="n">
        <f aca="false">IF(CP$53&lt;Total_Lanes,900*Peak_Time_Mor*($CN65/CP$53-1+SQRT(($CN65/CP$53-1)^2+8*($CN65/CP$53)/(Peak_Time_Mor*$O51*CP$53))),"-")</f>
        <v>2.02759766221861</v>
      </c>
      <c r="CQ65" s="165" t="n">
        <f aca="false">IF(CQ$53&lt;Total_Lanes,900*Peak_Time_Mor*($CN65/CQ$53-1+SQRT(($CN65/CQ$53-1)^2+8*($CN65/CQ$53)/(Peak_Time_Mor*$O51*CQ$53))),"-")</f>
        <v>0.576872428177677</v>
      </c>
      <c r="CR65" s="165" t="n">
        <f aca="false">IF(CR$53&lt;Total_Lanes,900*Peak_Time_Mor*($CN65/CR$53-1+SQRT(($CN65/CR$53-1)^2+8*($CN65/CR$53)/(Peak_Time_Mor*$O51*CR$53))),"-")</f>
        <v>0.274962252398958</v>
      </c>
      <c r="CS65" s="165" t="n">
        <f aca="false">IF(CS$53&lt;Total_Lanes,900*Peak_Time_Mor*($CN65/CS$53-1+SQRT(($CN65/CS$53-1)^2+8*($CN65/CS$53)/(Peak_Time_Mor*$O51*CS$53))),"-")</f>
        <v>0.161207906271654</v>
      </c>
      <c r="CT65" s="165" t="n">
        <f aca="false">IF(CT$53&lt;Total_Lanes,900*Peak_Time_Mor*($CN65/CT$53-1+SQRT(($CN65/CT$53-1)^2+8*($CN65/CT$53)/(Peak_Time_Mor*$O51*CT$53))),"-")</f>
        <v>0.106017765043132</v>
      </c>
      <c r="CU65" s="165" t="n">
        <f aca="false">IF(CU$53&lt;Total_Lanes,900*Peak_Time_Mor*($CN65/CU$53-1+SQRT(($CN65/CU$53-1)^2+8*($CN65/CU$53)/(Peak_Time_Mor*$O51*CU$53))),"-")</f>
        <v>0.0750497734118838</v>
      </c>
      <c r="CV65" s="165" t="n">
        <f aca="false">IF(CV$53&lt;Total_Lanes,900*Peak_Time_Mor*($CN65/CV$53-1+SQRT(($CN65/CV$53-1)^2+8*($CN65/CV$53)/(Peak_Time_Mor*$O51*CV$53))),"-")</f>
        <v>0.0559299941166769</v>
      </c>
      <c r="CW65" s="165" t="n">
        <f aca="false">IF(CW$53&lt;Total_Lanes,900*Peak_Time_Mor*($CN65/CW$53-1+SQRT(($CN65/CW$53-1)^2+8*($CN65/CW$53)/(Peak_Time_Mor*$O51*CW$53))),"-")</f>
        <v>0.043294934121807</v>
      </c>
      <c r="CX65" s="165" t="n">
        <f aca="false">IF(CX$53&lt;Total_Lanes,900*Peak_Time_Mor*($CN65/CX$53-1+SQRT(($CN65/CX$53-1)^2+8*($CN65/CX$53)/(Peak_Time_Mor*$O51*CX$53))),"-")</f>
        <v>0.0345087246734099</v>
      </c>
      <c r="CY65" s="165" t="n">
        <f aca="false">IF(CY$53&lt;Total_Lanes,900*Peak_Time_Mor*($CN65/CY$53-1+SQRT(($CN65/CY$53-1)^2+8*($CN65/CY$53)/(Peak_Time_Mor*$O51*CY$53))),"-")</f>
        <v>0.0281516797221659</v>
      </c>
      <c r="CZ65" s="165" t="str">
        <f aca="false">IF(CZ$53&lt;Total_Lanes,900*Peak_Time_Mor*($CN65/CZ$53-1+SQRT(($CN65/CZ$53-1)^2+8*($CN65/CZ$53)/(Peak_Time_Mor*$O51*CZ$53))),"-")</f>
        <v>-</v>
      </c>
      <c r="DA65" s="165" t="str">
        <f aca="false">IF(DA$53&lt;Total_Lanes,900*Peak_Time_Mor*($CN65/DA$53-1+SQRT(($CN65/DA$53-1)^2+8*($CN65/DA$53)/(Peak_Time_Mor*$O51*DA$53))),"-")</f>
        <v>-</v>
      </c>
      <c r="DB65" s="165" t="str">
        <f aca="false">IF(DB$53&lt;Total_Lanes,900*Peak_Time_Mor*($CN65/DB$53-1+SQRT(($CN65/DB$53-1)^2+8*($CN65/DB$53)/(Peak_Time_Mor*$O51*DB$53))),"-")</f>
        <v>-</v>
      </c>
      <c r="DC65" s="165" t="str">
        <f aca="false">IF(DC$53&lt;Total_Lanes,900*Peak_Time_Mor*($CN65/DC$53-1+SQRT(($CN65/DC$53-1)^2+8*($CN65/DC$53)/(Peak_Time_Mor*$O51*DC$53))),"-")</f>
        <v>-</v>
      </c>
      <c r="DD65" s="165" t="str">
        <f aca="false">IF(DD$53&lt;Total_Lanes,900*Peak_Time_Mor*($CN65/DD$53-1+SQRT(($CN65/DD$53-1)^2+8*($CN65/DD$53)/(Peak_Time_Mor*$O51*DD$53))),"-")</f>
        <v>-</v>
      </c>
      <c r="DE65" s="165" t="str">
        <f aca="false">IF(DE$53&lt;Total_Lanes,900*Peak_Time_Mor*($CN65/DE$53-1+SQRT(($CN65/DE$53-1)^2+8*($CN65/DE$53)/(Peak_Time_Mor*$O51*DE$53))),"-")</f>
        <v>-</v>
      </c>
      <c r="DF65" s="165" t="str">
        <f aca="false">IF(DF$53&lt;Total_Lanes,900*Peak_Time_Mor*($CN65/DF$53-1+SQRT(($CN65/DF$53-1)^2+8*($CN65/DF$53)/(Peak_Time_Mor*$O51*DF$53))),"-")</f>
        <v>-</v>
      </c>
      <c r="DG65" s="165" t="str">
        <f aca="false">IF(DG$53&lt;Total_Lanes,900*Peak_Time_Mor*($CN65/DG$53-1+SQRT(($CN65/DG$53-1)^2+8*($CN65/DG$53)/(Peak_Time_Mor*$O51*DG$53))),"-")</f>
        <v>-</v>
      </c>
      <c r="DH65" s="165" t="str">
        <f aca="false">IF(DH$53&lt;Total_Lanes,900*Peak_Time_Mor*($CN65/DH$53-1+SQRT(($CN65/DH$53-1)^2+8*($CN65/DH$53)/(Peak_Time_Mor*$O51*DH$53))),"-")</f>
        <v>-</v>
      </c>
      <c r="DI65" s="166" t="str">
        <f aca="false">IF(DI$53&lt;Total_Lanes,900*Peak_Time_Mor*($CN65/DI$53-1+SQRT(($CN65/DI$53-1)^2+8*($CN65/DI$53)/(Peak_Time_Mor*$O51*DI$53))),"-")</f>
        <v>-</v>
      </c>
      <c r="DJ65" s="234" t="n">
        <f aca="false">3600/$O51</f>
        <v>2.4</v>
      </c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customFormat="false" ht="12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0" t="n">
        <v>12</v>
      </c>
      <c r="W66" s="124" t="n">
        <f aca="false">W19</f>
        <v>25606469.2</v>
      </c>
      <c r="X66" s="131" t="n">
        <f aca="false">X19</f>
        <v>0.623709764481281</v>
      </c>
      <c r="Y66" s="124" t="n">
        <f aca="false">Y19</f>
        <v>11041.8141147538</v>
      </c>
      <c r="Z66" s="133" t="n">
        <f aca="false">W66/Y66</f>
        <v>2319.04548780488</v>
      </c>
      <c r="AA66" s="233" t="n">
        <f aca="false">AA19</f>
        <v>2</v>
      </c>
      <c r="AB66" s="157" t="n">
        <f aca="false">1-AB19</f>
        <v>0.3</v>
      </c>
      <c r="AC66" s="128" t="n">
        <f aca="false">Y66*AB66</f>
        <v>3312.54423442614</v>
      </c>
      <c r="AD66" s="150" t="n">
        <f aca="false">Peak_Time_Mor*$BH66*(CH66+BK66)/3600</f>
        <v>12.8053358632102</v>
      </c>
      <c r="AE66" s="136" t="n">
        <f aca="false">IF(AE$53&lt;Total_Lanes,($BI66*($CH66+BM66)+$CM66*CO66)*Peak_Time_Mor/3600,"-")</f>
        <v>1574.21152202914</v>
      </c>
      <c r="AF66" s="136" t="n">
        <f aca="false">IF(AF$53&lt;Total_Lanes,($BI66*($CH66+BN66)+$CM66*CP66)*Peak_Time_Mor/3600,"-")</f>
        <v>7.91605081584744</v>
      </c>
      <c r="AG66" s="136" t="n">
        <f aca="false">IF(AG$53&lt;Total_Lanes,($BI66*($CH66+BO66)+$CM66*CQ66)*Peak_Time_Mor/3600,"-")</f>
        <v>5.69616885573098</v>
      </c>
      <c r="AH66" s="136" t="n">
        <f aca="false">IF(AH$53&lt;Total_Lanes,($BI66*($CH66+BP66)+$CM66*CR66)*Peak_Time_Mor/3600,"-")</f>
        <v>5.33940893169241</v>
      </c>
      <c r="AI66" s="136" t="n">
        <f aca="false">IF(AI$53&lt;Total_Lanes,($BI66*($CH66+BQ66)+$CM66*CS66)*Peak_Time_Mor/3600,"-")</f>
        <v>5.28381076602996</v>
      </c>
      <c r="AJ66" s="136" t="n">
        <f aca="false">IF(AJ$53&lt;Total_Lanes,($BI66*($CH66+BR66)+$CM66*CT66)*Peak_Time_Mor/3600,"-")</f>
        <v>5.37913106386318</v>
      </c>
      <c r="AK66" s="136" t="n">
        <f aca="false">IF(AK$53&lt;Total_Lanes,($BI66*($CH66+BS66)+$CM66*CU66)*Peak_Time_Mor/3600,"-")</f>
        <v>5.67445207697626</v>
      </c>
      <c r="AL66" s="136" t="n">
        <f aca="false">IF(AL$53&lt;Total_Lanes,($BI66*($CH66+BT66)+$CM66*CV66)*Peak_Time_Mor/3600,"-")</f>
        <v>6.50852935848822</v>
      </c>
      <c r="AM66" s="136" t="n">
        <f aca="false">IF(AM$53&lt;Total_Lanes,($BI66*($CH66+BU66)+$CM66*CW66)*Peak_Time_Mor/3600,"-")</f>
        <v>10.5910910924515</v>
      </c>
      <c r="AN66" s="136" t="n">
        <f aca="false">IF(AN$53&lt;Total_Lanes,($BI66*($CH66+BV66)+$CM66*CX66)*Peak_Time_Mor/3600,"-")</f>
        <v>474.389919723429</v>
      </c>
      <c r="AO66" s="136" t="n">
        <f aca="false">IF(AO$53&lt;Total_Lanes,($BI66*($CH66+BW66)+$CM66*CY66)*Peak_Time_Mor/3600,"-")</f>
        <v>3415.44175638795</v>
      </c>
      <c r="AP66" s="136" t="str">
        <f aca="false">IF(AP$53&lt;Total_Lanes,($BI66*($CH66+BX66)+$CM66*CZ66)*Peak_Time_Mor/3600,"-")</f>
        <v>-</v>
      </c>
      <c r="AQ66" s="136" t="str">
        <f aca="false">IF(AQ$53&lt;Total_Lanes,($BI66*($CH66+BY66)+$CM66*DA66)*Peak_Time_Mor/3600,"-")</f>
        <v>-</v>
      </c>
      <c r="AR66" s="136" t="str">
        <f aca="false">IF(AR$53&lt;Total_Lanes,($BI66*($CH66+BZ66)+$CM66*DB66)*Peak_Time_Mor/3600,"-")</f>
        <v>-</v>
      </c>
      <c r="AS66" s="136" t="str">
        <f aca="false">IF(AS$53&lt;Total_Lanes,($BI66*($CH66+CA66)+$CM66*DC66)*Peak_Time_Mor/3600,"-")</f>
        <v>-</v>
      </c>
      <c r="AT66" s="136" t="str">
        <f aca="false">IF(AT$53&lt;Total_Lanes,($BI66*($CH66+CB66)+$CM66*DD66)*Peak_Time_Mor/3600,"-")</f>
        <v>-</v>
      </c>
      <c r="AU66" s="136" t="str">
        <f aca="false">IF(AU$53&lt;Total_Lanes,($BI66*($CH66+CC66)+$CM66*DE66)*Peak_Time_Mor/3600,"-")</f>
        <v>-</v>
      </c>
      <c r="AV66" s="136" t="str">
        <f aca="false">IF(AV$53&lt;Total_Lanes,($BI66*($CH66+CD66)+$CM66*DF66)*Peak_Time_Mor/3600,"-")</f>
        <v>-</v>
      </c>
      <c r="AW66" s="136" t="str">
        <f aca="false">IF(AW$53&lt;Total_Lanes,($BI66*($CH66+CE66)+$CM66*DG66)*Peak_Time_Mor/3600,"-")</f>
        <v>-</v>
      </c>
      <c r="AX66" s="136" t="str">
        <f aca="false">IF(AX$53&lt;Total_Lanes,($BI66*($CH66+CF66)+$CM66*DH66)*Peak_Time_Mor/3600,"-")</f>
        <v>-</v>
      </c>
      <c r="AY66" s="137" t="str">
        <f aca="false">IF(AY$53&lt;Total_Lanes,($BI66*($CH66+CG66)+$CM66*DI66)*Peak_Time_Mor/3600,"-")</f>
        <v>-</v>
      </c>
      <c r="AZ66" s="158" t="n">
        <f aca="false">SUMIF(AE66:AY66,BA66,$AE$53:$AY$53)</f>
        <v>5</v>
      </c>
      <c r="BA66" s="159" t="n">
        <f aca="false">MIN(AE66:AY66)</f>
        <v>5.28381076602996</v>
      </c>
      <c r="BB66" s="158" t="n">
        <f aca="false">IF((SUMIF($BM64:$CG64,$AZ66,$BM66:$CG66)+$CH66)&lt;(SUMIF($CO64:$DI64,$AZ66,$CO66:$DI66)+$DJ66),AZ66+1,AZ66)</f>
        <v>5</v>
      </c>
      <c r="BC66" s="159" t="n">
        <f aca="false">SUMIF($AE$53:$AY$53,$BB66,$AE66:$AY66)</f>
        <v>5.28381076602996</v>
      </c>
      <c r="BF66" s="50" t="n">
        <v>12</v>
      </c>
      <c r="BG66" s="131" t="n">
        <f aca="false">$X66</f>
        <v>0.623709764481281</v>
      </c>
      <c r="BH66" s="57" t="n">
        <f aca="false">$AC66</f>
        <v>3312.54423442614</v>
      </c>
      <c r="BI66" s="135" t="n">
        <f aca="false">BH66*(1-BG66)</f>
        <v>1246.47805013839</v>
      </c>
      <c r="BJ66" s="143" t="n">
        <f aca="false">Peak_Arrival_Manual_Mor/K52</f>
        <v>2.27655366101664</v>
      </c>
      <c r="BK66" s="228" t="n">
        <f aca="false">900*Peak_Time_Mor*($BJ66/Total_Lanes-1+SQRT(($BJ66/Total_Lanes-1)^2+8*($BJ66/Total_Lanes)/(Peak_Time_Mor*$K52*Total_Lanes)))</f>
        <v>0.128278266666348</v>
      </c>
      <c r="BL66" s="143" t="n">
        <f aca="false">Peak_Arrival_Manual_Mor/N52</f>
        <v>2.36484585623478</v>
      </c>
      <c r="BM66" s="229" t="n">
        <f aca="false">IF(BM$6&lt;Total_Lanes,900*Peak_Time_Mor*($BL66/(Total_Lanes-BM$6)-1+SQRT(($BL66/(Total_Lanes-BM$6)-1)^2+8*($BL66/(Total_Lanes-BM$6))/(Peak_Time_Mor*$N52*(Total_Lanes-BM$6)))),"-")</f>
        <v>0.170033554221716</v>
      </c>
      <c r="BN66" s="165" t="n">
        <f aca="false">IF(BN$6&lt;Total_Lanes,900*Peak_Time_Mor*($BL66/(Total_Lanes-BN$6)-1+SQRT(($BL66/(Total_Lanes-BN$6)-1)^2+8*($BL66/(Total_Lanes-BN$6))/(Peak_Time_Mor*$N52*(Total_Lanes-BN$6)))),"-")</f>
        <v>0.211530166608198</v>
      </c>
      <c r="BO66" s="165" t="n">
        <f aca="false">IF(BO$6&lt;Total_Lanes,900*Peak_Time_Mor*($BL66/(Total_Lanes-BO$6)-1+SQRT(($BL66/(Total_Lanes-BO$6)-1)^2+8*($BL66/(Total_Lanes-BO$6))/(Peak_Time_Mor*$N52*(Total_Lanes-BO$6)))),"-")</f>
        <v>0.27044923876276</v>
      </c>
      <c r="BP66" s="165" t="n">
        <f aca="false">IF(BP$6&lt;Total_Lanes,900*Peak_Time_Mor*($BL66/(Total_Lanes-BP$6)-1+SQRT(($BL66/(Total_Lanes-BP$6)-1)^2+8*($BL66/(Total_Lanes-BP$6))/(Peak_Time_Mor*$N52*(Total_Lanes-BP$6)))),"-")</f>
        <v>0.358233673373998</v>
      </c>
      <c r="BQ66" s="165" t="n">
        <f aca="false">IF(BQ$6&lt;Total_Lanes,900*Peak_Time_Mor*($BL66/(Total_Lanes-BQ$6)-1+SQRT(($BL66/(Total_Lanes-BQ$6)-1)^2+8*($BL66/(Total_Lanes-BQ$6))/(Peak_Time_Mor*$N52*(Total_Lanes-BQ$6)))),"-")</f>
        <v>0.497703454518694</v>
      </c>
      <c r="BR66" s="165" t="n">
        <f aca="false">IF(BR$6&lt;Total_Lanes,900*Peak_Time_Mor*($BL66/(Total_Lanes-BR$6)-1+SQRT(($BL66/(Total_Lanes-BR$6)-1)^2+8*($BL66/(Total_Lanes-BR$6))/(Peak_Time_Mor*$N52*(Total_Lanes-BR$6)))),"-")</f>
        <v>0.7402903362415</v>
      </c>
      <c r="BS66" s="165" t="n">
        <f aca="false">IF(BS$6&lt;Total_Lanes,900*Peak_Time_Mor*($BL66/(Total_Lanes-BS$6)-1+SQRT(($BL66/(Total_Lanes-BS$6)-1)^2+8*($BL66/(Total_Lanes-BS$6))/(Peak_Time_Mor*$N52*(Total_Lanes-BS$6)))),"-")</f>
        <v>1.22508770404106</v>
      </c>
      <c r="BT66" s="165" t="n">
        <f aca="false">IF(BT$6&lt;Total_Lanes,900*Peak_Time_Mor*($BL66/(Total_Lanes-BT$6)-1+SQRT(($BL66/(Total_Lanes-BT$6)-1)^2+8*($BL66/(Total_Lanes-BT$6))/(Peak_Time_Mor*$N52*(Total_Lanes-BT$6)))),"-")</f>
        <v>2.46534619215181</v>
      </c>
      <c r="BU66" s="165" t="n">
        <f aca="false">IF(BU$6&lt;Total_Lanes,900*Peak_Time_Mor*($BL66/(Total_Lanes-BU$6)-1+SQRT(($BL66/(Total_Lanes-BU$6)-1)^2+8*($BL66/(Total_Lanes-BU$6))/(Peak_Time_Mor*$N52*(Total_Lanes-BU$6)))),"-")</f>
        <v>8.38439619013487</v>
      </c>
      <c r="BV66" s="165" t="n">
        <f aca="false">IF(BV$6&lt;Total_Lanes,900*Peak_Time_Mor*($BL66/(Total_Lanes-BV$6)-1+SQRT(($BL66/(Total_Lanes-BV$6)-1)^2+8*($BL66/(Total_Lanes-BV$6))/(Peak_Time_Mor*$N52*(Total_Lanes-BV$6)))),"-")</f>
        <v>678.158113815665</v>
      </c>
      <c r="BW66" s="230" t="n">
        <f aca="false">IF(BW$6&lt;Total_Lanes,900*Peak_Time_Mor*($BL66/(Total_Lanes-BW$6)-1+SQRT(($BL66/(Total_Lanes-BW$6)-1)^2+8*($BL66/(Total_Lanes-BW$6))/(Peak_Time_Mor*$N52*(Total_Lanes-BW$6)))),"-")</f>
        <v>4925.25094382693</v>
      </c>
      <c r="BX66" s="165" t="str">
        <f aca="false">IF(BX$6&lt;Total_Lanes,900*Peak_Time_Mor*($BL66/(Total_Lanes-BX$6)-1+SQRT(($BL66/(Total_Lanes-BX$6)-1)^2+8*($BL66/(Total_Lanes-BX$6))/(Peak_Time_Mor*$N52*(Total_Lanes-BX$6)))),"-")</f>
        <v>-</v>
      </c>
      <c r="BY66" s="165" t="str">
        <f aca="false">IF(BY$6&lt;Total_Lanes,900*Peak_Time_Mor*($BL66/(Total_Lanes-BY$6)-1+SQRT(($BL66/(Total_Lanes-BY$6)-1)^2+8*($BL66/(Total_Lanes-BY$6))/(Peak_Time_Mor*$N52*(Total_Lanes-BY$6)))),"-")</f>
        <v>-</v>
      </c>
      <c r="BZ66" s="165" t="str">
        <f aca="false">IF(BZ$6&lt;Total_Lanes,900*Peak_Time_Mor*($BL66/(Total_Lanes-BZ$6)-1+SQRT(($BL66/(Total_Lanes-BZ$6)-1)^2+8*($BL66/(Total_Lanes-BZ$6))/(Peak_Time_Mor*$N52*(Total_Lanes-BZ$6)))),"-")</f>
        <v>-</v>
      </c>
      <c r="CA66" s="165" t="str">
        <f aca="false">IF(CA$6&lt;Total_Lanes,900*Peak_Time_Mor*($BL66/(Total_Lanes-CA$6)-1+SQRT(($BL66/(Total_Lanes-CA$6)-1)^2+8*($BL66/(Total_Lanes-CA$6))/(Peak_Time_Mor*$N52*(Total_Lanes-CA$6)))),"-")</f>
        <v>-</v>
      </c>
      <c r="CB66" s="165" t="str">
        <f aca="false">IF(CB$6&lt;Total_Lanes,900*Peak_Time_Mor*($BL66/(Total_Lanes-CB$6)-1+SQRT(($BL66/(Total_Lanes-CB$6)-1)^2+8*($BL66/(Total_Lanes-CB$6))/(Peak_Time_Mor*$N52*(Total_Lanes-CB$6)))),"-")</f>
        <v>-</v>
      </c>
      <c r="CC66" s="165" t="str">
        <f aca="false">IF(CC$6&lt;Total_Lanes,900*Peak_Time_Mor*($BL66/(Total_Lanes-CC$6)-1+SQRT(($BL66/(Total_Lanes-CC$6)-1)^2+8*($BL66/(Total_Lanes-CC$6))/(Peak_Time_Mor*$N52*(Total_Lanes-CC$6)))),"-")</f>
        <v>-</v>
      </c>
      <c r="CD66" s="165" t="str">
        <f aca="false">IF(CD$6&lt;Total_Lanes,900*Peak_Time_Mor*($BL66/(Total_Lanes-CD$6)-1+SQRT(($BL66/(Total_Lanes-CD$6)-1)^2+8*($BL66/(Total_Lanes-CD$6))/(Peak_Time_Mor*$N52*(Total_Lanes-CD$6)))),"-")</f>
        <v>-</v>
      </c>
      <c r="CE66" s="165" t="str">
        <f aca="false">IF(CE$6&lt;Total_Lanes,900*Peak_Time_Mor*($BL66/(Total_Lanes-CE$6)-1+SQRT(($BL66/(Total_Lanes-CE$6)-1)^2+8*($BL66/(Total_Lanes-CE$6))/(Peak_Time_Mor*$N52*(Total_Lanes-CE$6)))),"-")</f>
        <v>-</v>
      </c>
      <c r="CF66" s="165" t="str">
        <f aca="false">IF(CF$6&lt;Total_Lanes,900*Peak_Time_Mor*($BL66/(Total_Lanes-CF$6)-1+SQRT(($BL66/(Total_Lanes-CF$6)-1)^2+8*($BL66/(Total_Lanes-CF$6))/(Peak_Time_Mor*$N52*(Total_Lanes-CF$6)))),"-")</f>
        <v>-</v>
      </c>
      <c r="CG66" s="166" t="str">
        <f aca="false">IF(CG$6&lt;Total_Lanes,900*Peak_Time_Mor*($BL66/(Total_Lanes-CG$6)-1+SQRT(($BL66/(Total_Lanes-CG$6)-1)^2+8*($BL66/(Total_Lanes-CG$6))/(Peak_Time_Mor*$N52*(Total_Lanes-CG$6)))),"-")</f>
        <v>-</v>
      </c>
      <c r="CH66" s="234" t="n">
        <f aca="false">3600/N52</f>
        <v>6.83</v>
      </c>
      <c r="CJ66" s="50" t="n">
        <v>12</v>
      </c>
      <c r="CK66" s="131" t="n">
        <f aca="false">$X66</f>
        <v>0.623709764481281</v>
      </c>
      <c r="CL66" s="150" t="n">
        <f aca="false">$AC66</f>
        <v>3312.54423442614</v>
      </c>
      <c r="CM66" s="150" t="n">
        <f aca="false">CL66*CK66</f>
        <v>2066.06618428775</v>
      </c>
      <c r="CN66" s="161" t="n">
        <f aca="false">CM66/O52</f>
        <v>1.37737745619183</v>
      </c>
      <c r="CO66" s="165" t="n">
        <f aca="false">IF(CO$53&lt;Total_Lanes,900*Peak_Time_Mor*($CN66/CO$53-1+SQRT(($CN66/CO$53-1)^2+8*($CN66/CO$53)/(Peak_Time_Mor*$O52*CO$53))),"-")</f>
        <v>1367.26275903437</v>
      </c>
      <c r="CP66" s="165" t="n">
        <f aca="false">IF(CP$53&lt;Total_Lanes,900*Peak_Time_Mor*($CN66/CP$53-1+SQRT(($CN66/CP$53-1)^2+8*($CN66/CP$53)/(Peak_Time_Mor*$O52*CP$53))),"-")</f>
        <v>2.64840435319709</v>
      </c>
      <c r="CQ66" s="165" t="n">
        <f aca="false">IF(CQ$53&lt;Total_Lanes,900*Peak_Time_Mor*($CN66/CQ$53-1+SQRT(($CN66/CQ$53-1)^2+8*($CN66/CQ$53)/(Peak_Time_Mor*$O52*CQ$53))),"-")</f>
        <v>0.678850381823404</v>
      </c>
      <c r="CR66" s="165" t="n">
        <f aca="false">IF(CR$53&lt;Total_Lanes,900*Peak_Time_Mor*($CN66/CR$53-1+SQRT(($CN66/CR$53-1)^2+8*($CN66/CR$53)/(Peak_Time_Mor*$O52*CR$53))),"-")</f>
        <v>0.315072473897748</v>
      </c>
      <c r="CS66" s="165" t="n">
        <f aca="false">IF(CS$53&lt;Total_Lanes,900*Peak_Time_Mor*($CN66/CS$53-1+SQRT(($CN66/CS$53-1)^2+8*($CN66/CS$53)/(Peak_Time_Mor*$O52*CS$53))),"-")</f>
        <v>0.182490700317572</v>
      </c>
      <c r="CT66" s="165" t="n">
        <f aca="false">IF(CT$53&lt;Total_Lanes,900*Peak_Time_Mor*($CN66/CT$53-1+SQRT(($CN66/CT$53-1)^2+8*($CN66/CT$53)/(Peak_Time_Mor*$O52*CT$53))),"-")</f>
        <v>0.11918068236465</v>
      </c>
      <c r="CU66" s="165" t="n">
        <f aca="false">IF(CU$53&lt;Total_Lanes,900*Peak_Time_Mor*($CN66/CU$53-1+SQRT(($CN66/CU$53-1)^2+8*($CN66/CU$53)/(Peak_Time_Mor*$O52*CU$53))),"-")</f>
        <v>0.0839874951006348</v>
      </c>
      <c r="CV66" s="165" t="n">
        <f aca="false">IF(CV$53&lt;Total_Lanes,900*Peak_Time_Mor*($CN66/CV$53-1+SQRT(($CN66/CV$53-1)^2+8*($CN66/CV$53)/(Peak_Time_Mor*$O52*CV$53))),"-")</f>
        <v>0.062392893947183</v>
      </c>
      <c r="CW66" s="165" t="n">
        <f aca="false">IF(CW$53&lt;Total_Lanes,900*Peak_Time_Mor*($CN66/CW$53-1+SQRT(($CN66/CW$53-1)^2+8*($CN66/CW$53)/(Peak_Time_Mor*$O52*CW$53))),"-")</f>
        <v>0.0481848403781182</v>
      </c>
      <c r="CX66" s="165" t="n">
        <f aca="false">IF(CX$53&lt;Total_Lanes,900*Peak_Time_Mor*($CN66/CX$53-1+SQRT(($CN66/CX$53-1)^2+8*($CN66/CX$53)/(Peak_Time_Mor*$O52*CX$53))),"-")</f>
        <v>0.0383371190389337</v>
      </c>
      <c r="CY66" s="165" t="n">
        <f aca="false">IF(CY$53&lt;Total_Lanes,900*Peak_Time_Mor*($CN66/CY$53-1+SQRT(($CN66/CY$53-1)^2+8*($CN66/CY$53)/(Peak_Time_Mor*$O52*CY$53))),"-")</f>
        <v>0.031230128397941</v>
      </c>
      <c r="CZ66" s="165" t="str">
        <f aca="false">IF(CZ$53&lt;Total_Lanes,900*Peak_Time_Mor*($CN66/CZ$53-1+SQRT(($CN66/CZ$53-1)^2+8*($CN66/CZ$53)/(Peak_Time_Mor*$O52*CZ$53))),"-")</f>
        <v>-</v>
      </c>
      <c r="DA66" s="165" t="str">
        <f aca="false">IF(DA$53&lt;Total_Lanes,900*Peak_Time_Mor*($CN66/DA$53-1+SQRT(($CN66/DA$53-1)^2+8*($CN66/DA$53)/(Peak_Time_Mor*$O52*DA$53))),"-")</f>
        <v>-</v>
      </c>
      <c r="DB66" s="165" t="str">
        <f aca="false">IF(DB$53&lt;Total_Lanes,900*Peak_Time_Mor*($CN66/DB$53-1+SQRT(($CN66/DB$53-1)^2+8*($CN66/DB$53)/(Peak_Time_Mor*$O52*DB$53))),"-")</f>
        <v>-</v>
      </c>
      <c r="DC66" s="165" t="str">
        <f aca="false">IF(DC$53&lt;Total_Lanes,900*Peak_Time_Mor*($CN66/DC$53-1+SQRT(($CN66/DC$53-1)^2+8*($CN66/DC$53)/(Peak_Time_Mor*$O52*DC$53))),"-")</f>
        <v>-</v>
      </c>
      <c r="DD66" s="165" t="str">
        <f aca="false">IF(DD$53&lt;Total_Lanes,900*Peak_Time_Mor*($CN66/DD$53-1+SQRT(($CN66/DD$53-1)^2+8*($CN66/DD$53)/(Peak_Time_Mor*$O52*DD$53))),"-")</f>
        <v>-</v>
      </c>
      <c r="DE66" s="165" t="str">
        <f aca="false">IF(DE$53&lt;Total_Lanes,900*Peak_Time_Mor*($CN66/DE$53-1+SQRT(($CN66/DE$53-1)^2+8*($CN66/DE$53)/(Peak_Time_Mor*$O52*DE$53))),"-")</f>
        <v>-</v>
      </c>
      <c r="DF66" s="165" t="str">
        <f aca="false">IF(DF$53&lt;Total_Lanes,900*Peak_Time_Mor*($CN66/DF$53-1+SQRT(($CN66/DF$53-1)^2+8*($CN66/DF$53)/(Peak_Time_Mor*$O52*DF$53))),"-")</f>
        <v>-</v>
      </c>
      <c r="DG66" s="165" t="str">
        <f aca="false">IF(DG$53&lt;Total_Lanes,900*Peak_Time_Mor*($CN66/DG$53-1+SQRT(($CN66/DG$53-1)^2+8*($CN66/DG$53)/(Peak_Time_Mor*$O52*DG$53))),"-")</f>
        <v>-</v>
      </c>
      <c r="DH66" s="165" t="str">
        <f aca="false">IF(DH$53&lt;Total_Lanes,900*Peak_Time_Mor*($CN66/DH$53-1+SQRT(($CN66/DH$53-1)^2+8*($CN66/DH$53)/(Peak_Time_Mor*$O52*DH$53))),"-")</f>
        <v>-</v>
      </c>
      <c r="DI66" s="166" t="str">
        <f aca="false">IF(DI$53&lt;Total_Lanes,900*Peak_Time_Mor*($CN66/DI$53-1+SQRT(($CN66/DI$53-1)^2+8*($CN66/DI$53)/(Peak_Time_Mor*$O52*DI$53))),"-")</f>
        <v>-</v>
      </c>
      <c r="DJ66" s="234" t="n">
        <f aca="false">3600/$O52</f>
        <v>2.4</v>
      </c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</row>
    <row r="67" customFormat="false" ht="12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0" t="n">
        <v>13</v>
      </c>
      <c r="W67" s="124" t="n">
        <f aca="false">W20</f>
        <v>26155660.55</v>
      </c>
      <c r="X67" s="131" t="n">
        <f aca="false">X20</f>
        <v>0.664080811078137</v>
      </c>
      <c r="Y67" s="124" t="n">
        <f aca="false">Y20</f>
        <v>11278.6319576499</v>
      </c>
      <c r="Z67" s="133" t="n">
        <f aca="false">W67/Y67</f>
        <v>2319.04548780488</v>
      </c>
      <c r="AA67" s="233" t="n">
        <f aca="false">AA20</f>
        <v>2</v>
      </c>
      <c r="AB67" s="157" t="n">
        <f aca="false">1-AB20</f>
        <v>0.3</v>
      </c>
      <c r="AC67" s="128" t="n">
        <f aca="false">Y67*AB67</f>
        <v>3383.58958729498</v>
      </c>
      <c r="AD67" s="150" t="n">
        <f aca="false">Peak_Time_Mor*$BH67*(CH67+BK67)/3600</f>
        <v>13.0942234531478</v>
      </c>
      <c r="AE67" s="136" t="n">
        <f aca="false">IF(AE$53&lt;Total_Lanes,($BI67*($CH67+BM67)+$CM67*CO67)*Peak_Time_Mor/3600,"-")</f>
        <v>2251.31850851629</v>
      </c>
      <c r="AF67" s="136" t="n">
        <f aca="false">IF(AF$53&lt;Total_Lanes,($BI67*($CH67+BN67)+$CM67*CP67)*Peak_Time_Mor/3600,"-")</f>
        <v>8.89796061863756</v>
      </c>
      <c r="AG67" s="136" t="n">
        <f aca="false">IF(AG$53&lt;Total_Lanes,($BI67*($CH67+BO67)+$CM67*CQ67)*Peak_Time_Mor/3600,"-")</f>
        <v>5.47384040870331</v>
      </c>
      <c r="AH67" s="136" t="n">
        <f aca="false">IF(AH$53&lt;Total_Lanes,($BI67*($CH67+BP67)+$CM67*CR67)*Peak_Time_Mor/3600,"-")</f>
        <v>4.97497594278941</v>
      </c>
      <c r="AI67" s="136" t="n">
        <f aca="false">IF(AI$53&lt;Total_Lanes,($BI67*($CH67+BQ67)+$CM67*CS67)*Peak_Time_Mor/3600,"-")</f>
        <v>4.85885950690234</v>
      </c>
      <c r="AJ67" s="136" t="n">
        <f aca="false">IF(AJ$53&lt;Total_Lanes,($BI67*($CH67+BR67)+$CM67*CT67)*Peak_Time_Mor/3600,"-")</f>
        <v>4.89875406860083</v>
      </c>
      <c r="AK67" s="136" t="n">
        <f aca="false">IF(AK$53&lt;Total_Lanes,($BI67*($CH67+BS67)+$CM67*CU67)*Peak_Time_Mor/3600,"-")</f>
        <v>5.10216545617755</v>
      </c>
      <c r="AL67" s="136" t="n">
        <f aca="false">IF(AL$53&lt;Total_Lanes,($BI67*($CH67+BT67)+$CM67*CV67)*Peak_Time_Mor/3600,"-")</f>
        <v>5.68460260979068</v>
      </c>
      <c r="AM67" s="136" t="n">
        <f aca="false">IF(AM$53&lt;Total_Lanes,($BI67*($CH67+BU67)+$CM67*CW67)*Peak_Time_Mor/3600,"-")</f>
        <v>8.09842051308442</v>
      </c>
      <c r="AN67" s="136" t="n">
        <f aca="false">IF(AN$53&lt;Total_Lanes,($BI67*($CH67+BV67)+$CM67*CX67)*Peak_Time_Mor/3600,"-")</f>
        <v>215.026113732138</v>
      </c>
      <c r="AO67" s="136" t="n">
        <f aca="false">IF(AO$53&lt;Total_Lanes,($BI67*($CH67+BW67)+$CM67*CY67)*Peak_Time_Mor/3600,"-")</f>
        <v>2656.41531968763</v>
      </c>
      <c r="AP67" s="136" t="str">
        <f aca="false">IF(AP$53&lt;Total_Lanes,($BI67*($CH67+BX67)+$CM67*CZ67)*Peak_Time_Mor/3600,"-")</f>
        <v>-</v>
      </c>
      <c r="AQ67" s="136" t="str">
        <f aca="false">IF(AQ$53&lt;Total_Lanes,($BI67*($CH67+BY67)+$CM67*DA67)*Peak_Time_Mor/3600,"-")</f>
        <v>-</v>
      </c>
      <c r="AR67" s="136" t="str">
        <f aca="false">IF(AR$53&lt;Total_Lanes,($BI67*($CH67+BZ67)+$CM67*DB67)*Peak_Time_Mor/3600,"-")</f>
        <v>-</v>
      </c>
      <c r="AS67" s="136" t="str">
        <f aca="false">IF(AS$53&lt;Total_Lanes,($BI67*($CH67+CA67)+$CM67*DC67)*Peak_Time_Mor/3600,"-")</f>
        <v>-</v>
      </c>
      <c r="AT67" s="136" t="str">
        <f aca="false">IF(AT$53&lt;Total_Lanes,($BI67*($CH67+CB67)+$CM67*DD67)*Peak_Time_Mor/3600,"-")</f>
        <v>-</v>
      </c>
      <c r="AU67" s="136" t="str">
        <f aca="false">IF(AU$53&lt;Total_Lanes,($BI67*($CH67+CC67)+$CM67*DE67)*Peak_Time_Mor/3600,"-")</f>
        <v>-</v>
      </c>
      <c r="AV67" s="136" t="str">
        <f aca="false">IF(AV$53&lt;Total_Lanes,($BI67*($CH67+CD67)+$CM67*DF67)*Peak_Time_Mor/3600,"-")</f>
        <v>-</v>
      </c>
      <c r="AW67" s="136" t="str">
        <f aca="false">IF(AW$53&lt;Total_Lanes,($BI67*($CH67+CE67)+$CM67*DG67)*Peak_Time_Mor/3600,"-")</f>
        <v>-</v>
      </c>
      <c r="AX67" s="136" t="str">
        <f aca="false">IF(AX$53&lt;Total_Lanes,($BI67*($CH67+CF67)+$CM67*DH67)*Peak_Time_Mor/3600,"-")</f>
        <v>-</v>
      </c>
      <c r="AY67" s="137" t="str">
        <f aca="false">IF(AY$53&lt;Total_Lanes,($BI67*($CH67+CG67)+$CM67*DI67)*Peak_Time_Mor/3600,"-")</f>
        <v>-</v>
      </c>
      <c r="AZ67" s="158" t="n">
        <f aca="false">SUMIF(AE67:AY67,BA67,$AE$53:$AY$53)</f>
        <v>5</v>
      </c>
      <c r="BA67" s="159" t="n">
        <f aca="false">MIN(AE67:AY67)</f>
        <v>4.85885950690234</v>
      </c>
      <c r="BB67" s="158" t="n">
        <f aca="false">IF((SUMIF($BM65:$CG65,$AZ67,$BM67:$CG67)+$CH67)&lt;(SUMIF($CO65:$DI65,$AZ67,$CO67:$DI67)+$DJ67),AZ67+1,AZ67)</f>
        <v>5</v>
      </c>
      <c r="BC67" s="159" t="n">
        <f aca="false">SUMIF($AE$53:$AY$53,$BB67,$AE67:$AY67)</f>
        <v>4.85885950690234</v>
      </c>
      <c r="BF67" s="50" t="n">
        <v>13</v>
      </c>
      <c r="BG67" s="131" t="n">
        <f aca="false">$X67</f>
        <v>0.664080811078137</v>
      </c>
      <c r="BH67" s="57" t="n">
        <f aca="false">$AC67</f>
        <v>3383.58958729498</v>
      </c>
      <c r="BI67" s="135" t="n">
        <f aca="false">BH67*(1-BG67)</f>
        <v>1136.61266980859</v>
      </c>
      <c r="BJ67" s="143" t="n">
        <f aca="false">Peak_Arrival_Manual_Mor/K53</f>
        <v>2.07589675110874</v>
      </c>
      <c r="BK67" s="228" t="n">
        <f aca="false">900*Peak_Time_Mor*($BJ67/Total_Lanes-1+SQRT(($BJ67/Total_Lanes-1)^2+8*($BJ67/Total_Lanes)/(Peak_Time_Mor*$K53*Total_Lanes)))</f>
        <v>0.114607296690883</v>
      </c>
      <c r="BL67" s="143" t="n">
        <f aca="false">Peak_Arrival_Manual_Mor/N53</f>
        <v>2.16311598722947</v>
      </c>
      <c r="BM67" s="229" t="n">
        <f aca="false">IF(BM$6&lt;Total_Lanes,900*Peak_Time_Mor*($BL67/(Total_Lanes-BM$6)-1+SQRT(($BL67/(Total_Lanes-BM$6)-1)^2+8*($BL67/(Total_Lanes-BM$6))/(Peak_Time_Mor*$N53*(Total_Lanes-BM$6)))),"-")</f>
        <v>0.152452618976695</v>
      </c>
      <c r="BN67" s="165" t="n">
        <f aca="false">IF(BN$6&lt;Total_Lanes,900*Peak_Time_Mor*($BL67/(Total_Lanes-BN$6)-1+SQRT(($BL67/(Total_Lanes-BN$6)-1)^2+8*($BL67/(Total_Lanes-BN$6))/(Peak_Time_Mor*$N53*(Total_Lanes-BN$6)))),"-")</f>
        <v>0.189093715679456</v>
      </c>
      <c r="BO67" s="165" t="n">
        <f aca="false">IF(BO$6&lt;Total_Lanes,900*Peak_Time_Mor*($BL67/(Total_Lanes-BO$6)-1+SQRT(($BL67/(Total_Lanes-BO$6)-1)^2+8*($BL67/(Total_Lanes-BO$6))/(Peak_Time_Mor*$N53*(Total_Lanes-BO$6)))),"-")</f>
        <v>0.240830039596029</v>
      </c>
      <c r="BP67" s="165" t="n">
        <f aca="false">IF(BP$6&lt;Total_Lanes,900*Peak_Time_Mor*($BL67/(Total_Lanes-BP$6)-1+SQRT(($BL67/(Total_Lanes-BP$6)-1)^2+8*($BL67/(Total_Lanes-BP$6))/(Peak_Time_Mor*$N53*(Total_Lanes-BP$6)))),"-")</f>
        <v>0.317340940370015</v>
      </c>
      <c r="BQ67" s="165" t="n">
        <f aca="false">IF(BQ$6&lt;Total_Lanes,900*Peak_Time_Mor*($BL67/(Total_Lanes-BQ$6)-1+SQRT(($BL67/(Total_Lanes-BQ$6)-1)^2+8*($BL67/(Total_Lanes-BQ$6))/(Peak_Time_Mor*$N53*(Total_Lanes-BQ$6)))),"-")</f>
        <v>0.437632443267422</v>
      </c>
      <c r="BR67" s="165" t="n">
        <f aca="false">IF(BR$6&lt;Total_Lanes,900*Peak_Time_Mor*($BL67/(Total_Lanes-BR$6)-1+SQRT(($BL67/(Total_Lanes-BR$6)-1)^2+8*($BL67/(Total_Lanes-BR$6))/(Peak_Time_Mor*$N53*(Total_Lanes-BR$6)))),"-")</f>
        <v>0.643573730086455</v>
      </c>
      <c r="BS67" s="165" t="n">
        <f aca="false">IF(BS$6&lt;Total_Lanes,900*Peak_Time_Mor*($BL67/(Total_Lanes-BS$6)-1+SQRT(($BL67/(Total_Lanes-BS$6)-1)^2+8*($BL67/(Total_Lanes-BS$6))/(Peak_Time_Mor*$N53*(Total_Lanes-BS$6)))),"-")</f>
        <v>1.0442778281933</v>
      </c>
      <c r="BT67" s="165" t="n">
        <f aca="false">IF(BT$6&lt;Total_Lanes,900*Peak_Time_Mor*($BL67/(Total_Lanes-BT$6)-1+SQRT(($BL67/(Total_Lanes-BT$6)-1)^2+8*($BL67/(Total_Lanes-BT$6))/(Peak_Time_Mor*$N53*(Total_Lanes-BT$6)))),"-")</f>
        <v>2.01455438133235</v>
      </c>
      <c r="BU67" s="165" t="n">
        <f aca="false">IF(BU$6&lt;Total_Lanes,900*Peak_Time_Mor*($BL67/(Total_Lanes-BU$6)-1+SQRT(($BL67/(Total_Lanes-BU$6)-1)^2+8*($BL67/(Total_Lanes-BU$6))/(Peak_Time_Mor*$N53*(Total_Lanes-BU$6)))),"-")</f>
        <v>5.86857428757537</v>
      </c>
      <c r="BV67" s="165" t="n">
        <f aca="false">IF(BV$6&lt;Total_Lanes,900*Peak_Time_Mor*($BL67/(Total_Lanes-BV$6)-1+SQRT(($BL67/(Total_Lanes-BV$6)-1)^2+8*($BL67/(Total_Lanes-BV$6))/(Peak_Time_Mor*$N53*(Total_Lanes-BV$6)))),"-")</f>
        <v>333.591893579886</v>
      </c>
      <c r="BW67" s="230" t="n">
        <f aca="false">IF(BW$6&lt;Total_Lanes,900*Peak_Time_Mor*($BL67/(Total_Lanes-BW$6)-1+SQRT(($BL67/(Total_Lanes-BW$6)-1)^2+8*($BL67/(Total_Lanes-BW$6))/(Peak_Time_Mor*$N53*(Total_Lanes-BW$6)))),"-")</f>
        <v>4199.92069253105</v>
      </c>
      <c r="BX67" s="165" t="str">
        <f aca="false">IF(BX$6&lt;Total_Lanes,900*Peak_Time_Mor*($BL67/(Total_Lanes-BX$6)-1+SQRT(($BL67/(Total_Lanes-BX$6)-1)^2+8*($BL67/(Total_Lanes-BX$6))/(Peak_Time_Mor*$N53*(Total_Lanes-BX$6)))),"-")</f>
        <v>-</v>
      </c>
      <c r="BY67" s="165" t="str">
        <f aca="false">IF(BY$6&lt;Total_Lanes,900*Peak_Time_Mor*($BL67/(Total_Lanes-BY$6)-1+SQRT(($BL67/(Total_Lanes-BY$6)-1)^2+8*($BL67/(Total_Lanes-BY$6))/(Peak_Time_Mor*$N53*(Total_Lanes-BY$6)))),"-")</f>
        <v>-</v>
      </c>
      <c r="BZ67" s="165" t="str">
        <f aca="false">IF(BZ$6&lt;Total_Lanes,900*Peak_Time_Mor*($BL67/(Total_Lanes-BZ$6)-1+SQRT(($BL67/(Total_Lanes-BZ$6)-1)^2+8*($BL67/(Total_Lanes-BZ$6))/(Peak_Time_Mor*$N53*(Total_Lanes-BZ$6)))),"-")</f>
        <v>-</v>
      </c>
      <c r="CA67" s="165" t="str">
        <f aca="false">IF(CA$6&lt;Total_Lanes,900*Peak_Time_Mor*($BL67/(Total_Lanes-CA$6)-1+SQRT(($BL67/(Total_Lanes-CA$6)-1)^2+8*($BL67/(Total_Lanes-CA$6))/(Peak_Time_Mor*$N53*(Total_Lanes-CA$6)))),"-")</f>
        <v>-</v>
      </c>
      <c r="CB67" s="165" t="str">
        <f aca="false">IF(CB$6&lt;Total_Lanes,900*Peak_Time_Mor*($BL67/(Total_Lanes-CB$6)-1+SQRT(($BL67/(Total_Lanes-CB$6)-1)^2+8*($BL67/(Total_Lanes-CB$6))/(Peak_Time_Mor*$N53*(Total_Lanes-CB$6)))),"-")</f>
        <v>-</v>
      </c>
      <c r="CC67" s="165" t="str">
        <f aca="false">IF(CC$6&lt;Total_Lanes,900*Peak_Time_Mor*($BL67/(Total_Lanes-CC$6)-1+SQRT(($BL67/(Total_Lanes-CC$6)-1)^2+8*($BL67/(Total_Lanes-CC$6))/(Peak_Time_Mor*$N53*(Total_Lanes-CC$6)))),"-")</f>
        <v>-</v>
      </c>
      <c r="CD67" s="165" t="str">
        <f aca="false">IF(CD$6&lt;Total_Lanes,900*Peak_Time_Mor*($BL67/(Total_Lanes-CD$6)-1+SQRT(($BL67/(Total_Lanes-CD$6)-1)^2+8*($BL67/(Total_Lanes-CD$6))/(Peak_Time_Mor*$N53*(Total_Lanes-CD$6)))),"-")</f>
        <v>-</v>
      </c>
      <c r="CE67" s="165" t="str">
        <f aca="false">IF(CE$6&lt;Total_Lanes,900*Peak_Time_Mor*($BL67/(Total_Lanes-CE$6)-1+SQRT(($BL67/(Total_Lanes-CE$6)-1)^2+8*($BL67/(Total_Lanes-CE$6))/(Peak_Time_Mor*$N53*(Total_Lanes-CE$6)))),"-")</f>
        <v>-</v>
      </c>
      <c r="CF67" s="165" t="str">
        <f aca="false">IF(CF$6&lt;Total_Lanes,900*Peak_Time_Mor*($BL67/(Total_Lanes-CF$6)-1+SQRT(($BL67/(Total_Lanes-CF$6)-1)^2+8*($BL67/(Total_Lanes-CF$6))/(Peak_Time_Mor*$N53*(Total_Lanes-CF$6)))),"-")</f>
        <v>-</v>
      </c>
      <c r="CG67" s="166" t="str">
        <f aca="false">IF(CG$6&lt;Total_Lanes,900*Peak_Time_Mor*($BL67/(Total_Lanes-CG$6)-1+SQRT(($BL67/(Total_Lanes-CG$6)-1)^2+8*($BL67/(Total_Lanes-CG$6))/(Peak_Time_Mor*$N53*(Total_Lanes-CG$6)))),"-")</f>
        <v>-</v>
      </c>
      <c r="CH67" s="234" t="n">
        <f aca="false">3600/N53</f>
        <v>6.85125</v>
      </c>
      <c r="CJ67" s="50" t="n">
        <v>13</v>
      </c>
      <c r="CK67" s="131" t="n">
        <f aca="false">$X67</f>
        <v>0.664080811078137</v>
      </c>
      <c r="CL67" s="150" t="n">
        <f aca="false">$AC67</f>
        <v>3383.58958729498</v>
      </c>
      <c r="CM67" s="150" t="n">
        <f aca="false">CL67*CK67</f>
        <v>2246.97691748639</v>
      </c>
      <c r="CN67" s="161" t="n">
        <f aca="false">CM67/O53</f>
        <v>1.4979846116576</v>
      </c>
      <c r="CO67" s="165" t="n">
        <f aca="false">IF(CO$53&lt;Total_Lanes,900*Peak_Time_Mor*($CN67/CO$53-1+SQRT(($CN67/CO$53-1)^2+8*($CN67/CO$53)/(Peak_Time_Mor*$O53*CO$53))),"-")</f>
        <v>1799.93518701623</v>
      </c>
      <c r="CP67" s="165" t="n">
        <f aca="false">IF(CP$53&lt;Total_Lanes,900*Peak_Time_Mor*($CN67/CP$53-1+SQRT(($CN67/CP$53-1)^2+8*($CN67/CP$53)/(Peak_Time_Mor*$O53*CP$53))),"-")</f>
        <v>3.56665223578007</v>
      </c>
      <c r="CQ67" s="165" t="n">
        <f aca="false">IF(CQ$53&lt;Total_Lanes,900*Peak_Time_Mor*($CN67/CQ$53-1+SQRT(($CN67/CQ$53-1)^2+8*($CN67/CQ$53)/(Peak_Time_Mor*$O53*CQ$53))),"-")</f>
        <v>0.797500273998852</v>
      </c>
      <c r="CR67" s="165" t="n">
        <f aca="false">IF(CR$53&lt;Total_Lanes,900*Peak_Time_Mor*($CN67/CR$53-1+SQRT(($CN67/CR$53-1)^2+8*($CN67/CR$53)/(Peak_Time_Mor*$O53*CR$53))),"-")</f>
        <v>0.359169425925443</v>
      </c>
      <c r="CS67" s="165" t="n">
        <f aca="false">IF(CS$53&lt;Total_Lanes,900*Peak_Time_Mor*($CN67/CS$53-1+SQRT(($CN67/CS$53-1)^2+8*($CN67/CS$53)/(Peak_Time_Mor*$O53*CS$53))),"-")</f>
        <v>0.205302945068575</v>
      </c>
      <c r="CT67" s="165" t="n">
        <f aca="false">IF(CT$53&lt;Total_Lanes,900*Peak_Time_Mor*($CN67/CT$53-1+SQRT(($CN67/CT$53-1)^2+8*($CN67/CT$53)/(Peak_Time_Mor*$O53*CT$53))),"-")</f>
        <v>0.133088022202599</v>
      </c>
      <c r="CU67" s="165" t="n">
        <f aca="false">IF(CU$53&lt;Total_Lanes,900*Peak_Time_Mor*($CN67/CU$53-1+SQRT(($CN67/CU$53-1)^2+8*($CN67/CU$53)/(Peak_Time_Mor*$O53*CU$53))),"-")</f>
        <v>0.0933435742648481</v>
      </c>
      <c r="CV67" s="165" t="n">
        <f aca="false">IF(CV$53&lt;Total_Lanes,900*Peak_Time_Mor*($CN67/CV$53-1+SQRT(($CN67/CV$53-1)^2+8*($CN67/CV$53)/(Peak_Time_Mor*$O53*CV$53))),"-")</f>
        <v>0.069114688516736</v>
      </c>
      <c r="CW67" s="165" t="n">
        <f aca="false">IF(CW$53&lt;Total_Lanes,900*Peak_Time_Mor*($CN67/CW$53-1+SQRT(($CN67/CW$53-1)^2+8*($CN67/CW$53)/(Peak_Time_Mor*$O53*CW$53))),"-")</f>
        <v>0.0532464217249729</v>
      </c>
      <c r="CX67" s="165" t="n">
        <f aca="false">IF(CX$53&lt;Total_Lanes,900*Peak_Time_Mor*($CN67/CX$53-1+SQRT(($CN67/CX$53-1)^2+8*($CN67/CX$53)/(Peak_Time_Mor*$O53*CX$53))),"-")</f>
        <v>0.0422854256961536</v>
      </c>
      <c r="CY67" s="165" t="n">
        <f aca="false">IF(CY$53&lt;Total_Lanes,900*Peak_Time_Mor*($CN67/CY$53-1+SQRT(($CN67/CY$53-1)^2+8*($CN67/CY$53)/(Peak_Time_Mor*$O53*CY$53))),"-")</f>
        <v>0.0343957968792941</v>
      </c>
      <c r="CZ67" s="165" t="str">
        <f aca="false">IF(CZ$53&lt;Total_Lanes,900*Peak_Time_Mor*($CN67/CZ$53-1+SQRT(($CN67/CZ$53-1)^2+8*($CN67/CZ$53)/(Peak_Time_Mor*$O53*CZ$53))),"-")</f>
        <v>-</v>
      </c>
      <c r="DA67" s="165" t="str">
        <f aca="false">IF(DA$53&lt;Total_Lanes,900*Peak_Time_Mor*($CN67/DA$53-1+SQRT(($CN67/DA$53-1)^2+8*($CN67/DA$53)/(Peak_Time_Mor*$O53*DA$53))),"-")</f>
        <v>-</v>
      </c>
      <c r="DB67" s="165" t="str">
        <f aca="false">IF(DB$53&lt;Total_Lanes,900*Peak_Time_Mor*($CN67/DB$53-1+SQRT(($CN67/DB$53-1)^2+8*($CN67/DB$53)/(Peak_Time_Mor*$O53*DB$53))),"-")</f>
        <v>-</v>
      </c>
      <c r="DC67" s="165" t="str">
        <f aca="false">IF(DC$53&lt;Total_Lanes,900*Peak_Time_Mor*($CN67/DC$53-1+SQRT(($CN67/DC$53-1)^2+8*($CN67/DC$53)/(Peak_Time_Mor*$O53*DC$53))),"-")</f>
        <v>-</v>
      </c>
      <c r="DD67" s="165" t="str">
        <f aca="false">IF(DD$53&lt;Total_Lanes,900*Peak_Time_Mor*($CN67/DD$53-1+SQRT(($CN67/DD$53-1)^2+8*($CN67/DD$53)/(Peak_Time_Mor*$O53*DD$53))),"-")</f>
        <v>-</v>
      </c>
      <c r="DE67" s="165" t="str">
        <f aca="false">IF(DE$53&lt;Total_Lanes,900*Peak_Time_Mor*($CN67/DE$53-1+SQRT(($CN67/DE$53-1)^2+8*($CN67/DE$53)/(Peak_Time_Mor*$O53*DE$53))),"-")</f>
        <v>-</v>
      </c>
      <c r="DF67" s="165" t="str">
        <f aca="false">IF(DF$53&lt;Total_Lanes,900*Peak_Time_Mor*($CN67/DF$53-1+SQRT(($CN67/DF$53-1)^2+8*($CN67/DF$53)/(Peak_Time_Mor*$O53*DF$53))),"-")</f>
        <v>-</v>
      </c>
      <c r="DG67" s="165" t="str">
        <f aca="false">IF(DG$53&lt;Total_Lanes,900*Peak_Time_Mor*($CN67/DG$53-1+SQRT(($CN67/DG$53-1)^2+8*($CN67/DG$53)/(Peak_Time_Mor*$O53*DG$53))),"-")</f>
        <v>-</v>
      </c>
      <c r="DH67" s="165" t="str">
        <f aca="false">IF(DH$53&lt;Total_Lanes,900*Peak_Time_Mor*($CN67/DH$53-1+SQRT(($CN67/DH$53-1)^2+8*($CN67/DH$53)/(Peak_Time_Mor*$O53*DH$53))),"-")</f>
        <v>-</v>
      </c>
      <c r="DI67" s="166" t="str">
        <f aca="false">IF(DI$53&lt;Total_Lanes,900*Peak_Time_Mor*($CN67/DI$53-1+SQRT(($CN67/DI$53-1)^2+8*($CN67/DI$53)/(Peak_Time_Mor*$O53*DI$53))),"-")</f>
        <v>-</v>
      </c>
      <c r="DJ67" s="234" t="n">
        <f aca="false">3600/$O53</f>
        <v>2.4</v>
      </c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customFormat="false" ht="12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0" t="n">
        <v>14</v>
      </c>
      <c r="W68" s="124" t="n">
        <f aca="false">W21</f>
        <v>26704851.9</v>
      </c>
      <c r="X68" s="131" t="n">
        <f aca="false">X21</f>
        <v>0.702377141057342</v>
      </c>
      <c r="Y68" s="124" t="n">
        <f aca="false">Y21</f>
        <v>11515.4498005461</v>
      </c>
      <c r="Z68" s="133" t="n">
        <f aca="false">W68/Y68</f>
        <v>2319.04548780488</v>
      </c>
      <c r="AA68" s="233" t="n">
        <f aca="false">AA21</f>
        <v>2</v>
      </c>
      <c r="AB68" s="157" t="n">
        <f aca="false">1-AB21</f>
        <v>0.3</v>
      </c>
      <c r="AC68" s="128" t="n">
        <f aca="false">Y68*AB68</f>
        <v>3454.63494016383</v>
      </c>
      <c r="AD68" s="150" t="n">
        <f aca="false">Peak_Time_Mor*$BH68*(CH68+BK68)/3600</f>
        <v>13.3850708052498</v>
      </c>
      <c r="AE68" s="136" t="n">
        <f aca="false">IF(AE$53&lt;Total_Lanes,($BI68*($CH68+BM68)+$CM68*CO68)*Peak_Time_Mor/3600,"-")</f>
        <v>3009.79511529719</v>
      </c>
      <c r="AF68" s="136" t="n">
        <f aca="false">IF(AF$53&lt;Total_Lanes,($BI68*($CH68+BN68)+$CM68*CP68)*Peak_Time_Mor/3600,"-")</f>
        <v>10.8154036481596</v>
      </c>
      <c r="AG68" s="136" t="n">
        <f aca="false">IF(AG$53&lt;Total_Lanes,($BI68*($CH68+BO68)+$CM68*CQ68)*Peak_Time_Mor/3600,"-")</f>
        <v>5.30855319036656</v>
      </c>
      <c r="AH68" s="136" t="n">
        <f aca="false">IF(AH$53&lt;Total_Lanes,($BI68*($CH68+BP68)+$CM68*CR68)*Peak_Time_Mor/3600,"-")</f>
        <v>4.63425312747664</v>
      </c>
      <c r="AI68" s="136" t="n">
        <f aca="false">IF(AI$53&lt;Total_Lanes,($BI68*($CH68+BQ68)+$CM68*CS68)*Peak_Time_Mor/3600,"-")</f>
        <v>4.45356647507455</v>
      </c>
      <c r="AJ68" s="136" t="n">
        <f aca="false">IF(AJ$53&lt;Total_Lanes,($BI68*($CH68+BR68)+$CM68*CT68)*Peak_Time_Mor/3600,"-")</f>
        <v>4.44269320320365</v>
      </c>
      <c r="AK68" s="136" t="n">
        <f aca="false">IF(AK$53&lt;Total_Lanes,($BI68*($CH68+BS68)+$CM68*CU68)*Peak_Time_Mor/3600,"-")</f>
        <v>4.57173765464374</v>
      </c>
      <c r="AL68" s="136" t="n">
        <f aca="false">IF(AL$53&lt;Total_Lanes,($BI68*($CH68+BT68)+$CM68*CV68)*Peak_Time_Mor/3600,"-")</f>
        <v>4.97287491919851</v>
      </c>
      <c r="AM68" s="136" t="n">
        <f aca="false">IF(AM$53&lt;Total_Lanes,($BI68*($CH68+BU68)+$CM68*CW68)*Peak_Time_Mor/3600,"-")</f>
        <v>6.47221799892759</v>
      </c>
      <c r="AN68" s="136" t="n">
        <f aca="false">IF(AN$53&lt;Total_Lanes,($BI68*($CH68+BV68)+$CM68*CX68)*Peak_Time_Mor/3600,"-")</f>
        <v>50.6512426869857</v>
      </c>
      <c r="AO68" s="136" t="n">
        <f aca="false">IF(AO$53&lt;Total_Lanes,($BI68*($CH68+BW68)+$CM68*CY68)*Peak_Time_Mor/3600,"-")</f>
        <v>1991.85047845633</v>
      </c>
      <c r="AP68" s="136" t="str">
        <f aca="false">IF(AP$53&lt;Total_Lanes,($BI68*($CH68+BX68)+$CM68*CZ68)*Peak_Time_Mor/3600,"-")</f>
        <v>-</v>
      </c>
      <c r="AQ68" s="136" t="str">
        <f aca="false">IF(AQ$53&lt;Total_Lanes,($BI68*($CH68+BY68)+$CM68*DA68)*Peak_Time_Mor/3600,"-")</f>
        <v>-</v>
      </c>
      <c r="AR68" s="136" t="str">
        <f aca="false">IF(AR$53&lt;Total_Lanes,($BI68*($CH68+BZ68)+$CM68*DB68)*Peak_Time_Mor/3600,"-")</f>
        <v>-</v>
      </c>
      <c r="AS68" s="136" t="str">
        <f aca="false">IF(AS$53&lt;Total_Lanes,($BI68*($CH68+CA68)+$CM68*DC68)*Peak_Time_Mor/3600,"-")</f>
        <v>-</v>
      </c>
      <c r="AT68" s="136" t="str">
        <f aca="false">IF(AT$53&lt;Total_Lanes,($BI68*($CH68+CB68)+$CM68*DD68)*Peak_Time_Mor/3600,"-")</f>
        <v>-</v>
      </c>
      <c r="AU68" s="136" t="str">
        <f aca="false">IF(AU$53&lt;Total_Lanes,($BI68*($CH68+CC68)+$CM68*DE68)*Peak_Time_Mor/3600,"-")</f>
        <v>-</v>
      </c>
      <c r="AV68" s="136" t="str">
        <f aca="false">IF(AV$53&lt;Total_Lanes,($BI68*($CH68+CD68)+$CM68*DF68)*Peak_Time_Mor/3600,"-")</f>
        <v>-</v>
      </c>
      <c r="AW68" s="136" t="str">
        <f aca="false">IF(AW$53&lt;Total_Lanes,($BI68*($CH68+CE68)+$CM68*DG68)*Peak_Time_Mor/3600,"-")</f>
        <v>-</v>
      </c>
      <c r="AX68" s="136" t="str">
        <f aca="false">IF(AX$53&lt;Total_Lanes,($BI68*($CH68+CF68)+$CM68*DH68)*Peak_Time_Mor/3600,"-")</f>
        <v>-</v>
      </c>
      <c r="AY68" s="137" t="str">
        <f aca="false">IF(AY$53&lt;Total_Lanes,($BI68*($CH68+CG68)+$CM68*DI68)*Peak_Time_Mor/3600,"-")</f>
        <v>-</v>
      </c>
      <c r="AZ68" s="158" t="n">
        <f aca="false">SUMIF(AE68:AY68,BA68,$AE$53:$AY$53)</f>
        <v>6</v>
      </c>
      <c r="BA68" s="159" t="n">
        <f aca="false">MIN(AE68:AY68)</f>
        <v>4.44269320320365</v>
      </c>
      <c r="BB68" s="158" t="n">
        <f aca="false">IF((SUMIF($BM66:$CG66,$AZ68,$BM68:$CG68)+$CH68)&lt;(SUMIF($CO66:$DI66,$AZ68,$CO68:$DI68)+$DJ68),AZ68+1,AZ68)</f>
        <v>6</v>
      </c>
      <c r="BC68" s="159" t="n">
        <f aca="false">SUMIF($AE$53:$AY$53,$BB68,$AE68:$AY68)</f>
        <v>4.44269320320365</v>
      </c>
      <c r="BF68" s="50" t="n">
        <v>14</v>
      </c>
      <c r="BG68" s="131" t="n">
        <f aca="false">$X68</f>
        <v>0.702377141057342</v>
      </c>
      <c r="BH68" s="57" t="n">
        <f aca="false">$AC68</f>
        <v>3454.63494016383</v>
      </c>
      <c r="BI68" s="135" t="n">
        <f aca="false">BH68*(1-BG68)</f>
        <v>1028.17832749476</v>
      </c>
      <c r="BJ68" s="143" t="n">
        <f aca="false">Peak_Arrival_Manual_Mor/K54</f>
        <v>1.87785347313279</v>
      </c>
      <c r="BK68" s="228" t="n">
        <f aca="false">900*Peak_Time_Mor*($BJ68/Total_Lanes-1+SQRT(($BJ68/Total_Lanes-1)^2+8*($BJ68/Total_Lanes)/(Peak_Time_Mor*$K54*Total_Lanes)))</f>
        <v>0.101645710547094</v>
      </c>
      <c r="BL68" s="143" t="n">
        <f aca="false">Peak_Arrival_Manual_Mor/N54</f>
        <v>1.96282098769659</v>
      </c>
      <c r="BM68" s="229" t="n">
        <f aca="false">IF(BM$6&lt;Total_Lanes,900*Peak_Time_Mor*($BL68/(Total_Lanes-BM$6)-1+SQRT(($BL68/(Total_Lanes-BM$6)-1)^2+8*($BL68/(Total_Lanes-BM$6))/(Peak_Time_Mor*$N54*(Total_Lanes-BM$6)))),"-")</f>
        <v>0.135690657583809</v>
      </c>
      <c r="BN68" s="165" t="n">
        <f aca="false">IF(BN$6&lt;Total_Lanes,900*Peak_Time_Mor*($BL68/(Total_Lanes-BN$6)-1+SQRT(($BL68/(Total_Lanes-BN$6)-1)^2+8*($BL68/(Total_Lanes-BN$6))/(Peak_Time_Mor*$N54*(Total_Lanes-BN$6)))),"-")</f>
        <v>0.167828846588058</v>
      </c>
      <c r="BO68" s="165" t="n">
        <f aca="false">IF(BO$6&lt;Total_Lanes,900*Peak_Time_Mor*($BL68/(Total_Lanes-BO$6)-1+SQRT(($BL68/(Total_Lanes-BO$6)-1)^2+8*($BL68/(Total_Lanes-BO$6))/(Peak_Time_Mor*$N54*(Total_Lanes-BO$6)))),"-")</f>
        <v>0.21297149334476</v>
      </c>
      <c r="BP68" s="165" t="n">
        <f aca="false">IF(BP$6&lt;Total_Lanes,900*Peak_Time_Mor*($BL68/(Total_Lanes-BP$6)-1+SQRT(($BL68/(Total_Lanes-BP$6)-1)^2+8*($BL68/(Total_Lanes-BP$6))/(Peak_Time_Mor*$N54*(Total_Lanes-BP$6)))),"-")</f>
        <v>0.279271590981733</v>
      </c>
      <c r="BQ68" s="165" t="n">
        <f aca="false">IF(BQ$6&lt;Total_Lanes,900*Peak_Time_Mor*($BL68/(Total_Lanes-BQ$6)-1+SQRT(($BL68/(Total_Lanes-BQ$6)-1)^2+8*($BL68/(Total_Lanes-BQ$6))/(Peak_Time_Mor*$N54*(Total_Lanes-BQ$6)))),"-")</f>
        <v>0.382512731312712</v>
      </c>
      <c r="BR68" s="165" t="n">
        <f aca="false">IF(BR$6&lt;Total_Lanes,900*Peak_Time_Mor*($BL68/(Total_Lanes-BR$6)-1+SQRT(($BL68/(Total_Lanes-BR$6)-1)^2+8*($BL68/(Total_Lanes-BR$6))/(Peak_Time_Mor*$N54*(Total_Lanes-BR$6)))),"-")</f>
        <v>0.556757883142289</v>
      </c>
      <c r="BS68" s="165" t="n">
        <f aca="false">IF(BS$6&lt;Total_Lanes,900*Peak_Time_Mor*($BL68/(Total_Lanes-BS$6)-1+SQRT(($BL68/(Total_Lanes-BS$6)-1)^2+8*($BL68/(Total_Lanes-BS$6))/(Peak_Time_Mor*$N54*(Total_Lanes-BS$6)))),"-")</f>
        <v>0.887930019691274</v>
      </c>
      <c r="BT68" s="165" t="n">
        <f aca="false">IF(BT$6&lt;Total_Lanes,900*Peak_Time_Mor*($BL68/(Total_Lanes-BT$6)-1+SQRT(($BL68/(Total_Lanes-BT$6)-1)^2+8*($BL68/(Total_Lanes-BT$6))/(Peak_Time_Mor*$N54*(Total_Lanes-BT$6)))),"-")</f>
        <v>1.65392064044252</v>
      </c>
      <c r="BU68" s="165" t="n">
        <f aca="false">IF(BU$6&lt;Total_Lanes,900*Peak_Time_Mor*($BL68/(Total_Lanes-BU$6)-1+SQRT(($BL68/(Total_Lanes-BU$6)-1)^2+8*($BL68/(Total_Lanes-BU$6))/(Peak_Time_Mor*$N54*(Total_Lanes-BU$6)))),"-")</f>
        <v>4.32031637245056</v>
      </c>
      <c r="BV68" s="165" t="n">
        <f aca="false">IF(BV$6&lt;Total_Lanes,900*Peak_Time_Mor*($BL68/(Total_Lanes-BV$6)-1+SQRT(($BL68/(Total_Lanes-BV$6)-1)^2+8*($BL68/(Total_Lanes-BV$6))/(Peak_Time_Mor*$N54*(Total_Lanes-BV$6)))),"-")</f>
        <v>81.6917632653268</v>
      </c>
      <c r="BW68" s="230" t="n">
        <f aca="false">IF(BW$6&lt;Total_Lanes,900*Peak_Time_Mor*($BL68/(Total_Lanes-BW$6)-1+SQRT(($BL68/(Total_Lanes-BW$6)-1)^2+8*($BL68/(Total_Lanes-BW$6))/(Peak_Time_Mor*$N54*(Total_Lanes-BW$6)))),"-")</f>
        <v>3480.10975756902</v>
      </c>
      <c r="BX68" s="165" t="str">
        <f aca="false">IF(BX$6&lt;Total_Lanes,900*Peak_Time_Mor*($BL68/(Total_Lanes-BX$6)-1+SQRT(($BL68/(Total_Lanes-BX$6)-1)^2+8*($BL68/(Total_Lanes-BX$6))/(Peak_Time_Mor*$N54*(Total_Lanes-BX$6)))),"-")</f>
        <v>-</v>
      </c>
      <c r="BY68" s="165" t="str">
        <f aca="false">IF(BY$6&lt;Total_Lanes,900*Peak_Time_Mor*($BL68/(Total_Lanes-BY$6)-1+SQRT(($BL68/(Total_Lanes-BY$6)-1)^2+8*($BL68/(Total_Lanes-BY$6))/(Peak_Time_Mor*$N54*(Total_Lanes-BY$6)))),"-")</f>
        <v>-</v>
      </c>
      <c r="BZ68" s="165" t="str">
        <f aca="false">IF(BZ$6&lt;Total_Lanes,900*Peak_Time_Mor*($BL68/(Total_Lanes-BZ$6)-1+SQRT(($BL68/(Total_Lanes-BZ$6)-1)^2+8*($BL68/(Total_Lanes-BZ$6))/(Peak_Time_Mor*$N54*(Total_Lanes-BZ$6)))),"-")</f>
        <v>-</v>
      </c>
      <c r="CA68" s="165" t="str">
        <f aca="false">IF(CA$6&lt;Total_Lanes,900*Peak_Time_Mor*($BL68/(Total_Lanes-CA$6)-1+SQRT(($BL68/(Total_Lanes-CA$6)-1)^2+8*($BL68/(Total_Lanes-CA$6))/(Peak_Time_Mor*$N54*(Total_Lanes-CA$6)))),"-")</f>
        <v>-</v>
      </c>
      <c r="CB68" s="165" t="str">
        <f aca="false">IF(CB$6&lt;Total_Lanes,900*Peak_Time_Mor*($BL68/(Total_Lanes-CB$6)-1+SQRT(($BL68/(Total_Lanes-CB$6)-1)^2+8*($BL68/(Total_Lanes-CB$6))/(Peak_Time_Mor*$N54*(Total_Lanes-CB$6)))),"-")</f>
        <v>-</v>
      </c>
      <c r="CC68" s="165" t="str">
        <f aca="false">IF(CC$6&lt;Total_Lanes,900*Peak_Time_Mor*($BL68/(Total_Lanes-CC$6)-1+SQRT(($BL68/(Total_Lanes-CC$6)-1)^2+8*($BL68/(Total_Lanes-CC$6))/(Peak_Time_Mor*$N54*(Total_Lanes-CC$6)))),"-")</f>
        <v>-</v>
      </c>
      <c r="CD68" s="165" t="str">
        <f aca="false">IF(CD$6&lt;Total_Lanes,900*Peak_Time_Mor*($BL68/(Total_Lanes-CD$6)-1+SQRT(($BL68/(Total_Lanes-CD$6)-1)^2+8*($BL68/(Total_Lanes-CD$6))/(Peak_Time_Mor*$N54*(Total_Lanes-CD$6)))),"-")</f>
        <v>-</v>
      </c>
      <c r="CE68" s="165" t="str">
        <f aca="false">IF(CE$6&lt;Total_Lanes,900*Peak_Time_Mor*($BL68/(Total_Lanes-CE$6)-1+SQRT(($BL68/(Total_Lanes-CE$6)-1)^2+8*($BL68/(Total_Lanes-CE$6))/(Peak_Time_Mor*$N54*(Total_Lanes-CE$6)))),"-")</f>
        <v>-</v>
      </c>
      <c r="CF68" s="165" t="str">
        <f aca="false">IF(CF$6&lt;Total_Lanes,900*Peak_Time_Mor*($BL68/(Total_Lanes-CF$6)-1+SQRT(($BL68/(Total_Lanes-CF$6)-1)^2+8*($BL68/(Total_Lanes-CF$6))/(Peak_Time_Mor*$N54*(Total_Lanes-CF$6)))),"-")</f>
        <v>-</v>
      </c>
      <c r="CG68" s="166" t="str">
        <f aca="false">IF(CG$6&lt;Total_Lanes,900*Peak_Time_Mor*($BL68/(Total_Lanes-CG$6)-1+SQRT(($BL68/(Total_Lanes-CG$6)-1)^2+8*($BL68/(Total_Lanes-CG$6))/(Peak_Time_Mor*$N54*(Total_Lanes-CG$6)))),"-")</f>
        <v>-</v>
      </c>
      <c r="CH68" s="234" t="n">
        <f aca="false">3600/N54</f>
        <v>6.8725</v>
      </c>
      <c r="CJ68" s="50" t="n">
        <v>14</v>
      </c>
      <c r="CK68" s="131" t="n">
        <f aca="false">$X68</f>
        <v>0.702377141057342</v>
      </c>
      <c r="CL68" s="150" t="n">
        <f aca="false">$AC68</f>
        <v>3454.63494016383</v>
      </c>
      <c r="CM68" s="150" t="n">
        <f aca="false">CL68*CK68</f>
        <v>2426.45661266907</v>
      </c>
      <c r="CN68" s="161" t="n">
        <f aca="false">CM68/O54</f>
        <v>1.61763774177938</v>
      </c>
      <c r="CO68" s="165" t="n">
        <f aca="false">IF(CO$53&lt;Total_Lanes,900*Peak_Time_Mor*($CN68/CO$53-1+SQRT(($CN68/CO$53-1)^2+8*($CN68/CO$53)/(Peak_Time_Mor*$O54*CO$53))),"-")</f>
        <v>2229.76397333331</v>
      </c>
      <c r="CP68" s="165" t="n">
        <f aca="false">IF(CP$53&lt;Total_Lanes,900*Peak_Time_Mor*($CN68/CP$53-1+SQRT(($CN68/CP$53-1)^2+8*($CN68/CP$53)/(Peak_Time_Mor*$O54*CP$53))),"-")</f>
        <v>5.03986469996572</v>
      </c>
      <c r="CQ68" s="165" t="n">
        <f aca="false">IF(CQ$53&lt;Total_Lanes,900*Peak_Time_Mor*($CN68/CQ$53-1+SQRT(($CN68/CQ$53-1)^2+8*($CN68/CQ$53)/(Peak_Time_Mor*$O54*CQ$53))),"-")</f>
        <v>0.935630788231379</v>
      </c>
      <c r="CR68" s="165" t="n">
        <f aca="false">IF(CR$53&lt;Total_Lanes,900*Peak_Time_Mor*($CN68/CR$53-1+SQRT(($CN68/CR$53-1)^2+8*($CN68/CR$53)/(Peak_Time_Mor*$O54*CR$53))),"-")</f>
        <v>0.407326086630766</v>
      </c>
      <c r="CS68" s="165" t="n">
        <f aca="false">IF(CS$53&lt;Total_Lanes,900*Peak_Time_Mor*($CN68/CS$53-1+SQRT(($CN68/CS$53-1)^2+8*($CN68/CS$53)/(Peak_Time_Mor*$O54*CS$53))),"-")</f>
        <v>0.229541627157825</v>
      </c>
      <c r="CT68" s="165" t="n">
        <f aca="false">IF(CT$53&lt;Total_Lanes,900*Peak_Time_Mor*($CN68/CT$53-1+SQRT(($CN68/CT$53-1)^2+8*($CN68/CT$53)/(Peak_Time_Mor*$O54*CT$53))),"-")</f>
        <v>0.147641552327626</v>
      </c>
      <c r="CU68" s="165" t="n">
        <f aca="false">IF(CU$53&lt;Total_Lanes,900*Peak_Time_Mor*($CN68/CU$53-1+SQRT(($CN68/CU$53-1)^2+8*($CN68/CU$53)/(Peak_Time_Mor*$O54*CU$53))),"-")</f>
        <v>0.103039889016365</v>
      </c>
      <c r="CV68" s="165" t="n">
        <f aca="false">IF(CV$53&lt;Total_Lanes,900*Peak_Time_Mor*($CN68/CV$53-1+SQRT(($CN68/CV$53-1)^2+8*($CN68/CV$53)/(Peak_Time_Mor*$O54*CV$53))),"-")</f>
        <v>0.0760343045027367</v>
      </c>
      <c r="CW68" s="165" t="n">
        <f aca="false">IF(CW$53&lt;Total_Lanes,900*Peak_Time_Mor*($CN68/CW$53-1+SQRT(($CN68/CW$53-1)^2+8*($CN68/CW$53)/(Peak_Time_Mor*$O54*CW$53))),"-")</f>
        <v>0.0584313684189652</v>
      </c>
      <c r="CX68" s="165" t="n">
        <f aca="false">IF(CX$53&lt;Total_Lanes,900*Peak_Time_Mor*($CN68/CX$53-1+SQRT(($CN68/CX$53-1)^2+8*($CN68/CX$53)/(Peak_Time_Mor*$O54*CX$53))),"-")</f>
        <v>0.0463147603952496</v>
      </c>
      <c r="CY68" s="165" t="n">
        <f aca="false">IF(CY$53&lt;Total_Lanes,900*Peak_Time_Mor*($CN68/CY$53-1+SQRT(($CN68/CY$53-1)^2+8*($CN68/CY$53)/(Peak_Time_Mor*$O54*CY$53))),"-")</f>
        <v>0.0376168400083143</v>
      </c>
      <c r="CZ68" s="165" t="str">
        <f aca="false">IF(CZ$53&lt;Total_Lanes,900*Peak_Time_Mor*($CN68/CZ$53-1+SQRT(($CN68/CZ$53-1)^2+8*($CN68/CZ$53)/(Peak_Time_Mor*$O54*CZ$53))),"-")</f>
        <v>-</v>
      </c>
      <c r="DA68" s="165" t="str">
        <f aca="false">IF(DA$53&lt;Total_Lanes,900*Peak_Time_Mor*($CN68/DA$53-1+SQRT(($CN68/DA$53-1)^2+8*($CN68/DA$53)/(Peak_Time_Mor*$O54*DA$53))),"-")</f>
        <v>-</v>
      </c>
      <c r="DB68" s="165" t="str">
        <f aca="false">IF(DB$53&lt;Total_Lanes,900*Peak_Time_Mor*($CN68/DB$53-1+SQRT(($CN68/DB$53-1)^2+8*($CN68/DB$53)/(Peak_Time_Mor*$O54*DB$53))),"-")</f>
        <v>-</v>
      </c>
      <c r="DC68" s="165" t="str">
        <f aca="false">IF(DC$53&lt;Total_Lanes,900*Peak_Time_Mor*($CN68/DC$53-1+SQRT(($CN68/DC$53-1)^2+8*($CN68/DC$53)/(Peak_Time_Mor*$O54*DC$53))),"-")</f>
        <v>-</v>
      </c>
      <c r="DD68" s="165" t="str">
        <f aca="false">IF(DD$53&lt;Total_Lanes,900*Peak_Time_Mor*($CN68/DD$53-1+SQRT(($CN68/DD$53-1)^2+8*($CN68/DD$53)/(Peak_Time_Mor*$O54*DD$53))),"-")</f>
        <v>-</v>
      </c>
      <c r="DE68" s="165" t="str">
        <f aca="false">IF(DE$53&lt;Total_Lanes,900*Peak_Time_Mor*($CN68/DE$53-1+SQRT(($CN68/DE$53-1)^2+8*($CN68/DE$53)/(Peak_Time_Mor*$O54*DE$53))),"-")</f>
        <v>-</v>
      </c>
      <c r="DF68" s="165" t="str">
        <f aca="false">IF(DF$53&lt;Total_Lanes,900*Peak_Time_Mor*($CN68/DF$53-1+SQRT(($CN68/DF$53-1)^2+8*($CN68/DF$53)/(Peak_Time_Mor*$O54*DF$53))),"-")</f>
        <v>-</v>
      </c>
      <c r="DG68" s="165" t="str">
        <f aca="false">IF(DG$53&lt;Total_Lanes,900*Peak_Time_Mor*($CN68/DG$53-1+SQRT(($CN68/DG$53-1)^2+8*($CN68/DG$53)/(Peak_Time_Mor*$O54*DG$53))),"-")</f>
        <v>-</v>
      </c>
      <c r="DH68" s="165" t="str">
        <f aca="false">IF(DH$53&lt;Total_Lanes,900*Peak_Time_Mor*($CN68/DH$53-1+SQRT(($CN68/DH$53-1)^2+8*($CN68/DH$53)/(Peak_Time_Mor*$O54*DH$53))),"-")</f>
        <v>-</v>
      </c>
      <c r="DI68" s="166" t="str">
        <f aca="false">IF(DI$53&lt;Total_Lanes,900*Peak_Time_Mor*($CN68/DI$53-1+SQRT(($CN68/DI$53-1)^2+8*($CN68/DI$53)/(Peak_Time_Mor*$O54*DI$53))),"-")</f>
        <v>-</v>
      </c>
      <c r="DJ68" s="234" t="n">
        <f aca="false">3600/$O54</f>
        <v>2.4</v>
      </c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customFormat="false" ht="12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0" t="n">
        <v>15</v>
      </c>
      <c r="W69" s="124" t="n">
        <f aca="false">W22</f>
        <v>27254043.25</v>
      </c>
      <c r="X69" s="131" t="n">
        <f aca="false">X22</f>
        <v>0.738560291874923</v>
      </c>
      <c r="Y69" s="124" t="n">
        <f aca="false">Y22</f>
        <v>11752.2676434422</v>
      </c>
      <c r="Z69" s="133" t="n">
        <f aca="false">W69/Y69</f>
        <v>2319.04548780488</v>
      </c>
      <c r="AA69" s="233" t="n">
        <f aca="false">AA22</f>
        <v>2</v>
      </c>
      <c r="AB69" s="157" t="n">
        <f aca="false">1-AB22</f>
        <v>0.3</v>
      </c>
      <c r="AC69" s="128" t="n">
        <f aca="false">Y69*AB69</f>
        <v>3525.68029303267</v>
      </c>
      <c r="AD69" s="150" t="n">
        <f aca="false">Peak_Time_Mor*$BH69*(CH69+BK69)/3600</f>
        <v>13.6779903255618</v>
      </c>
      <c r="AE69" s="136" t="n">
        <f aca="false">IF(AE$53&lt;Total_Lanes,($BI69*($CH69+BM69)+$CM69*CO69)*Peak_Time_Mor/3600,"-")</f>
        <v>3844.49297151635</v>
      </c>
      <c r="AF69" s="136" t="n">
        <f aca="false">IF(AF$53&lt;Total_Lanes,($BI69*($CH69+BN69)+$CM69*CP69)*Peak_Time_Mor/3600,"-")</f>
        <v>14.8352370424226</v>
      </c>
      <c r="AG69" s="136" t="n">
        <f aca="false">IF(AG$53&lt;Total_Lanes,($BI69*($CH69+BO69)+$CM69*CQ69)*Peak_Time_Mor/3600,"-")</f>
        <v>5.21407744145961</v>
      </c>
      <c r="AH69" s="136" t="n">
        <f aca="false">IF(AH$53&lt;Total_Lanes,($BI69*($CH69+BP69)+$CM69*CR69)*Peak_Time_Mor/3600,"-")</f>
        <v>4.32046562004488</v>
      </c>
      <c r="AI69" s="136" t="n">
        <f aca="false">IF(AI$53&lt;Total_Lanes,($BI69*($CH69+BQ69)+$CM69*CS69)*Peak_Time_Mor/3600,"-")</f>
        <v>4.06946636655472</v>
      </c>
      <c r="AJ69" s="136" t="n">
        <f aca="false">IF(AJ$53&lt;Total_Lanes,($BI69*($CH69+BR69)+$CM69*CT69)*Peak_Time_Mor/3600,"-")</f>
        <v>4.01092844354136</v>
      </c>
      <c r="AK69" s="136" t="n">
        <f aca="false">IF(AK$53&lt;Total_Lanes,($BI69*($CH69+BS69)+$CM69*CU69)*Peak_Time_Mor/3600,"-")</f>
        <v>4.07885956009955</v>
      </c>
      <c r="AL69" s="136" t="n">
        <f aca="false">IF(AL$53&lt;Total_Lanes,($BI69*($CH69+BT69)+$CM69*CV69)*Peak_Time_Mor/3600,"-")</f>
        <v>4.34700191358612</v>
      </c>
      <c r="AM69" s="136" t="n">
        <f aca="false">IF(AM$53&lt;Total_Lanes,($BI69*($CH69+BU69)+$CM69*CW69)*Peak_Time_Mor/3600,"-")</f>
        <v>5.30059755313402</v>
      </c>
      <c r="AN69" s="136" t="n">
        <f aca="false">IF(AN$53&lt;Total_Lanes,($BI69*($CH69+BV69)+$CM69*CX69)*Peak_Time_Mor/3600,"-")</f>
        <v>16.1401138083424</v>
      </c>
      <c r="AO69" s="136" t="n">
        <f aca="false">IF(AO$53&lt;Total_Lanes,($BI69*($CH69+BW69)+$CM69*CY69)*Peak_Time_Mor/3600,"-")</f>
        <v>1422.13971577962</v>
      </c>
      <c r="AP69" s="136" t="str">
        <f aca="false">IF(AP$53&lt;Total_Lanes,($BI69*($CH69+BX69)+$CM69*CZ69)*Peak_Time_Mor/3600,"-")</f>
        <v>-</v>
      </c>
      <c r="AQ69" s="136" t="str">
        <f aca="false">IF(AQ$53&lt;Total_Lanes,($BI69*($CH69+BY69)+$CM69*DA69)*Peak_Time_Mor/3600,"-")</f>
        <v>-</v>
      </c>
      <c r="AR69" s="136" t="str">
        <f aca="false">IF(AR$53&lt;Total_Lanes,($BI69*($CH69+BZ69)+$CM69*DB69)*Peak_Time_Mor/3600,"-")</f>
        <v>-</v>
      </c>
      <c r="AS69" s="136" t="str">
        <f aca="false">IF(AS$53&lt;Total_Lanes,($BI69*($CH69+CA69)+$CM69*DC69)*Peak_Time_Mor/3600,"-")</f>
        <v>-</v>
      </c>
      <c r="AT69" s="136" t="str">
        <f aca="false">IF(AT$53&lt;Total_Lanes,($BI69*($CH69+CB69)+$CM69*DD69)*Peak_Time_Mor/3600,"-")</f>
        <v>-</v>
      </c>
      <c r="AU69" s="136" t="str">
        <f aca="false">IF(AU$53&lt;Total_Lanes,($BI69*($CH69+CC69)+$CM69*DE69)*Peak_Time_Mor/3600,"-")</f>
        <v>-</v>
      </c>
      <c r="AV69" s="136" t="str">
        <f aca="false">IF(AV$53&lt;Total_Lanes,($BI69*($CH69+CD69)+$CM69*DF69)*Peak_Time_Mor/3600,"-")</f>
        <v>-</v>
      </c>
      <c r="AW69" s="136" t="str">
        <f aca="false">IF(AW$53&lt;Total_Lanes,($BI69*($CH69+CE69)+$CM69*DG69)*Peak_Time_Mor/3600,"-")</f>
        <v>-</v>
      </c>
      <c r="AX69" s="136" t="str">
        <f aca="false">IF(AX$53&lt;Total_Lanes,($BI69*($CH69+CF69)+$CM69*DH69)*Peak_Time_Mor/3600,"-")</f>
        <v>-</v>
      </c>
      <c r="AY69" s="137" t="str">
        <f aca="false">IF(AY$53&lt;Total_Lanes,($BI69*($CH69+CG69)+$CM69*DI69)*Peak_Time_Mor/3600,"-")</f>
        <v>-</v>
      </c>
      <c r="AZ69" s="158" t="n">
        <f aca="false">SUMIF(AE69:AY69,BA69,$AE$53:$AY$53)</f>
        <v>6</v>
      </c>
      <c r="BA69" s="159" t="n">
        <f aca="false">MIN(AE69:AY69)</f>
        <v>4.01092844354136</v>
      </c>
      <c r="BB69" s="158" t="n">
        <f aca="false">IF((SUMIF($BM67:$CG67,$AZ69,$BM69:$CG69)+$CH69)&lt;(SUMIF($CO67:$DI67,$AZ69,$CO69:$DI69)+$DJ69),AZ69+1,AZ69)</f>
        <v>6</v>
      </c>
      <c r="BC69" s="159" t="n">
        <f aca="false">SUMIF($AE$53:$AY$53,$BB69,$AE69:$AY69)</f>
        <v>4.01092844354136</v>
      </c>
      <c r="BF69" s="50" t="n">
        <v>15</v>
      </c>
      <c r="BG69" s="131" t="n">
        <f aca="false">$X69</f>
        <v>0.738560291874923</v>
      </c>
      <c r="BH69" s="57" t="n">
        <f aca="false">$AC69</f>
        <v>3525.68029303267</v>
      </c>
      <c r="BI69" s="135" t="n">
        <f aca="false">BH69*(1-BG69)</f>
        <v>921.7528267528</v>
      </c>
      <c r="BJ69" s="143" t="n">
        <f aca="false">Peak_Arrival_Manual_Mor/K55</f>
        <v>1.68347912108324</v>
      </c>
      <c r="BK69" s="228" t="n">
        <f aca="false">900*Peak_Time_Mor*($BJ69/Total_Lanes-1+SQRT(($BJ69/Total_Lanes-1)^2+8*($BJ69/Total_Lanes)/(Peak_Time_Mor*$K55*Total_Lanes)))</f>
        <v>0.0894080119913765</v>
      </c>
      <c r="BL69" s="143" t="n">
        <f aca="false">Peak_Arrival_Manual_Mor/N55</f>
        <v>1.76509265261864</v>
      </c>
      <c r="BM69" s="229" t="n">
        <f aca="false">IF(BM$6&lt;Total_Lanes,900*Peak_Time_Mor*($BL69/(Total_Lanes-BM$6)-1+SQRT(($BL69/(Total_Lanes-BM$6)-1)^2+8*($BL69/(Total_Lanes-BM$6))/(Peak_Time_Mor*$N55*(Total_Lanes-BM$6)))),"-")</f>
        <v>0.119778976536455</v>
      </c>
      <c r="BN69" s="165" t="n">
        <f aca="false">IF(BN$6&lt;Total_Lanes,900*Peak_Time_Mor*($BL69/(Total_Lanes-BN$6)-1+SQRT(($BL69/(Total_Lanes-BN$6)-1)^2+8*($BL69/(Total_Lanes-BN$6))/(Peak_Time_Mor*$N55*(Total_Lanes-BN$6)))),"-")</f>
        <v>0.147755166241503</v>
      </c>
      <c r="BO69" s="165" t="n">
        <f aca="false">IF(BO$6&lt;Total_Lanes,900*Peak_Time_Mor*($BL69/(Total_Lanes-BO$6)-1+SQRT(($BL69/(Total_Lanes-BO$6)-1)^2+8*($BL69/(Total_Lanes-BO$6))/(Peak_Time_Mor*$N55*(Total_Lanes-BO$6)))),"-")</f>
        <v>0.186861363072088</v>
      </c>
      <c r="BP69" s="165" t="n">
        <f aca="false">IF(BP$6&lt;Total_Lanes,900*Peak_Time_Mor*($BL69/(Total_Lanes-BP$6)-1+SQRT(($BL69/(Total_Lanes-BP$6)-1)^2+8*($BL69/(Total_Lanes-BP$6))/(Peak_Time_Mor*$N55*(Total_Lanes-BP$6)))),"-")</f>
        <v>0.243930041481821</v>
      </c>
      <c r="BQ69" s="165" t="n">
        <f aca="false">IF(BQ$6&lt;Total_Lanes,900*Peak_Time_Mor*($BL69/(Total_Lanes-BQ$6)-1+SQRT(($BL69/(Total_Lanes-BQ$6)-1)^2+8*($BL69/(Total_Lanes-BQ$6))/(Peak_Time_Mor*$N55*(Total_Lanes-BQ$6)))),"-")</f>
        <v>0.332018621131014</v>
      </c>
      <c r="BR69" s="165" t="n">
        <f aca="false">IF(BR$6&lt;Total_Lanes,900*Peak_Time_Mor*($BL69/(Total_Lanes-BR$6)-1+SQRT(($BL69/(Total_Lanes-BR$6)-1)^2+8*($BL69/(Total_Lanes-BR$6))/(Peak_Time_Mor*$N55*(Total_Lanes-BR$6)))),"-")</f>
        <v>0.478791075660312</v>
      </c>
      <c r="BS69" s="165" t="n">
        <f aca="false">IF(BS$6&lt;Total_Lanes,900*Peak_Time_Mor*($BL69/(Total_Lanes-BS$6)-1+SQRT(($BL69/(Total_Lanes-BS$6)-1)^2+8*($BL69/(Total_Lanes-BS$6))/(Peak_Time_Mor*$N55*(Total_Lanes-BS$6)))),"-")</f>
        <v>0.752057382624782</v>
      </c>
      <c r="BT69" s="165" t="n">
        <f aca="false">IF(BT$6&lt;Total_Lanes,900*Peak_Time_Mor*($BL69/(Total_Lanes-BT$6)-1+SQRT(($BL69/(Total_Lanes-BT$6)-1)^2+8*($BL69/(Total_Lanes-BT$6))/(Peak_Time_Mor*$N55*(Total_Lanes-BT$6)))),"-")</f>
        <v>1.36022242205449</v>
      </c>
      <c r="BU69" s="165" t="n">
        <f aca="false">IF(BU$6&lt;Total_Lanes,900*Peak_Time_Mor*($BL69/(Total_Lanes-BU$6)-1+SQRT(($BL69/(Total_Lanes-BU$6)-1)^2+8*($BL69/(Total_Lanes-BU$6))/(Peak_Time_Mor*$N55*(Total_Lanes-BU$6)))),"-")</f>
        <v>3.27723824072563</v>
      </c>
      <c r="BV69" s="165" t="n">
        <f aca="false">IF(BV$6&lt;Total_Lanes,900*Peak_Time_Mor*($BL69/(Total_Lanes-BV$6)-1+SQRT(($BL69/(Total_Lanes-BV$6)-1)^2+8*($BL69/(Total_Lanes-BV$6))/(Peak_Time_Mor*$N55*(Total_Lanes-BV$6)))),"-")</f>
        <v>24.4822657520027</v>
      </c>
      <c r="BW69" s="230" t="n">
        <f aca="false">IF(BW$6&lt;Total_Lanes,900*Peak_Time_Mor*($BL69/(Total_Lanes-BW$6)-1+SQRT(($BL69/(Total_Lanes-BW$6)-1)^2+8*($BL69/(Total_Lanes-BW$6))/(Peak_Time_Mor*$N55*(Total_Lanes-BW$6)))),"-")</f>
        <v>2770.14685794566</v>
      </c>
      <c r="BX69" s="165" t="str">
        <f aca="false">IF(BX$6&lt;Total_Lanes,900*Peak_Time_Mor*($BL69/(Total_Lanes-BX$6)-1+SQRT(($BL69/(Total_Lanes-BX$6)-1)^2+8*($BL69/(Total_Lanes-BX$6))/(Peak_Time_Mor*$N55*(Total_Lanes-BX$6)))),"-")</f>
        <v>-</v>
      </c>
      <c r="BY69" s="165" t="str">
        <f aca="false">IF(BY$6&lt;Total_Lanes,900*Peak_Time_Mor*($BL69/(Total_Lanes-BY$6)-1+SQRT(($BL69/(Total_Lanes-BY$6)-1)^2+8*($BL69/(Total_Lanes-BY$6))/(Peak_Time_Mor*$N55*(Total_Lanes-BY$6)))),"-")</f>
        <v>-</v>
      </c>
      <c r="BZ69" s="165" t="str">
        <f aca="false">IF(BZ$6&lt;Total_Lanes,900*Peak_Time_Mor*($BL69/(Total_Lanes-BZ$6)-1+SQRT(($BL69/(Total_Lanes-BZ$6)-1)^2+8*($BL69/(Total_Lanes-BZ$6))/(Peak_Time_Mor*$N55*(Total_Lanes-BZ$6)))),"-")</f>
        <v>-</v>
      </c>
      <c r="CA69" s="165" t="str">
        <f aca="false">IF(CA$6&lt;Total_Lanes,900*Peak_Time_Mor*($BL69/(Total_Lanes-CA$6)-1+SQRT(($BL69/(Total_Lanes-CA$6)-1)^2+8*($BL69/(Total_Lanes-CA$6))/(Peak_Time_Mor*$N55*(Total_Lanes-CA$6)))),"-")</f>
        <v>-</v>
      </c>
      <c r="CB69" s="165" t="str">
        <f aca="false">IF(CB$6&lt;Total_Lanes,900*Peak_Time_Mor*($BL69/(Total_Lanes-CB$6)-1+SQRT(($BL69/(Total_Lanes-CB$6)-1)^2+8*($BL69/(Total_Lanes-CB$6))/(Peak_Time_Mor*$N55*(Total_Lanes-CB$6)))),"-")</f>
        <v>-</v>
      </c>
      <c r="CC69" s="165" t="str">
        <f aca="false">IF(CC$6&lt;Total_Lanes,900*Peak_Time_Mor*($BL69/(Total_Lanes-CC$6)-1+SQRT(($BL69/(Total_Lanes-CC$6)-1)^2+8*($BL69/(Total_Lanes-CC$6))/(Peak_Time_Mor*$N55*(Total_Lanes-CC$6)))),"-")</f>
        <v>-</v>
      </c>
      <c r="CD69" s="165" t="str">
        <f aca="false">IF(CD$6&lt;Total_Lanes,900*Peak_Time_Mor*($BL69/(Total_Lanes-CD$6)-1+SQRT(($BL69/(Total_Lanes-CD$6)-1)^2+8*($BL69/(Total_Lanes-CD$6))/(Peak_Time_Mor*$N55*(Total_Lanes-CD$6)))),"-")</f>
        <v>-</v>
      </c>
      <c r="CE69" s="165" t="str">
        <f aca="false">IF(CE$6&lt;Total_Lanes,900*Peak_Time_Mor*($BL69/(Total_Lanes-CE$6)-1+SQRT(($BL69/(Total_Lanes-CE$6)-1)^2+8*($BL69/(Total_Lanes-CE$6))/(Peak_Time_Mor*$N55*(Total_Lanes-CE$6)))),"-")</f>
        <v>-</v>
      </c>
      <c r="CF69" s="165" t="str">
        <f aca="false">IF(CF$6&lt;Total_Lanes,900*Peak_Time_Mor*($BL69/(Total_Lanes-CF$6)-1+SQRT(($BL69/(Total_Lanes-CF$6)-1)^2+8*($BL69/(Total_Lanes-CF$6))/(Peak_Time_Mor*$N55*(Total_Lanes-CF$6)))),"-")</f>
        <v>-</v>
      </c>
      <c r="CG69" s="166" t="str">
        <f aca="false">IF(CG$6&lt;Total_Lanes,900*Peak_Time_Mor*($BL69/(Total_Lanes-CG$6)-1+SQRT(($BL69/(Total_Lanes-CG$6)-1)^2+8*($BL69/(Total_Lanes-CG$6))/(Peak_Time_Mor*$N55*(Total_Lanes-CG$6)))),"-")</f>
        <v>-</v>
      </c>
      <c r="CH69" s="234" t="n">
        <f aca="false">3600/N55</f>
        <v>6.89375</v>
      </c>
      <c r="CJ69" s="50" t="n">
        <v>15</v>
      </c>
      <c r="CK69" s="131" t="n">
        <f aca="false">$X69</f>
        <v>0.738560291874923</v>
      </c>
      <c r="CL69" s="150" t="n">
        <f aca="false">$AC69</f>
        <v>3525.68029303267</v>
      </c>
      <c r="CM69" s="150" t="n">
        <f aca="false">CL69*CK69</f>
        <v>2603.92746627987</v>
      </c>
      <c r="CN69" s="161" t="n">
        <f aca="false">CM69/O55</f>
        <v>1.73595164418658</v>
      </c>
      <c r="CO69" s="165" t="n">
        <f aca="false">IF(CO$53&lt;Total_Lanes,900*Peak_Time_Mor*($CN69/CO$53-1+SQRT(($CN69/CO$53-1)^2+8*($CN69/CO$53)/(Peak_Time_Mor*$O55*CO$53))),"-")</f>
        <v>2655.07495815427</v>
      </c>
      <c r="CP69" s="165" t="n">
        <f aca="false">IF(CP$53&lt;Total_Lanes,900*Peak_Time_Mor*($CN69/CP$53-1+SQRT(($CN69/CP$53-1)^2+8*($CN69/CP$53)/(Peak_Time_Mor*$O55*CP$53))),"-")</f>
        <v>7.76246636918062</v>
      </c>
      <c r="CQ69" s="165" t="n">
        <f aca="false">IF(CQ$53&lt;Total_Lanes,900*Peak_Time_Mor*($CN69/CQ$53-1+SQRT(($CN69/CQ$53-1)^2+8*($CN69/CQ$53)/(Peak_Time_Mor*$O55*CQ$53))),"-")</f>
        <v>1.09786693085649</v>
      </c>
      <c r="CR69" s="165" t="n">
        <f aca="false">IF(CR$53&lt;Total_Lanes,900*Peak_Time_Mor*($CN69/CR$53-1+SQRT(($CN69/CR$53-1)^2+8*($CN69/CR$53)/(Peak_Time_Mor*$O55*CR$53))),"-")</f>
        <v>0.459944210004792</v>
      </c>
      <c r="CS69" s="165" t="n">
        <f aca="false">IF(CS$53&lt;Total_Lanes,900*Peak_Time_Mor*($CN69/CS$53-1+SQRT(($CN69/CS$53-1)^2+8*($CN69/CS$53)/(Peak_Time_Mor*$O55*CS$53))),"-")</f>
        <v>0.255255500169094</v>
      </c>
      <c r="CT69" s="165" t="n">
        <f aca="false">IF(CT$53&lt;Total_Lanes,900*Peak_Time_Mor*($CN69/CT$53-1+SQRT(($CN69/CT$53-1)^2+8*($CN69/CT$53)/(Peak_Time_Mor*$O55*CT$53))),"-")</f>
        <v>0.162835035546971</v>
      </c>
      <c r="CU69" s="165" t="n">
        <f aca="false">IF(CU$53&lt;Total_Lanes,900*Peak_Time_Mor*($CN69/CU$53-1+SQRT(($CN69/CU$53-1)^2+8*($CN69/CU$53)/(Peak_Time_Mor*$O55*CU$53))),"-")</f>
        <v>0.113060998914061</v>
      </c>
      <c r="CV69" s="165" t="n">
        <f aca="false">IF(CV$53&lt;Total_Lanes,900*Peak_Time_Mor*($CN69/CV$53-1+SQRT(($CN69/CV$53-1)^2+8*($CN69/CV$53)/(Peak_Time_Mor*$O55*CV$53))),"-")</f>
        <v>0.0831363527939999</v>
      </c>
      <c r="CW69" s="165" t="n">
        <f aca="false">IF(CW$53&lt;Total_Lanes,900*Peak_Time_Mor*($CN69/CW$53-1+SQRT(($CN69/CW$53-1)^2+8*($CN69/CW$53)/(Peak_Time_Mor*$O55*CW$53))),"-")</f>
        <v>0.063726212051507</v>
      </c>
      <c r="CX69" s="165" t="n">
        <f aca="false">IF(CX$53&lt;Total_Lanes,900*Peak_Time_Mor*($CN69/CX$53-1+SQRT(($CN69/CX$53-1)^2+8*($CN69/CX$53)/(Peak_Time_Mor*$O55*CX$53))),"-")</f>
        <v>0.0504137097010249</v>
      </c>
      <c r="CY69" s="165" t="n">
        <f aca="false">IF(CY$53&lt;Total_Lanes,900*Peak_Time_Mor*($CN69/CY$53-1+SQRT(($CN69/CY$53-1)^2+8*($CN69/CY$53)/(Peak_Time_Mor*$O55*CY$53))),"-")</f>
        <v>0.0408836357694176</v>
      </c>
      <c r="CZ69" s="165" t="str">
        <f aca="false">IF(CZ$53&lt;Total_Lanes,900*Peak_Time_Mor*($CN69/CZ$53-1+SQRT(($CN69/CZ$53-1)^2+8*($CN69/CZ$53)/(Peak_Time_Mor*$O55*CZ$53))),"-")</f>
        <v>-</v>
      </c>
      <c r="DA69" s="165" t="str">
        <f aca="false">IF(DA$53&lt;Total_Lanes,900*Peak_Time_Mor*($CN69/DA$53-1+SQRT(($CN69/DA$53-1)^2+8*($CN69/DA$53)/(Peak_Time_Mor*$O55*DA$53))),"-")</f>
        <v>-</v>
      </c>
      <c r="DB69" s="165" t="str">
        <f aca="false">IF(DB$53&lt;Total_Lanes,900*Peak_Time_Mor*($CN69/DB$53-1+SQRT(($CN69/DB$53-1)^2+8*($CN69/DB$53)/(Peak_Time_Mor*$O55*DB$53))),"-")</f>
        <v>-</v>
      </c>
      <c r="DC69" s="165" t="str">
        <f aca="false">IF(DC$53&lt;Total_Lanes,900*Peak_Time_Mor*($CN69/DC$53-1+SQRT(($CN69/DC$53-1)^2+8*($CN69/DC$53)/(Peak_Time_Mor*$O55*DC$53))),"-")</f>
        <v>-</v>
      </c>
      <c r="DD69" s="165" t="str">
        <f aca="false">IF(DD$53&lt;Total_Lanes,900*Peak_Time_Mor*($CN69/DD$53-1+SQRT(($CN69/DD$53-1)^2+8*($CN69/DD$53)/(Peak_Time_Mor*$O55*DD$53))),"-")</f>
        <v>-</v>
      </c>
      <c r="DE69" s="165" t="str">
        <f aca="false">IF(DE$53&lt;Total_Lanes,900*Peak_Time_Mor*($CN69/DE$53-1+SQRT(($CN69/DE$53-1)^2+8*($CN69/DE$53)/(Peak_Time_Mor*$O55*DE$53))),"-")</f>
        <v>-</v>
      </c>
      <c r="DF69" s="165" t="str">
        <f aca="false">IF(DF$53&lt;Total_Lanes,900*Peak_Time_Mor*($CN69/DF$53-1+SQRT(($CN69/DF$53-1)^2+8*($CN69/DF$53)/(Peak_Time_Mor*$O55*DF$53))),"-")</f>
        <v>-</v>
      </c>
      <c r="DG69" s="165" t="str">
        <f aca="false">IF(DG$53&lt;Total_Lanes,900*Peak_Time_Mor*($CN69/DG$53-1+SQRT(($CN69/DG$53-1)^2+8*($CN69/DG$53)/(Peak_Time_Mor*$O55*DG$53))),"-")</f>
        <v>-</v>
      </c>
      <c r="DH69" s="165" t="str">
        <f aca="false">IF(DH$53&lt;Total_Lanes,900*Peak_Time_Mor*($CN69/DH$53-1+SQRT(($CN69/DH$53-1)^2+8*($CN69/DH$53)/(Peak_Time_Mor*$O55*DH$53))),"-")</f>
        <v>-</v>
      </c>
      <c r="DI69" s="166" t="str">
        <f aca="false">IF(DI$53&lt;Total_Lanes,900*Peak_Time_Mor*($CN69/DI$53-1+SQRT(($CN69/DI$53-1)^2+8*($CN69/DI$53)/(Peak_Time_Mor*$O55*DI$53))),"-")</f>
        <v>-</v>
      </c>
      <c r="DJ69" s="234" t="n">
        <f aca="false">3600/$O55</f>
        <v>2.4</v>
      </c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customFormat="false" ht="12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0" t="n">
        <v>16</v>
      </c>
      <c r="W70" s="124" t="n">
        <f aca="false">W23</f>
        <v>27803234.6</v>
      </c>
      <c r="X70" s="131" t="n">
        <f aca="false">X23</f>
        <v>0.77219473716396</v>
      </c>
      <c r="Y70" s="124" t="n">
        <f aca="false">Y23</f>
        <v>11989.0854863384</v>
      </c>
      <c r="Z70" s="133" t="n">
        <f aca="false">W70/Y70</f>
        <v>2319.04548780488</v>
      </c>
      <c r="AA70" s="233" t="n">
        <f aca="false">AA23</f>
        <v>2</v>
      </c>
      <c r="AB70" s="157" t="n">
        <f aca="false">1-AB23</f>
        <v>0.3</v>
      </c>
      <c r="AC70" s="128" t="n">
        <f aca="false">Y70*AB70</f>
        <v>3596.72564590152</v>
      </c>
      <c r="AD70" s="150" t="n">
        <f aca="false">Peak_Time_Mor*$BH70*(CH70+BK70)/3600</f>
        <v>13.9734003613131</v>
      </c>
      <c r="AE70" s="136" t="n">
        <f aca="false">IF(AE$53&lt;Total_Lanes,($BI70*($CH70+BM70)+$CM70*CO70)*Peak_Time_Mor/3600,"-")</f>
        <v>4741.55315819033</v>
      </c>
      <c r="AF70" s="136" t="n">
        <f aca="false">IF(AF$53&lt;Total_Lanes,($BI70*($CH70+BN70)+$CM70*CP70)*Peak_Time_Mor/3600,"-")</f>
        <v>25.1388118532521</v>
      </c>
      <c r="AG70" s="136" t="n">
        <f aca="false">IF(AG$53&lt;Total_Lanes,($BI70*($CH70+BO70)+$CM70*CQ70)*Peak_Time_Mor/3600,"-")</f>
        <v>5.21012902932697</v>
      </c>
      <c r="AH70" s="136" t="n">
        <f aca="false">IF(AH$53&lt;Total_Lanes,($BI70*($CH70+BP70)+$CM70*CR70)*Peak_Time_Mor/3600,"-")</f>
        <v>4.04170268777564</v>
      </c>
      <c r="AI70" s="136" t="n">
        <f aca="false">IF(AI$53&lt;Total_Lanes,($BI70*($CH70+BQ70)+$CM70*CS70)*Peak_Time_Mor/3600,"-")</f>
        <v>3.71360400647018</v>
      </c>
      <c r="AJ70" s="136" t="n">
        <f aca="false">IF(AJ$53&lt;Total_Lanes,($BI70*($CH70+BR70)+$CM70*CT70)*Peak_Time_Mor/3600,"-")</f>
        <v>3.60964809047586</v>
      </c>
      <c r="AK70" s="136" t="n">
        <f aca="false">IF(AK$53&lt;Total_Lanes,($BI70*($CH70+BS70)+$CM70*CU70)*Peak_Time_Mor/3600,"-")</f>
        <v>3.62704014103331</v>
      </c>
      <c r="AL70" s="136" t="n">
        <f aca="false">IF(AL$53&lt;Total_Lanes,($BI70*($CH70+BT70)+$CM70*CV70)*Peak_Time_Mor/3600,"-")</f>
        <v>3.79728694047343</v>
      </c>
      <c r="AM70" s="136" t="n">
        <f aca="false">IF(AM$53&lt;Total_Lanes,($BI70*($CH70+BU70)+$CM70*CW70)*Peak_Time_Mor/3600,"-")</f>
        <v>4.41041604614137</v>
      </c>
      <c r="AN70" s="136" t="n">
        <f aca="false">IF(AN$53&lt;Total_Lanes,($BI70*($CH70+BV70)+$CM70*CX70)*Peak_Time_Mor/3600,"-")</f>
        <v>8.9504882156419</v>
      </c>
      <c r="AO70" s="136" t="n">
        <f aca="false">IF(AO$53&lt;Total_Lanes,($BI70*($CH70+BW70)+$CM70*CY70)*Peak_Time_Mor/3600,"-")</f>
        <v>952.127046050867</v>
      </c>
      <c r="AP70" s="136" t="str">
        <f aca="false">IF(AP$53&lt;Total_Lanes,($BI70*($CH70+BX70)+$CM70*CZ70)*Peak_Time_Mor/3600,"-")</f>
        <v>-</v>
      </c>
      <c r="AQ70" s="136" t="str">
        <f aca="false">IF(AQ$53&lt;Total_Lanes,($BI70*($CH70+BY70)+$CM70*DA70)*Peak_Time_Mor/3600,"-")</f>
        <v>-</v>
      </c>
      <c r="AR70" s="136" t="str">
        <f aca="false">IF(AR$53&lt;Total_Lanes,($BI70*($CH70+BZ70)+$CM70*DB70)*Peak_Time_Mor/3600,"-")</f>
        <v>-</v>
      </c>
      <c r="AS70" s="136" t="str">
        <f aca="false">IF(AS$53&lt;Total_Lanes,($BI70*($CH70+CA70)+$CM70*DC70)*Peak_Time_Mor/3600,"-")</f>
        <v>-</v>
      </c>
      <c r="AT70" s="136" t="str">
        <f aca="false">IF(AT$53&lt;Total_Lanes,($BI70*($CH70+CB70)+$CM70*DD70)*Peak_Time_Mor/3600,"-")</f>
        <v>-</v>
      </c>
      <c r="AU70" s="136" t="str">
        <f aca="false">IF(AU$53&lt;Total_Lanes,($BI70*($CH70+CC70)+$CM70*DE70)*Peak_Time_Mor/3600,"-")</f>
        <v>-</v>
      </c>
      <c r="AV70" s="136" t="str">
        <f aca="false">IF(AV$53&lt;Total_Lanes,($BI70*($CH70+CD70)+$CM70*DF70)*Peak_Time_Mor/3600,"-")</f>
        <v>-</v>
      </c>
      <c r="AW70" s="136" t="str">
        <f aca="false">IF(AW$53&lt;Total_Lanes,($BI70*($CH70+CE70)+$CM70*DG70)*Peak_Time_Mor/3600,"-")</f>
        <v>-</v>
      </c>
      <c r="AX70" s="136" t="str">
        <f aca="false">IF(AX$53&lt;Total_Lanes,($BI70*($CH70+CF70)+$CM70*DH70)*Peak_Time_Mor/3600,"-")</f>
        <v>-</v>
      </c>
      <c r="AY70" s="137" t="str">
        <f aca="false">IF(AY$53&lt;Total_Lanes,($BI70*($CH70+CG70)+$CM70*DI70)*Peak_Time_Mor/3600,"-")</f>
        <v>-</v>
      </c>
      <c r="AZ70" s="158" t="n">
        <f aca="false">SUMIF(AE70:AY70,BA70,$AE$53:$AY$53)</f>
        <v>6</v>
      </c>
      <c r="BA70" s="159" t="n">
        <f aca="false">MIN(AE70:AY70)</f>
        <v>3.60964809047586</v>
      </c>
      <c r="BB70" s="158" t="n">
        <f aca="false">IF((SUMIF($BM68:$CG68,$AZ70,$BM70:$CG70)+$CH70)&lt;(SUMIF($CO68:$DI68,$AZ70,$CO70:$DI70)+$DJ70),AZ70+1,AZ70)</f>
        <v>6</v>
      </c>
      <c r="BC70" s="159" t="n">
        <f aca="false">SUMIF($AE$53:$AY$53,$BB70,$AE70:$AY70)</f>
        <v>3.60964809047586</v>
      </c>
      <c r="BF70" s="50" t="n">
        <v>16</v>
      </c>
      <c r="BG70" s="131" t="n">
        <f aca="false">$X70</f>
        <v>0.77219473716396</v>
      </c>
      <c r="BH70" s="57" t="n">
        <f aca="false">$AC70</f>
        <v>3596.72564590152</v>
      </c>
      <c r="BI70" s="135" t="n">
        <f aca="false">BH70*(1-BG70)</f>
        <v>819.35303111372</v>
      </c>
      <c r="BJ70" s="143" t="n">
        <f aca="false">Peak_Arrival_Manual_Mor/K56</f>
        <v>1.49645727210353</v>
      </c>
      <c r="BK70" s="228" t="n">
        <f aca="false">900*Peak_Time_Mor*($BJ70/Total_Lanes-1+SQRT(($BJ70/Total_Lanes-1)^2+8*($BJ70/Total_Lanes)/(Peak_Time_Mor*$K56*Total_Lanes)))</f>
        <v>0.0780606686735963</v>
      </c>
      <c r="BL70" s="143" t="n">
        <f aca="false">Peak_Arrival_Manual_Mor/N56</f>
        <v>1.57384061393094</v>
      </c>
      <c r="BM70" s="229" t="n">
        <f aca="false">IF(BM$6&lt;Total_Lanes,900*Peak_Time_Mor*($BL70/(Total_Lanes-BM$6)-1+SQRT(($BL70/(Total_Lanes-BM$6)-1)^2+8*($BL70/(Total_Lanes-BM$6))/(Peak_Time_Mor*$N56*(Total_Lanes-BM$6)))),"-")</f>
        <v>0.104956827076652</v>
      </c>
      <c r="BN70" s="165" t="n">
        <f aca="false">IF(BN$6&lt;Total_Lanes,900*Peak_Time_Mor*($BL70/(Total_Lanes-BN$6)-1+SQRT(($BL70/(Total_Lanes-BN$6)-1)^2+8*($BL70/(Total_Lanes-BN$6))/(Peak_Time_Mor*$N56*(Total_Lanes-BN$6)))),"-")</f>
        <v>0.129153081480937</v>
      </c>
      <c r="BO70" s="165" t="n">
        <f aca="false">IF(BO$6&lt;Total_Lanes,900*Peak_Time_Mor*($BL70/(Total_Lanes-BO$6)-1+SQRT(($BL70/(Total_Lanes-BO$6)-1)^2+8*($BL70/(Total_Lanes-BO$6))/(Peak_Time_Mor*$N56*(Total_Lanes-BO$6)))),"-")</f>
        <v>0.16282547435873</v>
      </c>
      <c r="BP70" s="165" t="n">
        <f aca="false">IF(BP$6&lt;Total_Lanes,900*Peak_Time_Mor*($BL70/(Total_Lanes-BP$6)-1+SQRT(($BL70/(Total_Lanes-BP$6)-1)^2+8*($BL70/(Total_Lanes-BP$6))/(Peak_Time_Mor*$N56*(Total_Lanes-BP$6)))),"-")</f>
        <v>0.211679920267671</v>
      </c>
      <c r="BQ70" s="165" t="n">
        <f aca="false">IF(BQ$6&lt;Total_Lanes,900*Peak_Time_Mor*($BL70/(Total_Lanes-BQ$6)-1+SQRT(($BL70/(Total_Lanes-BQ$6)-1)^2+8*($BL70/(Total_Lanes-BQ$6))/(Peak_Time_Mor*$N56*(Total_Lanes-BQ$6)))),"-")</f>
        <v>0.286495471705539</v>
      </c>
      <c r="BR70" s="165" t="n">
        <f aca="false">IF(BR$6&lt;Total_Lanes,900*Peak_Time_Mor*($BL70/(Total_Lanes-BR$6)-1+SQRT(($BL70/(Total_Lanes-BR$6)-1)^2+8*($BL70/(Total_Lanes-BR$6))/(Peak_Time_Mor*$N56*(Total_Lanes-BR$6)))),"-")</f>
        <v>0.409739310960733</v>
      </c>
      <c r="BS70" s="165" t="n">
        <f aca="false">IF(BS$6&lt;Total_Lanes,900*Peak_Time_Mor*($BL70/(Total_Lanes-BS$6)-1+SQRT(($BL70/(Total_Lanes-BS$6)-1)^2+8*($BL70/(Total_Lanes-BS$6))/(Peak_Time_Mor*$N56*(Total_Lanes-BS$6)))),"-")</f>
        <v>0.635131369383135</v>
      </c>
      <c r="BT70" s="165" t="n">
        <f aca="false">IF(BT$6&lt;Total_Lanes,900*Peak_Time_Mor*($BL70/(Total_Lanes-BT$6)-1+SQRT(($BL70/(Total_Lanes-BT$6)-1)^2+8*($BL70/(Total_Lanes-BT$6))/(Peak_Time_Mor*$N56*(Total_Lanes-BT$6)))),"-")</f>
        <v>1.12085836650822</v>
      </c>
      <c r="BU70" s="165" t="n">
        <f aca="false">IF(BU$6&lt;Total_Lanes,900*Peak_Time_Mor*($BL70/(Total_Lanes-BU$6)-1+SQRT(($BL70/(Total_Lanes-BU$6)-1)^2+8*($BL70/(Total_Lanes-BU$6))/(Peak_Time_Mor*$N56*(Total_Lanes-BU$6)))),"-")</f>
        <v>2.53991711448051</v>
      </c>
      <c r="BV70" s="165" t="n">
        <f aca="false">IF(BV$6&lt;Total_Lanes,900*Peak_Time_Mor*($BL70/(Total_Lanes-BV$6)-1+SQRT(($BL70/(Total_Lanes-BV$6)-1)^2+8*($BL70/(Total_Lanes-BV$6))/(Peak_Time_Mor*$N56*(Total_Lanes-BV$6)))),"-")</f>
        <v>12.5630699696515</v>
      </c>
      <c r="BW70" s="230" t="n">
        <f aca="false">IF(BW$6&lt;Total_Lanes,900*Peak_Time_Mor*($BL70/(Total_Lanes-BW$6)-1+SQRT(($BL70/(Total_Lanes-BW$6)-1)^2+8*($BL70/(Total_Lanes-BW$6))/(Peak_Time_Mor*$N56*(Total_Lanes-BW$6)))),"-")</f>
        <v>2084.62060760683</v>
      </c>
      <c r="BX70" s="165" t="str">
        <f aca="false">IF(BX$6&lt;Total_Lanes,900*Peak_Time_Mor*($BL70/(Total_Lanes-BX$6)-1+SQRT(($BL70/(Total_Lanes-BX$6)-1)^2+8*($BL70/(Total_Lanes-BX$6))/(Peak_Time_Mor*$N56*(Total_Lanes-BX$6)))),"-")</f>
        <v>-</v>
      </c>
      <c r="BY70" s="165" t="str">
        <f aca="false">IF(BY$6&lt;Total_Lanes,900*Peak_Time_Mor*($BL70/(Total_Lanes-BY$6)-1+SQRT(($BL70/(Total_Lanes-BY$6)-1)^2+8*($BL70/(Total_Lanes-BY$6))/(Peak_Time_Mor*$N56*(Total_Lanes-BY$6)))),"-")</f>
        <v>-</v>
      </c>
      <c r="BZ70" s="165" t="str">
        <f aca="false">IF(BZ$6&lt;Total_Lanes,900*Peak_Time_Mor*($BL70/(Total_Lanes-BZ$6)-1+SQRT(($BL70/(Total_Lanes-BZ$6)-1)^2+8*($BL70/(Total_Lanes-BZ$6))/(Peak_Time_Mor*$N56*(Total_Lanes-BZ$6)))),"-")</f>
        <v>-</v>
      </c>
      <c r="CA70" s="165" t="str">
        <f aca="false">IF(CA$6&lt;Total_Lanes,900*Peak_Time_Mor*($BL70/(Total_Lanes-CA$6)-1+SQRT(($BL70/(Total_Lanes-CA$6)-1)^2+8*($BL70/(Total_Lanes-CA$6))/(Peak_Time_Mor*$N56*(Total_Lanes-CA$6)))),"-")</f>
        <v>-</v>
      </c>
      <c r="CB70" s="165" t="str">
        <f aca="false">IF(CB$6&lt;Total_Lanes,900*Peak_Time_Mor*($BL70/(Total_Lanes-CB$6)-1+SQRT(($BL70/(Total_Lanes-CB$6)-1)^2+8*($BL70/(Total_Lanes-CB$6))/(Peak_Time_Mor*$N56*(Total_Lanes-CB$6)))),"-")</f>
        <v>-</v>
      </c>
      <c r="CC70" s="165" t="str">
        <f aca="false">IF(CC$6&lt;Total_Lanes,900*Peak_Time_Mor*($BL70/(Total_Lanes-CC$6)-1+SQRT(($BL70/(Total_Lanes-CC$6)-1)^2+8*($BL70/(Total_Lanes-CC$6))/(Peak_Time_Mor*$N56*(Total_Lanes-CC$6)))),"-")</f>
        <v>-</v>
      </c>
      <c r="CD70" s="165" t="str">
        <f aca="false">IF(CD$6&lt;Total_Lanes,900*Peak_Time_Mor*($BL70/(Total_Lanes-CD$6)-1+SQRT(($BL70/(Total_Lanes-CD$6)-1)^2+8*($BL70/(Total_Lanes-CD$6))/(Peak_Time_Mor*$N56*(Total_Lanes-CD$6)))),"-")</f>
        <v>-</v>
      </c>
      <c r="CE70" s="165" t="str">
        <f aca="false">IF(CE$6&lt;Total_Lanes,900*Peak_Time_Mor*($BL70/(Total_Lanes-CE$6)-1+SQRT(($BL70/(Total_Lanes-CE$6)-1)^2+8*($BL70/(Total_Lanes-CE$6))/(Peak_Time_Mor*$N56*(Total_Lanes-CE$6)))),"-")</f>
        <v>-</v>
      </c>
      <c r="CF70" s="165" t="str">
        <f aca="false">IF(CF$6&lt;Total_Lanes,900*Peak_Time_Mor*($BL70/(Total_Lanes-CF$6)-1+SQRT(($BL70/(Total_Lanes-CF$6)-1)^2+8*($BL70/(Total_Lanes-CF$6))/(Peak_Time_Mor*$N56*(Total_Lanes-CF$6)))),"-")</f>
        <v>-</v>
      </c>
      <c r="CG70" s="166" t="str">
        <f aca="false">IF(CG$6&lt;Total_Lanes,900*Peak_Time_Mor*($BL70/(Total_Lanes-CG$6)-1+SQRT(($BL70/(Total_Lanes-CG$6)-1)^2+8*($BL70/(Total_Lanes-CG$6))/(Peak_Time_Mor*$N56*(Total_Lanes-CG$6)))),"-")</f>
        <v>-</v>
      </c>
      <c r="CH70" s="234" t="n">
        <f aca="false">3600/N56</f>
        <v>6.915</v>
      </c>
      <c r="CJ70" s="50" t="n">
        <v>16</v>
      </c>
      <c r="CK70" s="131" t="n">
        <f aca="false">$X70</f>
        <v>0.77219473716396</v>
      </c>
      <c r="CL70" s="150" t="n">
        <f aca="false">$AC70</f>
        <v>3596.72564590152</v>
      </c>
      <c r="CM70" s="150" t="n">
        <f aca="false">CL70*CK70</f>
        <v>2777.3726147878</v>
      </c>
      <c r="CN70" s="161" t="n">
        <f aca="false">CM70/O56</f>
        <v>1.85158174319187</v>
      </c>
      <c r="CO70" s="165" t="n">
        <f aca="false">IF(CO$53&lt;Total_Lanes,900*Peak_Time_Mor*($CN70/CO$53-1+SQRT(($CN70/CO$53-1)^2+8*($CN70/CO$53)/(Peak_Time_Mor*$O56*CO$53))),"-")</f>
        <v>3070.9037082119</v>
      </c>
      <c r="CP70" s="165" t="n">
        <f aca="false">IF(CP$53&lt;Total_Lanes,900*Peak_Time_Mor*($CN70/CP$53-1+SQRT(($CN70/CP$53-1)^2+8*($CN70/CP$53)/(Peak_Time_Mor*$O56*CP$53))),"-")</f>
        <v>14.2142300052633</v>
      </c>
      <c r="CQ70" s="165" t="n">
        <f aca="false">IF(CQ$53&lt;Total_Lanes,900*Peak_Time_Mor*($CN70/CQ$53-1+SQRT(($CN70/CQ$53-1)^2+8*($CN70/CQ$53)/(Peak_Time_Mor*$O56*CQ$53))),"-")</f>
        <v>1.28862597608361</v>
      </c>
      <c r="CR70" s="165" t="n">
        <f aca="false">IF(CR$53&lt;Total_Lanes,900*Peak_Time_Mor*($CN70/CR$53-1+SQRT(($CN70/CR$53-1)^2+8*($CN70/CR$53)/(Peak_Time_Mor*$O56*CR$53))),"-")</f>
        <v>0.516962699172163</v>
      </c>
      <c r="CS70" s="165" t="n">
        <f aca="false">IF(CS$53&lt;Total_Lanes,900*Peak_Time_Mor*($CN70/CS$53-1+SQRT(($CN70/CS$53-1)^2+8*($CN70/CS$53)/(Peak_Time_Mor*$O56*CS$53))),"-")</f>
        <v>0.282252393567495</v>
      </c>
      <c r="CT70" s="165" t="n">
        <f aca="false">IF(CT$53&lt;Total_Lanes,900*Peak_Time_Mor*($CN70/CT$53-1+SQRT(($CN70/CT$53-1)^2+8*($CN70/CT$53)/(Peak_Time_Mor*$O56*CT$53))),"-")</f>
        <v>0.178520953099026</v>
      </c>
      <c r="CU70" s="165" t="n">
        <f aca="false">IF(CU$53&lt;Total_Lanes,900*Peak_Time_Mor*($CN70/CU$53-1+SQRT(($CN70/CU$53-1)^2+8*($CN70/CU$53)/(Peak_Time_Mor*$O56*CU$53))),"-")</f>
        <v>0.123299707509816</v>
      </c>
      <c r="CV70" s="165" t="n">
        <f aca="false">IF(CV$53&lt;Total_Lanes,900*Peak_Time_Mor*($CN70/CV$53-1+SQRT(($CN70/CV$53-1)^2+8*($CN70/CV$53)/(Peak_Time_Mor*$O56*CV$53))),"-")</f>
        <v>0.0903413468243963</v>
      </c>
      <c r="CW70" s="165" t="n">
        <f aca="false">IF(CW$53&lt;Total_Lanes,900*Peak_Time_Mor*($CN70/CW$53-1+SQRT(($CN70/CW$53-1)^2+8*($CN70/CW$53)/(Peak_Time_Mor*$O56*CW$53))),"-")</f>
        <v>0.0690702735939963</v>
      </c>
      <c r="CX70" s="165" t="n">
        <f aca="false">IF(CX$53&lt;Total_Lanes,900*Peak_Time_Mor*($CN70/CX$53-1+SQRT(($CN70/CX$53-1)^2+8*($CN70/CX$53)/(Peak_Time_Mor*$O56*CX$53))),"-")</f>
        <v>0.0545346769352806</v>
      </c>
      <c r="CY70" s="165" t="n">
        <f aca="false">IF(CY$53&lt;Total_Lanes,900*Peak_Time_Mor*($CN70/CY$53-1+SQRT(($CN70/CY$53-1)^2+8*($CN70/CY$53)/(Peak_Time_Mor*$O56*CY$53))),"-")</f>
        <v>0.0441579628079225</v>
      </c>
      <c r="CZ70" s="165" t="str">
        <f aca="false">IF(CZ$53&lt;Total_Lanes,900*Peak_Time_Mor*($CN70/CZ$53-1+SQRT(($CN70/CZ$53-1)^2+8*($CN70/CZ$53)/(Peak_Time_Mor*$O56*CZ$53))),"-")</f>
        <v>-</v>
      </c>
      <c r="DA70" s="165" t="str">
        <f aca="false">IF(DA$53&lt;Total_Lanes,900*Peak_Time_Mor*($CN70/DA$53-1+SQRT(($CN70/DA$53-1)^2+8*($CN70/DA$53)/(Peak_Time_Mor*$O56*DA$53))),"-")</f>
        <v>-</v>
      </c>
      <c r="DB70" s="165" t="str">
        <f aca="false">IF(DB$53&lt;Total_Lanes,900*Peak_Time_Mor*($CN70/DB$53-1+SQRT(($CN70/DB$53-1)^2+8*($CN70/DB$53)/(Peak_Time_Mor*$O56*DB$53))),"-")</f>
        <v>-</v>
      </c>
      <c r="DC70" s="165" t="str">
        <f aca="false">IF(DC$53&lt;Total_Lanes,900*Peak_Time_Mor*($CN70/DC$53-1+SQRT(($CN70/DC$53-1)^2+8*($CN70/DC$53)/(Peak_Time_Mor*$O56*DC$53))),"-")</f>
        <v>-</v>
      </c>
      <c r="DD70" s="165" t="str">
        <f aca="false">IF(DD$53&lt;Total_Lanes,900*Peak_Time_Mor*($CN70/DD$53-1+SQRT(($CN70/DD$53-1)^2+8*($CN70/DD$53)/(Peak_Time_Mor*$O56*DD$53))),"-")</f>
        <v>-</v>
      </c>
      <c r="DE70" s="165" t="str">
        <f aca="false">IF(DE$53&lt;Total_Lanes,900*Peak_Time_Mor*($CN70/DE$53-1+SQRT(($CN70/DE$53-1)^2+8*($CN70/DE$53)/(Peak_Time_Mor*$O56*DE$53))),"-")</f>
        <v>-</v>
      </c>
      <c r="DF70" s="165" t="str">
        <f aca="false">IF(DF$53&lt;Total_Lanes,900*Peak_Time_Mor*($CN70/DF$53-1+SQRT(($CN70/DF$53-1)^2+8*($CN70/DF$53)/(Peak_Time_Mor*$O56*DF$53))),"-")</f>
        <v>-</v>
      </c>
      <c r="DG70" s="165" t="str">
        <f aca="false">IF(DG$53&lt;Total_Lanes,900*Peak_Time_Mor*($CN70/DG$53-1+SQRT(($CN70/DG$53-1)^2+8*($CN70/DG$53)/(Peak_Time_Mor*$O56*DG$53))),"-")</f>
        <v>-</v>
      </c>
      <c r="DH70" s="165" t="str">
        <f aca="false">IF(DH$53&lt;Total_Lanes,900*Peak_Time_Mor*($CN70/DH$53-1+SQRT(($CN70/DH$53-1)^2+8*($CN70/DH$53)/(Peak_Time_Mor*$O56*DH$53))),"-")</f>
        <v>-</v>
      </c>
      <c r="DI70" s="166" t="str">
        <f aca="false">IF(DI$53&lt;Total_Lanes,900*Peak_Time_Mor*($CN70/DI$53-1+SQRT(($CN70/DI$53-1)^2+8*($CN70/DI$53)/(Peak_Time_Mor*$O56*DI$53))),"-")</f>
        <v>-</v>
      </c>
      <c r="DJ70" s="234" t="n">
        <f aca="false">3600/$O56</f>
        <v>2.4</v>
      </c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</row>
    <row r="71" customFormat="false" ht="12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0" t="n">
        <v>17</v>
      </c>
      <c r="W71" s="124" t="n">
        <f aca="false">W24</f>
        <v>28352425.95</v>
      </c>
      <c r="X71" s="131" t="n">
        <f aca="false">X24</f>
        <v>0.803205951403196</v>
      </c>
      <c r="Y71" s="124" t="n">
        <f aca="false">Y24</f>
        <v>12225.9033292345</v>
      </c>
      <c r="Z71" s="133" t="n">
        <f aca="false">W71/Y71</f>
        <v>2319.04548780488</v>
      </c>
      <c r="AA71" s="233" t="n">
        <f aca="false">AA24</f>
        <v>2</v>
      </c>
      <c r="AB71" s="157" t="n">
        <f aca="false">1-AB24</f>
        <v>0.3</v>
      </c>
      <c r="AC71" s="128" t="n">
        <f aca="false">Y71*AB71</f>
        <v>3667.77099877036</v>
      </c>
      <c r="AD71" s="150" t="n">
        <f aca="false">Peak_Time_Mor*$BH71*(CH71+BK71)/3600</f>
        <v>14.2714384467933</v>
      </c>
      <c r="AE71" s="136" t="n">
        <f aca="false">IF(AE$53&lt;Total_Lanes,($BI71*($CH71+BM71)+$CM71*CO71)*Peak_Time_Mor/3600,"-")</f>
        <v>5690.55395702372</v>
      </c>
      <c r="AF71" s="136" t="n">
        <f aca="false">IF(AF$53&lt;Total_Lanes,($BI71*($CH71+BN71)+$CM71*CP71)*Peak_Time_Mor/3600,"-")</f>
        <v>68.8452291397862</v>
      </c>
      <c r="AG71" s="136" t="n">
        <f aca="false">IF(AG$53&lt;Total_Lanes,($BI71*($CH71+BO71)+$CM71*CQ71)*Peak_Time_Mor/3600,"-")</f>
        <v>5.31697066091494</v>
      </c>
      <c r="AH71" s="136" t="n">
        <f aca="false">IF(AH$53&lt;Total_Lanes,($BI71*($CH71+BP71)+$CM71*CR71)*Peak_Time_Mor/3600,"-")</f>
        <v>3.80152251409992</v>
      </c>
      <c r="AI71" s="136" t="n">
        <f aca="false">IF(AI$53&lt;Total_Lanes,($BI71*($CH71+BQ71)+$CM71*CS71)*Peak_Time_Mor/3600,"-")</f>
        <v>3.38804856871995</v>
      </c>
      <c r="AJ71" s="136" t="n">
        <f aca="false">IF(AJ$53&lt;Total_Lanes,($BI71*($CH71+BR71)+$CM71*CT71)*Peak_Time_Mor/3600,"-")</f>
        <v>3.23981097933968</v>
      </c>
      <c r="AK71" s="136" t="n">
        <f aca="false">IF(AK$53&lt;Total_Lanes,($BI71*($CH71+BS71)+$CM71*CU71)*Peak_Time_Mor/3600,"-")</f>
        <v>3.21454428575581</v>
      </c>
      <c r="AL71" s="136" t="n">
        <f aca="false">IF(AL$53&lt;Total_Lanes,($BI71*($CH71+BT71)+$CM71*CV71)*Peak_Time_Mor/3600,"-")</f>
        <v>3.31163921805256</v>
      </c>
      <c r="AM71" s="136" t="n">
        <f aca="false">IF(AM$53&lt;Total_Lanes,($BI71*($CH71+BU71)+$CM71*CW71)*Peak_Time_Mor/3600,"-")</f>
        <v>3.70362480773285</v>
      </c>
      <c r="AN71" s="136" t="n">
        <f aca="false">IF(AN$53&lt;Total_Lanes,($BI71*($CH71+BV71)+$CM71*CX71)*Peak_Time_Mor/3600,"-")</f>
        <v>6.02913178673536</v>
      </c>
      <c r="AO71" s="136" t="n">
        <f aca="false">IF(AO$53&lt;Total_Lanes,($BI71*($CH71+BW71)+$CM71*CY71)*Peak_Time_Mor/3600,"-")</f>
        <v>576.616075876042</v>
      </c>
      <c r="AP71" s="136" t="str">
        <f aca="false">IF(AP$53&lt;Total_Lanes,($BI71*($CH71+BX71)+$CM71*CZ71)*Peak_Time_Mor/3600,"-")</f>
        <v>-</v>
      </c>
      <c r="AQ71" s="136" t="str">
        <f aca="false">IF(AQ$53&lt;Total_Lanes,($BI71*($CH71+BY71)+$CM71*DA71)*Peak_Time_Mor/3600,"-")</f>
        <v>-</v>
      </c>
      <c r="AR71" s="136" t="str">
        <f aca="false">IF(AR$53&lt;Total_Lanes,($BI71*($CH71+BZ71)+$CM71*DB71)*Peak_Time_Mor/3600,"-")</f>
        <v>-</v>
      </c>
      <c r="AS71" s="136" t="str">
        <f aca="false">IF(AS$53&lt;Total_Lanes,($BI71*($CH71+CA71)+$CM71*DC71)*Peak_Time_Mor/3600,"-")</f>
        <v>-</v>
      </c>
      <c r="AT71" s="136" t="str">
        <f aca="false">IF(AT$53&lt;Total_Lanes,($BI71*($CH71+CB71)+$CM71*DD71)*Peak_Time_Mor/3600,"-")</f>
        <v>-</v>
      </c>
      <c r="AU71" s="136" t="str">
        <f aca="false">IF(AU$53&lt;Total_Lanes,($BI71*($CH71+CC71)+$CM71*DE71)*Peak_Time_Mor/3600,"-")</f>
        <v>-</v>
      </c>
      <c r="AV71" s="136" t="str">
        <f aca="false">IF(AV$53&lt;Total_Lanes,($BI71*($CH71+CD71)+$CM71*DF71)*Peak_Time_Mor/3600,"-")</f>
        <v>-</v>
      </c>
      <c r="AW71" s="136" t="str">
        <f aca="false">IF(AW$53&lt;Total_Lanes,($BI71*($CH71+CE71)+$CM71*DG71)*Peak_Time_Mor/3600,"-")</f>
        <v>-</v>
      </c>
      <c r="AX71" s="136" t="str">
        <f aca="false">IF(AX$53&lt;Total_Lanes,($BI71*($CH71+CF71)+$CM71*DH71)*Peak_Time_Mor/3600,"-")</f>
        <v>-</v>
      </c>
      <c r="AY71" s="137" t="str">
        <f aca="false">IF(AY$53&lt;Total_Lanes,($BI71*($CH71+CG71)+$CM71*DI71)*Peak_Time_Mor/3600,"-")</f>
        <v>-</v>
      </c>
      <c r="AZ71" s="158" t="n">
        <f aca="false">SUMIF(AE71:AY71,BA71,$AE$53:$AY$53)</f>
        <v>7</v>
      </c>
      <c r="BA71" s="159" t="n">
        <f aca="false">MIN(AE71:AY71)</f>
        <v>3.21454428575581</v>
      </c>
      <c r="BB71" s="158" t="n">
        <f aca="false">IF((SUMIF($BM69:$CG69,$AZ71,$BM71:$CG71)+$CH71)&lt;(SUMIF($CO69:$DI69,$AZ71,$CO71:$DI71)+$DJ71),AZ71+1,AZ71)</f>
        <v>7</v>
      </c>
      <c r="BC71" s="159" t="n">
        <f aca="false">SUMIF($AE$53:$AY$53,$BB71,$AE71:$AY71)</f>
        <v>3.21454428575581</v>
      </c>
      <c r="BF71" s="50" t="n">
        <v>17</v>
      </c>
      <c r="BG71" s="131" t="n">
        <f aca="false">$X71</f>
        <v>0.803205951403196</v>
      </c>
      <c r="BH71" s="57" t="n">
        <f aca="false">$AC71</f>
        <v>3667.77099877036</v>
      </c>
      <c r="BI71" s="135" t="n">
        <f aca="false">BH71*(1-BG71)</f>
        <v>721.795504173963</v>
      </c>
      <c r="BJ71" s="143" t="n">
        <f aca="false">Peak_Arrival_Manual_Mor/K57</f>
        <v>1.31827928887328</v>
      </c>
      <c r="BK71" s="228" t="n">
        <f aca="false">900*Peak_Time_Mor*($BJ71/Total_Lanes-1+SQRT(($BJ71/Total_Lanes-1)^2+8*($BJ71/Total_Lanes)/(Peak_Time_Mor*$K57*Total_Lanes)))</f>
        <v>0.0676194380974549</v>
      </c>
      <c r="BL71" s="143" t="n">
        <f aca="false">Peak_Arrival_Manual_Mor/N57</f>
        <v>1.39070946272962</v>
      </c>
      <c r="BM71" s="229" t="n">
        <f aca="false">IF(BM$6&lt;Total_Lanes,900*Peak_Time_Mor*($BL71/(Total_Lanes-BM$6)-1+SQRT(($BL71/(Total_Lanes-BM$6)-1)^2+8*($BL71/(Total_Lanes-BM$6))/(Peak_Time_Mor*$N57*(Total_Lanes-BM$6)))),"-")</f>
        <v>0.0912566529199133</v>
      </c>
      <c r="BN71" s="165" t="n">
        <f aca="false">IF(BN$6&lt;Total_Lanes,900*Peak_Time_Mor*($BL71/(Total_Lanes-BN$6)-1+SQRT(($BL71/(Total_Lanes-BN$6)-1)^2+8*($BL71/(Total_Lanes-BN$6))/(Peak_Time_Mor*$N57*(Total_Lanes-BN$6)))),"-")</f>
        <v>0.112041285721776</v>
      </c>
      <c r="BO71" s="165" t="n">
        <f aca="false">IF(BO$6&lt;Total_Lanes,900*Peak_Time_Mor*($BL71/(Total_Lanes-BO$6)-1+SQRT(($BL71/(Total_Lanes-BO$6)-1)^2+8*($BL71/(Total_Lanes-BO$6))/(Peak_Time_Mor*$N57*(Total_Lanes-BO$6)))),"-")</f>
        <v>0.140849196816983</v>
      </c>
      <c r="BP71" s="165" t="n">
        <f aca="false">IF(BP$6&lt;Total_Lanes,900*Peak_Time_Mor*($BL71/(Total_Lanes-BP$6)-1+SQRT(($BL71/(Total_Lanes-BP$6)-1)^2+8*($BL71/(Total_Lanes-BP$6))/(Peak_Time_Mor*$N57*(Total_Lanes-BP$6)))),"-")</f>
        <v>0.182427236656646</v>
      </c>
      <c r="BQ71" s="165" t="n">
        <f aca="false">IF(BQ$6&lt;Total_Lanes,900*Peak_Time_Mor*($BL71/(Total_Lanes-BQ$6)-1+SQRT(($BL71/(Total_Lanes-BQ$6)-1)^2+8*($BL71/(Total_Lanes-BQ$6))/(Peak_Time_Mor*$N57*(Total_Lanes-BQ$6)))),"-")</f>
        <v>0.245650805150777</v>
      </c>
      <c r="BR71" s="165" t="n">
        <f aca="false">IF(BR$6&lt;Total_Lanes,900*Peak_Time_Mor*($BL71/(Total_Lanes-BR$6)-1+SQRT(($BL71/(Total_Lanes-BR$6)-1)^2+8*($BL71/(Total_Lanes-BR$6))/(Peak_Time_Mor*$N57*(Total_Lanes-BR$6)))),"-")</f>
        <v>0.348755487385333</v>
      </c>
      <c r="BS71" s="165" t="n">
        <f aca="false">IF(BS$6&lt;Total_Lanes,900*Peak_Time_Mor*($BL71/(Total_Lanes-BS$6)-1+SQRT(($BL71/(Total_Lanes-BS$6)-1)^2+8*($BL71/(Total_Lanes-BS$6))/(Peak_Time_Mor*$N57*(Total_Lanes-BS$6)))),"-")</f>
        <v>0.534416671074545</v>
      </c>
      <c r="BT71" s="165" t="n">
        <f aca="false">IF(BT$6&lt;Total_Lanes,900*Peak_Time_Mor*($BL71/(Total_Lanes-BT$6)-1+SQRT(($BL71/(Total_Lanes-BT$6)-1)^2+8*($BL71/(Total_Lanes-BT$6))/(Peak_Time_Mor*$N57*(Total_Lanes-BT$6)))),"-")</f>
        <v>0.923863683696413</v>
      </c>
      <c r="BU71" s="165" t="n">
        <f aca="false">IF(BU$6&lt;Total_Lanes,900*Peak_Time_Mor*($BL71/(Total_Lanes-BU$6)-1+SQRT(($BL71/(Total_Lanes-BU$6)-1)^2+8*($BL71/(Total_Lanes-BU$6))/(Peak_Time_Mor*$N57*(Total_Lanes-BU$6)))),"-")</f>
        <v>1.9959827885756</v>
      </c>
      <c r="BV71" s="165" t="n">
        <f aca="false">IF(BV$6&lt;Total_Lanes,900*Peak_Time_Mor*($BL71/(Total_Lanes-BV$6)-1+SQRT(($BL71/(Total_Lanes-BV$6)-1)^2+8*($BL71/(Total_Lanes-BV$6))/(Peak_Time_Mor*$N57*(Total_Lanes-BV$6)))),"-")</f>
        <v>7.85969035569933</v>
      </c>
      <c r="BW71" s="230" t="n">
        <f aca="false">IF(BW$6&lt;Total_Lanes,900*Peak_Time_Mor*($BL71/(Total_Lanes-BW$6)-1+SQRT(($BL71/(Total_Lanes-BW$6)-1)^2+8*($BL71/(Total_Lanes-BW$6))/(Peak_Time_Mor*$N57*(Total_Lanes-BW$6)))),"-")</f>
        <v>1430.82448542928</v>
      </c>
      <c r="BX71" s="165" t="str">
        <f aca="false">IF(BX$6&lt;Total_Lanes,900*Peak_Time_Mor*($BL71/(Total_Lanes-BX$6)-1+SQRT(($BL71/(Total_Lanes-BX$6)-1)^2+8*($BL71/(Total_Lanes-BX$6))/(Peak_Time_Mor*$N57*(Total_Lanes-BX$6)))),"-")</f>
        <v>-</v>
      </c>
      <c r="BY71" s="165" t="str">
        <f aca="false">IF(BY$6&lt;Total_Lanes,900*Peak_Time_Mor*($BL71/(Total_Lanes-BY$6)-1+SQRT(($BL71/(Total_Lanes-BY$6)-1)^2+8*($BL71/(Total_Lanes-BY$6))/(Peak_Time_Mor*$N57*(Total_Lanes-BY$6)))),"-")</f>
        <v>-</v>
      </c>
      <c r="BZ71" s="165" t="str">
        <f aca="false">IF(BZ$6&lt;Total_Lanes,900*Peak_Time_Mor*($BL71/(Total_Lanes-BZ$6)-1+SQRT(($BL71/(Total_Lanes-BZ$6)-1)^2+8*($BL71/(Total_Lanes-BZ$6))/(Peak_Time_Mor*$N57*(Total_Lanes-BZ$6)))),"-")</f>
        <v>-</v>
      </c>
      <c r="CA71" s="165" t="str">
        <f aca="false">IF(CA$6&lt;Total_Lanes,900*Peak_Time_Mor*($BL71/(Total_Lanes-CA$6)-1+SQRT(($BL71/(Total_Lanes-CA$6)-1)^2+8*($BL71/(Total_Lanes-CA$6))/(Peak_Time_Mor*$N57*(Total_Lanes-CA$6)))),"-")</f>
        <v>-</v>
      </c>
      <c r="CB71" s="165" t="str">
        <f aca="false">IF(CB$6&lt;Total_Lanes,900*Peak_Time_Mor*($BL71/(Total_Lanes-CB$6)-1+SQRT(($BL71/(Total_Lanes-CB$6)-1)^2+8*($BL71/(Total_Lanes-CB$6))/(Peak_Time_Mor*$N57*(Total_Lanes-CB$6)))),"-")</f>
        <v>-</v>
      </c>
      <c r="CC71" s="165" t="str">
        <f aca="false">IF(CC$6&lt;Total_Lanes,900*Peak_Time_Mor*($BL71/(Total_Lanes-CC$6)-1+SQRT(($BL71/(Total_Lanes-CC$6)-1)^2+8*($BL71/(Total_Lanes-CC$6))/(Peak_Time_Mor*$N57*(Total_Lanes-CC$6)))),"-")</f>
        <v>-</v>
      </c>
      <c r="CD71" s="165" t="str">
        <f aca="false">IF(CD$6&lt;Total_Lanes,900*Peak_Time_Mor*($BL71/(Total_Lanes-CD$6)-1+SQRT(($BL71/(Total_Lanes-CD$6)-1)^2+8*($BL71/(Total_Lanes-CD$6))/(Peak_Time_Mor*$N57*(Total_Lanes-CD$6)))),"-")</f>
        <v>-</v>
      </c>
      <c r="CE71" s="165" t="str">
        <f aca="false">IF(CE$6&lt;Total_Lanes,900*Peak_Time_Mor*($BL71/(Total_Lanes-CE$6)-1+SQRT(($BL71/(Total_Lanes-CE$6)-1)^2+8*($BL71/(Total_Lanes-CE$6))/(Peak_Time_Mor*$N57*(Total_Lanes-CE$6)))),"-")</f>
        <v>-</v>
      </c>
      <c r="CF71" s="165" t="str">
        <f aca="false">IF(CF$6&lt;Total_Lanes,900*Peak_Time_Mor*($BL71/(Total_Lanes-CF$6)-1+SQRT(($BL71/(Total_Lanes-CF$6)-1)^2+8*($BL71/(Total_Lanes-CF$6))/(Peak_Time_Mor*$N57*(Total_Lanes-CF$6)))),"-")</f>
        <v>-</v>
      </c>
      <c r="CG71" s="166" t="str">
        <f aca="false">IF(CG$6&lt;Total_Lanes,900*Peak_Time_Mor*($BL71/(Total_Lanes-CG$6)-1+SQRT(($BL71/(Total_Lanes-CG$6)-1)^2+8*($BL71/(Total_Lanes-CG$6))/(Peak_Time_Mor*$N57*(Total_Lanes-CG$6)))),"-")</f>
        <v>-</v>
      </c>
      <c r="CH71" s="234" t="n">
        <f aca="false">3600/N57</f>
        <v>6.93625</v>
      </c>
      <c r="CJ71" s="50" t="n">
        <v>17</v>
      </c>
      <c r="CK71" s="131" t="n">
        <f aca="false">$X71</f>
        <v>0.803205951403196</v>
      </c>
      <c r="CL71" s="150" t="n">
        <f aca="false">$AC71</f>
        <v>3667.77099877036</v>
      </c>
      <c r="CM71" s="150" t="n">
        <f aca="false">CL71*CK71</f>
        <v>2945.9754945964</v>
      </c>
      <c r="CN71" s="161" t="n">
        <f aca="false">CM71/O57</f>
        <v>1.96398366306427</v>
      </c>
      <c r="CO71" s="165" t="n">
        <f aca="false">IF(CO$53&lt;Total_Lanes,900*Peak_Time_Mor*($CN71/CO$53-1+SQRT(($CN71/CO$53-1)^2+8*($CN71/CO$53)/(Peak_Time_Mor*$O57*CO$53))),"-")</f>
        <v>3475.22398564204</v>
      </c>
      <c r="CP71" s="165" t="n">
        <f aca="false">IF(CP$53&lt;Total_Lanes,900*Peak_Time_Mor*($CN71/CP$53-1+SQRT(($CN71/CP$53-1)^2+8*($CN71/CP$53)/(Peak_Time_Mor*$O57*CP$53))),"-")</f>
        <v>40.3377379436596</v>
      </c>
      <c r="CQ71" s="165" t="n">
        <f aca="false">IF(CQ$53&lt;Total_Lanes,900*Peak_Time_Mor*($CN71/CQ$53-1+SQRT(($CN71/CQ$53-1)^2+8*($CN71/CQ$53)/(Peak_Time_Mor*$O57*CQ$53))),"-")</f>
        <v>1.5147202734633</v>
      </c>
      <c r="CR71" s="165" t="n">
        <f aca="false">IF(CR$53&lt;Total_Lanes,900*Peak_Time_Mor*($CN71/CR$53-1+SQRT(($CN71/CR$53-1)^2+8*($CN71/CR$53)/(Peak_Time_Mor*$O57*CR$53))),"-")</f>
        <v>0.578589775584359</v>
      </c>
      <c r="CS71" s="165" t="n">
        <f aca="false">IF(CS$53&lt;Total_Lanes,900*Peak_Time_Mor*($CN71/CS$53-1+SQRT(($CN71/CS$53-1)^2+8*($CN71/CS$53)/(Peak_Time_Mor*$O57*CS$53))),"-")</f>
        <v>0.310465485131273</v>
      </c>
      <c r="CT71" s="165" t="n">
        <f aca="false">IF(CT$53&lt;Total_Lanes,900*Peak_Time_Mor*($CN71/CT$53-1+SQRT(($CN71/CT$53-1)^2+8*($CN71/CT$53)/(Peak_Time_Mor*$O57*CT$53))),"-")</f>
        <v>0.194630116640737</v>
      </c>
      <c r="CU71" s="165" t="n">
        <f aca="false">IF(CU$53&lt;Total_Lanes,900*Peak_Time_Mor*($CN71/CU$53-1+SQRT(($CN71/CU$53-1)^2+8*($CN71/CU$53)/(Peak_Time_Mor*$O57*CU$53))),"-")</f>
        <v>0.133703114204131</v>
      </c>
      <c r="CV71" s="165" t="n">
        <f aca="false">IF(CV$53&lt;Total_Lanes,900*Peak_Time_Mor*($CN71/CV$53-1+SQRT(($CN71/CV$53-1)^2+8*($CN71/CV$53)/(Peak_Time_Mor*$O57*CV$53))),"-")</f>
        <v>0.0976097302349377</v>
      </c>
      <c r="CW71" s="165" t="n">
        <f aca="false">IF(CW$53&lt;Total_Lanes,900*Peak_Time_Mor*($CN71/CW$53-1+SQRT(($CN71/CW$53-1)^2+8*($CN71/CW$53)/(Peak_Time_Mor*$O57*CW$53))),"-")</f>
        <v>0.0744334721358708</v>
      </c>
      <c r="CX71" s="165" t="n">
        <f aca="false">IF(CX$53&lt;Total_Lanes,900*Peak_Time_Mor*($CN71/CX$53-1+SQRT(($CN71/CX$53-1)^2+8*($CN71/CX$53)/(Peak_Time_Mor*$O57*CX$53))),"-")</f>
        <v>0.0586542514256161</v>
      </c>
      <c r="CY71" s="165" t="n">
        <f aca="false">IF(CY$53&lt;Total_Lanes,900*Peak_Time_Mor*($CN71/CY$53-1+SQRT(($CN71/CY$53-1)^2+8*($CN71/CY$53)/(Peak_Time_Mor*$O57*CY$53))),"-")</f>
        <v>0.0474211908511046</v>
      </c>
      <c r="CZ71" s="165" t="str">
        <f aca="false">IF(CZ$53&lt;Total_Lanes,900*Peak_Time_Mor*($CN71/CZ$53-1+SQRT(($CN71/CZ$53-1)^2+8*($CN71/CZ$53)/(Peak_Time_Mor*$O57*CZ$53))),"-")</f>
        <v>-</v>
      </c>
      <c r="DA71" s="165" t="str">
        <f aca="false">IF(DA$53&lt;Total_Lanes,900*Peak_Time_Mor*($CN71/DA$53-1+SQRT(($CN71/DA$53-1)^2+8*($CN71/DA$53)/(Peak_Time_Mor*$O57*DA$53))),"-")</f>
        <v>-</v>
      </c>
      <c r="DB71" s="165" t="str">
        <f aca="false">IF(DB$53&lt;Total_Lanes,900*Peak_Time_Mor*($CN71/DB$53-1+SQRT(($CN71/DB$53-1)^2+8*($CN71/DB$53)/(Peak_Time_Mor*$O57*DB$53))),"-")</f>
        <v>-</v>
      </c>
      <c r="DC71" s="165" t="str">
        <f aca="false">IF(DC$53&lt;Total_Lanes,900*Peak_Time_Mor*($CN71/DC$53-1+SQRT(($CN71/DC$53-1)^2+8*($CN71/DC$53)/(Peak_Time_Mor*$O57*DC$53))),"-")</f>
        <v>-</v>
      </c>
      <c r="DD71" s="165" t="str">
        <f aca="false">IF(DD$53&lt;Total_Lanes,900*Peak_Time_Mor*($CN71/DD$53-1+SQRT(($CN71/DD$53-1)^2+8*($CN71/DD$53)/(Peak_Time_Mor*$O57*DD$53))),"-")</f>
        <v>-</v>
      </c>
      <c r="DE71" s="165" t="str">
        <f aca="false">IF(DE$53&lt;Total_Lanes,900*Peak_Time_Mor*($CN71/DE$53-1+SQRT(($CN71/DE$53-1)^2+8*($CN71/DE$53)/(Peak_Time_Mor*$O57*DE$53))),"-")</f>
        <v>-</v>
      </c>
      <c r="DF71" s="165" t="str">
        <f aca="false">IF(DF$53&lt;Total_Lanes,900*Peak_Time_Mor*($CN71/DF$53-1+SQRT(($CN71/DF$53-1)^2+8*($CN71/DF$53)/(Peak_Time_Mor*$O57*DF$53))),"-")</f>
        <v>-</v>
      </c>
      <c r="DG71" s="165" t="str">
        <f aca="false">IF(DG$53&lt;Total_Lanes,900*Peak_Time_Mor*($CN71/DG$53-1+SQRT(($CN71/DG$53-1)^2+8*($CN71/DG$53)/(Peak_Time_Mor*$O57*DG$53))),"-")</f>
        <v>-</v>
      </c>
      <c r="DH71" s="165" t="str">
        <f aca="false">IF(DH$53&lt;Total_Lanes,900*Peak_Time_Mor*($CN71/DH$53-1+SQRT(($CN71/DH$53-1)^2+8*($CN71/DH$53)/(Peak_Time_Mor*$O57*DH$53))),"-")</f>
        <v>-</v>
      </c>
      <c r="DI71" s="166" t="str">
        <f aca="false">IF(DI$53&lt;Total_Lanes,900*Peak_Time_Mor*($CN71/DI$53-1+SQRT(($CN71/DI$53-1)^2+8*($CN71/DI$53)/(Peak_Time_Mor*$O57*DI$53))),"-")</f>
        <v>-</v>
      </c>
      <c r="DJ71" s="234" t="n">
        <f aca="false">3600/$O57</f>
        <v>2.4</v>
      </c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</row>
    <row r="72" customFormat="false" ht="12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0" t="n">
        <v>18</v>
      </c>
      <c r="W72" s="124" t="n">
        <f aca="false">W25</f>
        <v>28901617.3</v>
      </c>
      <c r="X72" s="131" t="n">
        <f aca="false">X25</f>
        <v>0.831651485932894</v>
      </c>
      <c r="Y72" s="124" t="n">
        <f aca="false">Y25</f>
        <v>12462.7211721307</v>
      </c>
      <c r="Z72" s="133" t="n">
        <f aca="false">W72/Y72</f>
        <v>2319.04548780488</v>
      </c>
      <c r="AA72" s="233" t="n">
        <f aca="false">AA25</f>
        <v>2</v>
      </c>
      <c r="AB72" s="157" t="n">
        <f aca="false">1-AB25</f>
        <v>0.3</v>
      </c>
      <c r="AC72" s="128" t="n">
        <f aca="false">Y72*AB72</f>
        <v>3738.81635163921</v>
      </c>
      <c r="AD72" s="150" t="n">
        <f aca="false">Peak_Time_Mor*$BH72*(CH72+BK72)/3600</f>
        <v>14.5721390325912</v>
      </c>
      <c r="AE72" s="136" t="n">
        <f aca="false">IF(AE$53&lt;Total_Lanes,($BI72*($CH72+BM72)+$CM72*CO72)*Peak_Time_Mor/3600,"-")</f>
        <v>6682.76929701165</v>
      </c>
      <c r="AF72" s="136" t="n">
        <f aca="false">IF(AF$53&lt;Total_Lanes,($BI72*($CH72+BN72)+$CM72*CP72)*Peak_Time_Mor/3600,"-")</f>
        <v>277.762498823652</v>
      </c>
      <c r="AG72" s="136" t="n">
        <f aca="false">IF(AG$53&lt;Total_Lanes,($BI72*($CH72+BO72)+$CM72*CQ72)*Peak_Time_Mor/3600,"-")</f>
        <v>5.56023017957383</v>
      </c>
      <c r="AH72" s="136" t="n">
        <f aca="false">IF(AH$53&lt;Total_Lanes,($BI72*($CH72+BP72)+$CM72*CR72)*Peak_Time_Mor/3600,"-")</f>
        <v>3.60192835741779</v>
      </c>
      <c r="AI72" s="136" t="n">
        <f aca="false">IF(AI$53&lt;Total_Lanes,($BI72*($CH72+BQ72)+$CM72*CS72)*Peak_Time_Mor/3600,"-")</f>
        <v>3.09311308819248</v>
      </c>
      <c r="AJ72" s="136" t="n">
        <f aca="false">IF(AJ$53&lt;Total_Lanes,($BI72*($CH72+BR72)+$CM72*CT72)*Peak_Time_Mor/3600,"-")</f>
        <v>2.90070557293506</v>
      </c>
      <c r="AK72" s="136" t="n">
        <f aca="false">IF(AK$53&lt;Total_Lanes,($BI72*($CH72+BS72)+$CM72*CU72)*Peak_Time_Mor/3600,"-")</f>
        <v>2.83847881418521</v>
      </c>
      <c r="AL72" s="136" t="n">
        <f aca="false">IF(AL$53&lt;Total_Lanes,($BI72*($CH72+BT72)+$CM72*CV72)*Peak_Time_Mor/3600,"-")</f>
        <v>2.87986007887038</v>
      </c>
      <c r="AM72" s="136" t="n">
        <f aca="false">IF(AM$53&lt;Total_Lanes,($BI72*($CH72+BU72)+$CM72*CW72)*Peak_Time_Mor/3600,"-")</f>
        <v>3.12344714370708</v>
      </c>
      <c r="AN72" s="136" t="n">
        <f aca="false">IF(AN$53&lt;Total_Lanes,($BI72*($CH72+BV72)+$CM72*CX72)*Peak_Time_Mor/3600,"-")</f>
        <v>4.42265326423419</v>
      </c>
      <c r="AO72" s="136" t="n">
        <f aca="false">IF(AO$53&lt;Total_Lanes,($BI72*($CH72+BW72)+$CM72*CY72)*Peak_Time_Mor/3600,"-")</f>
        <v>288.045782971034</v>
      </c>
      <c r="AP72" s="136" t="str">
        <f aca="false">IF(AP$53&lt;Total_Lanes,($BI72*($CH72+BX72)+$CM72*CZ72)*Peak_Time_Mor/3600,"-")</f>
        <v>-</v>
      </c>
      <c r="AQ72" s="136" t="str">
        <f aca="false">IF(AQ$53&lt;Total_Lanes,($BI72*($CH72+BY72)+$CM72*DA72)*Peak_Time_Mor/3600,"-")</f>
        <v>-</v>
      </c>
      <c r="AR72" s="136" t="str">
        <f aca="false">IF(AR$53&lt;Total_Lanes,($BI72*($CH72+BZ72)+$CM72*DB72)*Peak_Time_Mor/3600,"-")</f>
        <v>-</v>
      </c>
      <c r="AS72" s="136" t="str">
        <f aca="false">IF(AS$53&lt;Total_Lanes,($BI72*($CH72+CA72)+$CM72*DC72)*Peak_Time_Mor/3600,"-")</f>
        <v>-</v>
      </c>
      <c r="AT72" s="136" t="str">
        <f aca="false">IF(AT$53&lt;Total_Lanes,($BI72*($CH72+CB72)+$CM72*DD72)*Peak_Time_Mor/3600,"-")</f>
        <v>-</v>
      </c>
      <c r="AU72" s="136" t="str">
        <f aca="false">IF(AU$53&lt;Total_Lanes,($BI72*($CH72+CC72)+$CM72*DE72)*Peak_Time_Mor/3600,"-")</f>
        <v>-</v>
      </c>
      <c r="AV72" s="136" t="str">
        <f aca="false">IF(AV$53&lt;Total_Lanes,($BI72*($CH72+CD72)+$CM72*DF72)*Peak_Time_Mor/3600,"-")</f>
        <v>-</v>
      </c>
      <c r="AW72" s="136" t="str">
        <f aca="false">IF(AW$53&lt;Total_Lanes,($BI72*($CH72+CE72)+$CM72*DG72)*Peak_Time_Mor/3600,"-")</f>
        <v>-</v>
      </c>
      <c r="AX72" s="136" t="str">
        <f aca="false">IF(AX$53&lt;Total_Lanes,($BI72*($CH72+CF72)+$CM72*DH72)*Peak_Time_Mor/3600,"-")</f>
        <v>-</v>
      </c>
      <c r="AY72" s="137" t="str">
        <f aca="false">IF(AY$53&lt;Total_Lanes,($BI72*($CH72+CG72)+$CM72*DI72)*Peak_Time_Mor/3600,"-")</f>
        <v>-</v>
      </c>
      <c r="AZ72" s="158" t="n">
        <f aca="false">SUMIF(AE72:AY72,BA72,$AE$53:$AY$53)</f>
        <v>7</v>
      </c>
      <c r="BA72" s="159" t="n">
        <f aca="false">MIN(AE72:AY72)</f>
        <v>2.83847881418521</v>
      </c>
      <c r="BB72" s="158" t="n">
        <f aca="false">IF((SUMIF($BM70:$CG70,$AZ72,$BM72:$CG72)+$CH72)&lt;(SUMIF($CO70:$DI70,$AZ72,$CO72:$DI72)+$DJ72),AZ72+1,AZ72)</f>
        <v>7</v>
      </c>
      <c r="BC72" s="159" t="n">
        <f aca="false">SUMIF($AE$53:$AY$53,$BB72,$AE72:$AY72)</f>
        <v>2.83847881418521</v>
      </c>
      <c r="BF72" s="50" t="n">
        <v>18</v>
      </c>
      <c r="BG72" s="131" t="n">
        <f aca="false">$X72</f>
        <v>0.831651485932894</v>
      </c>
      <c r="BH72" s="57" t="n">
        <f aca="false">$AC72</f>
        <v>3738.81635163921</v>
      </c>
      <c r="BI72" s="135" t="n">
        <f aca="false">BH72*(1-BG72)</f>
        <v>629.42417716826</v>
      </c>
      <c r="BJ72" s="143" t="n">
        <f aca="false">Peak_Arrival_Manual_Mor/K58</f>
        <v>1.14957332357814</v>
      </c>
      <c r="BK72" s="228" t="n">
        <f aca="false">900*Peak_Time_Mor*($BJ72/Total_Lanes-1+SQRT(($BJ72/Total_Lanes-1)^2+8*($BJ72/Total_Lanes)/(Peak_Time_Mor*$K58*Total_Lanes)))</f>
        <v>0.0580492518813536</v>
      </c>
      <c r="BL72" s="143" t="n">
        <f aca="false">Peak_Arrival_Manual_Mor/N58</f>
        <v>1.21644964240227</v>
      </c>
      <c r="BM72" s="229" t="n">
        <f aca="false">IF(BM$6&lt;Total_Lanes,900*Peak_Time_Mor*($BL72/(Total_Lanes-BM$6)-1+SQRT(($BL72/(Total_Lanes-BM$6)-1)^2+8*($BL72/(Total_Lanes-BM$6))/(Peak_Time_Mor*$N58*(Total_Lanes-BM$6)))),"-")</f>
        <v>0.0786407259154354</v>
      </c>
      <c r="BN72" s="165" t="n">
        <f aca="false">IF(BN$6&lt;Total_Lanes,900*Peak_Time_Mor*($BL72/(Total_Lanes-BN$6)-1+SQRT(($BL72/(Total_Lanes-BN$6)-1)^2+8*($BL72/(Total_Lanes-BN$6))/(Peak_Time_Mor*$N58*(Total_Lanes-BN$6)))),"-")</f>
        <v>0.0963527293381672</v>
      </c>
      <c r="BO72" s="165" t="n">
        <f aca="false">IF(BO$6&lt;Total_Lanes,900*Peak_Time_Mor*($BL72/(Total_Lanes-BO$6)-1+SQRT(($BL72/(Total_Lanes-BO$6)-1)^2+8*($BL72/(Total_Lanes-BO$6))/(Peak_Time_Mor*$N58*(Total_Lanes-BO$6)))),"-")</f>
        <v>0.120812048748031</v>
      </c>
      <c r="BP72" s="165" t="n">
        <f aca="false">IF(BP$6&lt;Total_Lanes,900*Peak_Time_Mor*($BL72/(Total_Lanes-BP$6)-1+SQRT(($BL72/(Total_Lanes-BP$6)-1)^2+8*($BL72/(Total_Lanes-BP$6))/(Peak_Time_Mor*$N58*(Total_Lanes-BP$6)))),"-")</f>
        <v>0.155947394664735</v>
      </c>
      <c r="BQ72" s="165" t="n">
        <f aca="false">IF(BQ$6&lt;Total_Lanes,900*Peak_Time_Mor*($BL72/(Total_Lanes-BQ$6)-1+SQRT(($BL72/(Total_Lanes-BQ$6)-1)^2+8*($BL72/(Total_Lanes-BQ$6))/(Peak_Time_Mor*$N58*(Total_Lanes-BQ$6)))),"-")</f>
        <v>0.209037531403955</v>
      </c>
      <c r="BR72" s="165" t="n">
        <f aca="false">IF(BR$6&lt;Total_Lanes,900*Peak_Time_Mor*($BL72/(Total_Lanes-BR$6)-1+SQRT(($BL72/(Total_Lanes-BR$6)-1)^2+8*($BL72/(Total_Lanes-BR$6))/(Peak_Time_Mor*$N58*(Total_Lanes-BR$6)))),"-")</f>
        <v>0.294850002931768</v>
      </c>
      <c r="BS72" s="165" t="n">
        <f aca="false">IF(BS$6&lt;Total_Lanes,900*Peak_Time_Mor*($BL72/(Total_Lanes-BS$6)-1+SQRT(($BL72/(Total_Lanes-BS$6)-1)^2+8*($BL72/(Total_Lanes-BS$6))/(Peak_Time_Mor*$N58*(Total_Lanes-BS$6)))),"-")</f>
        <v>0.447307851770407</v>
      </c>
      <c r="BT72" s="165" t="n">
        <f aca="false">IF(BT$6&lt;Total_Lanes,900*Peak_Time_Mor*($BL72/(Total_Lanes-BT$6)-1+SQRT(($BL72/(Total_Lanes-BT$6)-1)^2+8*($BL72/(Total_Lanes-BT$6))/(Peak_Time_Mor*$N58*(Total_Lanes-BT$6)))),"-")</f>
        <v>0.759900205050679</v>
      </c>
      <c r="BU72" s="165" t="n">
        <f aca="false">IF(BU$6&lt;Total_Lanes,900*Peak_Time_Mor*($BL72/(Total_Lanes-BU$6)-1+SQRT(($BL72/(Total_Lanes-BU$6)-1)^2+8*($BL72/(Total_Lanes-BU$6))/(Peak_Time_Mor*$N58*(Total_Lanes-BU$6)))),"-")</f>
        <v>1.58059319974329</v>
      </c>
      <c r="BV72" s="165" t="n">
        <f aca="false">IF(BV$6&lt;Total_Lanes,900*Peak_Time_Mor*($BL72/(Total_Lanes-BV$6)-1+SQRT(($BL72/(Total_Lanes-BV$6)-1)^2+8*($BL72/(Total_Lanes-BV$6))/(Peak_Time_Mor*$N58*(Total_Lanes-BV$6)))),"-")</f>
        <v>5.38018118086518</v>
      </c>
      <c r="BW72" s="230" t="n">
        <f aca="false">IF(BW$6&lt;Total_Lanes,900*Peak_Time_Mor*($BL72/(Total_Lanes-BW$6)-1+SQRT(($BL72/(Total_Lanes-BW$6)-1)^2+8*($BL72/(Total_Lanes-BW$6))/(Peak_Time_Mor*$N58*(Total_Lanes-BW$6)))),"-")</f>
        <v>816.533078701417</v>
      </c>
      <c r="BX72" s="165" t="str">
        <f aca="false">IF(BX$6&lt;Total_Lanes,900*Peak_Time_Mor*($BL72/(Total_Lanes-BX$6)-1+SQRT(($BL72/(Total_Lanes-BX$6)-1)^2+8*($BL72/(Total_Lanes-BX$6))/(Peak_Time_Mor*$N58*(Total_Lanes-BX$6)))),"-")</f>
        <v>-</v>
      </c>
      <c r="BY72" s="165" t="str">
        <f aca="false">IF(BY$6&lt;Total_Lanes,900*Peak_Time_Mor*($BL72/(Total_Lanes-BY$6)-1+SQRT(($BL72/(Total_Lanes-BY$6)-1)^2+8*($BL72/(Total_Lanes-BY$6))/(Peak_Time_Mor*$N58*(Total_Lanes-BY$6)))),"-")</f>
        <v>-</v>
      </c>
      <c r="BZ72" s="165" t="str">
        <f aca="false">IF(BZ$6&lt;Total_Lanes,900*Peak_Time_Mor*($BL72/(Total_Lanes-BZ$6)-1+SQRT(($BL72/(Total_Lanes-BZ$6)-1)^2+8*($BL72/(Total_Lanes-BZ$6))/(Peak_Time_Mor*$N58*(Total_Lanes-BZ$6)))),"-")</f>
        <v>-</v>
      </c>
      <c r="CA72" s="165" t="str">
        <f aca="false">IF(CA$6&lt;Total_Lanes,900*Peak_Time_Mor*($BL72/(Total_Lanes-CA$6)-1+SQRT(($BL72/(Total_Lanes-CA$6)-1)^2+8*($BL72/(Total_Lanes-CA$6))/(Peak_Time_Mor*$N58*(Total_Lanes-CA$6)))),"-")</f>
        <v>-</v>
      </c>
      <c r="CB72" s="165" t="str">
        <f aca="false">IF(CB$6&lt;Total_Lanes,900*Peak_Time_Mor*($BL72/(Total_Lanes-CB$6)-1+SQRT(($BL72/(Total_Lanes-CB$6)-1)^2+8*($BL72/(Total_Lanes-CB$6))/(Peak_Time_Mor*$N58*(Total_Lanes-CB$6)))),"-")</f>
        <v>-</v>
      </c>
      <c r="CC72" s="165" t="str">
        <f aca="false">IF(CC$6&lt;Total_Lanes,900*Peak_Time_Mor*($BL72/(Total_Lanes-CC$6)-1+SQRT(($BL72/(Total_Lanes-CC$6)-1)^2+8*($BL72/(Total_Lanes-CC$6))/(Peak_Time_Mor*$N58*(Total_Lanes-CC$6)))),"-")</f>
        <v>-</v>
      </c>
      <c r="CD72" s="165" t="str">
        <f aca="false">IF(CD$6&lt;Total_Lanes,900*Peak_Time_Mor*($BL72/(Total_Lanes-CD$6)-1+SQRT(($BL72/(Total_Lanes-CD$6)-1)^2+8*($BL72/(Total_Lanes-CD$6))/(Peak_Time_Mor*$N58*(Total_Lanes-CD$6)))),"-")</f>
        <v>-</v>
      </c>
      <c r="CE72" s="165" t="str">
        <f aca="false">IF(CE$6&lt;Total_Lanes,900*Peak_Time_Mor*($BL72/(Total_Lanes-CE$6)-1+SQRT(($BL72/(Total_Lanes-CE$6)-1)^2+8*($BL72/(Total_Lanes-CE$6))/(Peak_Time_Mor*$N58*(Total_Lanes-CE$6)))),"-")</f>
        <v>-</v>
      </c>
      <c r="CF72" s="165" t="str">
        <f aca="false">IF(CF$6&lt;Total_Lanes,900*Peak_Time_Mor*($BL72/(Total_Lanes-CF$6)-1+SQRT(($BL72/(Total_Lanes-CF$6)-1)^2+8*($BL72/(Total_Lanes-CF$6))/(Peak_Time_Mor*$N58*(Total_Lanes-CF$6)))),"-")</f>
        <v>-</v>
      </c>
      <c r="CG72" s="166" t="str">
        <f aca="false">IF(CG$6&lt;Total_Lanes,900*Peak_Time_Mor*($BL72/(Total_Lanes-CG$6)-1+SQRT(($BL72/(Total_Lanes-CG$6)-1)^2+8*($BL72/(Total_Lanes-CG$6))/(Peak_Time_Mor*$N58*(Total_Lanes-CG$6)))),"-")</f>
        <v>-</v>
      </c>
      <c r="CH72" s="234" t="n">
        <f aca="false">3600/N58</f>
        <v>6.9575</v>
      </c>
      <c r="CJ72" s="50" t="n">
        <v>18</v>
      </c>
      <c r="CK72" s="131" t="n">
        <f aca="false">$X72</f>
        <v>0.831651485932894</v>
      </c>
      <c r="CL72" s="150" t="n">
        <f aca="false">$AC72</f>
        <v>3738.81635163921</v>
      </c>
      <c r="CM72" s="150" t="n">
        <f aca="false">CL72*CK72</f>
        <v>3109.39217447095</v>
      </c>
      <c r="CN72" s="161" t="n">
        <f aca="false">CM72/O58</f>
        <v>2.07292811631397</v>
      </c>
      <c r="CO72" s="165" t="n">
        <f aca="false">IF(CO$53&lt;Total_Lanes,900*Peak_Time_Mor*($CN72/CO$53-1+SQRT(($CN72/CO$53-1)^2+8*($CN72/CO$53)/(Peak_Time_Mor*$O58*CO$53))),"-")</f>
        <v>3867.17253496017</v>
      </c>
      <c r="CP72" s="165" t="n">
        <f aca="false">IF(CP$53&lt;Total_Lanes,900*Peak_Time_Mor*($CN72/CP$53-1+SQRT(($CN72/CP$53-1)^2+8*($CN72/CP$53)/(Peak_Time_Mor*$O58*CP$53))),"-")</f>
        <v>159.366398520269</v>
      </c>
      <c r="CQ72" s="165" t="n">
        <f aca="false">IF(CQ$53&lt;Total_Lanes,900*Peak_Time_Mor*($CN72/CQ$53-1+SQRT(($CN72/CQ$53-1)^2+8*($CN72/CQ$53)/(Peak_Time_Mor*$O58*CQ$53))),"-")</f>
        <v>1.78592897731028</v>
      </c>
      <c r="CR72" s="165" t="n">
        <f aca="false">IF(CR$53&lt;Total_Lanes,900*Peak_Time_Mor*($CN72/CR$53-1+SQRT(($CN72/CR$53-1)^2+8*($CN72/CR$53)/(Peak_Time_Mor*$O58*CR$53))),"-")</f>
        <v>0.645172804706373</v>
      </c>
      <c r="CS72" s="165" t="n">
        <f aca="false">IF(CS$53&lt;Total_Lanes,900*Peak_Time_Mor*($CN72/CS$53-1+SQRT(($CN72/CS$53-1)^2+8*($CN72/CS$53)/(Peak_Time_Mor*$O58*CS$53))),"-")</f>
        <v>0.339877220562213</v>
      </c>
      <c r="CT72" s="165" t="n">
        <f aca="false">IF(CT$53&lt;Total_Lanes,900*Peak_Time_Mor*($CN72/CT$53-1+SQRT(($CN72/CT$53-1)^2+8*($CN72/CT$53)/(Peak_Time_Mor*$O58*CT$53))),"-")</f>
        <v>0.211123448351525</v>
      </c>
      <c r="CU72" s="165" t="n">
        <f aca="false">IF(CU$53&lt;Total_Lanes,900*Peak_Time_Mor*($CN72/CU$53-1+SQRT(($CN72/CU$53-1)^2+8*($CN72/CU$53)/(Peak_Time_Mor*$O58*CU$53))),"-")</f>
        <v>0.144239372577704</v>
      </c>
      <c r="CV72" s="165" t="n">
        <f aca="false">IF(CV$53&lt;Total_Lanes,900*Peak_Time_Mor*($CN72/CV$53-1+SQRT(($CN72/CV$53-1)^2+8*($CN72/CV$53)/(Peak_Time_Mor*$O58*CV$53))),"-")</f>
        <v>0.10491756900366</v>
      </c>
      <c r="CW72" s="165" t="n">
        <f aca="false">IF(CW$53&lt;Total_Lanes,900*Peak_Time_Mor*($CN72/CW$53-1+SQRT(($CN72/CW$53-1)^2+8*($CN72/CW$53)/(Peak_Time_Mor*$O58*CW$53))),"-")</f>
        <v>0.079797773299739</v>
      </c>
      <c r="CX72" s="165" t="n">
        <f aca="false">IF(CX$53&lt;Total_Lanes,900*Peak_Time_Mor*($CN72/CX$53-1+SQRT(($CN72/CX$53-1)^2+8*($CN72/CX$53)/(Peak_Time_Mor*$O58*CX$53))),"-")</f>
        <v>0.0627585840709655</v>
      </c>
      <c r="CY72" s="165" t="n">
        <f aca="false">IF(CY$53&lt;Total_Lanes,900*Peak_Time_Mor*($CN72/CY$53-1+SQRT(($CN72/CY$53-1)^2+8*($CN72/CY$53)/(Peak_Time_Mor*$O58*CY$53))),"-")</f>
        <v>0.0506624555761226</v>
      </c>
      <c r="CZ72" s="165" t="str">
        <f aca="false">IF(CZ$53&lt;Total_Lanes,900*Peak_Time_Mor*($CN72/CZ$53-1+SQRT(($CN72/CZ$53-1)^2+8*($CN72/CZ$53)/(Peak_Time_Mor*$O58*CZ$53))),"-")</f>
        <v>-</v>
      </c>
      <c r="DA72" s="165" t="str">
        <f aca="false">IF(DA$53&lt;Total_Lanes,900*Peak_Time_Mor*($CN72/DA$53-1+SQRT(($CN72/DA$53-1)^2+8*($CN72/DA$53)/(Peak_Time_Mor*$O58*DA$53))),"-")</f>
        <v>-</v>
      </c>
      <c r="DB72" s="165" t="str">
        <f aca="false">IF(DB$53&lt;Total_Lanes,900*Peak_Time_Mor*($CN72/DB$53-1+SQRT(($CN72/DB$53-1)^2+8*($CN72/DB$53)/(Peak_Time_Mor*$O58*DB$53))),"-")</f>
        <v>-</v>
      </c>
      <c r="DC72" s="165" t="str">
        <f aca="false">IF(DC$53&lt;Total_Lanes,900*Peak_Time_Mor*($CN72/DC$53-1+SQRT(($CN72/DC$53-1)^2+8*($CN72/DC$53)/(Peak_Time_Mor*$O58*DC$53))),"-")</f>
        <v>-</v>
      </c>
      <c r="DD72" s="165" t="str">
        <f aca="false">IF(DD$53&lt;Total_Lanes,900*Peak_Time_Mor*($CN72/DD$53-1+SQRT(($CN72/DD$53-1)^2+8*($CN72/DD$53)/(Peak_Time_Mor*$O58*DD$53))),"-")</f>
        <v>-</v>
      </c>
      <c r="DE72" s="165" t="str">
        <f aca="false">IF(DE$53&lt;Total_Lanes,900*Peak_Time_Mor*($CN72/DE$53-1+SQRT(($CN72/DE$53-1)^2+8*($CN72/DE$53)/(Peak_Time_Mor*$O58*DE$53))),"-")</f>
        <v>-</v>
      </c>
      <c r="DF72" s="165" t="str">
        <f aca="false">IF(DF$53&lt;Total_Lanes,900*Peak_Time_Mor*($CN72/DF$53-1+SQRT(($CN72/DF$53-1)^2+8*($CN72/DF$53)/(Peak_Time_Mor*$O58*DF$53))),"-")</f>
        <v>-</v>
      </c>
      <c r="DG72" s="165" t="str">
        <f aca="false">IF(DG$53&lt;Total_Lanes,900*Peak_Time_Mor*($CN72/DG$53-1+SQRT(($CN72/DG$53-1)^2+8*($CN72/DG$53)/(Peak_Time_Mor*$O58*DG$53))),"-")</f>
        <v>-</v>
      </c>
      <c r="DH72" s="165" t="str">
        <f aca="false">IF(DH$53&lt;Total_Lanes,900*Peak_Time_Mor*($CN72/DH$53-1+SQRT(($CN72/DH$53-1)^2+8*($CN72/DH$53)/(Peak_Time_Mor*$O58*DH$53))),"-")</f>
        <v>-</v>
      </c>
      <c r="DI72" s="166" t="str">
        <f aca="false">IF(DI$53&lt;Total_Lanes,900*Peak_Time_Mor*($CN72/DI$53-1+SQRT(($CN72/DI$53-1)^2+8*($CN72/DI$53)/(Peak_Time_Mor*$O58*DI$53))),"-")</f>
        <v>-</v>
      </c>
      <c r="DJ72" s="234" t="n">
        <f aca="false">3600/$O58</f>
        <v>2.4</v>
      </c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</row>
    <row r="73" customFormat="false" ht="12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0" t="n">
        <v>19</v>
      </c>
      <c r="W73" s="124" t="n">
        <f aca="false">W26</f>
        <v>29450808.65</v>
      </c>
      <c r="X73" s="131" t="n">
        <f aca="false">X26</f>
        <v>0.857356047331459</v>
      </c>
      <c r="Y73" s="124" t="n">
        <f aca="false">Y26</f>
        <v>12699.5390150268</v>
      </c>
      <c r="Z73" s="133" t="n">
        <f aca="false">W73/Y73</f>
        <v>2319.04548780488</v>
      </c>
      <c r="AA73" s="233" t="n">
        <f aca="false">AA26</f>
        <v>2</v>
      </c>
      <c r="AB73" s="157" t="n">
        <f aca="false">1-AB26</f>
        <v>0.3</v>
      </c>
      <c r="AC73" s="128" t="n">
        <f aca="false">Y73*AB73</f>
        <v>3809.86170450805</v>
      </c>
      <c r="AD73" s="150" t="n">
        <f aca="false">Peak_Time_Mor*$BH73*(CH73+BK73)/3600</f>
        <v>14.8757230102443</v>
      </c>
      <c r="AE73" s="136" t="n">
        <f aca="false">IF(AE$53&lt;Total_Lanes,($BI73*($CH73+BM73)+$CM73*CO73)*Peak_Time_Mor/3600,"-")</f>
        <v>7703.25123676405</v>
      </c>
      <c r="AF73" s="136" t="n">
        <f aca="false">IF(AF$53&lt;Total_Lanes,($BI73*($CH73+BN73)+$CM73*CP73)*Peak_Time_Mor/3600,"-")</f>
        <v>607.83547009303</v>
      </c>
      <c r="AG73" s="136" t="n">
        <f aca="false">IF(AG$53&lt;Total_Lanes,($BI73*($CH73+BO73)+$CM73*CQ73)*Peak_Time_Mor/3600,"-")</f>
        <v>5.97386616233923</v>
      </c>
      <c r="AH73" s="136" t="n">
        <f aca="false">IF(AH$53&lt;Total_Lanes,($BI73*($CH73+BP73)+$CM73*CR73)*Peak_Time_Mor/3600,"-")</f>
        <v>3.44741512670469</v>
      </c>
      <c r="AI73" s="136" t="n">
        <f aca="false">IF(AI$53&lt;Total_Lanes,($BI73*($CH73+BQ73)+$CM73*CS73)*Peak_Time_Mor/3600,"-")</f>
        <v>2.83226526707828</v>
      </c>
      <c r="AJ73" s="136" t="n">
        <f aca="false">IF(AJ$53&lt;Total_Lanes,($BI73*($CH73+BR73)+$CM73*CT73)*Peak_Time_Mor/3600,"-")</f>
        <v>2.59528517151446</v>
      </c>
      <c r="AK73" s="136" t="n">
        <f aca="false">IF(AK$53&lt;Total_Lanes,($BI73*($CH73+BS73)+$CM73*CU73)*Peak_Time_Mor/3600,"-")</f>
        <v>2.50042481192504</v>
      </c>
      <c r="AL73" s="136" t="n">
        <f aca="false">IF(AL$53&lt;Total_Lanes,($BI73*($CH73+BT73)+$CM73*CV73)*Peak_Time_Mor/3600,"-")</f>
        <v>2.49891022387426</v>
      </c>
      <c r="AM73" s="136" t="n">
        <f aca="false">IF(AM$53&lt;Total_Lanes,($BI73*($CH73+BU73)+$CM73*CW73)*Peak_Time_Mor/3600,"-")</f>
        <v>2.64139282803498</v>
      </c>
      <c r="AN73" s="136" t="n">
        <f aca="false">IF(AN$53&lt;Total_Lanes,($BI73*($CH73+BV73)+$CM73*CX73)*Peak_Time_Mor/3600,"-")</f>
        <v>3.39821500610813</v>
      </c>
      <c r="AO73" s="136" t="n">
        <f aca="false">IF(AO$53&lt;Total_Lanes,($BI73*($CH73+BW73)+$CM73*CY73)*Peak_Time_Mor/3600,"-")</f>
        <v>88.3648402763879</v>
      </c>
      <c r="AP73" s="136" t="str">
        <f aca="false">IF(AP$53&lt;Total_Lanes,($BI73*($CH73+BX73)+$CM73*CZ73)*Peak_Time_Mor/3600,"-")</f>
        <v>-</v>
      </c>
      <c r="AQ73" s="136" t="str">
        <f aca="false">IF(AQ$53&lt;Total_Lanes,($BI73*($CH73+BY73)+$CM73*DA73)*Peak_Time_Mor/3600,"-")</f>
        <v>-</v>
      </c>
      <c r="AR73" s="136" t="str">
        <f aca="false">IF(AR$53&lt;Total_Lanes,($BI73*($CH73+BZ73)+$CM73*DB73)*Peak_Time_Mor/3600,"-")</f>
        <v>-</v>
      </c>
      <c r="AS73" s="136" t="str">
        <f aca="false">IF(AS$53&lt;Total_Lanes,($BI73*($CH73+CA73)+$CM73*DC73)*Peak_Time_Mor/3600,"-")</f>
        <v>-</v>
      </c>
      <c r="AT73" s="136" t="str">
        <f aca="false">IF(AT$53&lt;Total_Lanes,($BI73*($CH73+CB73)+$CM73*DD73)*Peak_Time_Mor/3600,"-")</f>
        <v>-</v>
      </c>
      <c r="AU73" s="136" t="str">
        <f aca="false">IF(AU$53&lt;Total_Lanes,($BI73*($CH73+CC73)+$CM73*DE73)*Peak_Time_Mor/3600,"-")</f>
        <v>-</v>
      </c>
      <c r="AV73" s="136" t="str">
        <f aca="false">IF(AV$53&lt;Total_Lanes,($BI73*($CH73+CD73)+$CM73*DF73)*Peak_Time_Mor/3600,"-")</f>
        <v>-</v>
      </c>
      <c r="AW73" s="136" t="str">
        <f aca="false">IF(AW$53&lt;Total_Lanes,($BI73*($CH73+CE73)+$CM73*DG73)*Peak_Time_Mor/3600,"-")</f>
        <v>-</v>
      </c>
      <c r="AX73" s="136" t="str">
        <f aca="false">IF(AX$53&lt;Total_Lanes,($BI73*($CH73+CF73)+$CM73*DH73)*Peak_Time_Mor/3600,"-")</f>
        <v>-</v>
      </c>
      <c r="AY73" s="137" t="str">
        <f aca="false">IF(AY$53&lt;Total_Lanes,($BI73*($CH73+CG73)+$CM73*DI73)*Peak_Time_Mor/3600,"-")</f>
        <v>-</v>
      </c>
      <c r="AZ73" s="158" t="n">
        <f aca="false">SUMIF(AE73:AY73,BA73,$AE$53:$AY$53)</f>
        <v>8</v>
      </c>
      <c r="BA73" s="159" t="n">
        <f aca="false">MIN(AE73:AY73)</f>
        <v>2.49891022387426</v>
      </c>
      <c r="BB73" s="158" t="n">
        <f aca="false">IF((SUMIF($BM71:$CG71,$AZ73,$BM73:$CG73)+$CH73)&lt;(SUMIF($CO71:$DI71,$AZ73,$CO73:$DI73)+$DJ73),AZ73+1,AZ73)</f>
        <v>8</v>
      </c>
      <c r="BC73" s="159" t="n">
        <f aca="false">SUMIF($AE$53:$AY$53,$BB73,$AE73:$AY73)</f>
        <v>2.49891022387426</v>
      </c>
      <c r="BF73" s="50" t="n">
        <v>19</v>
      </c>
      <c r="BG73" s="131" t="n">
        <f aca="false">$X73</f>
        <v>0.857356047331459</v>
      </c>
      <c r="BH73" s="57" t="n">
        <f aca="false">$AC73</f>
        <v>3809.86170450805</v>
      </c>
      <c r="BI73" s="135" t="n">
        <f aca="false">BH73*(1-BG73)</f>
        <v>543.453732651534</v>
      </c>
      <c r="BJ73" s="143" t="n">
        <f aca="false">Peak_Arrival_Manual_Mor/K59</f>
        <v>0.992557858939955</v>
      </c>
      <c r="BK73" s="228" t="n">
        <f aca="false">900*Peak_Time_Mor*($BJ73/Total_Lanes-1+SQRT(($BJ73/Total_Lanes-1)^2+8*($BJ73/Total_Lanes)/(Peak_Time_Mor*$K59*Total_Lanes)))</f>
        <v>0.0494057429647476</v>
      </c>
      <c r="BL73" s="143" t="n">
        <f aca="false">Peak_Arrival_Manual_Mor/N59</f>
        <v>1.05350770465053</v>
      </c>
      <c r="BM73" s="229" t="n">
        <f aca="false">IF(BM$6&lt;Total_Lanes,900*Peak_Time_Mor*($BL73/(Total_Lanes-BM$6)-1+SQRT(($BL73/(Total_Lanes-BM$6)-1)^2+8*($BL73/(Total_Lanes-BM$6))/(Peak_Time_Mor*$N59*(Total_Lanes-BM$6)))),"-")</f>
        <v>0.067196051824614</v>
      </c>
      <c r="BN73" s="165" t="n">
        <f aca="false">IF(BN$6&lt;Total_Lanes,900*Peak_Time_Mor*($BL73/(Total_Lanes-BN$6)-1+SQRT(($BL73/(Total_Lanes-BN$6)-1)^2+8*($BL73/(Total_Lanes-BN$6))/(Peak_Time_Mor*$N59*(Total_Lanes-BN$6)))),"-")</f>
        <v>0.0821772272875831</v>
      </c>
      <c r="BO73" s="165" t="n">
        <f aca="false">IF(BO$6&lt;Total_Lanes,900*Peak_Time_Mor*($BL73/(Total_Lanes-BO$6)-1+SQRT(($BL73/(Total_Lanes-BO$6)-1)^2+8*($BL73/(Total_Lanes-BO$6))/(Peak_Time_Mor*$N59*(Total_Lanes-BO$6)))),"-")</f>
        <v>0.10279768530268</v>
      </c>
      <c r="BP73" s="165" t="n">
        <f aca="false">IF(BP$6&lt;Total_Lanes,900*Peak_Time_Mor*($BL73/(Total_Lanes-BP$6)-1+SQRT(($BL73/(Total_Lanes-BP$6)-1)^2+8*($BL73/(Total_Lanes-BP$6))/(Peak_Time_Mor*$N59*(Total_Lanes-BP$6)))),"-")</f>
        <v>0.132294391147925</v>
      </c>
      <c r="BQ73" s="165" t="n">
        <f aca="false">IF(BQ$6&lt;Total_Lanes,900*Peak_Time_Mor*($BL73/(Total_Lanes-BQ$6)-1+SQRT(($BL73/(Total_Lanes-BQ$6)-1)^2+8*($BL73/(Total_Lanes-BQ$6))/(Peak_Time_Mor*$N59*(Total_Lanes-BQ$6)))),"-")</f>
        <v>0.17661654135912</v>
      </c>
      <c r="BR73" s="165" t="n">
        <f aca="false">IF(BR$6&lt;Total_Lanes,900*Peak_Time_Mor*($BL73/(Total_Lanes-BR$6)-1+SQRT(($BL73/(Total_Lanes-BR$6)-1)^2+8*($BL73/(Total_Lanes-BR$6))/(Peak_Time_Mor*$N59*(Total_Lanes-BR$6)))),"-")</f>
        <v>0.247702576870301</v>
      </c>
      <c r="BS73" s="165" t="n">
        <f aca="false">IF(BS$6&lt;Total_Lanes,900*Peak_Time_Mor*($BL73/(Total_Lanes-BS$6)-1+SQRT(($BL73/(Total_Lanes-BS$6)-1)^2+8*($BL73/(Total_Lanes-BS$6))/(Peak_Time_Mor*$N59*(Total_Lanes-BS$6)))),"-")</f>
        <v>0.372543642951895</v>
      </c>
      <c r="BT73" s="165" t="n">
        <f aca="false">IF(BT$6&lt;Total_Lanes,900*Peak_Time_Mor*($BL73/(Total_Lanes-BT$6)-1+SQRT(($BL73/(Total_Lanes-BT$6)-1)^2+8*($BL73/(Total_Lanes-BT$6))/(Peak_Time_Mor*$N59*(Total_Lanes-BT$6)))),"-")</f>
        <v>0.62366005762724</v>
      </c>
      <c r="BU73" s="165" t="n">
        <f aca="false">IF(BU$6&lt;Total_Lanes,900*Peak_Time_Mor*($BL73/(Total_Lanes-BU$6)-1+SQRT(($BL73/(Total_Lanes-BU$6)-1)^2+8*($BL73/(Total_Lanes-BU$6))/(Peak_Time_Mor*$N59*(Total_Lanes-BU$6)))),"-")</f>
        <v>1.25836754131403</v>
      </c>
      <c r="BV73" s="165" t="n">
        <f aca="false">IF(BV$6&lt;Total_Lanes,900*Peak_Time_Mor*($BL73/(Total_Lanes-BV$6)-1+SQRT(($BL73/(Total_Lanes-BV$6)-1)^2+8*($BL73/(Total_Lanes-BV$6))/(Peak_Time_Mor*$N59*(Total_Lanes-BV$6)))),"-")</f>
        <v>3.87508812445504</v>
      </c>
      <c r="BW73" s="230" t="n">
        <f aca="false">IF(BW$6&lt;Total_Lanes,900*Peak_Time_Mor*($BL73/(Total_Lanes-BW$6)-1+SQRT(($BL73/(Total_Lanes-BW$6)-1)^2+8*($BL73/(Total_Lanes-BW$6))/(Peak_Time_Mor*$N59*(Total_Lanes-BW$6)))),"-")</f>
        <v>285.375133727879</v>
      </c>
      <c r="BX73" s="165" t="str">
        <f aca="false">IF(BX$6&lt;Total_Lanes,900*Peak_Time_Mor*($BL73/(Total_Lanes-BX$6)-1+SQRT(($BL73/(Total_Lanes-BX$6)-1)^2+8*($BL73/(Total_Lanes-BX$6))/(Peak_Time_Mor*$N59*(Total_Lanes-BX$6)))),"-")</f>
        <v>-</v>
      </c>
      <c r="BY73" s="165" t="str">
        <f aca="false">IF(BY$6&lt;Total_Lanes,900*Peak_Time_Mor*($BL73/(Total_Lanes-BY$6)-1+SQRT(($BL73/(Total_Lanes-BY$6)-1)^2+8*($BL73/(Total_Lanes-BY$6))/(Peak_Time_Mor*$N59*(Total_Lanes-BY$6)))),"-")</f>
        <v>-</v>
      </c>
      <c r="BZ73" s="165" t="str">
        <f aca="false">IF(BZ$6&lt;Total_Lanes,900*Peak_Time_Mor*($BL73/(Total_Lanes-BZ$6)-1+SQRT(($BL73/(Total_Lanes-BZ$6)-1)^2+8*($BL73/(Total_Lanes-BZ$6))/(Peak_Time_Mor*$N59*(Total_Lanes-BZ$6)))),"-")</f>
        <v>-</v>
      </c>
      <c r="CA73" s="165" t="str">
        <f aca="false">IF(CA$6&lt;Total_Lanes,900*Peak_Time_Mor*($BL73/(Total_Lanes-CA$6)-1+SQRT(($BL73/(Total_Lanes-CA$6)-1)^2+8*($BL73/(Total_Lanes-CA$6))/(Peak_Time_Mor*$N59*(Total_Lanes-CA$6)))),"-")</f>
        <v>-</v>
      </c>
      <c r="CB73" s="165" t="str">
        <f aca="false">IF(CB$6&lt;Total_Lanes,900*Peak_Time_Mor*($BL73/(Total_Lanes-CB$6)-1+SQRT(($BL73/(Total_Lanes-CB$6)-1)^2+8*($BL73/(Total_Lanes-CB$6))/(Peak_Time_Mor*$N59*(Total_Lanes-CB$6)))),"-")</f>
        <v>-</v>
      </c>
      <c r="CC73" s="165" t="str">
        <f aca="false">IF(CC$6&lt;Total_Lanes,900*Peak_Time_Mor*($BL73/(Total_Lanes-CC$6)-1+SQRT(($BL73/(Total_Lanes-CC$6)-1)^2+8*($BL73/(Total_Lanes-CC$6))/(Peak_Time_Mor*$N59*(Total_Lanes-CC$6)))),"-")</f>
        <v>-</v>
      </c>
      <c r="CD73" s="165" t="str">
        <f aca="false">IF(CD$6&lt;Total_Lanes,900*Peak_Time_Mor*($BL73/(Total_Lanes-CD$6)-1+SQRT(($BL73/(Total_Lanes-CD$6)-1)^2+8*($BL73/(Total_Lanes-CD$6))/(Peak_Time_Mor*$N59*(Total_Lanes-CD$6)))),"-")</f>
        <v>-</v>
      </c>
      <c r="CE73" s="165" t="str">
        <f aca="false">IF(CE$6&lt;Total_Lanes,900*Peak_Time_Mor*($BL73/(Total_Lanes-CE$6)-1+SQRT(($BL73/(Total_Lanes-CE$6)-1)^2+8*($BL73/(Total_Lanes-CE$6))/(Peak_Time_Mor*$N59*(Total_Lanes-CE$6)))),"-")</f>
        <v>-</v>
      </c>
      <c r="CF73" s="165" t="str">
        <f aca="false">IF(CF$6&lt;Total_Lanes,900*Peak_Time_Mor*($BL73/(Total_Lanes-CF$6)-1+SQRT(($BL73/(Total_Lanes-CF$6)-1)^2+8*($BL73/(Total_Lanes-CF$6))/(Peak_Time_Mor*$N59*(Total_Lanes-CF$6)))),"-")</f>
        <v>-</v>
      </c>
      <c r="CG73" s="166" t="str">
        <f aca="false">IF(CG$6&lt;Total_Lanes,900*Peak_Time_Mor*($BL73/(Total_Lanes-CG$6)-1+SQRT(($BL73/(Total_Lanes-CG$6)-1)^2+8*($BL73/(Total_Lanes-CG$6))/(Peak_Time_Mor*$N59*(Total_Lanes-CG$6)))),"-")</f>
        <v>-</v>
      </c>
      <c r="CH73" s="234" t="n">
        <f aca="false">3600/N59</f>
        <v>6.97875</v>
      </c>
      <c r="CJ73" s="50" t="n">
        <v>19</v>
      </c>
      <c r="CK73" s="131" t="n">
        <f aca="false">$X73</f>
        <v>0.857356047331459</v>
      </c>
      <c r="CL73" s="150" t="n">
        <f aca="false">$AC73</f>
        <v>3809.86170450805</v>
      </c>
      <c r="CM73" s="150" t="n">
        <f aca="false">CL73*CK73</f>
        <v>3266.40797185652</v>
      </c>
      <c r="CN73" s="161" t="n">
        <f aca="false">CM73/O59</f>
        <v>2.17760531457101</v>
      </c>
      <c r="CO73" s="165" t="n">
        <f aca="false">IF(CO$53&lt;Total_Lanes,900*Peak_Time_Mor*($CN73/CO$53-1+SQRT(($CN73/CO$53-1)^2+8*($CN73/CO$53)/(Peak_Time_Mor*$O59*CO$53))),"-")</f>
        <v>4243.81253043987</v>
      </c>
      <c r="CP73" s="165" t="n">
        <f aca="false">IF(CP$53&lt;Total_Lanes,900*Peak_Time_Mor*($CN73/CP$53-1+SQRT(($CN73/CP$53-1)^2+8*($CN73/CP$53)/(Peak_Time_Mor*$O59*CP$53))),"-")</f>
        <v>333.781501975129</v>
      </c>
      <c r="CQ73" s="165" t="n">
        <f aca="false">IF(CQ$53&lt;Total_Lanes,900*Peak_Time_Mor*($CN73/CQ$53-1+SQRT(($CN73/CQ$53-1)^2+8*($CN73/CQ$53)/(Peak_Time_Mor*$O59*CQ$53))),"-")</f>
        <v>2.1137793041078</v>
      </c>
      <c r="CR73" s="165" t="n">
        <f aca="false">IF(CR$53&lt;Total_Lanes,900*Peak_Time_Mor*($CN73/CR$53-1+SQRT(($CN73/CR$53-1)^2+8*($CN73/CR$53)/(Peak_Time_Mor*$O59*CR$53))),"-")</f>
        <v>0.716635408319155</v>
      </c>
      <c r="CS73" s="165" t="n">
        <f aca="false">IF(CS$53&lt;Total_Lanes,900*Peak_Time_Mor*($CN73/CS$53-1+SQRT(($CN73/CS$53-1)^2+8*($CN73/CS$53)/(Peak_Time_Mor*$O59*CS$53))),"-")</f>
        <v>0.370274269402415</v>
      </c>
      <c r="CT73" s="165" t="n">
        <f aca="false">IF(CT$53&lt;Total_Lanes,900*Peak_Time_Mor*($CN73/CT$53-1+SQRT(($CN73/CT$53-1)^2+8*($CN73/CT$53)/(Peak_Time_Mor*$O59*CT$53))),"-")</f>
        <v>0.227856008315319</v>
      </c>
      <c r="CU73" s="165" t="n">
        <f aca="false">IF(CU$53&lt;Total_Lanes,900*Peak_Time_Mor*($CN73/CU$53-1+SQRT(($CN73/CU$53-1)^2+8*($CN73/CU$53)/(Peak_Time_Mor*$O59*CU$53))),"-")</f>
        <v>0.154811247015774</v>
      </c>
      <c r="CV73" s="165" t="n">
        <f aca="false">IF(CV$53&lt;Total_Lanes,900*Peak_Time_Mor*($CN73/CV$53-1+SQRT(($CN73/CV$53-1)^2+8*($CN73/CV$53)/(Peak_Time_Mor*$O59*CV$53))),"-")</f>
        <v>0.112196725934477</v>
      </c>
      <c r="CW73" s="165" t="n">
        <f aca="false">IF(CW$53&lt;Total_Lanes,900*Peak_Time_Mor*($CN73/CW$53-1+SQRT(($CN73/CW$53-1)^2+8*($CN73/CW$53)/(Peak_Time_Mor*$O59*CW$53))),"-")</f>
        <v>0.0851133167509399</v>
      </c>
      <c r="CX73" s="165" t="n">
        <f aca="false">IF(CX$53&lt;Total_Lanes,900*Peak_Time_Mor*($CN73/CX$53-1+SQRT(($CN73/CX$53-1)^2+8*($CN73/CX$53)/(Peak_Time_Mor*$O59*CX$53))),"-")</f>
        <v>0.0668098322512911</v>
      </c>
      <c r="CY73" s="165" t="n">
        <f aca="false">IF(CY$53&lt;Total_Lanes,900*Peak_Time_Mor*($CN73/CY$53-1+SQRT(($CN73/CY$53-1)^2+8*($CN73/CY$53)/(Peak_Time_Mor*$O59*CY$53))),"-")</f>
        <v>0.05385216174012</v>
      </c>
      <c r="CZ73" s="165" t="str">
        <f aca="false">IF(CZ$53&lt;Total_Lanes,900*Peak_Time_Mor*($CN73/CZ$53-1+SQRT(($CN73/CZ$53-1)^2+8*($CN73/CZ$53)/(Peak_Time_Mor*$O59*CZ$53))),"-")</f>
        <v>-</v>
      </c>
      <c r="DA73" s="165" t="str">
        <f aca="false">IF(DA$53&lt;Total_Lanes,900*Peak_Time_Mor*($CN73/DA$53-1+SQRT(($CN73/DA$53-1)^2+8*($CN73/DA$53)/(Peak_Time_Mor*$O59*DA$53))),"-")</f>
        <v>-</v>
      </c>
      <c r="DB73" s="165" t="str">
        <f aca="false">IF(DB$53&lt;Total_Lanes,900*Peak_Time_Mor*($CN73/DB$53-1+SQRT(($CN73/DB$53-1)^2+8*($CN73/DB$53)/(Peak_Time_Mor*$O59*DB$53))),"-")</f>
        <v>-</v>
      </c>
      <c r="DC73" s="165" t="str">
        <f aca="false">IF(DC$53&lt;Total_Lanes,900*Peak_Time_Mor*($CN73/DC$53-1+SQRT(($CN73/DC$53-1)^2+8*($CN73/DC$53)/(Peak_Time_Mor*$O59*DC$53))),"-")</f>
        <v>-</v>
      </c>
      <c r="DD73" s="165" t="str">
        <f aca="false">IF(DD$53&lt;Total_Lanes,900*Peak_Time_Mor*($CN73/DD$53-1+SQRT(($CN73/DD$53-1)^2+8*($CN73/DD$53)/(Peak_Time_Mor*$O59*DD$53))),"-")</f>
        <v>-</v>
      </c>
      <c r="DE73" s="165" t="str">
        <f aca="false">IF(DE$53&lt;Total_Lanes,900*Peak_Time_Mor*($CN73/DE$53-1+SQRT(($CN73/DE$53-1)^2+8*($CN73/DE$53)/(Peak_Time_Mor*$O59*DE$53))),"-")</f>
        <v>-</v>
      </c>
      <c r="DF73" s="165" t="str">
        <f aca="false">IF(DF$53&lt;Total_Lanes,900*Peak_Time_Mor*($CN73/DF$53-1+SQRT(($CN73/DF$53-1)^2+8*($CN73/DF$53)/(Peak_Time_Mor*$O59*DF$53))),"-")</f>
        <v>-</v>
      </c>
      <c r="DG73" s="165" t="str">
        <f aca="false">IF(DG$53&lt;Total_Lanes,900*Peak_Time_Mor*($CN73/DG$53-1+SQRT(($CN73/DG$53-1)^2+8*($CN73/DG$53)/(Peak_Time_Mor*$O59*DG$53))),"-")</f>
        <v>-</v>
      </c>
      <c r="DH73" s="165" t="str">
        <f aca="false">IF(DH$53&lt;Total_Lanes,900*Peak_Time_Mor*($CN73/DH$53-1+SQRT(($CN73/DH$53-1)^2+8*($CN73/DH$53)/(Peak_Time_Mor*$O59*DH$53))),"-")</f>
        <v>-</v>
      </c>
      <c r="DI73" s="166" t="str">
        <f aca="false">IF(DI$53&lt;Total_Lanes,900*Peak_Time_Mor*($CN73/DI$53-1+SQRT(($CN73/DI$53-1)^2+8*($CN73/DI$53)/(Peak_Time_Mor*$O59*DI$53))),"-")</f>
        <v>-</v>
      </c>
      <c r="DJ73" s="234" t="n">
        <f aca="false">3600/$O59</f>
        <v>2.4</v>
      </c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</row>
    <row r="74" customFormat="false" ht="12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82" t="n">
        <v>20</v>
      </c>
      <c r="W74" s="174" t="n">
        <f aca="false">W27</f>
        <v>30000000</v>
      </c>
      <c r="X74" s="169" t="n">
        <f aca="false">X27</f>
        <v>0.880563950021381</v>
      </c>
      <c r="Y74" s="174" t="n">
        <f aca="false">Y27</f>
        <v>12936.356857923</v>
      </c>
      <c r="Z74" s="175" t="n">
        <f aca="false">W74/Y74</f>
        <v>2319.04548780488</v>
      </c>
      <c r="AA74" s="174" t="n">
        <f aca="false">AA27</f>
        <v>2</v>
      </c>
      <c r="AB74" s="177" t="n">
        <f aca="false">1-AB27</f>
        <v>0.3</v>
      </c>
      <c r="AC74" s="239" t="n">
        <f aca="false">Y74*AB74</f>
        <v>3880.9070573769</v>
      </c>
      <c r="AD74" s="170" t="n">
        <f aca="false">Peak_Time_Mor*$BH74*(CH74+BK74)/3600</f>
        <v>15.1820813982952</v>
      </c>
      <c r="AE74" s="178" t="n">
        <f aca="false">IF(AE$53&lt;Total_Lanes,($BI74*($CH74+BM74)+$CM74*CO74)*Peak_Time_Mor/3600,"-")</f>
        <v>8746.53427700633</v>
      </c>
      <c r="AF74" s="178" t="n">
        <f aca="false">IF(AF$53&lt;Total_Lanes,($BI74*($CH74+BN74)+$CM74*CP74)*Peak_Time_Mor/3600,"-")</f>
        <v>971.036506497172</v>
      </c>
      <c r="AG74" s="178" t="n">
        <f aca="false">IF(AG$53&lt;Total_Lanes,($BI74*($CH74+BO74)+$CM74*CQ74)*Peak_Time_Mor/3600,"-")</f>
        <v>6.60534947810429</v>
      </c>
      <c r="AH74" s="178" t="n">
        <f aca="false">IF(AH$53&lt;Total_Lanes,($BI74*($CH74+BP74)+$CM74*CR74)*Peak_Time_Mor/3600,"-")</f>
        <v>3.33774186825441</v>
      </c>
      <c r="AI74" s="178" t="n">
        <f aca="false">IF(AI$53&lt;Total_Lanes,($BI74*($CH74+BQ74)+$CM74*CS74)*Peak_Time_Mor/3600,"-")</f>
        <v>2.60329062959039</v>
      </c>
      <c r="AJ74" s="178" t="n">
        <f aca="false">IF(AJ$53&lt;Total_Lanes,($BI74*($CH74+BR74)+$CM74*CT74)*Peak_Time_Mor/3600,"-")</f>
        <v>2.32050763274849</v>
      </c>
      <c r="AK74" s="178" t="n">
        <f aca="false">IF(AK$53&lt;Total_Lanes,($BI74*($CH74+BS74)+$CM74*CU74)*Peak_Time_Mor/3600,"-")</f>
        <v>2.19590133872005</v>
      </c>
      <c r="AL74" s="178" t="n">
        <f aca="false">IF(AL$53&lt;Total_Lanes,($BI74*($CH74+BT74)+$CM74*CV74)*Peak_Time_Mor/3600,"-")</f>
        <v>2.16040506905334</v>
      </c>
      <c r="AM74" s="178" t="n">
        <f aca="false">IF(AM$53&lt;Total_Lanes,($BI74*($CH74+BU74)+$CM74*CW74)*Peak_Time_Mor/3600,"-")</f>
        <v>2.23210646361387</v>
      </c>
      <c r="AN74" s="178" t="n">
        <f aca="false">IF(AN$53&lt;Total_Lanes,($BI74*($CH74+BV74)+$CM74*CX74)*Peak_Time_Mor/3600,"-")</f>
        <v>2.67528392118897</v>
      </c>
      <c r="AO74" s="178" t="n">
        <f aca="false">IF(AO$53&lt;Total_Lanes,($BI74*($CH74+BW74)+$CM74*CY74)*Peak_Time_Mor/3600,"-")</f>
        <v>16.1528488475641</v>
      </c>
      <c r="AP74" s="178" t="str">
        <f aca="false">IF(AP$53&lt;Total_Lanes,($BI74*($CH74+BX74)+$CM74*CZ74)*Peak_Time_Mor/3600,"-")</f>
        <v>-</v>
      </c>
      <c r="AQ74" s="178" t="str">
        <f aca="false">IF(AQ$53&lt;Total_Lanes,($BI74*($CH74+BY74)+$CM74*DA74)*Peak_Time_Mor/3600,"-")</f>
        <v>-</v>
      </c>
      <c r="AR74" s="178" t="str">
        <f aca="false">IF(AR$53&lt;Total_Lanes,($BI74*($CH74+BZ74)+$CM74*DB74)*Peak_Time_Mor/3600,"-")</f>
        <v>-</v>
      </c>
      <c r="AS74" s="178" t="str">
        <f aca="false">IF(AS$53&lt;Total_Lanes,($BI74*($CH74+CA74)+$CM74*DC74)*Peak_Time_Mor/3600,"-")</f>
        <v>-</v>
      </c>
      <c r="AT74" s="178" t="str">
        <f aca="false">IF(AT$53&lt;Total_Lanes,($BI74*($CH74+CB74)+$CM74*DD74)*Peak_Time_Mor/3600,"-")</f>
        <v>-</v>
      </c>
      <c r="AU74" s="178" t="str">
        <f aca="false">IF(AU$53&lt;Total_Lanes,($BI74*($CH74+CC74)+$CM74*DE74)*Peak_Time_Mor/3600,"-")</f>
        <v>-</v>
      </c>
      <c r="AV74" s="178" t="str">
        <f aca="false">IF(AV$53&lt;Total_Lanes,($BI74*($CH74+CD74)+$CM74*DF74)*Peak_Time_Mor/3600,"-")</f>
        <v>-</v>
      </c>
      <c r="AW74" s="178" t="str">
        <f aca="false">IF(AW$53&lt;Total_Lanes,($BI74*($CH74+CE74)+$CM74*DG74)*Peak_Time_Mor/3600,"-")</f>
        <v>-</v>
      </c>
      <c r="AX74" s="178" t="str">
        <f aca="false">IF(AX$53&lt;Total_Lanes,($BI74*($CH74+CF74)+$CM74*DH74)*Peak_Time_Mor/3600,"-")</f>
        <v>-</v>
      </c>
      <c r="AY74" s="179" t="str">
        <f aca="false">IF(AY$53&lt;Total_Lanes,($BI74*($CH74+CG74)+$CM74*DI74)*Peak_Time_Mor/3600,"-")</f>
        <v>-</v>
      </c>
      <c r="AZ74" s="180" t="n">
        <f aca="false">SUMIF(AE74:AY74,BA74,$AE$53:$AY$53)</f>
        <v>8</v>
      </c>
      <c r="BA74" s="181" t="n">
        <f aca="false">MIN(AE74:AY74)</f>
        <v>2.16040506905334</v>
      </c>
      <c r="BB74" s="180" t="n">
        <f aca="false">IF((SUMIF($BM72:$CG72,$AZ74,$BM74:$CG74)+$CH74)&lt;(SUMIF($CO72:$DI72,$AZ74,$CO74:$DI74)+$DJ74),AZ74+1,AZ74)</f>
        <v>8</v>
      </c>
      <c r="BC74" s="181" t="n">
        <f aca="false">SUMIF($AE$53:$AY$53,$BB74,$AE74:$AY74)</f>
        <v>2.16040506905334</v>
      </c>
      <c r="BF74" s="82" t="n">
        <v>20</v>
      </c>
      <c r="BG74" s="169" t="n">
        <f aca="false">$X74</f>
        <v>0.880563950021381</v>
      </c>
      <c r="BH74" s="89" t="n">
        <f aca="false">$AC74</f>
        <v>3880.9070573769</v>
      </c>
      <c r="BI74" s="172" t="n">
        <f aca="false">BH74*(1-BG74)</f>
        <v>463.520209267243</v>
      </c>
      <c r="BJ74" s="183" t="n">
        <f aca="false">Peak_Arrival_Manual_Mor/K60</f>
        <v>0.846568159981145</v>
      </c>
      <c r="BK74" s="240" t="n">
        <f aca="false">900*Peak_Time_Mor*($BJ74/Total_Lanes-1+SQRT(($BJ74/Total_Lanes-1)^2+8*($BJ74/Total_Lanes)/(Peak_Time_Mor*$K60*Total_Lanes)))</f>
        <v>0.0415874724405629</v>
      </c>
      <c r="BL74" s="183" t="n">
        <f aca="false">Peak_Arrival_Manual_Mor/N60</f>
        <v>0.901289295797417</v>
      </c>
      <c r="BM74" s="241" t="n">
        <f aca="false">IF(BM$6&lt;Total_Lanes,900*Peak_Time_Mor*($BL74/(Total_Lanes-BM$6)-1+SQRT(($BL74/(Total_Lanes-BM$6)-1)^2+8*($BL74/(Total_Lanes-BM$6))/(Peak_Time_Mor*$N60*(Total_Lanes-BM$6)))),"-")</f>
        <v>0.0567931783473696</v>
      </c>
      <c r="BN74" s="191" t="n">
        <f aca="false">IF(BN$6&lt;Total_Lanes,900*Peak_Time_Mor*($BL74/(Total_Lanes-BN$6)-1+SQRT(($BL74/(Total_Lanes-BN$6)-1)^2+8*($BL74/(Total_Lanes-BN$6))/(Peak_Time_Mor*$N60*(Total_Lanes-BN$6)))),"-")</f>
        <v>0.0693383021581395</v>
      </c>
      <c r="BO74" s="191" t="n">
        <f aca="false">IF(BO$6&lt;Total_Lanes,900*Peak_Time_Mor*($BL74/(Total_Lanes-BO$6)-1+SQRT(($BL74/(Total_Lanes-BO$6)-1)^2+8*($BL74/(Total_Lanes-BO$6))/(Peak_Time_Mor*$N60*(Total_Lanes-BO$6)))),"-")</f>
        <v>0.0865550186683883</v>
      </c>
      <c r="BP74" s="191" t="n">
        <f aca="false">IF(BP$6&lt;Total_Lanes,900*Peak_Time_Mor*($BL74/(Total_Lanes-BP$6)-1+SQRT(($BL74/(Total_Lanes-BP$6)-1)^2+8*($BL74/(Total_Lanes-BP$6))/(Peak_Time_Mor*$N60*(Total_Lanes-BP$6)))),"-")</f>
        <v>0.111090695468863</v>
      </c>
      <c r="BQ74" s="191" t="n">
        <f aca="false">IF(BQ$6&lt;Total_Lanes,900*Peak_Time_Mor*($BL74/(Total_Lanes-BQ$6)-1+SQRT(($BL74/(Total_Lanes-BQ$6)-1)^2+8*($BL74/(Total_Lanes-BQ$6))/(Peak_Time_Mor*$N60*(Total_Lanes-BQ$6)))),"-")</f>
        <v>0.147776616545836</v>
      </c>
      <c r="BR74" s="191" t="n">
        <f aca="false">IF(BR$6&lt;Total_Lanes,900*Peak_Time_Mor*($BL74/(Total_Lanes-BR$6)-1+SQRT(($BL74/(Total_Lanes-BR$6)-1)^2+8*($BL74/(Total_Lanes-BR$6))/(Peak_Time_Mor*$N60*(Total_Lanes-BR$6)))),"-")</f>
        <v>0.206215524804354</v>
      </c>
      <c r="BS74" s="191" t="n">
        <f aca="false">IF(BS$6&lt;Total_Lanes,900*Peak_Time_Mor*($BL74/(Total_Lanes-BS$6)-1+SQRT(($BL74/(Total_Lanes-BS$6)-1)^2+8*($BL74/(Total_Lanes-BS$6))/(Peak_Time_Mor*$N60*(Total_Lanes-BS$6)))),"-")</f>
        <v>0.307822020591608</v>
      </c>
      <c r="BT74" s="191" t="n">
        <f aca="false">IF(BT$6&lt;Total_Lanes,900*Peak_Time_Mor*($BL74/(Total_Lanes-BT$6)-1+SQRT(($BL74/(Total_Lanes-BT$6)-1)^2+8*($BL74/(Total_Lanes-BT$6))/(Peak_Time_Mor*$N60*(Total_Lanes-BT$6)))),"-")</f>
        <v>0.508911173344706</v>
      </c>
      <c r="BU74" s="191" t="n">
        <f aca="false">IF(BU$6&lt;Total_Lanes,900*Peak_Time_Mor*($BL74/(Total_Lanes-BU$6)-1+SQRT(($BL74/(Total_Lanes-BU$6)-1)^2+8*($BL74/(Total_Lanes-BU$6))/(Peak_Time_Mor*$N60*(Total_Lanes-BU$6)))),"-")</f>
        <v>1.00164937839542</v>
      </c>
      <c r="BV74" s="191" t="n">
        <f aca="false">IF(BV$6&lt;Total_Lanes,900*Peak_Time_Mor*($BL74/(Total_Lanes-BV$6)-1+SQRT(($BL74/(Total_Lanes-BV$6)-1)^2+8*($BL74/(Total_Lanes-BV$6))/(Peak_Time_Mor*$N60*(Total_Lanes-BV$6)))),"-")</f>
        <v>2.86694777407781</v>
      </c>
      <c r="BW74" s="242" t="n">
        <f aca="false">IF(BW$6&lt;Total_Lanes,900*Peak_Time_Mor*($BL74/(Total_Lanes-BW$6)-1+SQRT(($BL74/(Total_Lanes-BW$6)-1)^2+8*($BL74/(Total_Lanes-BW$6))/(Peak_Time_Mor*$N60*(Total_Lanes-BW$6)))),"-")</f>
        <v>55.3065954751605</v>
      </c>
      <c r="BX74" s="191" t="str">
        <f aca="false">IF(BX$6&lt;Total_Lanes,900*Peak_Time_Mor*($BL74/(Total_Lanes-BX$6)-1+SQRT(($BL74/(Total_Lanes-BX$6)-1)^2+8*($BL74/(Total_Lanes-BX$6))/(Peak_Time_Mor*$N60*(Total_Lanes-BX$6)))),"-")</f>
        <v>-</v>
      </c>
      <c r="BY74" s="191" t="str">
        <f aca="false">IF(BY$6&lt;Total_Lanes,900*Peak_Time_Mor*($BL74/(Total_Lanes-BY$6)-1+SQRT(($BL74/(Total_Lanes-BY$6)-1)^2+8*($BL74/(Total_Lanes-BY$6))/(Peak_Time_Mor*$N60*(Total_Lanes-BY$6)))),"-")</f>
        <v>-</v>
      </c>
      <c r="BZ74" s="191" t="str">
        <f aca="false">IF(BZ$6&lt;Total_Lanes,900*Peak_Time_Mor*($BL74/(Total_Lanes-BZ$6)-1+SQRT(($BL74/(Total_Lanes-BZ$6)-1)^2+8*($BL74/(Total_Lanes-BZ$6))/(Peak_Time_Mor*$N60*(Total_Lanes-BZ$6)))),"-")</f>
        <v>-</v>
      </c>
      <c r="CA74" s="191" t="str">
        <f aca="false">IF(CA$6&lt;Total_Lanes,900*Peak_Time_Mor*($BL74/(Total_Lanes-CA$6)-1+SQRT(($BL74/(Total_Lanes-CA$6)-1)^2+8*($BL74/(Total_Lanes-CA$6))/(Peak_Time_Mor*$N60*(Total_Lanes-CA$6)))),"-")</f>
        <v>-</v>
      </c>
      <c r="CB74" s="191" t="str">
        <f aca="false">IF(CB$6&lt;Total_Lanes,900*Peak_Time_Mor*($BL74/(Total_Lanes-CB$6)-1+SQRT(($BL74/(Total_Lanes-CB$6)-1)^2+8*($BL74/(Total_Lanes-CB$6))/(Peak_Time_Mor*$N60*(Total_Lanes-CB$6)))),"-")</f>
        <v>-</v>
      </c>
      <c r="CC74" s="191" t="str">
        <f aca="false">IF(CC$6&lt;Total_Lanes,900*Peak_Time_Mor*($BL74/(Total_Lanes-CC$6)-1+SQRT(($BL74/(Total_Lanes-CC$6)-1)^2+8*($BL74/(Total_Lanes-CC$6))/(Peak_Time_Mor*$N60*(Total_Lanes-CC$6)))),"-")</f>
        <v>-</v>
      </c>
      <c r="CD74" s="191" t="str">
        <f aca="false">IF(CD$6&lt;Total_Lanes,900*Peak_Time_Mor*($BL74/(Total_Lanes-CD$6)-1+SQRT(($BL74/(Total_Lanes-CD$6)-1)^2+8*($BL74/(Total_Lanes-CD$6))/(Peak_Time_Mor*$N60*(Total_Lanes-CD$6)))),"-")</f>
        <v>-</v>
      </c>
      <c r="CE74" s="191" t="str">
        <f aca="false">IF(CE$6&lt;Total_Lanes,900*Peak_Time_Mor*($BL74/(Total_Lanes-CE$6)-1+SQRT(($BL74/(Total_Lanes-CE$6)-1)^2+8*($BL74/(Total_Lanes-CE$6))/(Peak_Time_Mor*$N60*(Total_Lanes-CE$6)))),"-")</f>
        <v>-</v>
      </c>
      <c r="CF74" s="191" t="str">
        <f aca="false">IF(CF$6&lt;Total_Lanes,900*Peak_Time_Mor*($BL74/(Total_Lanes-CF$6)-1+SQRT(($BL74/(Total_Lanes-CF$6)-1)^2+8*($BL74/(Total_Lanes-CF$6))/(Peak_Time_Mor*$N60*(Total_Lanes-CF$6)))),"-")</f>
        <v>-</v>
      </c>
      <c r="CG74" s="192" t="str">
        <f aca="false">IF(CG$6&lt;Total_Lanes,900*Peak_Time_Mor*($BL74/(Total_Lanes-CG$6)-1+SQRT(($BL74/(Total_Lanes-CG$6)-1)^2+8*($BL74/(Total_Lanes-CG$6))/(Peak_Time_Mor*$N60*(Total_Lanes-CG$6)))),"-")</f>
        <v>-</v>
      </c>
      <c r="CH74" s="243" t="n">
        <f aca="false">3600/N60</f>
        <v>7</v>
      </c>
      <c r="CJ74" s="82" t="n">
        <v>20</v>
      </c>
      <c r="CK74" s="169" t="n">
        <f aca="false">$X74</f>
        <v>0.880563950021381</v>
      </c>
      <c r="CL74" s="170" t="n">
        <f aca="false">$AC74</f>
        <v>3880.9070573769</v>
      </c>
      <c r="CM74" s="170" t="n">
        <f aca="false">CL74*CK74</f>
        <v>3417.38684810965</v>
      </c>
      <c r="CN74" s="189" t="n">
        <f aca="false">CM74/O60</f>
        <v>2.27825789873977</v>
      </c>
      <c r="CO74" s="191" t="n">
        <f aca="false">IF(CO$53&lt;Total_Lanes,900*Peak_Time_Mor*($CN74/CO$53-1+SQRT(($CN74/CO$53-1)^2+8*($CN74/CO$53)/(Peak_Time_Mor*$O60*CO$53))),"-")</f>
        <v>4606.00202200332</v>
      </c>
      <c r="CP74" s="191" t="n">
        <f aca="false">IF(CP$53&lt;Total_Lanes,900*Peak_Time_Mor*($CN74/CP$53-1+SQRT(($CN74/CP$53-1)^2+8*($CN74/CP$53)/(Peak_Time_Mor*$O60*CP$53))),"-")</f>
        <v>510.503787854963</v>
      </c>
      <c r="CQ74" s="191" t="n">
        <f aca="false">IF(CQ$53&lt;Total_Lanes,900*Peak_Time_Mor*($CN74/CQ$53-1+SQRT(($CN74/CQ$53-1)^2+8*($CN74/CQ$53)/(Peak_Time_Mor*$O60*CQ$53))),"-")</f>
        <v>2.51796708356578</v>
      </c>
      <c r="CR74" s="191" t="n">
        <f aca="false">IF(CR$53&lt;Total_Lanes,900*Peak_Time_Mor*($CN74/CR$53-1+SQRT(($CN74/CR$53-1)^2+8*($CN74/CR$53)/(Peak_Time_Mor*$O60*CR$53))),"-")</f>
        <v>0.793530623281913</v>
      </c>
      <c r="CS74" s="191" t="n">
        <f aca="false">IF(CS$53&lt;Total_Lanes,900*Peak_Time_Mor*($CN74/CS$53-1+SQRT(($CN74/CS$53-1)^2+8*($CN74/CS$53)/(Peak_Time_Mor*$O60*CS$53))),"-")</f>
        <v>0.401705829975096</v>
      </c>
      <c r="CT74" s="191" t="n">
        <f aca="false">IF(CT$53&lt;Total_Lanes,900*Peak_Time_Mor*($CN74/CT$53-1+SQRT(($CN74/CT$53-1)^2+8*($CN74/CT$53)/(Peak_Time_Mor*$O60*CT$53))),"-")</f>
        <v>0.24483245475353</v>
      </c>
      <c r="CU74" s="191" t="n">
        <f aca="false">IF(CU$53&lt;Total_Lanes,900*Peak_Time_Mor*($CN74/CU$53-1+SQRT(($CN74/CU$53-1)^2+8*($CN74/CU$53)/(Peak_Time_Mor*$O60*CU$53))),"-")</f>
        <v>0.165418561769326</v>
      </c>
      <c r="CV74" s="191" t="n">
        <f aca="false">IF(CV$53&lt;Total_Lanes,900*Peak_Time_Mor*($CN74/CV$53-1+SQRT(($CN74/CV$53-1)^2+8*($CN74/CV$53)/(Peak_Time_Mor*$O60*CV$53))),"-")</f>
        <v>0.119447128464234</v>
      </c>
      <c r="CW74" s="191" t="n">
        <f aca="false">IF(CW$53&lt;Total_Lanes,900*Peak_Time_Mor*($CN74/CW$53-1+SQRT(($CN74/CW$53-1)^2+8*($CN74/CW$53)/(Peak_Time_Mor*$O60*CW$53))),"-")</f>
        <v>0.0903805901631749</v>
      </c>
      <c r="CX74" s="191" t="n">
        <f aca="false">IF(CX$53&lt;Total_Lanes,900*Peak_Time_Mor*($CN74/CX$53-1+SQRT(($CN74/CX$53-1)^2+8*($CN74/CX$53)/(Peak_Time_Mor*$O60*CX$53))),"-")</f>
        <v>0.0708088875581936</v>
      </c>
      <c r="CY74" s="191" t="n">
        <f aca="false">IF(CY$53&lt;Total_Lanes,900*Peak_Time_Mor*($CN74/CY$53-1+SQRT(($CN74/CY$53-1)^2+8*($CN74/CY$53)/(Peak_Time_Mor*$O60*CY$53))),"-")</f>
        <v>0.0569914267526617</v>
      </c>
      <c r="CZ74" s="191" t="str">
        <f aca="false">IF(CZ$53&lt;Total_Lanes,900*Peak_Time_Mor*($CN74/CZ$53-1+SQRT(($CN74/CZ$53-1)^2+8*($CN74/CZ$53)/(Peak_Time_Mor*$O60*CZ$53))),"-")</f>
        <v>-</v>
      </c>
      <c r="DA74" s="191" t="str">
        <f aca="false">IF(DA$53&lt;Total_Lanes,900*Peak_Time_Mor*($CN74/DA$53-1+SQRT(($CN74/DA$53-1)^2+8*($CN74/DA$53)/(Peak_Time_Mor*$O60*DA$53))),"-")</f>
        <v>-</v>
      </c>
      <c r="DB74" s="191" t="str">
        <f aca="false">IF(DB$53&lt;Total_Lanes,900*Peak_Time_Mor*($CN74/DB$53-1+SQRT(($CN74/DB$53-1)^2+8*($CN74/DB$53)/(Peak_Time_Mor*$O60*DB$53))),"-")</f>
        <v>-</v>
      </c>
      <c r="DC74" s="191" t="str">
        <f aca="false">IF(DC$53&lt;Total_Lanes,900*Peak_Time_Mor*($CN74/DC$53-1+SQRT(($CN74/DC$53-1)^2+8*($CN74/DC$53)/(Peak_Time_Mor*$O60*DC$53))),"-")</f>
        <v>-</v>
      </c>
      <c r="DD74" s="191" t="str">
        <f aca="false">IF(DD$53&lt;Total_Lanes,900*Peak_Time_Mor*($CN74/DD$53-1+SQRT(($CN74/DD$53-1)^2+8*($CN74/DD$53)/(Peak_Time_Mor*$O60*DD$53))),"-")</f>
        <v>-</v>
      </c>
      <c r="DE74" s="191" t="str">
        <f aca="false">IF(DE$53&lt;Total_Lanes,900*Peak_Time_Mor*($CN74/DE$53-1+SQRT(($CN74/DE$53-1)^2+8*($CN74/DE$53)/(Peak_Time_Mor*$O60*DE$53))),"-")</f>
        <v>-</v>
      </c>
      <c r="DF74" s="191" t="str">
        <f aca="false">IF(DF$53&lt;Total_Lanes,900*Peak_Time_Mor*($CN74/DF$53-1+SQRT(($CN74/DF$53-1)^2+8*($CN74/DF$53)/(Peak_Time_Mor*$O60*DF$53))),"-")</f>
        <v>-</v>
      </c>
      <c r="DG74" s="191" t="str">
        <f aca="false">IF(DG$53&lt;Total_Lanes,900*Peak_Time_Mor*($CN74/DG$53-1+SQRT(($CN74/DG$53-1)^2+8*($CN74/DG$53)/(Peak_Time_Mor*$O60*DG$53))),"-")</f>
        <v>-</v>
      </c>
      <c r="DH74" s="191" t="str">
        <f aca="false">IF(DH$53&lt;Total_Lanes,900*Peak_Time_Mor*($CN74/DH$53-1+SQRT(($CN74/DH$53-1)^2+8*($CN74/DH$53)/(Peak_Time_Mor*$O60*DH$53))),"-")</f>
        <v>-</v>
      </c>
      <c r="DI74" s="192" t="str">
        <f aca="false">IF(DI$53&lt;Total_Lanes,900*Peak_Time_Mor*($CN74/DI$53-1+SQRT(($CN74/DI$53-1)^2+8*($CN74/DI$53)/(Peak_Time_Mor*$O60*DI$53))),"-")</f>
        <v>-</v>
      </c>
      <c r="DJ74" s="243" t="n">
        <f aca="false">3600/$O60</f>
        <v>2.4</v>
      </c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</row>
    <row r="75" customFormat="false" ht="12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CF75" s="4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</row>
    <row r="76" customFormat="false" ht="13.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CF76" s="4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</row>
    <row r="77" customFormat="false" ht="13.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244" t="s">
        <v>94</v>
      </c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6"/>
      <c r="CF77" s="4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</row>
    <row r="78" customFormat="false" ht="13.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247" t="s">
        <v>95</v>
      </c>
      <c r="W78" s="248"/>
      <c r="X78" s="248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48"/>
      <c r="AZ78" s="248"/>
      <c r="BA78" s="248"/>
      <c r="BB78" s="248"/>
      <c r="BC78" s="249"/>
      <c r="CF78" s="4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</row>
    <row r="79" customFormat="false" ht="13.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CF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</row>
    <row r="80" customFormat="false" ht="12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CF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</row>
    <row r="81" customFormat="false" ht="12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CF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</row>
    <row r="82" customFormat="false" ht="12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CF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</row>
    <row r="83" customFormat="false" ht="12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CF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customFormat="false" ht="12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CF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customFormat="false" ht="12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CF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customFormat="false" ht="12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CF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</row>
    <row r="87" customFormat="false" ht="12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CF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</row>
    <row r="88" customFormat="false" ht="12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CF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</row>
    <row r="89" customFormat="false" ht="12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CF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</row>
    <row r="90" customFormat="false" ht="12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CF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</row>
    <row r="91" customFormat="false" ht="12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CF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</row>
    <row r="92" customFormat="false" ht="12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CF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</row>
    <row r="93" customFormat="false" ht="12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CF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</row>
    <row r="94" customFormat="false" ht="12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CF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</row>
    <row r="95" customFormat="false" ht="12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CF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</row>
    <row r="96" customFormat="false" ht="12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CF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</row>
    <row r="97" customFormat="false" ht="12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CF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</row>
    <row r="98" customFormat="false" ht="12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CF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</row>
    <row r="99" customFormat="false" ht="12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CF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</row>
    <row r="100" customFormat="false" ht="12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CF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</row>
    <row r="101" customFormat="false" ht="12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CF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</row>
    <row r="102" customFormat="false" ht="12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CF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</row>
    <row r="103" customFormat="false" ht="12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CF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</row>
    <row r="104" customFormat="false" ht="12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CF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</row>
    <row r="105" customFormat="false" ht="12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CF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</row>
    <row r="106" customFormat="false" ht="12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CF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</row>
    <row r="107" customFormat="false" ht="12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CF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</row>
    <row r="108" customFormat="false" ht="12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CF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</row>
    <row r="109" customFormat="false" ht="12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CF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</row>
    <row r="110" customFormat="false" ht="12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CF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</row>
    <row r="111" customFormat="false" ht="12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CF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</row>
    <row r="112" customFormat="false" ht="12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CF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</row>
    <row r="113" customFormat="false" ht="12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CF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</row>
    <row r="114" customFormat="false" ht="12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CF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</row>
    <row r="115" customFormat="false" ht="12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CF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</row>
    <row r="116" customFormat="false" ht="12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CF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</row>
    <row r="117" customFormat="false" ht="12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CF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</row>
    <row r="118" customFormat="false" ht="12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CF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</row>
    <row r="119" customFormat="false" ht="12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CF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</row>
    <row r="120" customFormat="false" ht="12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CF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</row>
    <row r="121" customFormat="false" ht="12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CF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</row>
    <row r="122" customFormat="false" ht="12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CF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</row>
    <row r="123" customFormat="false" ht="12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CF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</row>
    <row r="124" customFormat="false" ht="12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CF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</row>
    <row r="125" customFormat="false" ht="12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CF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</row>
    <row r="126" customFormat="false" ht="12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CF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</row>
    <row r="127" customFormat="false" ht="12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CF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</row>
    <row r="128" customFormat="false" ht="12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CF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</row>
    <row r="129" customFormat="false" ht="12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CF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</row>
    <row r="130" customFormat="false" ht="12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CF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</row>
    <row r="131" customFormat="false" ht="12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CF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</row>
    <row r="132" customFormat="false" ht="12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CF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</row>
    <row r="133" customFormat="false" ht="12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CF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</row>
    <row r="134" customFormat="false" ht="12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CF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</row>
    <row r="135" customFormat="false" ht="12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CF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</row>
    <row r="136" customFormat="false" ht="12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CF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</row>
    <row r="137" customFormat="false" ht="12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CF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</row>
    <row r="138" customFormat="false" ht="12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CF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</row>
    <row r="139" customFormat="false" ht="12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CF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</row>
    <row r="140" customFormat="false" ht="12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CF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</row>
    <row r="141" customFormat="false" ht="12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CF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</row>
    <row r="142" customFormat="false" ht="12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CF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</row>
    <row r="143" customFormat="false" ht="12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CF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</row>
    <row r="144" customFormat="false" ht="12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CF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</row>
    <row r="145" customFormat="false" ht="12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CF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</row>
    <row r="146" customFormat="false" ht="12.75" hidden="false" customHeight="false" outlineLevel="0" collapsed="false">
      <c r="A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CF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</row>
    <row r="147" customFormat="false" ht="12.75" hidden="false" customHeight="false" outlineLevel="0" collapsed="false">
      <c r="A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CF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</row>
    <row r="148" customFormat="false" ht="12.75" hidden="false" customHeight="false" outlineLevel="0" collapsed="false">
      <c r="A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CF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</row>
    <row r="149" customFormat="false" ht="12.75" hidden="false" customHeight="false" outlineLevel="0" collapsed="false">
      <c r="A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CF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</row>
    <row r="150" customFormat="false" ht="12.75" hidden="false" customHeight="false" outlineLevel="0" collapsed="false">
      <c r="A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CF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</row>
    <row r="151" customFormat="false" ht="12.75" hidden="false" customHeight="false" outlineLevel="0" collapsed="false">
      <c r="A151" s="4"/>
      <c r="F151" s="4"/>
      <c r="G151" s="4"/>
      <c r="H151" s="4"/>
      <c r="I151" s="4"/>
      <c r="J151" s="4"/>
      <c r="K151" s="4"/>
      <c r="L151" s="4"/>
      <c r="M151" s="4"/>
      <c r="O151" s="4"/>
      <c r="P151" s="4"/>
      <c r="Q151" s="4"/>
      <c r="CF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</row>
  </sheetData>
  <mergeCells count="62">
    <mergeCell ref="H5:H6"/>
    <mergeCell ref="I5:I6"/>
    <mergeCell ref="J5:J6"/>
    <mergeCell ref="K5:K6"/>
    <mergeCell ref="L5:N5"/>
    <mergeCell ref="O5:O6"/>
    <mergeCell ref="P5:R5"/>
    <mergeCell ref="S5:S6"/>
    <mergeCell ref="V5:V6"/>
    <mergeCell ref="W5:W6"/>
    <mergeCell ref="X5:X6"/>
    <mergeCell ref="Y5:Y6"/>
    <mergeCell ref="Z5:Z6"/>
    <mergeCell ref="AA5:AA6"/>
    <mergeCell ref="AB5:AB6"/>
    <mergeCell ref="AC5:AC6"/>
    <mergeCell ref="AD5:AY5"/>
    <mergeCell ref="AZ5:AZ6"/>
    <mergeCell ref="BA5:BA6"/>
    <mergeCell ref="BB5:BB6"/>
    <mergeCell ref="BC5:BC6"/>
    <mergeCell ref="BF5:BF6"/>
    <mergeCell ref="BG5:BG6"/>
    <mergeCell ref="BH5:BH6"/>
    <mergeCell ref="BI5:BI6"/>
    <mergeCell ref="BJ5:CG5"/>
    <mergeCell ref="CH5:CH6"/>
    <mergeCell ref="CJ5:CJ6"/>
    <mergeCell ref="CK5:CK6"/>
    <mergeCell ref="CL5:CL6"/>
    <mergeCell ref="CM5:CM6"/>
    <mergeCell ref="CN5:DI5"/>
    <mergeCell ref="DJ5:DJ6"/>
    <mergeCell ref="H38:H39"/>
    <mergeCell ref="I38:K38"/>
    <mergeCell ref="L38:N38"/>
    <mergeCell ref="O38:O39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Y52"/>
    <mergeCell ref="AZ52:AZ53"/>
    <mergeCell ref="BA52:BA53"/>
    <mergeCell ref="BB52:BB53"/>
    <mergeCell ref="BC52:BC53"/>
    <mergeCell ref="BF52:BF53"/>
    <mergeCell ref="BG52:BG53"/>
    <mergeCell ref="BH52:BH53"/>
    <mergeCell ref="BI52:BI53"/>
    <mergeCell ref="BJ52:CG52"/>
    <mergeCell ref="CH52:CH53"/>
    <mergeCell ref="CJ52:CJ53"/>
    <mergeCell ref="CK52:CK53"/>
    <mergeCell ref="CL52:CL53"/>
    <mergeCell ref="CM52:CM53"/>
    <mergeCell ref="CN52:DI52"/>
    <mergeCell ref="DJ52:DJ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6"/>
  <sheetViews>
    <sheetView showFormulas="false" showGridLines="true" showRowColHeaders="true" showZeros="true" rightToLeft="false" tabSelected="false" showOutlineSymbols="true" defaultGridColor="true" view="normal" topLeftCell="AA16" colorId="64" zoomScale="75" zoomScaleNormal="75" zoomScalePageLayoutView="100" workbookViewId="0">
      <selection pane="topLeft" activeCell="AB49" activeCellId="0" sqref="AB4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3" width="92.56"/>
    <col collapsed="false" customWidth="true" hidden="false" outlineLevel="0" max="2" min="2" style="250" width="4.99"/>
    <col collapsed="false" customWidth="true" hidden="false" outlineLevel="0" max="3" min="3" style="0" width="7.14"/>
    <col collapsed="false" customWidth="true" hidden="false" outlineLevel="0" max="4" min="4" style="0" width="6.85"/>
    <col collapsed="false" customWidth="true" hidden="false" outlineLevel="0" max="5" min="5" style="0" width="16.84"/>
    <col collapsed="false" customWidth="true" hidden="false" outlineLevel="0" max="7" min="6" style="0" width="15.85"/>
    <col collapsed="false" customWidth="true" hidden="false" outlineLevel="0" max="9" min="9" style="0" width="7.56"/>
    <col collapsed="false" customWidth="true" hidden="false" outlineLevel="0" max="10" min="10" style="0" width="6.13"/>
    <col collapsed="false" customWidth="true" hidden="false" outlineLevel="0" max="11" min="11" style="0" width="7.28"/>
    <col collapsed="false" customWidth="true" hidden="false" outlineLevel="0" max="12" min="12" style="0" width="6.13"/>
    <col collapsed="false" customWidth="true" hidden="false" outlineLevel="0" max="13" min="13" style="0" width="6.85"/>
    <col collapsed="false" customWidth="true" hidden="false" outlineLevel="0" max="14" min="14" style="0" width="11.56"/>
    <col collapsed="false" customWidth="true" hidden="false" outlineLevel="0" max="15" min="15" style="0" width="11.13"/>
    <col collapsed="false" customWidth="true" hidden="false" outlineLevel="0" max="16" min="16" style="0" width="21.84"/>
    <col collapsed="false" customWidth="true" hidden="false" outlineLevel="0" max="17" min="17" style="0" width="9.41"/>
    <col collapsed="false" customWidth="true" hidden="false" outlineLevel="0" max="18" min="18" style="0" width="8.14"/>
    <col collapsed="false" customWidth="true" hidden="false" outlineLevel="0" max="19" min="19" style="0" width="7.28"/>
    <col collapsed="false" customWidth="true" hidden="false" outlineLevel="0" max="20" min="20" style="0" width="3.28"/>
    <col collapsed="false" customWidth="true" hidden="false" outlineLevel="0" max="21" min="21" style="0" width="5.13"/>
    <col collapsed="false" customWidth="true" hidden="false" outlineLevel="0" max="22" min="22" style="0" width="6.56"/>
    <col collapsed="false" customWidth="true" hidden="false" outlineLevel="0" max="23" min="23" style="0" width="12.56"/>
    <col collapsed="false" customWidth="true" hidden="false" outlineLevel="0" max="24" min="24" style="0" width="17.28"/>
    <col collapsed="false" customWidth="true" hidden="false" outlineLevel="0" max="25" min="25" style="0" width="6.56"/>
    <col collapsed="false" customWidth="true" hidden="false" outlineLevel="0" max="26" min="26" style="0" width="21.84"/>
    <col collapsed="false" customWidth="true" hidden="false" outlineLevel="0" max="27" min="27" style="0" width="8.99"/>
    <col collapsed="false" customWidth="true" hidden="false" outlineLevel="0" max="28" min="28" style="0" width="5.13"/>
    <col collapsed="false" customWidth="true" hidden="false" outlineLevel="0" max="29" min="29" style="0" width="2.7"/>
    <col collapsed="false" customWidth="true" hidden="false" outlineLevel="0" max="30" min="30" style="0" width="3.56"/>
    <col collapsed="false" customWidth="true" hidden="false" outlineLevel="0" max="31" min="31" style="0" width="6.41"/>
    <col collapsed="false" customWidth="true" hidden="false" outlineLevel="0" max="32" min="32" style="0" width="11.7"/>
    <col collapsed="false" customWidth="true" hidden="false" outlineLevel="0" max="33" min="33" style="0" width="14.41"/>
    <col collapsed="false" customWidth="true" hidden="false" outlineLevel="0" max="34" min="34" style="0" width="14.56"/>
    <col collapsed="false" customWidth="true" hidden="false" outlineLevel="0" max="35" min="35" style="0" width="14.7"/>
    <col collapsed="false" customWidth="true" hidden="false" outlineLevel="0" max="36" min="36" style="0" width="11.56"/>
    <col collapsed="false" customWidth="true" hidden="false" outlineLevel="0" max="37" min="37" style="0" width="9.41"/>
    <col collapsed="false" customWidth="true" hidden="false" outlineLevel="0" max="38" min="38" style="0" width="3.85"/>
    <col collapsed="false" customWidth="true" hidden="false" outlineLevel="0" max="39" min="39" style="0" width="5.85"/>
    <col collapsed="false" customWidth="true" hidden="false" outlineLevel="0" max="40" min="40" style="0" width="6.7"/>
    <col collapsed="false" customWidth="true" hidden="false" outlineLevel="0" max="41" min="41" style="0" width="7.42"/>
    <col collapsed="false" customWidth="true" hidden="false" outlineLevel="0" max="42" min="42" style="0" width="15.85"/>
    <col collapsed="false" customWidth="true" hidden="false" outlineLevel="0" max="43" min="43" style="0" width="26.7"/>
    <col collapsed="false" customWidth="true" hidden="false" outlineLevel="0" max="44" min="44" style="0" width="9.85"/>
    <col collapsed="false" customWidth="true" hidden="false" outlineLevel="0" max="45" min="45" style="0" width="6.99"/>
    <col collapsed="false" customWidth="true" hidden="false" outlineLevel="0" max="46" min="46" style="0" width="5.99"/>
    <col collapsed="false" customWidth="true" hidden="false" outlineLevel="0" max="47" min="47" style="0" width="3.85"/>
    <col collapsed="false" customWidth="true" hidden="false" outlineLevel="0" max="48" min="48" style="0" width="2.84"/>
    <col collapsed="false" customWidth="true" hidden="false" outlineLevel="0" max="49" min="49" style="0" width="6.7"/>
    <col collapsed="false" customWidth="true" hidden="false" outlineLevel="0" max="50" min="50" style="0" width="6.13"/>
    <col collapsed="false" customWidth="true" hidden="false" outlineLevel="0" max="51" min="51" style="0" width="17.14"/>
    <col collapsed="false" customWidth="true" hidden="false" outlineLevel="0" max="52" min="52" style="0" width="23.7"/>
    <col collapsed="false" customWidth="true" hidden="false" outlineLevel="0" max="53" min="53" style="0" width="11.7"/>
    <col collapsed="false" customWidth="true" hidden="false" outlineLevel="0" max="54" min="54" style="0" width="4.85"/>
    <col collapsed="false" customWidth="true" hidden="false" outlineLevel="0" max="55" min="55" style="0" width="7.28"/>
    <col collapsed="false" customWidth="true" hidden="false" outlineLevel="0" max="56" min="56" style="0" width="3.99"/>
  </cols>
  <sheetData>
    <row r="1" customFormat="false" ht="13.5" hidden="false" customHeight="false" outlineLevel="0" collapsed="false">
      <c r="A1" s="251"/>
      <c r="B1" s="3"/>
      <c r="C1" s="252"/>
      <c r="D1" s="253"/>
      <c r="E1" s="253"/>
      <c r="F1" s="253"/>
      <c r="G1" s="253"/>
      <c r="H1" s="253"/>
      <c r="I1" s="254"/>
      <c r="K1" s="80"/>
      <c r="L1" s="252"/>
      <c r="M1" s="253"/>
      <c r="N1" s="253"/>
      <c r="O1" s="253"/>
      <c r="P1" s="253"/>
      <c r="Q1" s="253"/>
      <c r="R1" s="255"/>
      <c r="S1" s="80"/>
      <c r="U1" s="252"/>
      <c r="V1" s="253"/>
      <c r="W1" s="253"/>
      <c r="X1" s="253"/>
      <c r="Y1" s="253"/>
      <c r="Z1" s="253"/>
      <c r="AA1" s="253"/>
      <c r="AB1" s="254"/>
      <c r="AC1" s="256"/>
      <c r="AE1" s="257"/>
      <c r="AF1" s="258"/>
      <c r="AG1" s="258"/>
      <c r="AH1" s="258"/>
      <c r="AI1" s="258"/>
      <c r="AJ1" s="258"/>
      <c r="AK1" s="259"/>
      <c r="AN1" s="257"/>
      <c r="AO1" s="258"/>
      <c r="AP1" s="258"/>
      <c r="AQ1" s="258"/>
      <c r="AR1" s="258"/>
      <c r="AS1" s="258"/>
      <c r="AT1" s="259"/>
      <c r="AW1" s="257"/>
      <c r="AX1" s="258"/>
      <c r="AY1" s="258"/>
      <c r="AZ1" s="258"/>
      <c r="BA1" s="258"/>
      <c r="BB1" s="258"/>
      <c r="BC1" s="259"/>
    </row>
    <row r="2" customFormat="false" ht="18" hidden="false" customHeight="false" outlineLevel="0" collapsed="false">
      <c r="A2" s="260" t="s">
        <v>96</v>
      </c>
      <c r="C2" s="261"/>
      <c r="D2" s="262" t="s">
        <v>97</v>
      </c>
      <c r="E2" s="263"/>
      <c r="F2" s="264" t="s">
        <v>98</v>
      </c>
      <c r="G2" s="4"/>
      <c r="H2" s="265"/>
      <c r="I2" s="266"/>
      <c r="J2" s="267"/>
      <c r="K2" s="268"/>
      <c r="L2" s="261"/>
      <c r="M2" s="262" t="s">
        <v>99</v>
      </c>
      <c r="N2" s="269" t="s">
        <v>100</v>
      </c>
      <c r="O2" s="269"/>
      <c r="P2" s="269"/>
      <c r="Q2" s="269"/>
      <c r="R2" s="269"/>
      <c r="S2" s="80"/>
      <c r="U2" s="261"/>
      <c r="V2" s="262" t="s">
        <v>101</v>
      </c>
      <c r="W2" s="264" t="s">
        <v>102</v>
      </c>
      <c r="X2" s="264"/>
      <c r="Y2" s="264"/>
      <c r="Z2" s="264"/>
      <c r="AA2" s="264"/>
      <c r="AB2" s="269"/>
      <c r="AC2" s="270"/>
      <c r="AE2" s="271"/>
      <c r="AF2" s="264" t="s">
        <v>103</v>
      </c>
      <c r="AG2" s="272" t="s">
        <v>104</v>
      </c>
      <c r="AH2" s="264"/>
      <c r="AI2" s="273"/>
      <c r="AJ2" s="265"/>
      <c r="AK2" s="274"/>
      <c r="AN2" s="271"/>
      <c r="AO2" s="262" t="s">
        <v>105</v>
      </c>
      <c r="AP2" s="272" t="s">
        <v>106</v>
      </c>
      <c r="AQ2" s="264"/>
      <c r="AR2" s="273"/>
      <c r="AS2" s="265"/>
      <c r="AT2" s="274"/>
      <c r="AW2" s="273"/>
      <c r="AX2" s="262" t="s">
        <v>107</v>
      </c>
      <c r="AY2" s="272" t="s">
        <v>108</v>
      </c>
      <c r="AZ2" s="264"/>
      <c r="BA2" s="273"/>
      <c r="BB2" s="265"/>
      <c r="BC2" s="274"/>
    </row>
    <row r="3" customFormat="false" ht="18" hidden="false" customHeight="false" outlineLevel="0" collapsed="false">
      <c r="A3" s="260" t="s">
        <v>109</v>
      </c>
      <c r="C3" s="275" t="s">
        <v>110</v>
      </c>
      <c r="D3" s="276"/>
      <c r="E3" s="263"/>
      <c r="F3" s="277"/>
      <c r="G3" s="265"/>
      <c r="H3" s="265"/>
      <c r="I3" s="266"/>
      <c r="K3" s="80"/>
      <c r="L3" s="275" t="s">
        <v>110</v>
      </c>
      <c r="M3" s="276"/>
      <c r="N3" s="263"/>
      <c r="O3" s="277"/>
      <c r="P3" s="265"/>
      <c r="Q3" s="265"/>
      <c r="R3" s="278"/>
      <c r="S3" s="80"/>
      <c r="U3" s="275" t="s">
        <v>111</v>
      </c>
      <c r="V3" s="276"/>
      <c r="W3" s="276"/>
      <c r="X3" s="263"/>
      <c r="Y3" s="277"/>
      <c r="Z3" s="265"/>
      <c r="AA3" s="265"/>
      <c r="AB3" s="266"/>
      <c r="AC3" s="270"/>
      <c r="AE3" s="275" t="s">
        <v>112</v>
      </c>
      <c r="AF3" s="276"/>
      <c r="AG3" s="263"/>
      <c r="AH3" s="277"/>
      <c r="AI3" s="265"/>
      <c r="AJ3" s="265"/>
      <c r="AK3" s="278"/>
      <c r="AN3" s="275" t="s">
        <v>110</v>
      </c>
      <c r="AO3" s="276"/>
      <c r="AP3" s="263"/>
      <c r="AQ3" s="277"/>
      <c r="AR3" s="265"/>
      <c r="AS3" s="265"/>
      <c r="AT3" s="278"/>
      <c r="AW3" s="275" t="s">
        <v>110</v>
      </c>
      <c r="AX3" s="276"/>
      <c r="AY3" s="263"/>
      <c r="AZ3" s="277"/>
      <c r="BA3" s="265"/>
      <c r="BB3" s="265"/>
      <c r="BC3" s="278"/>
    </row>
    <row r="4" customFormat="false" ht="13.5" hidden="false" customHeight="true" outlineLevel="0" collapsed="false">
      <c r="A4" s="260" t="s">
        <v>113</v>
      </c>
      <c r="B4" s="279"/>
      <c r="C4" s="280"/>
      <c r="D4" s="281" t="s">
        <v>114</v>
      </c>
      <c r="E4" s="281"/>
      <c r="F4" s="281"/>
      <c r="G4" s="281"/>
      <c r="H4" s="281"/>
      <c r="I4" s="281"/>
      <c r="K4" s="80"/>
      <c r="L4" s="275"/>
      <c r="M4" s="281" t="s">
        <v>115</v>
      </c>
      <c r="N4" s="281"/>
      <c r="O4" s="281"/>
      <c r="P4" s="281"/>
      <c r="Q4" s="281"/>
      <c r="R4" s="281"/>
      <c r="S4" s="80"/>
      <c r="U4" s="280"/>
      <c r="V4" s="282" t="s">
        <v>116</v>
      </c>
      <c r="W4" s="282"/>
      <c r="X4" s="282"/>
      <c r="Y4" s="282"/>
      <c r="Z4" s="282"/>
      <c r="AA4" s="282"/>
      <c r="AB4" s="281"/>
      <c r="AC4" s="282"/>
      <c r="AE4" s="283"/>
      <c r="AF4" s="284" t="s">
        <v>117</v>
      </c>
      <c r="AG4" s="284"/>
      <c r="AH4" s="284"/>
      <c r="AI4" s="284"/>
      <c r="AJ4" s="284"/>
      <c r="AK4" s="284"/>
      <c r="AN4" s="275"/>
      <c r="AO4" s="281" t="s">
        <v>118</v>
      </c>
      <c r="AP4" s="281"/>
      <c r="AQ4" s="281"/>
      <c r="AR4" s="281"/>
      <c r="AS4" s="281"/>
      <c r="AT4" s="281"/>
      <c r="AW4" s="275"/>
      <c r="AX4" s="281" t="s">
        <v>119</v>
      </c>
      <c r="AY4" s="281"/>
      <c r="AZ4" s="281"/>
      <c r="BA4" s="281"/>
      <c r="BB4" s="281"/>
      <c r="BC4" s="281"/>
    </row>
    <row r="5" customFormat="false" ht="15" hidden="false" customHeight="true" outlineLevel="0" collapsed="false">
      <c r="A5" s="285"/>
      <c r="B5" s="286"/>
      <c r="C5" s="280"/>
      <c r="D5" s="287" t="s">
        <v>120</v>
      </c>
      <c r="E5" s="287"/>
      <c r="F5" s="287"/>
      <c r="G5" s="287"/>
      <c r="H5" s="287"/>
      <c r="I5" s="287"/>
      <c r="K5" s="80"/>
      <c r="L5" s="275"/>
      <c r="M5" s="288" t="s">
        <v>121</v>
      </c>
      <c r="N5" s="288"/>
      <c r="O5" s="288"/>
      <c r="P5" s="288"/>
      <c r="Q5" s="288"/>
      <c r="R5" s="288"/>
      <c r="S5" s="80"/>
      <c r="U5" s="280"/>
      <c r="V5" s="282" t="s">
        <v>122</v>
      </c>
      <c r="W5" s="289"/>
      <c r="X5" s="289"/>
      <c r="Y5" s="289"/>
      <c r="Z5" s="289"/>
      <c r="AA5" s="289"/>
      <c r="AB5" s="288"/>
      <c r="AC5" s="289"/>
      <c r="AE5" s="283"/>
      <c r="AF5" s="290" t="s">
        <v>123</v>
      </c>
      <c r="AG5" s="291"/>
      <c r="AH5" s="291"/>
      <c r="AI5" s="291"/>
      <c r="AJ5" s="291"/>
      <c r="AK5" s="284"/>
      <c r="AN5" s="283"/>
      <c r="AO5" s="284" t="s">
        <v>117</v>
      </c>
      <c r="AP5" s="284"/>
      <c r="AQ5" s="284"/>
      <c r="AR5" s="284"/>
      <c r="AS5" s="284"/>
      <c r="AT5" s="284"/>
      <c r="AW5" s="283"/>
      <c r="AX5" s="292" t="s">
        <v>124</v>
      </c>
      <c r="AY5" s="292"/>
      <c r="AZ5" s="292"/>
      <c r="BA5" s="292"/>
      <c r="BB5" s="292"/>
      <c r="BC5" s="293"/>
    </row>
    <row r="6" customFormat="false" ht="18.75" hidden="false" customHeight="true" outlineLevel="0" collapsed="false">
      <c r="A6" s="260" t="s">
        <v>125</v>
      </c>
      <c r="B6" s="294"/>
      <c r="C6" s="280"/>
      <c r="D6" s="295" t="s">
        <v>126</v>
      </c>
      <c r="E6" s="289"/>
      <c r="F6" s="289"/>
      <c r="G6" s="289"/>
      <c r="H6" s="289"/>
      <c r="I6" s="288"/>
      <c r="K6" s="80"/>
      <c r="L6" s="275"/>
      <c r="M6" s="289" t="s">
        <v>127</v>
      </c>
      <c r="N6" s="289"/>
      <c r="O6" s="289"/>
      <c r="P6" s="289"/>
      <c r="Q6" s="289"/>
      <c r="R6" s="288"/>
      <c r="S6" s="80"/>
      <c r="U6" s="280"/>
      <c r="V6" s="282" t="s">
        <v>128</v>
      </c>
      <c r="W6" s="282"/>
      <c r="X6" s="282"/>
      <c r="Y6" s="282"/>
      <c r="Z6" s="282"/>
      <c r="AA6" s="282"/>
      <c r="AB6" s="281"/>
      <c r="AC6" s="282"/>
      <c r="AE6" s="283"/>
      <c r="AF6" s="290" t="s">
        <v>129</v>
      </c>
      <c r="AG6" s="291"/>
      <c r="AH6" s="291"/>
      <c r="AI6" s="291"/>
      <c r="AJ6" s="291"/>
      <c r="AK6" s="284"/>
      <c r="AN6" s="283"/>
      <c r="AO6" s="292" t="s">
        <v>130</v>
      </c>
      <c r="AP6" s="273"/>
      <c r="AQ6" s="273"/>
      <c r="AR6" s="273"/>
      <c r="AS6" s="273"/>
      <c r="AT6" s="274"/>
      <c r="AW6" s="283"/>
      <c r="AX6" s="292" t="s">
        <v>131</v>
      </c>
      <c r="AY6" s="292"/>
      <c r="AZ6" s="292"/>
      <c r="BA6" s="292"/>
      <c r="BB6" s="292"/>
      <c r="BC6" s="293"/>
    </row>
    <row r="7" customFormat="false" ht="18" hidden="false" customHeight="true" outlineLevel="0" collapsed="false">
      <c r="A7" s="285" t="s">
        <v>132</v>
      </c>
      <c r="B7" s="294"/>
      <c r="C7" s="280"/>
      <c r="D7" s="290" t="s">
        <v>133</v>
      </c>
      <c r="E7" s="289"/>
      <c r="F7" s="289"/>
      <c r="G7" s="289"/>
      <c r="H7" s="289"/>
      <c r="I7" s="288"/>
      <c r="K7" s="80"/>
      <c r="L7" s="280"/>
      <c r="M7" s="290" t="s">
        <v>134</v>
      </c>
      <c r="N7" s="289"/>
      <c r="O7" s="289"/>
      <c r="P7" s="289"/>
      <c r="Q7" s="289"/>
      <c r="R7" s="288"/>
      <c r="S7" s="80"/>
      <c r="U7" s="280"/>
      <c r="V7" s="290" t="s">
        <v>135</v>
      </c>
      <c r="W7" s="290"/>
      <c r="X7" s="289"/>
      <c r="Y7" s="289"/>
      <c r="Z7" s="289"/>
      <c r="AA7" s="289"/>
      <c r="AB7" s="288"/>
      <c r="AC7" s="291"/>
      <c r="AE7" s="283"/>
      <c r="AF7" s="284" t="s">
        <v>136</v>
      </c>
      <c r="AG7" s="284"/>
      <c r="AH7" s="284"/>
      <c r="AI7" s="284"/>
      <c r="AJ7" s="284"/>
      <c r="AK7" s="284"/>
      <c r="AN7" s="283"/>
      <c r="AO7" s="292" t="s">
        <v>137</v>
      </c>
      <c r="AP7" s="273"/>
      <c r="AQ7" s="273"/>
      <c r="AR7" s="273"/>
      <c r="AS7" s="273"/>
      <c r="AT7" s="274"/>
      <c r="AW7" s="283"/>
      <c r="AX7" s="69" t="s">
        <v>138</v>
      </c>
      <c r="AY7" s="273"/>
      <c r="AZ7" s="273"/>
      <c r="BA7" s="273"/>
      <c r="BB7" s="273"/>
      <c r="BC7" s="274"/>
    </row>
    <row r="8" customFormat="false" ht="18" hidden="false" customHeight="true" outlineLevel="0" collapsed="false">
      <c r="A8" s="285" t="s">
        <v>139</v>
      </c>
      <c r="B8" s="294"/>
      <c r="C8" s="280"/>
      <c r="D8" s="290" t="s">
        <v>140</v>
      </c>
      <c r="E8" s="289"/>
      <c r="F8" s="289"/>
      <c r="G8" s="289"/>
      <c r="H8" s="289"/>
      <c r="I8" s="288"/>
      <c r="K8" s="80"/>
      <c r="L8" s="280"/>
      <c r="M8" s="290" t="s">
        <v>141</v>
      </c>
      <c r="N8" s="289"/>
      <c r="O8" s="289"/>
      <c r="P8" s="289"/>
      <c r="Q8" s="289"/>
      <c r="R8" s="288"/>
      <c r="S8" s="80"/>
      <c r="U8" s="283"/>
      <c r="V8" s="291" t="s">
        <v>117</v>
      </c>
      <c r="W8" s="291"/>
      <c r="X8" s="291"/>
      <c r="Y8" s="291"/>
      <c r="Z8" s="291"/>
      <c r="AA8" s="291"/>
      <c r="AB8" s="284"/>
      <c r="AC8" s="296"/>
      <c r="AE8" s="283"/>
      <c r="AF8" s="290" t="s">
        <v>142</v>
      </c>
      <c r="AG8" s="291"/>
      <c r="AH8" s="291"/>
      <c r="AI8" s="291"/>
      <c r="AJ8" s="291"/>
      <c r="AK8" s="284"/>
      <c r="AN8" s="283"/>
      <c r="AO8" s="273" t="s">
        <v>143</v>
      </c>
      <c r="AP8" s="273"/>
      <c r="AQ8" s="273"/>
      <c r="AR8" s="273"/>
      <c r="AS8" s="273"/>
      <c r="AT8" s="274"/>
      <c r="AW8" s="283"/>
      <c r="AX8" s="273" t="s">
        <v>144</v>
      </c>
      <c r="AY8" s="273"/>
      <c r="AZ8" s="273"/>
      <c r="BA8" s="273"/>
      <c r="BB8" s="273"/>
      <c r="BC8" s="274"/>
    </row>
    <row r="9" customFormat="false" ht="15" hidden="false" customHeight="false" outlineLevel="0" collapsed="false">
      <c r="A9" s="285" t="s">
        <v>145</v>
      </c>
      <c r="B9" s="294"/>
      <c r="C9" s="280"/>
      <c r="D9" s="284" t="s">
        <v>117</v>
      </c>
      <c r="E9" s="284"/>
      <c r="F9" s="284"/>
      <c r="G9" s="284"/>
      <c r="H9" s="284"/>
      <c r="I9" s="284"/>
      <c r="K9" s="80"/>
      <c r="L9" s="283"/>
      <c r="M9" s="284" t="s">
        <v>117</v>
      </c>
      <c r="N9" s="284"/>
      <c r="O9" s="284"/>
      <c r="P9" s="284"/>
      <c r="Q9" s="284"/>
      <c r="R9" s="284"/>
      <c r="S9" s="80"/>
      <c r="U9" s="280"/>
      <c r="V9" s="282" t="s">
        <v>146</v>
      </c>
      <c r="W9" s="291"/>
      <c r="X9" s="291"/>
      <c r="Y9" s="291"/>
      <c r="Z9" s="291"/>
      <c r="AA9" s="291"/>
      <c r="AB9" s="284"/>
      <c r="AC9" s="291"/>
      <c r="AE9" s="283"/>
      <c r="AF9" s="290" t="s">
        <v>147</v>
      </c>
      <c r="AG9" s="291"/>
      <c r="AH9" s="291"/>
      <c r="AI9" s="291"/>
      <c r="AJ9" s="291"/>
      <c r="AK9" s="284"/>
      <c r="AN9" s="283"/>
      <c r="AO9" s="297" t="s">
        <v>148</v>
      </c>
      <c r="AP9" s="273"/>
      <c r="AQ9" s="273"/>
      <c r="AR9" s="273"/>
      <c r="AS9" s="273"/>
      <c r="AT9" s="274"/>
      <c r="AW9" s="283"/>
      <c r="AX9" s="298"/>
      <c r="AY9" s="298"/>
      <c r="AZ9" s="298"/>
      <c r="BA9" s="298"/>
      <c r="BB9" s="298"/>
      <c r="BC9" s="299"/>
    </row>
    <row r="10" customFormat="false" ht="15" hidden="false" customHeight="false" outlineLevel="0" collapsed="false">
      <c r="A10" s="260" t="s">
        <v>149</v>
      </c>
      <c r="B10" s="300"/>
      <c r="C10" s="283"/>
      <c r="D10" s="281" t="s">
        <v>150</v>
      </c>
      <c r="E10" s="281"/>
      <c r="F10" s="281"/>
      <c r="G10" s="281"/>
      <c r="H10" s="281"/>
      <c r="I10" s="281"/>
      <c r="K10" s="80"/>
      <c r="L10" s="275"/>
      <c r="M10" s="281" t="s">
        <v>151</v>
      </c>
      <c r="N10" s="281"/>
      <c r="O10" s="281"/>
      <c r="P10" s="281"/>
      <c r="Q10" s="281"/>
      <c r="R10" s="281"/>
      <c r="S10" s="80"/>
      <c r="U10" s="283"/>
      <c r="V10" s="298" t="s">
        <v>152</v>
      </c>
      <c r="W10" s="301"/>
      <c r="X10" s="296"/>
      <c r="Y10" s="296"/>
      <c r="Z10" s="296"/>
      <c r="AA10" s="296"/>
      <c r="AB10" s="302"/>
      <c r="AC10" s="69"/>
      <c r="AE10" s="283"/>
      <c r="AF10" s="273" t="s">
        <v>153</v>
      </c>
      <c r="AG10" s="273"/>
      <c r="AH10" s="273"/>
      <c r="AI10" s="273"/>
      <c r="AJ10" s="273"/>
      <c r="AK10" s="274"/>
      <c r="AN10" s="283"/>
      <c r="AO10" s="284" t="s">
        <v>136</v>
      </c>
      <c r="AP10" s="284"/>
      <c r="AQ10" s="284"/>
      <c r="AR10" s="284"/>
      <c r="AS10" s="284"/>
      <c r="AT10" s="284"/>
      <c r="AW10" s="283"/>
      <c r="AX10" s="303" t="s">
        <v>154</v>
      </c>
      <c r="AY10" s="304"/>
      <c r="AZ10" s="304"/>
      <c r="BA10" s="304"/>
      <c r="BB10" s="305"/>
      <c r="BC10" s="274"/>
    </row>
    <row r="11" customFormat="false" ht="15" hidden="false" customHeight="false" outlineLevel="0" collapsed="false">
      <c r="A11" s="285"/>
      <c r="B11" s="300"/>
      <c r="C11" s="283"/>
      <c r="D11" s="306" t="s">
        <v>155</v>
      </c>
      <c r="E11" s="307"/>
      <c r="F11" s="307"/>
      <c r="G11" s="307"/>
      <c r="H11" s="307"/>
      <c r="I11" s="302"/>
      <c r="K11" s="80"/>
      <c r="L11" s="283"/>
      <c r="M11" s="308" t="s">
        <v>156</v>
      </c>
      <c r="N11" s="308"/>
      <c r="O11" s="308"/>
      <c r="P11" s="308"/>
      <c r="Q11" s="308"/>
      <c r="R11" s="308"/>
      <c r="S11" s="80"/>
      <c r="U11" s="283"/>
      <c r="V11" s="298" t="s">
        <v>157</v>
      </c>
      <c r="W11" s="301"/>
      <c r="X11" s="296"/>
      <c r="Y11" s="296"/>
      <c r="Z11" s="296"/>
      <c r="AA11" s="296"/>
      <c r="AB11" s="302"/>
      <c r="AC11" s="296"/>
      <c r="AE11" s="283"/>
      <c r="AF11" s="273" t="s">
        <v>158</v>
      </c>
      <c r="AG11" s="273"/>
      <c r="AH11" s="273"/>
      <c r="AI11" s="273"/>
      <c r="AJ11" s="273"/>
      <c r="AK11" s="274"/>
      <c r="AN11" s="283"/>
      <c r="AO11" s="309" t="s">
        <v>159</v>
      </c>
      <c r="AP11" s="310"/>
      <c r="AQ11" s="292"/>
      <c r="AR11" s="292"/>
      <c r="AS11" s="292"/>
      <c r="AT11" s="293"/>
      <c r="AW11" s="283"/>
      <c r="AX11" s="311"/>
      <c r="AY11" s="312"/>
      <c r="AZ11" s="312"/>
      <c r="BA11" s="312"/>
      <c r="BB11" s="313"/>
      <c r="BC11" s="274"/>
    </row>
    <row r="12" customFormat="false" ht="15" hidden="false" customHeight="false" outlineLevel="0" collapsed="false">
      <c r="A12" s="285" t="s">
        <v>160</v>
      </c>
      <c r="B12" s="300"/>
      <c r="C12" s="283"/>
      <c r="D12" s="282" t="s">
        <v>161</v>
      </c>
      <c r="E12" s="307"/>
      <c r="F12" s="307"/>
      <c r="G12" s="307"/>
      <c r="H12" s="307"/>
      <c r="I12" s="302"/>
      <c r="K12" s="80"/>
      <c r="L12" s="283"/>
      <c r="M12" s="299" t="s">
        <v>162</v>
      </c>
      <c r="N12" s="299"/>
      <c r="O12" s="299"/>
      <c r="P12" s="299"/>
      <c r="Q12" s="299"/>
      <c r="R12" s="299"/>
      <c r="S12" s="80"/>
      <c r="U12" s="283"/>
      <c r="V12" s="292" t="s">
        <v>163</v>
      </c>
      <c r="W12" s="292"/>
      <c r="X12" s="292"/>
      <c r="Y12" s="292"/>
      <c r="Z12" s="292"/>
      <c r="AA12" s="292"/>
      <c r="AB12" s="293"/>
      <c r="AC12" s="296"/>
      <c r="AE12" s="283"/>
      <c r="AF12" s="293" t="s">
        <v>164</v>
      </c>
      <c r="AG12" s="293"/>
      <c r="AH12" s="293"/>
      <c r="AI12" s="293"/>
      <c r="AJ12" s="293"/>
      <c r="AK12" s="293"/>
      <c r="AN12" s="283"/>
      <c r="AO12" s="314" t="s">
        <v>165</v>
      </c>
      <c r="AP12" s="310"/>
      <c r="AQ12" s="292"/>
      <c r="AR12" s="292"/>
      <c r="AS12" s="292"/>
      <c r="AT12" s="293"/>
      <c r="AW12" s="283"/>
      <c r="AX12" s="315" t="s">
        <v>166</v>
      </c>
      <c r="AY12" s="312"/>
      <c r="AZ12" s="312"/>
      <c r="BA12" s="316" t="n">
        <v>25</v>
      </c>
      <c r="BB12" s="313"/>
      <c r="BC12" s="274"/>
    </row>
    <row r="13" customFormat="false" ht="15" hidden="false" customHeight="false" outlineLevel="0" collapsed="false">
      <c r="A13" s="285" t="s">
        <v>167</v>
      </c>
      <c r="B13" s="286"/>
      <c r="C13" s="283"/>
      <c r="D13" s="281" t="s">
        <v>168</v>
      </c>
      <c r="E13" s="281"/>
      <c r="F13" s="281"/>
      <c r="G13" s="281"/>
      <c r="H13" s="281"/>
      <c r="I13" s="281"/>
      <c r="K13" s="80"/>
      <c r="L13" s="283"/>
      <c r="M13" s="273" t="s">
        <v>169</v>
      </c>
      <c r="N13" s="273"/>
      <c r="O13" s="273"/>
      <c r="P13" s="273"/>
      <c r="Q13" s="273"/>
      <c r="R13" s="274"/>
      <c r="S13" s="80"/>
      <c r="U13" s="283"/>
      <c r="V13" s="292" t="s">
        <v>170</v>
      </c>
      <c r="W13" s="292"/>
      <c r="X13" s="292"/>
      <c r="Y13" s="292"/>
      <c r="Z13" s="292"/>
      <c r="AA13" s="292"/>
      <c r="AB13" s="293"/>
      <c r="AC13" s="296"/>
      <c r="AE13" s="283"/>
      <c r="AF13" s="317" t="s">
        <v>171</v>
      </c>
      <c r="AG13" s="317"/>
      <c r="AH13" s="317"/>
      <c r="AI13" s="317"/>
      <c r="AJ13" s="317"/>
      <c r="AK13" s="317"/>
      <c r="AN13" s="283"/>
      <c r="AO13" s="318"/>
      <c r="AP13" s="318"/>
      <c r="AQ13" s="318"/>
      <c r="AR13" s="318"/>
      <c r="AS13" s="318"/>
      <c r="AT13" s="318"/>
      <c r="AW13" s="271"/>
      <c r="AX13" s="315" t="s">
        <v>172</v>
      </c>
      <c r="AY13" s="30"/>
      <c r="AZ13" s="30"/>
      <c r="BA13" s="319" t="n">
        <v>1.1</v>
      </c>
      <c r="BB13" s="22"/>
      <c r="BC13" s="274"/>
    </row>
    <row r="14" customFormat="false" ht="15" hidden="false" customHeight="false" outlineLevel="0" collapsed="false">
      <c r="A14" s="285" t="s">
        <v>173</v>
      </c>
      <c r="B14" s="320"/>
      <c r="C14" s="283"/>
      <c r="D14" s="281" t="s">
        <v>174</v>
      </c>
      <c r="E14" s="281"/>
      <c r="F14" s="281"/>
      <c r="G14" s="281"/>
      <c r="H14" s="281"/>
      <c r="I14" s="281"/>
      <c r="K14" s="80"/>
      <c r="L14" s="283"/>
      <c r="M14" s="273" t="s">
        <v>175</v>
      </c>
      <c r="N14" s="273"/>
      <c r="O14" s="273"/>
      <c r="P14" s="273"/>
      <c r="Q14" s="273"/>
      <c r="R14" s="274"/>
      <c r="S14" s="80"/>
      <c r="U14" s="283"/>
      <c r="V14" s="292" t="s">
        <v>176</v>
      </c>
      <c r="W14" s="292"/>
      <c r="X14" s="292"/>
      <c r="Y14" s="292"/>
      <c r="Z14" s="292"/>
      <c r="AA14" s="292"/>
      <c r="AB14" s="293"/>
      <c r="AC14" s="296"/>
      <c r="AE14" s="283"/>
      <c r="AF14" s="317" t="s">
        <v>177</v>
      </c>
      <c r="AG14" s="317"/>
      <c r="AH14" s="317"/>
      <c r="AI14" s="317"/>
      <c r="AJ14" s="317"/>
      <c r="AK14" s="317"/>
      <c r="AN14" s="283"/>
      <c r="AO14" s="321"/>
      <c r="AP14" s="304"/>
      <c r="AQ14" s="304"/>
      <c r="AR14" s="304"/>
      <c r="AS14" s="305"/>
      <c r="AT14" s="274"/>
      <c r="AW14" s="271"/>
      <c r="AX14" s="315" t="s">
        <v>178</v>
      </c>
      <c r="AY14" s="30"/>
      <c r="AZ14" s="30"/>
      <c r="BA14" s="322" t="n">
        <v>0.18</v>
      </c>
      <c r="BB14" s="22"/>
      <c r="BC14" s="274"/>
    </row>
    <row r="15" customFormat="false" ht="15" hidden="false" customHeight="false" outlineLevel="0" collapsed="false">
      <c r="A15" s="285" t="s">
        <v>179</v>
      </c>
      <c r="B15" s="279"/>
      <c r="C15" s="283"/>
      <c r="D15" s="282" t="s">
        <v>180</v>
      </c>
      <c r="E15" s="307"/>
      <c r="F15" s="307"/>
      <c r="G15" s="307"/>
      <c r="H15" s="307"/>
      <c r="I15" s="302"/>
      <c r="K15" s="80"/>
      <c r="L15" s="283"/>
      <c r="M15" s="273" t="s">
        <v>181</v>
      </c>
      <c r="N15" s="273"/>
      <c r="O15" s="273"/>
      <c r="P15" s="273"/>
      <c r="Q15" s="273"/>
      <c r="R15" s="274"/>
      <c r="S15" s="80"/>
      <c r="U15" s="283"/>
      <c r="V15" s="292" t="s">
        <v>182</v>
      </c>
      <c r="W15" s="292"/>
      <c r="X15" s="292"/>
      <c r="Y15" s="292"/>
      <c r="Z15" s="292"/>
      <c r="AA15" s="292"/>
      <c r="AB15" s="293"/>
      <c r="AC15" s="69"/>
      <c r="AE15" s="283"/>
      <c r="AF15" s="298"/>
      <c r="AG15" s="298"/>
      <c r="AH15" s="298"/>
      <c r="AI15" s="298"/>
      <c r="AJ15" s="298"/>
      <c r="AK15" s="299"/>
      <c r="AN15" s="283"/>
      <c r="AO15" s="323" t="s">
        <v>27</v>
      </c>
      <c r="AP15" s="20"/>
      <c r="AQ15" s="20"/>
      <c r="AR15" s="20"/>
      <c r="AS15" s="324"/>
      <c r="AT15" s="274"/>
      <c r="AW15" s="271"/>
      <c r="AX15" s="315" t="s">
        <v>183</v>
      </c>
      <c r="AY15" s="30"/>
      <c r="AZ15" s="30"/>
      <c r="BA15" s="322" t="n">
        <v>0.18</v>
      </c>
      <c r="BB15" s="22"/>
      <c r="BC15" s="274"/>
    </row>
    <row r="16" customFormat="false" ht="15" hidden="false" customHeight="true" outlineLevel="0" collapsed="false">
      <c r="A16" s="285"/>
      <c r="B16" s="294"/>
      <c r="C16" s="283"/>
      <c r="D16" s="325" t="s">
        <v>184</v>
      </c>
      <c r="E16" s="325"/>
      <c r="F16" s="325"/>
      <c r="G16" s="325"/>
      <c r="H16" s="325"/>
      <c r="I16" s="325"/>
      <c r="K16" s="80"/>
      <c r="L16" s="283"/>
      <c r="M16" s="273" t="s">
        <v>185</v>
      </c>
      <c r="N16" s="273"/>
      <c r="O16" s="273"/>
      <c r="P16" s="273"/>
      <c r="Q16" s="273"/>
      <c r="R16" s="274"/>
      <c r="S16" s="80"/>
      <c r="U16" s="267"/>
      <c r="V16" s="69"/>
      <c r="W16" s="69"/>
      <c r="X16" s="69"/>
      <c r="Y16" s="69"/>
      <c r="Z16" s="69"/>
      <c r="AA16" s="69"/>
      <c r="AB16" s="326"/>
      <c r="AC16" s="69"/>
      <c r="AE16" s="283"/>
      <c r="AF16" s="327" t="s">
        <v>15</v>
      </c>
      <c r="AG16" s="328"/>
      <c r="AH16" s="328"/>
      <c r="AI16" s="328"/>
      <c r="AJ16" s="329"/>
      <c r="AK16" s="274"/>
      <c r="AN16" s="283"/>
      <c r="AO16" s="330"/>
      <c r="AP16" s="30" t="s">
        <v>186</v>
      </c>
      <c r="AQ16" s="30"/>
      <c r="AR16" s="331" t="n">
        <v>12</v>
      </c>
      <c r="AS16" s="22"/>
      <c r="AT16" s="274"/>
      <c r="AW16" s="271"/>
      <c r="AX16" s="315" t="s">
        <v>187</v>
      </c>
      <c r="AY16" s="30"/>
      <c r="AZ16" s="30"/>
      <c r="BA16" s="332"/>
      <c r="BB16" s="22"/>
      <c r="BC16" s="274"/>
    </row>
    <row r="17" customFormat="false" ht="16.5" hidden="false" customHeight="true" outlineLevel="0" collapsed="false">
      <c r="A17" s="333" t="s">
        <v>188</v>
      </c>
      <c r="B17" s="320"/>
      <c r="C17" s="283"/>
      <c r="D17" s="281" t="s">
        <v>189</v>
      </c>
      <c r="E17" s="281"/>
      <c r="F17" s="281"/>
      <c r="G17" s="281"/>
      <c r="H17" s="281"/>
      <c r="I17" s="281"/>
      <c r="K17" s="80"/>
      <c r="L17" s="283"/>
      <c r="M17" s="281"/>
      <c r="N17" s="281"/>
      <c r="O17" s="281"/>
      <c r="P17" s="281"/>
      <c r="Q17" s="281"/>
      <c r="R17" s="281"/>
      <c r="S17" s="80"/>
      <c r="U17" s="267"/>
      <c r="V17" s="334" t="s">
        <v>4</v>
      </c>
      <c r="W17" s="335" t="s">
        <v>190</v>
      </c>
      <c r="X17" s="336" t="s">
        <v>191</v>
      </c>
      <c r="Y17" s="336"/>
      <c r="Z17" s="336"/>
      <c r="AA17" s="336"/>
      <c r="AB17" s="326"/>
      <c r="AC17" s="69"/>
      <c r="AE17" s="283"/>
      <c r="AF17" s="330"/>
      <c r="AG17" s="30" t="s">
        <v>22</v>
      </c>
      <c r="AH17" s="30"/>
      <c r="AI17" s="331" t="n">
        <v>7</v>
      </c>
      <c r="AJ17" s="22"/>
      <c r="AK17" s="274"/>
      <c r="AN17" s="271"/>
      <c r="AO17" s="330"/>
      <c r="AP17" s="30" t="s">
        <v>28</v>
      </c>
      <c r="AQ17" s="30"/>
      <c r="AR17" s="331" t="n">
        <v>0.2</v>
      </c>
      <c r="AS17" s="22"/>
      <c r="AT17" s="274"/>
      <c r="AW17" s="271"/>
      <c r="AX17" s="330"/>
      <c r="AY17" s="30" t="s">
        <v>192</v>
      </c>
      <c r="AZ17" s="30"/>
      <c r="BA17" s="337" t="n">
        <v>24.7</v>
      </c>
      <c r="BB17" s="22"/>
      <c r="BC17" s="274"/>
    </row>
    <row r="18" customFormat="false" ht="15.75" hidden="false" customHeight="true" outlineLevel="0" collapsed="false">
      <c r="A18" s="338" t="s">
        <v>193</v>
      </c>
      <c r="C18" s="283"/>
      <c r="D18" s="282" t="s">
        <v>194</v>
      </c>
      <c r="E18" s="307"/>
      <c r="F18" s="307"/>
      <c r="G18" s="307"/>
      <c r="H18" s="307"/>
      <c r="I18" s="302"/>
      <c r="K18" s="80"/>
      <c r="L18" s="283"/>
      <c r="M18" s="339" t="s">
        <v>4</v>
      </c>
      <c r="N18" s="339" t="s">
        <v>195</v>
      </c>
      <c r="O18" s="340" t="s">
        <v>196</v>
      </c>
      <c r="P18" s="340"/>
      <c r="Q18" s="340"/>
      <c r="R18" s="274"/>
      <c r="S18" s="80"/>
      <c r="U18" s="267"/>
      <c r="V18" s="334"/>
      <c r="W18" s="335"/>
      <c r="X18" s="341" t="s">
        <v>195</v>
      </c>
      <c r="Y18" s="342" t="s">
        <v>197</v>
      </c>
      <c r="Z18" s="343" t="s">
        <v>198</v>
      </c>
      <c r="AA18" s="343" t="s">
        <v>199</v>
      </c>
      <c r="AB18" s="326"/>
      <c r="AC18" s="69"/>
      <c r="AE18" s="283"/>
      <c r="AF18" s="330"/>
      <c r="AG18" s="30" t="s">
        <v>24</v>
      </c>
      <c r="AH18" s="30"/>
      <c r="AI18" s="331" t="n">
        <v>4.5</v>
      </c>
      <c r="AJ18" s="22"/>
      <c r="AK18" s="274"/>
      <c r="AN18" s="271"/>
      <c r="AO18" s="330"/>
      <c r="AP18" s="30" t="s">
        <v>29</v>
      </c>
      <c r="AQ18" s="30"/>
      <c r="AR18" s="331" t="n">
        <v>0.2</v>
      </c>
      <c r="AS18" s="22"/>
      <c r="AT18" s="274"/>
      <c r="AW18" s="271"/>
      <c r="AX18" s="330"/>
      <c r="AY18" s="30" t="s">
        <v>200</v>
      </c>
      <c r="AZ18" s="30"/>
      <c r="BA18" s="337" t="n">
        <v>9.5</v>
      </c>
      <c r="BB18" s="22"/>
      <c r="BC18" s="274"/>
    </row>
    <row r="19" customFormat="false" ht="15.6" hidden="false" customHeight="true" outlineLevel="0" collapsed="false">
      <c r="A19" s="338" t="s">
        <v>201</v>
      </c>
      <c r="C19" s="344"/>
      <c r="D19" s="345" t="s">
        <v>202</v>
      </c>
      <c r="E19" s="345"/>
      <c r="F19" s="345"/>
      <c r="G19" s="346"/>
      <c r="H19" s="346"/>
      <c r="I19" s="266"/>
      <c r="K19" s="80"/>
      <c r="L19" s="271"/>
      <c r="M19" s="339"/>
      <c r="N19" s="339"/>
      <c r="O19" s="347" t="s">
        <v>197</v>
      </c>
      <c r="P19" s="347" t="s">
        <v>198</v>
      </c>
      <c r="Q19" s="347" t="s">
        <v>199</v>
      </c>
      <c r="R19" s="274"/>
      <c r="S19" s="80"/>
      <c r="U19" s="267"/>
      <c r="V19" s="348" t="s">
        <v>64</v>
      </c>
      <c r="W19" s="349" t="n">
        <v>3009340</v>
      </c>
      <c r="X19" s="350" t="n">
        <v>0</v>
      </c>
      <c r="Y19" s="351"/>
      <c r="Z19" s="352" t="n">
        <v>8356</v>
      </c>
      <c r="AA19" s="352" t="n">
        <v>301760</v>
      </c>
      <c r="AB19" s="326"/>
      <c r="AC19" s="69"/>
      <c r="AE19" s="271"/>
      <c r="AF19" s="330"/>
      <c r="AG19" s="30" t="s">
        <v>203</v>
      </c>
      <c r="AH19" s="30"/>
      <c r="AI19" s="331" t="n">
        <v>2.4</v>
      </c>
      <c r="AJ19" s="22"/>
      <c r="AK19" s="274"/>
      <c r="AN19" s="271"/>
      <c r="AO19" s="330"/>
      <c r="AP19" s="30"/>
      <c r="AQ19" s="30"/>
      <c r="AR19" s="353"/>
      <c r="AS19" s="22"/>
      <c r="AT19" s="274"/>
      <c r="AW19" s="271"/>
      <c r="AX19" s="330"/>
      <c r="AY19" s="30" t="s">
        <v>204</v>
      </c>
      <c r="AZ19" s="30"/>
      <c r="BA19" s="337" t="n">
        <v>209</v>
      </c>
      <c r="BB19" s="22"/>
      <c r="BC19" s="274"/>
    </row>
    <row r="20" customFormat="false" ht="16.5" hidden="false" customHeight="false" outlineLevel="0" collapsed="false">
      <c r="A20" s="338" t="s">
        <v>205</v>
      </c>
      <c r="C20" s="344"/>
      <c r="D20" s="354" t="s">
        <v>206</v>
      </c>
      <c r="E20" s="355"/>
      <c r="F20" s="355"/>
      <c r="G20" s="356"/>
      <c r="H20" s="357"/>
      <c r="I20" s="266"/>
      <c r="K20" s="80"/>
      <c r="L20" s="271"/>
      <c r="M20" s="348" t="s">
        <v>64</v>
      </c>
      <c r="N20" s="358" t="n">
        <v>0</v>
      </c>
      <c r="O20" s="359"/>
      <c r="P20" s="360" t="n">
        <v>8356.16</v>
      </c>
      <c r="Q20" s="361" t="n">
        <v>297120</v>
      </c>
      <c r="R20" s="274"/>
      <c r="S20" s="80"/>
      <c r="U20" s="267"/>
      <c r="V20" s="348" t="n">
        <v>1</v>
      </c>
      <c r="W20" s="362" t="n">
        <v>0</v>
      </c>
      <c r="X20" s="363" t="n">
        <v>231886.252605656</v>
      </c>
      <c r="Y20" s="364"/>
      <c r="Z20" s="365"/>
      <c r="AA20" s="365"/>
      <c r="AB20" s="326"/>
      <c r="AC20" s="69"/>
      <c r="AE20" s="271"/>
      <c r="AF20" s="366" t="s">
        <v>207</v>
      </c>
      <c r="AG20" s="30"/>
      <c r="AH20" s="30"/>
      <c r="AI20" s="30"/>
      <c r="AJ20" s="367"/>
      <c r="AK20" s="274"/>
      <c r="AN20" s="271"/>
      <c r="AO20" s="315" t="s">
        <v>208</v>
      </c>
      <c r="AP20" s="30"/>
      <c r="AQ20" s="30"/>
      <c r="AR20" s="331" t="n">
        <v>55</v>
      </c>
      <c r="AS20" s="22"/>
      <c r="AT20" s="274"/>
      <c r="AW20" s="271"/>
      <c r="AX20" s="315" t="s">
        <v>209</v>
      </c>
      <c r="AY20" s="30"/>
      <c r="AZ20" s="30"/>
      <c r="BA20" s="332"/>
      <c r="BB20" s="22"/>
      <c r="BC20" s="274"/>
    </row>
    <row r="21" customFormat="false" ht="15.75" hidden="false" customHeight="false" outlineLevel="0" collapsed="false">
      <c r="A21" s="368" t="s">
        <v>210</v>
      </c>
      <c r="C21" s="344"/>
      <c r="D21" s="369"/>
      <c r="E21" s="370"/>
      <c r="F21" s="371" t="s">
        <v>211</v>
      </c>
      <c r="G21" s="371" t="s">
        <v>212</v>
      </c>
      <c r="H21" s="372"/>
      <c r="I21" s="266"/>
      <c r="K21" s="80"/>
      <c r="L21" s="271"/>
      <c r="M21" s="348" t="n">
        <v>1</v>
      </c>
      <c r="N21" s="358" t="n">
        <v>0</v>
      </c>
      <c r="O21" s="365"/>
      <c r="P21" s="365"/>
      <c r="Q21" s="365"/>
      <c r="R21" s="274"/>
      <c r="S21" s="80"/>
      <c r="U21" s="267"/>
      <c r="V21" s="348" t="n">
        <v>2</v>
      </c>
      <c r="W21" s="362" t="n">
        <v>0</v>
      </c>
      <c r="X21" s="363" t="n">
        <v>244904.147068219</v>
      </c>
      <c r="Y21" s="364"/>
      <c r="Z21" s="365"/>
      <c r="AA21" s="365"/>
      <c r="AB21" s="326"/>
      <c r="AC21" s="69"/>
      <c r="AE21" s="271"/>
      <c r="AF21" s="373" t="s">
        <v>213</v>
      </c>
      <c r="AG21" s="30"/>
      <c r="AH21" s="371" t="s">
        <v>211</v>
      </c>
      <c r="AI21" s="371" t="s">
        <v>212</v>
      </c>
      <c r="AJ21" s="367"/>
      <c r="AK21" s="274"/>
      <c r="AN21" s="271"/>
      <c r="AO21" s="315"/>
      <c r="AP21" s="30"/>
      <c r="AQ21" s="30"/>
      <c r="AR21" s="353"/>
      <c r="AS21" s="22"/>
      <c r="AT21" s="274"/>
      <c r="AW21" s="271"/>
      <c r="AX21" s="330"/>
      <c r="AY21" s="30" t="s">
        <v>192</v>
      </c>
      <c r="AZ21" s="30"/>
      <c r="BA21" s="374" t="n">
        <v>0</v>
      </c>
      <c r="BB21" s="22"/>
      <c r="BC21" s="274"/>
    </row>
    <row r="22" customFormat="false" ht="15.75" hidden="false" customHeight="false" outlineLevel="0" collapsed="false">
      <c r="A22" s="338" t="s">
        <v>214</v>
      </c>
      <c r="C22" s="344"/>
      <c r="D22" s="369"/>
      <c r="E22" s="375" t="s">
        <v>215</v>
      </c>
      <c r="F22" s="376" t="n">
        <v>19016173</v>
      </c>
      <c r="G22" s="376" t="n">
        <v>30000000</v>
      </c>
      <c r="H22" s="372"/>
      <c r="I22" s="266"/>
      <c r="K22" s="80"/>
      <c r="L22" s="271"/>
      <c r="M22" s="348" t="n">
        <v>2</v>
      </c>
      <c r="N22" s="358" t="n">
        <v>0</v>
      </c>
      <c r="O22" s="365"/>
      <c r="P22" s="365"/>
      <c r="Q22" s="365"/>
      <c r="R22" s="274"/>
      <c r="S22" s="80"/>
      <c r="U22" s="267"/>
      <c r="V22" s="348" t="n">
        <v>3</v>
      </c>
      <c r="W22" s="362" t="n">
        <v>0</v>
      </c>
      <c r="X22" s="363" t="n">
        <v>257922.041530781</v>
      </c>
      <c r="Y22" s="364"/>
      <c r="Z22" s="365"/>
      <c r="AA22" s="365"/>
      <c r="AB22" s="326"/>
      <c r="AC22" s="69"/>
      <c r="AE22" s="271"/>
      <c r="AF22" s="377"/>
      <c r="AG22" s="30" t="s">
        <v>22</v>
      </c>
      <c r="AH22" s="378" t="n">
        <v>0.83</v>
      </c>
      <c r="AI22" s="378" t="n">
        <v>0.83</v>
      </c>
      <c r="AJ22" s="22"/>
      <c r="AK22" s="274"/>
      <c r="AN22" s="271"/>
      <c r="AO22" s="315" t="s">
        <v>216</v>
      </c>
      <c r="AP22" s="30"/>
      <c r="AQ22" s="30"/>
      <c r="AR22" s="353"/>
      <c r="AS22" s="22"/>
      <c r="AT22" s="274"/>
      <c r="AW22" s="271"/>
      <c r="AX22" s="330"/>
      <c r="AY22" s="30" t="s">
        <v>200</v>
      </c>
      <c r="AZ22" s="30"/>
      <c r="BA22" s="379" t="n">
        <v>0.15</v>
      </c>
      <c r="BB22" s="22"/>
      <c r="BC22" s="274"/>
    </row>
    <row r="23" customFormat="false" ht="15.75" hidden="false" customHeight="false" outlineLevel="0" collapsed="false">
      <c r="A23" s="368" t="s">
        <v>217</v>
      </c>
      <c r="C23" s="344"/>
      <c r="D23" s="369"/>
      <c r="E23" s="375" t="s">
        <v>218</v>
      </c>
      <c r="F23" s="380" t="n">
        <v>0</v>
      </c>
      <c r="G23" s="380" t="n">
        <v>0.95</v>
      </c>
      <c r="H23" s="372"/>
      <c r="I23" s="266"/>
      <c r="K23" s="80"/>
      <c r="L23" s="271"/>
      <c r="M23" s="348" t="n">
        <v>3</v>
      </c>
      <c r="N23" s="358" t="n">
        <v>0</v>
      </c>
      <c r="O23" s="365"/>
      <c r="P23" s="365"/>
      <c r="Q23" s="365"/>
      <c r="R23" s="274"/>
      <c r="S23" s="80"/>
      <c r="U23" s="267"/>
      <c r="V23" s="348" t="n">
        <v>4</v>
      </c>
      <c r="W23" s="362" t="n">
        <v>0</v>
      </c>
      <c r="X23" s="363" t="n">
        <v>270939.935993344</v>
      </c>
      <c r="Y23" s="364"/>
      <c r="Z23" s="365"/>
      <c r="AA23" s="365"/>
      <c r="AB23" s="326"/>
      <c r="AC23" s="69"/>
      <c r="AE23" s="271"/>
      <c r="AF23" s="377"/>
      <c r="AG23" s="30" t="s">
        <v>24</v>
      </c>
      <c r="AH23" s="381" t="n">
        <f aca="false">1-AH22</f>
        <v>0.17</v>
      </c>
      <c r="AI23" s="381" t="n">
        <f aca="false">1-AI22</f>
        <v>0.17</v>
      </c>
      <c r="AJ23" s="22"/>
      <c r="AK23" s="274"/>
      <c r="AN23" s="271"/>
      <c r="AO23" s="330"/>
      <c r="AP23" s="30" t="s">
        <v>219</v>
      </c>
      <c r="AQ23" s="30"/>
      <c r="AR23" s="382" t="n">
        <v>0.9476</v>
      </c>
      <c r="AS23" s="22"/>
      <c r="AT23" s="274"/>
      <c r="AW23" s="271"/>
      <c r="AX23" s="330"/>
      <c r="AY23" s="30" t="s">
        <v>204</v>
      </c>
      <c r="AZ23" s="30"/>
      <c r="BA23" s="337" t="n">
        <v>2.5</v>
      </c>
      <c r="BB23" s="22"/>
      <c r="BC23" s="274"/>
    </row>
    <row r="24" customFormat="false" ht="15.75" hidden="false" customHeight="false" outlineLevel="0" collapsed="false">
      <c r="A24" s="383"/>
      <c r="C24" s="344"/>
      <c r="D24" s="369"/>
      <c r="E24" s="375"/>
      <c r="F24" s="384"/>
      <c r="G24" s="384"/>
      <c r="H24" s="372"/>
      <c r="I24" s="266"/>
      <c r="K24" s="80"/>
      <c r="L24" s="271"/>
      <c r="M24" s="348" t="n">
        <v>4</v>
      </c>
      <c r="N24" s="358" t="n">
        <v>0</v>
      </c>
      <c r="O24" s="365"/>
      <c r="P24" s="365"/>
      <c r="Q24" s="365"/>
      <c r="R24" s="274"/>
      <c r="S24" s="80"/>
      <c r="U24" s="267"/>
      <c r="V24" s="348" t="n">
        <v>5</v>
      </c>
      <c r="W24" s="362" t="n">
        <v>0</v>
      </c>
      <c r="X24" s="363" t="n">
        <v>283957.830455906</v>
      </c>
      <c r="Y24" s="364"/>
      <c r="Z24" s="365"/>
      <c r="AA24" s="365"/>
      <c r="AB24" s="326"/>
      <c r="AC24" s="69"/>
      <c r="AE24" s="271"/>
      <c r="AF24" s="373" t="s">
        <v>220</v>
      </c>
      <c r="AG24" s="30"/>
      <c r="AH24" s="371"/>
      <c r="AI24" s="371"/>
      <c r="AJ24" s="367"/>
      <c r="AK24" s="274"/>
      <c r="AN24" s="271"/>
      <c r="AO24" s="330"/>
      <c r="AP24" s="30" t="s">
        <v>221</v>
      </c>
      <c r="AQ24" s="30"/>
      <c r="AR24" s="382" t="n">
        <v>0.0511</v>
      </c>
      <c r="AS24" s="22"/>
      <c r="AT24" s="274"/>
      <c r="AW24" s="271"/>
      <c r="AX24" s="315" t="s">
        <v>222</v>
      </c>
      <c r="AY24" s="30"/>
      <c r="AZ24" s="30"/>
      <c r="BA24" s="332"/>
      <c r="BB24" s="22"/>
      <c r="BC24" s="274"/>
    </row>
    <row r="25" customFormat="false" ht="15.75" hidden="false" customHeight="false" outlineLevel="0" collapsed="false">
      <c r="A25" s="333" t="s">
        <v>223</v>
      </c>
      <c r="C25" s="344"/>
      <c r="D25" s="385" t="s">
        <v>224</v>
      </c>
      <c r="E25" s="375"/>
      <c r="F25" s="386"/>
      <c r="G25" s="386"/>
      <c r="H25" s="372"/>
      <c r="I25" s="266"/>
      <c r="K25" s="80"/>
      <c r="L25" s="271"/>
      <c r="M25" s="348" t="n">
        <v>5</v>
      </c>
      <c r="N25" s="358" t="n">
        <v>0</v>
      </c>
      <c r="O25" s="365"/>
      <c r="P25" s="365"/>
      <c r="Q25" s="365"/>
      <c r="R25" s="274"/>
      <c r="S25" s="80"/>
      <c r="U25" s="267"/>
      <c r="V25" s="348" t="n">
        <v>6</v>
      </c>
      <c r="W25" s="362" t="n">
        <v>0</v>
      </c>
      <c r="X25" s="363" t="n">
        <v>296975.724918469</v>
      </c>
      <c r="Y25" s="364"/>
      <c r="Z25" s="365"/>
      <c r="AA25" s="365"/>
      <c r="AB25" s="326"/>
      <c r="AC25" s="69"/>
      <c r="AE25" s="271"/>
      <c r="AF25" s="377"/>
      <c r="AG25" s="30" t="s">
        <v>22</v>
      </c>
      <c r="AH25" s="378" t="n">
        <v>0.83</v>
      </c>
      <c r="AI25" s="378" t="n">
        <v>1</v>
      </c>
      <c r="AJ25" s="22"/>
      <c r="AK25" s="274"/>
      <c r="AN25" s="271"/>
      <c r="AO25" s="330"/>
      <c r="AP25" s="30" t="s">
        <v>225</v>
      </c>
      <c r="AQ25" s="30"/>
      <c r="AR25" s="382" t="n">
        <v>0.0013</v>
      </c>
      <c r="AS25" s="22"/>
      <c r="AT25" s="274"/>
      <c r="AW25" s="271"/>
      <c r="AX25" s="330"/>
      <c r="AY25" s="30" t="s">
        <v>192</v>
      </c>
      <c r="AZ25" s="30"/>
      <c r="BA25" s="387" t="n">
        <v>1.275</v>
      </c>
      <c r="BB25" s="22"/>
      <c r="BC25" s="274"/>
    </row>
    <row r="26" customFormat="false" ht="15.75" hidden="false" customHeight="false" outlineLevel="0" collapsed="false">
      <c r="A26" s="338" t="s">
        <v>226</v>
      </c>
      <c r="C26" s="344"/>
      <c r="D26" s="369"/>
      <c r="E26" s="375"/>
      <c r="F26" s="371" t="s">
        <v>58</v>
      </c>
      <c r="G26" s="371" t="s">
        <v>59</v>
      </c>
      <c r="H26" s="372"/>
      <c r="I26" s="266"/>
      <c r="K26" s="80"/>
      <c r="L26" s="271"/>
      <c r="M26" s="348" t="n">
        <v>6</v>
      </c>
      <c r="N26" s="358" t="n">
        <v>0</v>
      </c>
      <c r="O26" s="365"/>
      <c r="P26" s="365"/>
      <c r="Q26" s="365"/>
      <c r="R26" s="274"/>
      <c r="S26" s="80"/>
      <c r="U26" s="267"/>
      <c r="V26" s="348" t="n">
        <v>7</v>
      </c>
      <c r="W26" s="362" t="n">
        <v>0</v>
      </c>
      <c r="X26" s="363" t="n">
        <v>309993.619381031</v>
      </c>
      <c r="Y26" s="364"/>
      <c r="Z26" s="365"/>
      <c r="AA26" s="365"/>
      <c r="AB26" s="326"/>
      <c r="AC26" s="69"/>
      <c r="AE26" s="271"/>
      <c r="AF26" s="377"/>
      <c r="AG26" s="30" t="s">
        <v>24</v>
      </c>
      <c r="AH26" s="381" t="n">
        <f aca="false">1-AH25</f>
        <v>0.17</v>
      </c>
      <c r="AI26" s="381" t="n">
        <f aca="false">1-AI25</f>
        <v>0</v>
      </c>
      <c r="AJ26" s="22"/>
      <c r="AK26" s="274"/>
      <c r="AN26" s="271"/>
      <c r="AO26" s="315" t="s">
        <v>227</v>
      </c>
      <c r="AP26" s="30"/>
      <c r="AQ26" s="30"/>
      <c r="AR26" s="353"/>
      <c r="AS26" s="22"/>
      <c r="AT26" s="274"/>
      <c r="AW26" s="271"/>
      <c r="AX26" s="330"/>
      <c r="AY26" s="30" t="s">
        <v>200</v>
      </c>
      <c r="AZ26" s="30"/>
      <c r="BA26" s="387" t="n">
        <v>1.275</v>
      </c>
      <c r="BB26" s="22"/>
      <c r="BC26" s="274"/>
    </row>
    <row r="27" customFormat="false" ht="15" hidden="false" customHeight="false" outlineLevel="0" collapsed="false">
      <c r="A27" s="338" t="s">
        <v>228</v>
      </c>
      <c r="C27" s="344"/>
      <c r="D27" s="388"/>
      <c r="E27" s="375" t="s">
        <v>229</v>
      </c>
      <c r="F27" s="389" t="n">
        <v>8200</v>
      </c>
      <c r="G27" s="389" t="n">
        <v>8200</v>
      </c>
      <c r="H27" s="372"/>
      <c r="I27" s="266"/>
      <c r="K27" s="80"/>
      <c r="L27" s="271"/>
      <c r="M27" s="348" t="n">
        <v>7</v>
      </c>
      <c r="N27" s="358" t="n">
        <v>0</v>
      </c>
      <c r="O27" s="365"/>
      <c r="P27" s="365"/>
      <c r="Q27" s="365"/>
      <c r="R27" s="274"/>
      <c r="S27" s="80"/>
      <c r="U27" s="267"/>
      <c r="V27" s="348" t="n">
        <v>8</v>
      </c>
      <c r="W27" s="362" t="n">
        <v>0</v>
      </c>
      <c r="X27" s="363" t="n">
        <v>323011.513843594</v>
      </c>
      <c r="Y27" s="364"/>
      <c r="Z27" s="365"/>
      <c r="AA27" s="365"/>
      <c r="AB27" s="326"/>
      <c r="AC27" s="69"/>
      <c r="AE27" s="271"/>
      <c r="AF27" s="373" t="s">
        <v>230</v>
      </c>
      <c r="AG27" s="30"/>
      <c r="AH27" s="30"/>
      <c r="AI27" s="390"/>
      <c r="AJ27" s="22"/>
      <c r="AK27" s="274"/>
      <c r="AN27" s="271"/>
      <c r="AO27" s="330"/>
      <c r="AP27" s="30" t="s">
        <v>219</v>
      </c>
      <c r="AQ27" s="30"/>
      <c r="AR27" s="331" t="n">
        <v>1.8</v>
      </c>
      <c r="AS27" s="22"/>
      <c r="AT27" s="274"/>
      <c r="AW27" s="271"/>
      <c r="AX27" s="330"/>
      <c r="AY27" s="30" t="s">
        <v>204</v>
      </c>
      <c r="AZ27" s="30"/>
      <c r="BA27" s="391" t="n">
        <v>0.0063</v>
      </c>
      <c r="BB27" s="22"/>
      <c r="BC27" s="274"/>
    </row>
    <row r="28" customFormat="false" ht="15" hidden="false" customHeight="false" outlineLevel="0" collapsed="false">
      <c r="A28" s="383"/>
      <c r="C28" s="344"/>
      <c r="D28" s="388"/>
      <c r="E28" s="375" t="s">
        <v>11</v>
      </c>
      <c r="F28" s="389" t="n">
        <v>2</v>
      </c>
      <c r="G28" s="389" t="n">
        <v>2</v>
      </c>
      <c r="H28" s="372"/>
      <c r="I28" s="266"/>
      <c r="K28" s="80"/>
      <c r="L28" s="271"/>
      <c r="M28" s="348" t="n">
        <v>8</v>
      </c>
      <c r="N28" s="358" t="n">
        <v>0</v>
      </c>
      <c r="O28" s="365"/>
      <c r="P28" s="365"/>
      <c r="Q28" s="365"/>
      <c r="R28" s="274"/>
      <c r="S28" s="80"/>
      <c r="U28" s="267"/>
      <c r="V28" s="348" t="n">
        <v>9</v>
      </c>
      <c r="W28" s="362" t="n">
        <v>0</v>
      </c>
      <c r="X28" s="363" t="n">
        <v>336029.408306156</v>
      </c>
      <c r="Y28" s="364"/>
      <c r="Z28" s="365"/>
      <c r="AA28" s="365"/>
      <c r="AB28" s="326"/>
      <c r="AC28" s="69"/>
      <c r="AE28" s="271"/>
      <c r="AF28" s="377"/>
      <c r="AG28" s="30" t="s">
        <v>231</v>
      </c>
      <c r="AH28" s="378" t="n">
        <v>0.64</v>
      </c>
      <c r="AI28" s="378" t="n">
        <v>0.64</v>
      </c>
      <c r="AJ28" s="22"/>
      <c r="AK28" s="274"/>
      <c r="AN28" s="271"/>
      <c r="AO28" s="330"/>
      <c r="AP28" s="30" t="s">
        <v>221</v>
      </c>
      <c r="AQ28" s="30"/>
      <c r="AR28" s="331" t="n">
        <v>1.1</v>
      </c>
      <c r="AS28" s="22"/>
      <c r="AT28" s="274"/>
      <c r="AW28" s="271"/>
      <c r="AX28" s="392"/>
      <c r="AY28" s="77"/>
      <c r="AZ28" s="77"/>
      <c r="BA28" s="393"/>
      <c r="BB28" s="79"/>
      <c r="BC28" s="274"/>
    </row>
    <row r="29" customFormat="false" ht="15" hidden="false" customHeight="false" outlineLevel="0" collapsed="false">
      <c r="A29" s="333" t="s">
        <v>232</v>
      </c>
      <c r="C29" s="344"/>
      <c r="D29" s="388"/>
      <c r="E29" s="375" t="s">
        <v>233</v>
      </c>
      <c r="F29" s="394" t="n">
        <v>0.3</v>
      </c>
      <c r="G29" s="394" t="n">
        <v>0.7</v>
      </c>
      <c r="H29" s="372"/>
      <c r="I29" s="266"/>
      <c r="K29" s="80"/>
      <c r="L29" s="271"/>
      <c r="M29" s="348" t="n">
        <v>9</v>
      </c>
      <c r="N29" s="358" t="n">
        <v>0</v>
      </c>
      <c r="O29" s="365"/>
      <c r="P29" s="365"/>
      <c r="Q29" s="365"/>
      <c r="R29" s="274"/>
      <c r="S29" s="80"/>
      <c r="U29" s="267"/>
      <c r="V29" s="348" t="n">
        <v>10</v>
      </c>
      <c r="W29" s="362" t="n">
        <v>0</v>
      </c>
      <c r="X29" s="363" t="n">
        <v>349047.302768719</v>
      </c>
      <c r="Y29" s="364"/>
      <c r="Z29" s="395"/>
      <c r="AA29" s="365"/>
      <c r="AB29" s="326"/>
      <c r="AC29" s="69"/>
      <c r="AE29" s="271"/>
      <c r="AF29" s="377"/>
      <c r="AG29" s="30" t="s">
        <v>234</v>
      </c>
      <c r="AH29" s="381" t="n">
        <f aca="false">1-AH28</f>
        <v>0.36</v>
      </c>
      <c r="AI29" s="381" t="n">
        <f aca="false">1-AI28</f>
        <v>0.36</v>
      </c>
      <c r="AJ29" s="22"/>
      <c r="AK29" s="274"/>
      <c r="AN29" s="271"/>
      <c r="AO29" s="330"/>
      <c r="AP29" s="30" t="s">
        <v>225</v>
      </c>
      <c r="AQ29" s="30"/>
      <c r="AR29" s="331" t="n">
        <v>20</v>
      </c>
      <c r="AS29" s="22"/>
      <c r="AT29" s="274"/>
      <c r="AW29" s="271"/>
      <c r="AX29" s="273"/>
      <c r="AY29" s="273"/>
      <c r="AZ29" s="273"/>
      <c r="BA29" s="273"/>
      <c r="BB29" s="273"/>
      <c r="BC29" s="274"/>
    </row>
    <row r="30" customFormat="false" ht="15.75" hidden="false" customHeight="false" outlineLevel="0" collapsed="false">
      <c r="A30" s="338" t="s">
        <v>235</v>
      </c>
      <c r="C30" s="344"/>
      <c r="D30" s="396"/>
      <c r="E30" s="397"/>
      <c r="F30" s="398"/>
      <c r="G30" s="399"/>
      <c r="H30" s="400"/>
      <c r="I30" s="266"/>
      <c r="K30" s="80"/>
      <c r="L30" s="271"/>
      <c r="M30" s="348" t="n">
        <v>10</v>
      </c>
      <c r="N30" s="358" t="n">
        <v>0</v>
      </c>
      <c r="O30" s="365"/>
      <c r="P30" s="395"/>
      <c r="Q30" s="365"/>
      <c r="R30" s="274"/>
      <c r="S30" s="80"/>
      <c r="U30" s="267"/>
      <c r="V30" s="348" t="n">
        <v>11</v>
      </c>
      <c r="W30" s="401" t="n">
        <v>0</v>
      </c>
      <c r="X30" s="363" t="n">
        <v>362065.197231281</v>
      </c>
      <c r="Y30" s="364"/>
      <c r="Z30" s="365"/>
      <c r="AA30" s="365"/>
      <c r="AB30" s="326"/>
      <c r="AC30" s="69"/>
      <c r="AE30" s="271"/>
      <c r="AF30" s="366" t="s">
        <v>236</v>
      </c>
      <c r="AG30" s="30"/>
      <c r="AH30" s="30"/>
      <c r="AI30" s="390"/>
      <c r="AJ30" s="22"/>
      <c r="AK30" s="274"/>
      <c r="AN30" s="271"/>
      <c r="AO30" s="330"/>
      <c r="AP30" s="30"/>
      <c r="AQ30" s="30"/>
      <c r="AR30" s="353"/>
      <c r="AS30" s="22"/>
      <c r="AT30" s="274"/>
      <c r="AW30" s="271"/>
      <c r="AX30" s="402" t="s">
        <v>237</v>
      </c>
      <c r="AY30" s="10"/>
      <c r="AZ30" s="10"/>
      <c r="BA30" s="10"/>
      <c r="BB30" s="11"/>
      <c r="BC30" s="274"/>
    </row>
    <row r="31" customFormat="false" ht="15.75" hidden="false" customHeight="false" outlineLevel="0" collapsed="false">
      <c r="A31" s="338" t="s">
        <v>238</v>
      </c>
      <c r="C31" s="403"/>
      <c r="D31" s="404"/>
      <c r="E31" s="404"/>
      <c r="F31" s="404"/>
      <c r="G31" s="404"/>
      <c r="H31" s="404"/>
      <c r="I31" s="405"/>
      <c r="K31" s="80"/>
      <c r="L31" s="271"/>
      <c r="M31" s="348" t="n">
        <v>11</v>
      </c>
      <c r="N31" s="358" t="n">
        <v>0</v>
      </c>
      <c r="O31" s="365"/>
      <c r="P31" s="365"/>
      <c r="Q31" s="365"/>
      <c r="R31" s="274"/>
      <c r="S31" s="80"/>
      <c r="U31" s="267"/>
      <c r="V31" s="348" t="n">
        <v>12</v>
      </c>
      <c r="W31" s="401" t="n">
        <v>0</v>
      </c>
      <c r="X31" s="363" t="n">
        <v>375083.091693844</v>
      </c>
      <c r="Y31" s="364"/>
      <c r="Z31" s="365"/>
      <c r="AA31" s="365"/>
      <c r="AB31" s="326"/>
      <c r="AC31" s="69"/>
      <c r="AE31" s="271"/>
      <c r="AF31" s="406" t="s">
        <v>239</v>
      </c>
      <c r="AG31" s="30"/>
      <c r="AH31" s="30"/>
      <c r="AI31" s="371" t="s">
        <v>211</v>
      </c>
      <c r="AJ31" s="22"/>
      <c r="AK31" s="274"/>
      <c r="AN31" s="271"/>
      <c r="AO31" s="315" t="s">
        <v>240</v>
      </c>
      <c r="AP31" s="30"/>
      <c r="AQ31" s="30"/>
      <c r="AR31" s="390"/>
      <c r="AS31" s="22"/>
      <c r="AT31" s="274"/>
      <c r="AW31" s="271"/>
      <c r="AX31" s="407"/>
      <c r="AY31" s="21"/>
      <c r="AZ31" s="21"/>
      <c r="BA31" s="21"/>
      <c r="BB31" s="22"/>
      <c r="BC31" s="274"/>
    </row>
    <row r="32" customFormat="false" ht="15.75" hidden="false" customHeight="false" outlineLevel="0" collapsed="false">
      <c r="A32" s="383"/>
      <c r="K32" s="80"/>
      <c r="L32" s="271"/>
      <c r="M32" s="348" t="n">
        <v>12</v>
      </c>
      <c r="N32" s="358" t="n">
        <v>0</v>
      </c>
      <c r="O32" s="365"/>
      <c r="P32" s="365"/>
      <c r="Q32" s="365"/>
      <c r="R32" s="274"/>
      <c r="S32" s="80"/>
      <c r="U32" s="267"/>
      <c r="V32" s="348" t="n">
        <v>13</v>
      </c>
      <c r="W32" s="401" t="n">
        <v>0</v>
      </c>
      <c r="X32" s="363" t="n">
        <v>388100.986156406</v>
      </c>
      <c r="Y32" s="364"/>
      <c r="Z32" s="365"/>
      <c r="AA32" s="365"/>
      <c r="AB32" s="326"/>
      <c r="AC32" s="69"/>
      <c r="AE32" s="271"/>
      <c r="AF32" s="377"/>
      <c r="AG32" s="30" t="s">
        <v>241</v>
      </c>
      <c r="AH32" s="30"/>
      <c r="AI32" s="379" t="n">
        <v>1.35</v>
      </c>
      <c r="AJ32" s="22"/>
      <c r="AK32" s="274"/>
      <c r="AN32" s="271"/>
      <c r="AO32" s="315"/>
      <c r="AP32" s="30" t="s">
        <v>219</v>
      </c>
      <c r="AQ32" s="30"/>
      <c r="AR32" s="408" t="n">
        <v>12.75</v>
      </c>
      <c r="AS32" s="22"/>
      <c r="AT32" s="274"/>
      <c r="AW32" s="271"/>
      <c r="AX32" s="315" t="s">
        <v>242</v>
      </c>
      <c r="AY32" s="30"/>
      <c r="AZ32" s="30"/>
      <c r="BA32" s="409" t="n">
        <v>0.03</v>
      </c>
      <c r="BB32" s="22"/>
      <c r="BC32" s="274"/>
    </row>
    <row r="33" customFormat="false" ht="15" hidden="false" customHeight="false" outlineLevel="0" collapsed="false">
      <c r="A33" s="333" t="s">
        <v>243</v>
      </c>
      <c r="K33" s="80"/>
      <c r="L33" s="271"/>
      <c r="M33" s="348" t="n">
        <v>13</v>
      </c>
      <c r="N33" s="358" t="n">
        <v>0</v>
      </c>
      <c r="O33" s="365"/>
      <c r="P33" s="365"/>
      <c r="Q33" s="365"/>
      <c r="R33" s="274"/>
      <c r="S33" s="80"/>
      <c r="U33" s="267"/>
      <c r="V33" s="348" t="n">
        <v>14</v>
      </c>
      <c r="W33" s="401" t="n">
        <v>0</v>
      </c>
      <c r="X33" s="363" t="n">
        <v>401118.880618968</v>
      </c>
      <c r="Y33" s="364"/>
      <c r="Z33" s="365"/>
      <c r="AA33" s="365"/>
      <c r="AB33" s="326"/>
      <c r="AC33" s="69"/>
      <c r="AE33" s="271"/>
      <c r="AF33" s="377"/>
      <c r="AG33" s="30" t="s">
        <v>244</v>
      </c>
      <c r="AH33" s="30"/>
      <c r="AI33" s="410" t="n">
        <v>160</v>
      </c>
      <c r="AJ33" s="22"/>
      <c r="AK33" s="274"/>
      <c r="AN33" s="271"/>
      <c r="AO33" s="315"/>
      <c r="AP33" s="30" t="s">
        <v>221</v>
      </c>
      <c r="AQ33" s="30"/>
      <c r="AR33" s="408" t="n">
        <v>33.41</v>
      </c>
      <c r="AS33" s="22"/>
      <c r="AT33" s="274"/>
      <c r="AW33" s="271"/>
      <c r="AX33" s="315" t="s">
        <v>245</v>
      </c>
      <c r="AY33" s="411"/>
      <c r="AZ33" s="412"/>
      <c r="BA33" s="413" t="n">
        <v>0.06</v>
      </c>
      <c r="BB33" s="22"/>
      <c r="BC33" s="274"/>
    </row>
    <row r="34" customFormat="false" ht="15" hidden="false" customHeight="false" outlineLevel="0" collapsed="false">
      <c r="A34" s="338" t="s">
        <v>246</v>
      </c>
      <c r="K34" s="80"/>
      <c r="L34" s="271"/>
      <c r="M34" s="348" t="n">
        <v>14</v>
      </c>
      <c r="N34" s="358" t="n">
        <v>0</v>
      </c>
      <c r="O34" s="365"/>
      <c r="P34" s="365"/>
      <c r="Q34" s="365"/>
      <c r="R34" s="274"/>
      <c r="S34" s="80"/>
      <c r="U34" s="267"/>
      <c r="V34" s="348" t="n">
        <v>15</v>
      </c>
      <c r="W34" s="401" t="n">
        <v>0</v>
      </c>
      <c r="X34" s="363" t="n">
        <v>414136.775081532</v>
      </c>
      <c r="Y34" s="364"/>
      <c r="Z34" s="365"/>
      <c r="AA34" s="365"/>
      <c r="AB34" s="326"/>
      <c r="AC34" s="69"/>
      <c r="AE34" s="271"/>
      <c r="AF34" s="377"/>
      <c r="AG34" s="30" t="s">
        <v>247</v>
      </c>
      <c r="AH34" s="30"/>
      <c r="AI34" s="414" t="n">
        <v>30</v>
      </c>
      <c r="AJ34" s="22"/>
      <c r="AK34" s="274"/>
      <c r="AN34" s="271"/>
      <c r="AO34" s="377"/>
      <c r="AP34" s="30" t="s">
        <v>248</v>
      </c>
      <c r="AQ34" s="30"/>
      <c r="AR34" s="408" t="n">
        <v>12.75</v>
      </c>
      <c r="AS34" s="22"/>
      <c r="AT34" s="274"/>
      <c r="AW34" s="271"/>
      <c r="AX34" s="315" t="s">
        <v>249</v>
      </c>
      <c r="AY34" s="411"/>
      <c r="AZ34" s="412"/>
      <c r="BA34" s="413" t="n">
        <v>0.03</v>
      </c>
      <c r="BB34" s="22"/>
      <c r="BC34" s="274"/>
    </row>
    <row r="35" customFormat="false" ht="15" hidden="false" customHeight="false" outlineLevel="0" collapsed="false">
      <c r="A35" s="338" t="s">
        <v>250</v>
      </c>
      <c r="K35" s="80"/>
      <c r="L35" s="271"/>
      <c r="M35" s="348" t="n">
        <v>15</v>
      </c>
      <c r="N35" s="358" t="n">
        <v>0</v>
      </c>
      <c r="O35" s="365"/>
      <c r="P35" s="365"/>
      <c r="Q35" s="365"/>
      <c r="R35" s="274"/>
      <c r="S35" s="80"/>
      <c r="U35" s="267"/>
      <c r="V35" s="348" t="n">
        <v>16</v>
      </c>
      <c r="W35" s="401" t="n">
        <v>0</v>
      </c>
      <c r="X35" s="363" t="n">
        <v>427154.669544094</v>
      </c>
      <c r="Y35" s="364"/>
      <c r="Z35" s="365"/>
      <c r="AA35" s="365"/>
      <c r="AB35" s="326"/>
      <c r="AC35" s="69"/>
      <c r="AE35" s="271"/>
      <c r="AF35" s="377"/>
      <c r="AG35" s="30" t="s">
        <v>251</v>
      </c>
      <c r="AH35" s="30"/>
      <c r="AI35" s="414" t="n">
        <v>20</v>
      </c>
      <c r="AJ35" s="22"/>
      <c r="AK35" s="274"/>
      <c r="AN35" s="271"/>
      <c r="AO35" s="392"/>
      <c r="AP35" s="77"/>
      <c r="AQ35" s="77"/>
      <c r="AR35" s="393"/>
      <c r="AS35" s="79"/>
      <c r="AT35" s="274"/>
      <c r="AW35" s="271"/>
      <c r="AX35" s="315" t="s">
        <v>252</v>
      </c>
      <c r="AY35" s="30"/>
      <c r="AZ35" s="30"/>
      <c r="BA35" s="390"/>
      <c r="BB35" s="22"/>
      <c r="BC35" s="274"/>
    </row>
    <row r="36" customFormat="false" ht="15.75" hidden="false" customHeight="false" outlineLevel="0" collapsed="false">
      <c r="A36" s="383"/>
      <c r="K36" s="80"/>
      <c r="L36" s="271"/>
      <c r="M36" s="348" t="n">
        <v>16</v>
      </c>
      <c r="N36" s="358" t="n">
        <v>0</v>
      </c>
      <c r="O36" s="365"/>
      <c r="P36" s="365"/>
      <c r="Q36" s="365"/>
      <c r="R36" s="274"/>
      <c r="S36" s="80"/>
      <c r="U36" s="267"/>
      <c r="V36" s="348" t="n">
        <v>17</v>
      </c>
      <c r="W36" s="401" t="n">
        <v>0</v>
      </c>
      <c r="X36" s="363" t="n">
        <v>440172.564006655</v>
      </c>
      <c r="Y36" s="364"/>
      <c r="Z36" s="365"/>
      <c r="AA36" s="365"/>
      <c r="AB36" s="326"/>
      <c r="AC36" s="69"/>
      <c r="AE36" s="271"/>
      <c r="AF36" s="406" t="s">
        <v>253</v>
      </c>
      <c r="AG36" s="30"/>
      <c r="AH36" s="30"/>
      <c r="AI36" s="371" t="s">
        <v>211</v>
      </c>
      <c r="AJ36" s="22"/>
      <c r="AK36" s="274"/>
      <c r="AN36" s="415"/>
      <c r="AO36" s="416"/>
      <c r="AP36" s="416"/>
      <c r="AQ36" s="416"/>
      <c r="AR36" s="416"/>
      <c r="AS36" s="416"/>
      <c r="AT36" s="417"/>
      <c r="AW36" s="271"/>
      <c r="AX36" s="418"/>
      <c r="AY36" s="30" t="s">
        <v>254</v>
      </c>
      <c r="AZ36" s="30"/>
      <c r="BA36" s="410" t="n">
        <v>1768</v>
      </c>
      <c r="BB36" s="22"/>
      <c r="BC36" s="274"/>
    </row>
    <row r="37" customFormat="false" ht="16.5" hidden="false" customHeight="false" outlineLevel="0" collapsed="false">
      <c r="A37" s="419"/>
      <c r="K37" s="80"/>
      <c r="L37" s="271"/>
      <c r="M37" s="348" t="n">
        <v>17</v>
      </c>
      <c r="N37" s="358" t="n">
        <v>0</v>
      </c>
      <c r="O37" s="365"/>
      <c r="P37" s="365"/>
      <c r="Q37" s="365"/>
      <c r="R37" s="274"/>
      <c r="S37" s="80"/>
      <c r="U37" s="267"/>
      <c r="V37" s="348" t="n">
        <v>18</v>
      </c>
      <c r="W37" s="401" t="n">
        <v>0</v>
      </c>
      <c r="X37" s="363" t="n">
        <v>453190.458469219</v>
      </c>
      <c r="Y37" s="364"/>
      <c r="Z37" s="365"/>
      <c r="AA37" s="365"/>
      <c r="AB37" s="326"/>
      <c r="AC37" s="69"/>
      <c r="AE37" s="271"/>
      <c r="AF37" s="315"/>
      <c r="AG37" s="30" t="s">
        <v>241</v>
      </c>
      <c r="AH37" s="30"/>
      <c r="AI37" s="379" t="n">
        <v>1.35</v>
      </c>
      <c r="AJ37" s="22"/>
      <c r="AK37" s="274"/>
      <c r="AW37" s="271"/>
      <c r="AX37" s="418"/>
      <c r="AY37" s="30" t="s">
        <v>255</v>
      </c>
      <c r="AZ37" s="30"/>
      <c r="BA37" s="420" t="n">
        <v>0.11</v>
      </c>
      <c r="BB37" s="22"/>
      <c r="BC37" s="274"/>
    </row>
    <row r="38" customFormat="false" ht="15.75" hidden="false" customHeight="false" outlineLevel="0" collapsed="false">
      <c r="K38" s="80"/>
      <c r="L38" s="271"/>
      <c r="M38" s="348" t="n">
        <v>18</v>
      </c>
      <c r="N38" s="358" t="n">
        <v>0</v>
      </c>
      <c r="O38" s="365"/>
      <c r="P38" s="365"/>
      <c r="Q38" s="365"/>
      <c r="R38" s="274"/>
      <c r="S38" s="80"/>
      <c r="U38" s="267"/>
      <c r="V38" s="348" t="n">
        <v>19</v>
      </c>
      <c r="W38" s="401" t="n">
        <v>0</v>
      </c>
      <c r="X38" s="363" t="n">
        <v>466208.352931781</v>
      </c>
      <c r="Y38" s="364"/>
      <c r="Z38" s="365"/>
      <c r="AA38" s="365"/>
      <c r="AB38" s="326"/>
      <c r="AC38" s="69"/>
      <c r="AE38" s="271"/>
      <c r="AF38" s="315"/>
      <c r="AG38" s="30" t="s">
        <v>244</v>
      </c>
      <c r="AH38" s="30"/>
      <c r="AI38" s="410" t="n">
        <v>160</v>
      </c>
      <c r="AJ38" s="22"/>
      <c r="AK38" s="274"/>
      <c r="AW38" s="271"/>
      <c r="AX38" s="418"/>
      <c r="AY38" s="30" t="s">
        <v>256</v>
      </c>
      <c r="AZ38" s="30"/>
      <c r="BA38" s="420" t="n">
        <v>61.5</v>
      </c>
      <c r="BB38" s="22"/>
      <c r="BC38" s="274"/>
    </row>
    <row r="39" customFormat="false" ht="15.75" hidden="false" customHeight="false" outlineLevel="0" collapsed="false">
      <c r="K39" s="80"/>
      <c r="L39" s="271"/>
      <c r="M39" s="348" t="n">
        <v>19</v>
      </c>
      <c r="N39" s="358" t="n">
        <v>0</v>
      </c>
      <c r="O39" s="365"/>
      <c r="P39" s="365"/>
      <c r="Q39" s="365"/>
      <c r="R39" s="274"/>
      <c r="S39" s="80"/>
      <c r="U39" s="267"/>
      <c r="V39" s="421" t="n">
        <v>20</v>
      </c>
      <c r="W39" s="422" t="n">
        <v>0</v>
      </c>
      <c r="X39" s="423" t="n">
        <v>479226.247394344</v>
      </c>
      <c r="Y39" s="424"/>
      <c r="Z39" s="425"/>
      <c r="AA39" s="425"/>
      <c r="AB39" s="326"/>
      <c r="AC39" s="69"/>
      <c r="AE39" s="271"/>
      <c r="AF39" s="377"/>
      <c r="AG39" s="30" t="s">
        <v>247</v>
      </c>
      <c r="AH39" s="30"/>
      <c r="AI39" s="414" t="n">
        <v>0</v>
      </c>
      <c r="AJ39" s="22"/>
      <c r="AK39" s="274"/>
      <c r="AW39" s="271"/>
      <c r="AX39" s="418"/>
      <c r="AY39" s="30" t="s">
        <v>257</v>
      </c>
      <c r="AZ39" s="30"/>
      <c r="BA39" s="414" t="n">
        <v>65000</v>
      </c>
      <c r="BB39" s="22"/>
      <c r="BC39" s="426"/>
      <c r="BD39" s="69"/>
    </row>
    <row r="40" customFormat="false" ht="15.75" hidden="false" customHeight="false" outlineLevel="0" collapsed="false">
      <c r="K40" s="80"/>
      <c r="L40" s="271"/>
      <c r="M40" s="421" t="n">
        <v>20</v>
      </c>
      <c r="N40" s="427" t="n">
        <v>0</v>
      </c>
      <c r="O40" s="425"/>
      <c r="P40" s="425"/>
      <c r="Q40" s="425"/>
      <c r="R40" s="274"/>
      <c r="S40" s="80"/>
      <c r="U40" s="428"/>
      <c r="V40" s="416"/>
      <c r="W40" s="416"/>
      <c r="X40" s="416"/>
      <c r="Y40" s="416"/>
      <c r="Z40" s="416"/>
      <c r="AA40" s="416"/>
      <c r="AB40" s="429"/>
      <c r="AE40" s="271"/>
      <c r="AF40" s="315"/>
      <c r="AG40" s="30" t="s">
        <v>251</v>
      </c>
      <c r="AH40" s="30"/>
      <c r="AI40" s="414" t="n">
        <v>20</v>
      </c>
      <c r="AJ40" s="22"/>
      <c r="AK40" s="274"/>
      <c r="AW40" s="271"/>
      <c r="AX40" s="392"/>
      <c r="AY40" s="77"/>
      <c r="AZ40" s="77"/>
      <c r="BA40" s="430"/>
      <c r="BB40" s="79"/>
      <c r="BC40" s="274"/>
      <c r="BD40" s="69"/>
    </row>
    <row r="41" customFormat="false" ht="13.9" hidden="false" customHeight="true" outlineLevel="0" collapsed="false">
      <c r="L41" s="415"/>
      <c r="M41" s="431"/>
      <c r="N41" s="432"/>
      <c r="O41" s="433"/>
      <c r="P41" s="433"/>
      <c r="Q41" s="433"/>
      <c r="R41" s="417"/>
      <c r="AE41" s="271"/>
      <c r="AF41" s="406" t="s">
        <v>258</v>
      </c>
      <c r="AG41" s="30"/>
      <c r="AH41" s="30"/>
      <c r="AI41" s="434" t="n">
        <v>38.7</v>
      </c>
      <c r="AJ41" s="22"/>
      <c r="AK41" s="274"/>
      <c r="AW41" s="415"/>
      <c r="AX41" s="435"/>
      <c r="AY41" s="435"/>
      <c r="AZ41" s="435"/>
      <c r="BA41" s="435"/>
      <c r="BB41" s="435"/>
      <c r="BC41" s="417"/>
    </row>
    <row r="42" customFormat="false" ht="15.75" hidden="false" customHeight="false" outlineLevel="0" collapsed="false">
      <c r="L42" s="273"/>
      <c r="M42" s="436"/>
      <c r="N42" s="437"/>
      <c r="O42" s="438"/>
      <c r="P42" s="438"/>
      <c r="Q42" s="438"/>
      <c r="R42" s="273"/>
      <c r="AE42" s="271"/>
      <c r="AF42" s="392"/>
      <c r="AG42" s="77"/>
      <c r="AH42" s="77"/>
      <c r="AI42" s="393"/>
      <c r="AJ42" s="79"/>
      <c r="AK42" s="274"/>
      <c r="AW42" s="273"/>
      <c r="AX42" s="4"/>
      <c r="AY42" s="4"/>
      <c r="AZ42" s="4"/>
      <c r="BA42" s="4"/>
      <c r="BB42" s="4"/>
      <c r="BC42" s="273"/>
    </row>
    <row r="43" customFormat="false" ht="13.5" hidden="false" customHeight="false" outlineLevel="0" collapsed="false">
      <c r="L43" s="273"/>
      <c r="M43" s="273"/>
      <c r="N43" s="273"/>
      <c r="O43" s="273"/>
      <c r="P43" s="273"/>
      <c r="Q43" s="273"/>
      <c r="R43" s="273"/>
      <c r="AE43" s="428"/>
      <c r="AF43" s="416"/>
      <c r="AG43" s="416"/>
      <c r="AH43" s="416"/>
      <c r="AI43" s="416"/>
      <c r="AJ43" s="416"/>
      <c r="AK43" s="429"/>
      <c r="AW43" s="273"/>
      <c r="AX43" s="4"/>
      <c r="AY43" s="4"/>
      <c r="AZ43" s="4"/>
      <c r="BA43" s="4"/>
      <c r="BB43" s="4"/>
      <c r="BC43" s="273"/>
    </row>
    <row r="44" customFormat="false" ht="13.5" hidden="false" customHeight="false" outlineLevel="0" collapsed="false">
      <c r="L44" s="80"/>
      <c r="M44" s="80"/>
      <c r="N44" s="80"/>
      <c r="O44" s="80"/>
      <c r="P44" s="80"/>
      <c r="Q44" s="80"/>
      <c r="R44" s="80"/>
      <c r="AF44" s="4"/>
      <c r="AG44" s="4"/>
      <c r="AH44" s="4"/>
      <c r="AI44" s="4"/>
      <c r="AJ44" s="4"/>
      <c r="AW44" s="69"/>
    </row>
    <row r="45" customFormat="false" ht="12.75" hidden="false" customHeight="false" outlineLevel="0" collapsed="false">
      <c r="AW45" s="69"/>
    </row>
    <row r="46" customFormat="false" ht="12.75" hidden="false" customHeight="false" outlineLevel="0" collapsed="false">
      <c r="AW46" s="69"/>
    </row>
  </sheetData>
  <mergeCells count="33">
    <mergeCell ref="N2:R2"/>
    <mergeCell ref="W2:AA2"/>
    <mergeCell ref="D4:I4"/>
    <mergeCell ref="M4:R4"/>
    <mergeCell ref="AF4:AK4"/>
    <mergeCell ref="AO4:AT4"/>
    <mergeCell ref="AX4:BC4"/>
    <mergeCell ref="D5:I5"/>
    <mergeCell ref="M5:R5"/>
    <mergeCell ref="AO5:AT5"/>
    <mergeCell ref="AF7:AK7"/>
    <mergeCell ref="D9:I9"/>
    <mergeCell ref="M9:R9"/>
    <mergeCell ref="D10:I10"/>
    <mergeCell ref="M10:R10"/>
    <mergeCell ref="AO10:AT10"/>
    <mergeCell ref="M11:R11"/>
    <mergeCell ref="M12:R12"/>
    <mergeCell ref="AF12:AK12"/>
    <mergeCell ref="D13:I13"/>
    <mergeCell ref="AF13:AK13"/>
    <mergeCell ref="AO13:AT13"/>
    <mergeCell ref="D14:I14"/>
    <mergeCell ref="AF14:AK14"/>
    <mergeCell ref="D16:I16"/>
    <mergeCell ref="D17:I17"/>
    <mergeCell ref="M17:R17"/>
    <mergeCell ref="V17:V18"/>
    <mergeCell ref="W17:W18"/>
    <mergeCell ref="X17:AA17"/>
    <mergeCell ref="M18:M19"/>
    <mergeCell ref="N18:N19"/>
    <mergeCell ref="O18:Q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9"/>
  <sheetViews>
    <sheetView showFormulas="false" showGridLines="true" showRowColHeaders="true" showZeros="true" rightToLeft="false" tabSelected="false" showOutlineSymbols="true" defaultGridColor="true" view="normal" topLeftCell="A7" colorId="64" zoomScale="75" zoomScaleNormal="75" zoomScalePageLayoutView="100" workbookViewId="0">
      <selection pane="topLeft" activeCell="F18" activeCellId="0" sqref="F18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250" width="7.28"/>
    <col collapsed="false" customWidth="true" hidden="false" outlineLevel="0" max="2" min="2" style="0" width="7.56"/>
    <col collapsed="false" customWidth="true" hidden="false" outlineLevel="0" max="5" min="5" style="0" width="14.99"/>
    <col collapsed="false" customWidth="true" hidden="false" outlineLevel="0" max="6" min="6" style="0" width="13.41"/>
    <col collapsed="false" customWidth="true" hidden="false" outlineLevel="0" max="7" min="7" style="0" width="10.99"/>
    <col collapsed="false" customWidth="true" hidden="false" outlineLevel="0" max="8" min="8" style="0" width="8.41"/>
    <col collapsed="false" customWidth="true" hidden="false" outlineLevel="0" max="9" min="9" style="0" width="7.99"/>
    <col collapsed="false" customWidth="true" hidden="false" outlineLevel="0" max="10" min="10" style="250" width="6.56"/>
    <col collapsed="false" customWidth="true" hidden="false" outlineLevel="0" max="11" min="11" style="0" width="7.28"/>
    <col collapsed="false" customWidth="true" hidden="false" outlineLevel="0" max="13" min="13" style="0" width="11.28"/>
    <col collapsed="false" customWidth="true" hidden="false" outlineLevel="0" max="14" min="14" style="0" width="13.99"/>
    <col collapsed="false" customWidth="true" hidden="false" outlineLevel="0" max="15" min="15" style="0" width="12.14"/>
    <col collapsed="false" customWidth="true" hidden="false" outlineLevel="0" max="16" min="16" style="0" width="13.85"/>
    <col collapsed="false" customWidth="true" hidden="false" outlineLevel="0" max="17" min="17" style="0" width="7.14"/>
    <col collapsed="false" customWidth="true" hidden="false" outlineLevel="0" max="18" min="18" style="0" width="6.56"/>
    <col collapsed="false" customWidth="true" hidden="false" outlineLevel="0" max="19" min="19" style="0" width="5.99"/>
    <col collapsed="false" customWidth="true" hidden="false" outlineLevel="0" max="20" min="20" style="0" width="7.28"/>
    <col collapsed="false" customWidth="true" hidden="false" outlineLevel="0" max="21" min="21" style="0" width="8.41"/>
    <col collapsed="false" customWidth="true" hidden="false" outlineLevel="0" max="22" min="22" style="0" width="13.28"/>
    <col collapsed="false" customWidth="true" hidden="false" outlineLevel="0" max="23" min="23" style="0" width="14.41"/>
    <col collapsed="false" customWidth="true" hidden="false" outlineLevel="0" max="24" min="24" style="0" width="11.13"/>
    <col collapsed="false" customWidth="true" hidden="false" outlineLevel="0" max="25" min="25" style="0" width="14.14"/>
    <col collapsed="false" customWidth="true" hidden="false" outlineLevel="0" max="26" min="26" style="0" width="7.56"/>
    <col collapsed="false" customWidth="true" hidden="false" outlineLevel="0" max="27" min="27" style="0" width="6.28"/>
    <col collapsed="false" customWidth="true" hidden="false" outlineLevel="0" max="28" min="28" style="0" width="3.28"/>
    <col collapsed="false" customWidth="true" hidden="false" outlineLevel="0" max="29" min="29" style="0" width="6.99"/>
    <col collapsed="false" customWidth="true" hidden="false" outlineLevel="0" max="31" min="31" style="0" width="12.14"/>
    <col collapsed="false" customWidth="true" hidden="false" outlineLevel="0" max="32" min="32" style="0" width="13.85"/>
    <col collapsed="false" customWidth="true" hidden="false" outlineLevel="0" max="33" min="33" style="0" width="21.56"/>
    <col collapsed="false" customWidth="true" hidden="false" outlineLevel="0" max="34" min="34" style="0" width="11.28"/>
    <col collapsed="false" customWidth="true" hidden="false" outlineLevel="0" max="36" min="36" style="0" width="3.14"/>
    <col collapsed="false" customWidth="true" hidden="false" outlineLevel="0" max="37" min="37" style="0" width="3.42"/>
    <col collapsed="false" customWidth="true" hidden="false" outlineLevel="0" max="38" min="38" style="0" width="3.85"/>
    <col collapsed="false" customWidth="true" hidden="false" outlineLevel="0" max="39" min="39" style="0" width="6.28"/>
    <col collapsed="false" customWidth="true" hidden="false" outlineLevel="0" max="40" min="40" style="0" width="12.14"/>
    <col collapsed="false" customWidth="true" hidden="false" outlineLevel="0" max="41" min="41" style="69" width="16.99"/>
    <col collapsed="false" customWidth="true" hidden="false" outlineLevel="0" max="42" min="42" style="69" width="10.56"/>
    <col collapsed="false" customWidth="true" hidden="false" outlineLevel="0" max="43" min="43" style="0" width="21.84"/>
    <col collapsed="false" customWidth="true" hidden="false" outlineLevel="0" max="44" min="44" style="0" width="8.99"/>
    <col collapsed="false" customWidth="true" hidden="false" outlineLevel="0" max="45" min="45" style="0" width="2.99"/>
    <col collapsed="false" customWidth="true" hidden="false" outlineLevel="0" max="46" min="46" style="0" width="3.28"/>
    <col collapsed="false" customWidth="true" hidden="false" outlineLevel="0" max="47" min="47" style="0" width="4.99"/>
    <col collapsed="false" customWidth="true" hidden="false" outlineLevel="0" max="48" min="48" style="0" width="3.85"/>
    <col collapsed="false" customWidth="true" hidden="false" outlineLevel="0" max="49" min="49" style="0" width="5.85"/>
    <col collapsed="false" customWidth="true" hidden="false" outlineLevel="0" max="50" min="50" style="0" width="7.99"/>
    <col collapsed="false" customWidth="true" hidden="false" outlineLevel="0" max="51" min="51" style="0" width="33.41"/>
    <col collapsed="false" customWidth="true" hidden="false" outlineLevel="0" max="52" min="52" style="0" width="15.85"/>
    <col collapsed="false" customWidth="true" hidden="false" outlineLevel="0" max="53" min="53" style="0" width="5.71"/>
    <col collapsed="false" customWidth="true" hidden="false" outlineLevel="0" max="54" min="54" style="0" width="7.14"/>
    <col collapsed="false" customWidth="true" hidden="false" outlineLevel="0" max="55" min="55" style="0" width="4.41"/>
    <col collapsed="false" customWidth="true" hidden="false" outlineLevel="0" max="56" min="56" style="0" width="4.85"/>
    <col collapsed="false" customWidth="true" hidden="false" outlineLevel="0" max="58" min="57" style="0" width="4.7"/>
    <col collapsed="false" customWidth="true" hidden="false" outlineLevel="0" max="59" min="59" style="0" width="5.56"/>
    <col collapsed="false" customWidth="true" hidden="false" outlineLevel="0" max="60" min="60" style="0" width="6.7"/>
    <col collapsed="false" customWidth="true" hidden="false" outlineLevel="0" max="61" min="61" style="0" width="7.42"/>
    <col collapsed="false" customWidth="true" hidden="false" outlineLevel="0" max="62" min="62" style="0" width="6.41"/>
    <col collapsed="false" customWidth="true" hidden="false" outlineLevel="0" max="63" min="63" style="0" width="7.85"/>
    <col collapsed="false" customWidth="true" hidden="false" outlineLevel="0" max="64" min="64" style="0" width="15.13"/>
    <col collapsed="false" customWidth="true" hidden="false" outlineLevel="0" max="65" min="65" style="0" width="12.85"/>
    <col collapsed="false" customWidth="true" hidden="false" outlineLevel="0" max="66" min="66" style="0" width="5.13"/>
    <col collapsed="false" customWidth="true" hidden="false" outlineLevel="0" max="68" min="67" style="0" width="4.85"/>
    <col collapsed="false" customWidth="true" hidden="false" outlineLevel="0" max="69" min="69" style="0" width="3.28"/>
    <col collapsed="false" customWidth="true" hidden="false" outlineLevel="0" max="70" min="70" style="0" width="7.28"/>
    <col collapsed="false" customWidth="true" hidden="false" outlineLevel="0" max="72" min="72" style="0" width="13.28"/>
    <col collapsed="false" customWidth="true" hidden="false" outlineLevel="0" max="73" min="73" style="0" width="23.99"/>
    <col collapsed="false" customWidth="true" hidden="false" outlineLevel="0" max="74" min="74" style="0" width="11.7"/>
    <col collapsed="false" customWidth="true" hidden="false" outlineLevel="0" max="75" min="75" style="0" width="8.41"/>
    <col collapsed="false" customWidth="true" hidden="false" outlineLevel="0" max="76" min="76" style="0" width="7.85"/>
    <col collapsed="false" customWidth="true" hidden="false" outlineLevel="0" max="77" min="77" style="0" width="3.56"/>
  </cols>
  <sheetData>
    <row r="1" customFormat="false" ht="13.5" hidden="false" customHeight="false" outlineLevel="0" collapsed="false">
      <c r="B1" s="252"/>
      <c r="C1" s="253"/>
      <c r="D1" s="253"/>
      <c r="E1" s="253"/>
      <c r="F1" s="253"/>
      <c r="G1" s="253"/>
      <c r="H1" s="254"/>
      <c r="K1" s="252"/>
      <c r="L1" s="253"/>
      <c r="M1" s="253"/>
      <c r="N1" s="253"/>
      <c r="O1" s="253"/>
      <c r="P1" s="253"/>
      <c r="Q1" s="254"/>
      <c r="T1" s="252"/>
      <c r="U1" s="253"/>
      <c r="V1" s="253"/>
      <c r="W1" s="253"/>
      <c r="X1" s="253"/>
      <c r="Y1" s="253"/>
      <c r="Z1" s="254"/>
      <c r="AA1" s="256"/>
      <c r="AB1" s="80"/>
      <c r="AC1" s="252"/>
      <c r="AD1" s="253"/>
      <c r="AE1" s="253"/>
      <c r="AF1" s="253"/>
      <c r="AG1" s="253"/>
      <c r="AH1" s="253"/>
      <c r="AI1" s="255"/>
      <c r="AJ1" s="80"/>
      <c r="AL1" s="252"/>
      <c r="AM1" s="253"/>
      <c r="AN1" s="253"/>
      <c r="AO1" s="253"/>
      <c r="AP1" s="253"/>
      <c r="AQ1" s="253"/>
      <c r="AR1" s="253"/>
      <c r="AS1" s="255"/>
      <c r="AT1" s="256"/>
      <c r="AV1" s="257"/>
      <c r="AW1" s="258"/>
      <c r="AX1" s="258"/>
      <c r="AY1" s="258"/>
      <c r="AZ1" s="258"/>
      <c r="BA1" s="258"/>
      <c r="BB1" s="259"/>
      <c r="BE1" s="252"/>
      <c r="BF1" s="253"/>
      <c r="BG1" s="253"/>
      <c r="BH1" s="253"/>
      <c r="BI1" s="253"/>
      <c r="BJ1" s="253"/>
      <c r="BK1" s="253"/>
      <c r="BL1" s="253"/>
      <c r="BM1" s="253"/>
      <c r="BN1" s="253"/>
      <c r="BO1" s="254"/>
      <c r="BR1" s="257"/>
      <c r="BS1" s="258"/>
      <c r="BT1" s="258"/>
      <c r="BU1" s="258"/>
      <c r="BV1" s="258"/>
      <c r="BW1" s="258"/>
      <c r="BX1" s="259"/>
    </row>
    <row r="2" customFormat="false" ht="18" hidden="false" customHeight="false" outlineLevel="0" collapsed="false">
      <c r="B2" s="261"/>
      <c r="C2" s="264" t="s">
        <v>259</v>
      </c>
      <c r="D2" s="272" t="s">
        <v>260</v>
      </c>
      <c r="E2" s="264"/>
      <c r="F2" s="273"/>
      <c r="G2" s="265"/>
      <c r="H2" s="266"/>
      <c r="K2" s="261"/>
      <c r="L2" s="264" t="s">
        <v>261</v>
      </c>
      <c r="M2" s="272" t="s">
        <v>262</v>
      </c>
      <c r="N2" s="264"/>
      <c r="O2" s="264"/>
      <c r="P2" s="264"/>
      <c r="Q2" s="269"/>
      <c r="T2" s="261"/>
      <c r="U2" s="264" t="s">
        <v>263</v>
      </c>
      <c r="V2" s="272" t="s">
        <v>264</v>
      </c>
      <c r="W2" s="264"/>
      <c r="X2" s="264"/>
      <c r="Y2" s="264"/>
      <c r="Z2" s="269"/>
      <c r="AA2" s="270"/>
      <c r="AB2" s="80"/>
      <c r="AC2" s="261"/>
      <c r="AD2" s="264" t="s">
        <v>99</v>
      </c>
      <c r="AE2" s="269" t="s">
        <v>100</v>
      </c>
      <c r="AF2" s="269"/>
      <c r="AG2" s="269"/>
      <c r="AH2" s="269"/>
      <c r="AI2" s="269"/>
      <c r="AJ2" s="80"/>
      <c r="AL2" s="261"/>
      <c r="AM2" s="264" t="s">
        <v>99</v>
      </c>
      <c r="AN2" s="264" t="s">
        <v>265</v>
      </c>
      <c r="AO2" s="264"/>
      <c r="AP2" s="264"/>
      <c r="AQ2" s="264"/>
      <c r="AR2" s="264"/>
      <c r="AS2" s="269"/>
      <c r="AT2" s="270"/>
      <c r="AV2" s="271"/>
      <c r="AW2" s="262" t="s">
        <v>103</v>
      </c>
      <c r="AX2" s="272" t="s">
        <v>266</v>
      </c>
      <c r="AY2" s="264"/>
      <c r="AZ2" s="273"/>
      <c r="BA2" s="265"/>
      <c r="BB2" s="274"/>
      <c r="BE2" s="261"/>
      <c r="BF2" s="262" t="s">
        <v>105</v>
      </c>
      <c r="BG2" s="263"/>
      <c r="BH2" s="439"/>
      <c r="BI2" s="439" t="s">
        <v>267</v>
      </c>
      <c r="BJ2" s="265"/>
      <c r="BK2" s="265"/>
      <c r="BL2" s="265"/>
      <c r="BM2" s="265"/>
      <c r="BN2" s="265"/>
      <c r="BO2" s="266"/>
      <c r="BR2" s="271"/>
      <c r="BS2" s="262" t="s">
        <v>107</v>
      </c>
      <c r="BT2" s="272" t="s">
        <v>268</v>
      </c>
      <c r="BU2" s="264"/>
      <c r="BV2" s="273"/>
      <c r="BW2" s="265"/>
      <c r="BX2" s="274"/>
    </row>
    <row r="3" customFormat="false" ht="18" hidden="false" customHeight="false" outlineLevel="0" collapsed="false">
      <c r="B3" s="275" t="s">
        <v>110</v>
      </c>
      <c r="C3" s="276"/>
      <c r="D3" s="263"/>
      <c r="E3" s="277"/>
      <c r="F3" s="265"/>
      <c r="G3" s="265"/>
      <c r="H3" s="266"/>
      <c r="K3" s="275" t="s">
        <v>110</v>
      </c>
      <c r="L3" s="276"/>
      <c r="M3" s="263"/>
      <c r="N3" s="277"/>
      <c r="O3" s="265"/>
      <c r="P3" s="265"/>
      <c r="Q3" s="266"/>
      <c r="T3" s="275" t="s">
        <v>110</v>
      </c>
      <c r="U3" s="276"/>
      <c r="V3" s="263"/>
      <c r="W3" s="277"/>
      <c r="X3" s="265"/>
      <c r="Y3" s="265"/>
      <c r="Z3" s="266"/>
      <c r="AA3" s="270"/>
      <c r="AB3" s="80"/>
      <c r="AC3" s="275" t="s">
        <v>110</v>
      </c>
      <c r="AD3" s="276"/>
      <c r="AE3" s="263"/>
      <c r="AF3" s="277"/>
      <c r="AG3" s="265"/>
      <c r="AH3" s="265"/>
      <c r="AI3" s="278"/>
      <c r="AJ3" s="80"/>
      <c r="AL3" s="275" t="s">
        <v>110</v>
      </c>
      <c r="AM3" s="276"/>
      <c r="AN3" s="263"/>
      <c r="AO3" s="263"/>
      <c r="AP3" s="277"/>
      <c r="AQ3" s="265"/>
      <c r="AR3" s="265"/>
      <c r="AS3" s="278"/>
      <c r="AT3" s="270"/>
      <c r="AV3" s="275" t="s">
        <v>110</v>
      </c>
      <c r="AW3" s="276"/>
      <c r="AX3" s="263"/>
      <c r="AY3" s="277"/>
      <c r="AZ3" s="265"/>
      <c r="BA3" s="265"/>
      <c r="BB3" s="278"/>
      <c r="BE3" s="275" t="s">
        <v>110</v>
      </c>
      <c r="BF3" s="276"/>
      <c r="BG3" s="263"/>
      <c r="BH3" s="277"/>
      <c r="BI3" s="265"/>
      <c r="BJ3" s="265"/>
      <c r="BK3" s="265"/>
      <c r="BL3" s="265"/>
      <c r="BM3" s="265"/>
      <c r="BN3" s="265"/>
      <c r="BO3" s="266"/>
      <c r="BR3" s="275" t="s">
        <v>110</v>
      </c>
      <c r="BS3" s="276"/>
      <c r="BT3" s="263"/>
      <c r="BU3" s="277"/>
      <c r="BV3" s="265"/>
      <c r="BW3" s="265"/>
      <c r="BX3" s="278"/>
    </row>
    <row r="4" customFormat="false" ht="12.75" hidden="false" customHeight="false" outlineLevel="0" collapsed="false">
      <c r="A4" s="279"/>
      <c r="B4" s="283"/>
      <c r="C4" s="440" t="s">
        <v>269</v>
      </c>
      <c r="D4" s="440"/>
      <c r="E4" s="440"/>
      <c r="F4" s="440"/>
      <c r="G4" s="440"/>
      <c r="H4" s="440"/>
      <c r="J4" s="279"/>
      <c r="K4" s="280"/>
      <c r="L4" s="440" t="s">
        <v>269</v>
      </c>
      <c r="M4" s="440"/>
      <c r="N4" s="440"/>
      <c r="O4" s="440"/>
      <c r="P4" s="440"/>
      <c r="Q4" s="440"/>
      <c r="T4" s="280"/>
      <c r="U4" s="441" t="s">
        <v>269</v>
      </c>
      <c r="V4" s="441"/>
      <c r="W4" s="441"/>
      <c r="X4" s="441"/>
      <c r="Y4" s="441"/>
      <c r="Z4" s="440"/>
      <c r="AA4" s="282"/>
      <c r="AB4" s="80"/>
      <c r="AC4" s="275"/>
      <c r="AD4" s="440" t="s">
        <v>269</v>
      </c>
      <c r="AE4" s="440"/>
      <c r="AF4" s="440"/>
      <c r="AG4" s="440"/>
      <c r="AH4" s="440"/>
      <c r="AI4" s="440"/>
      <c r="AJ4" s="80"/>
      <c r="AL4" s="275"/>
      <c r="AM4" s="441" t="s">
        <v>269</v>
      </c>
      <c r="AN4" s="441"/>
      <c r="AO4" s="441"/>
      <c r="AP4" s="441"/>
      <c r="AQ4" s="441"/>
      <c r="AR4" s="441"/>
      <c r="AS4" s="440"/>
      <c r="AT4" s="282"/>
      <c r="AV4" s="283"/>
      <c r="AW4" s="282" t="s">
        <v>270</v>
      </c>
      <c r="AX4" s="282"/>
      <c r="AY4" s="282"/>
      <c r="AZ4" s="282"/>
      <c r="BA4" s="282"/>
      <c r="BB4" s="281"/>
      <c r="BE4" s="442"/>
      <c r="BF4" s="441" t="s">
        <v>269</v>
      </c>
      <c r="BG4" s="441"/>
      <c r="BH4" s="441"/>
      <c r="BI4" s="441"/>
      <c r="BJ4" s="441"/>
      <c r="BK4" s="441"/>
      <c r="BL4" s="441"/>
      <c r="BM4" s="441"/>
      <c r="BN4" s="441"/>
      <c r="BO4" s="440"/>
      <c r="BR4" s="275"/>
      <c r="BS4" s="282" t="s">
        <v>270</v>
      </c>
      <c r="BT4" s="282"/>
      <c r="BU4" s="282"/>
      <c r="BV4" s="282"/>
      <c r="BW4" s="282"/>
      <c r="BX4" s="281"/>
    </row>
    <row r="5" customFormat="false" ht="12.75" hidden="false" customHeight="true" outlineLevel="0" collapsed="false">
      <c r="A5" s="286"/>
      <c r="B5" s="280"/>
      <c r="C5" s="281" t="s">
        <v>271</v>
      </c>
      <c r="D5" s="281"/>
      <c r="E5" s="281"/>
      <c r="F5" s="281"/>
      <c r="G5" s="281"/>
      <c r="H5" s="281"/>
      <c r="J5" s="286"/>
      <c r="K5" s="280"/>
      <c r="L5" s="281" t="s">
        <v>271</v>
      </c>
      <c r="M5" s="281"/>
      <c r="N5" s="281"/>
      <c r="O5" s="281"/>
      <c r="P5" s="281"/>
      <c r="Q5" s="281"/>
      <c r="T5" s="280"/>
      <c r="U5" s="282" t="s">
        <v>271</v>
      </c>
      <c r="V5" s="282"/>
      <c r="W5" s="282"/>
      <c r="X5" s="282"/>
      <c r="Y5" s="282"/>
      <c r="Z5" s="281"/>
      <c r="AA5" s="289"/>
      <c r="AB5" s="80"/>
      <c r="AC5" s="275"/>
      <c r="AD5" s="281" t="s">
        <v>272</v>
      </c>
      <c r="AE5" s="281"/>
      <c r="AF5" s="281"/>
      <c r="AG5" s="281"/>
      <c r="AH5" s="281"/>
      <c r="AI5" s="281"/>
      <c r="AJ5" s="80"/>
      <c r="AL5" s="275"/>
      <c r="AM5" s="282" t="s">
        <v>273</v>
      </c>
      <c r="AN5" s="282"/>
      <c r="AO5" s="282"/>
      <c r="AP5" s="282"/>
      <c r="AQ5" s="282"/>
      <c r="AR5" s="282"/>
      <c r="AS5" s="281"/>
      <c r="AT5" s="289"/>
      <c r="AV5" s="283"/>
      <c r="AW5" s="292" t="s">
        <v>274</v>
      </c>
      <c r="AX5" s="292"/>
      <c r="AY5" s="292"/>
      <c r="AZ5" s="292"/>
      <c r="BA5" s="292"/>
      <c r="BB5" s="293"/>
      <c r="BE5" s="280"/>
      <c r="BF5" s="282" t="s">
        <v>275</v>
      </c>
      <c r="BG5" s="282"/>
      <c r="BH5" s="282"/>
      <c r="BI5" s="282"/>
      <c r="BJ5" s="282"/>
      <c r="BK5" s="282"/>
      <c r="BL5" s="282"/>
      <c r="BM5" s="282"/>
      <c r="BN5" s="282"/>
      <c r="BO5" s="281"/>
      <c r="BR5" s="283"/>
      <c r="BS5" s="292" t="s">
        <v>276</v>
      </c>
      <c r="BT5" s="292"/>
      <c r="BU5" s="292"/>
      <c r="BV5" s="292"/>
      <c r="BW5" s="292"/>
      <c r="BX5" s="293"/>
    </row>
    <row r="6" customFormat="false" ht="12.75" hidden="false" customHeight="true" outlineLevel="0" collapsed="false">
      <c r="A6" s="294"/>
      <c r="B6" s="280"/>
      <c r="C6" s="443" t="s">
        <v>277</v>
      </c>
      <c r="D6" s="443"/>
      <c r="E6" s="443"/>
      <c r="F6" s="443"/>
      <c r="G6" s="443"/>
      <c r="H6" s="443"/>
      <c r="J6" s="294"/>
      <c r="K6" s="280"/>
      <c r="L6" s="443" t="s">
        <v>277</v>
      </c>
      <c r="M6" s="443"/>
      <c r="N6" s="443"/>
      <c r="O6" s="443"/>
      <c r="P6" s="443"/>
      <c r="Q6" s="443"/>
      <c r="T6" s="280"/>
      <c r="U6" s="290" t="s">
        <v>278</v>
      </c>
      <c r="V6" s="290"/>
      <c r="W6" s="290"/>
      <c r="X6" s="290"/>
      <c r="Y6" s="290"/>
      <c r="Z6" s="443"/>
      <c r="AA6" s="291"/>
      <c r="AB6" s="80"/>
      <c r="AC6" s="275"/>
      <c r="AD6" s="443" t="s">
        <v>279</v>
      </c>
      <c r="AE6" s="443"/>
      <c r="AF6" s="443"/>
      <c r="AG6" s="443"/>
      <c r="AH6" s="443"/>
      <c r="AI6" s="443"/>
      <c r="AJ6" s="80"/>
      <c r="AL6" s="275"/>
      <c r="AM6" s="290" t="s">
        <v>280</v>
      </c>
      <c r="AN6" s="290"/>
      <c r="AO6" s="290"/>
      <c r="AP6" s="290"/>
      <c r="AQ6" s="290"/>
      <c r="AR6" s="290"/>
      <c r="AS6" s="443"/>
      <c r="AT6" s="282"/>
      <c r="AV6" s="283"/>
      <c r="AW6" s="292" t="s">
        <v>281</v>
      </c>
      <c r="AX6" s="292"/>
      <c r="AY6" s="292"/>
      <c r="AZ6" s="292"/>
      <c r="BA6" s="292"/>
      <c r="BB6" s="293"/>
      <c r="BE6" s="280"/>
      <c r="BF6" s="289" t="s">
        <v>282</v>
      </c>
      <c r="BG6" s="289"/>
      <c r="BH6" s="289"/>
      <c r="BI6" s="289"/>
      <c r="BJ6" s="289"/>
      <c r="BK6" s="289"/>
      <c r="BL6" s="289"/>
      <c r="BM6" s="289"/>
      <c r="BN6" s="289"/>
      <c r="BO6" s="288"/>
      <c r="BR6" s="283"/>
      <c r="BS6" s="292" t="s">
        <v>281</v>
      </c>
      <c r="BT6" s="292"/>
      <c r="BU6" s="292"/>
      <c r="BV6" s="292"/>
      <c r="BW6" s="292"/>
      <c r="BX6" s="293"/>
    </row>
    <row r="7" customFormat="false" ht="12.75" hidden="false" customHeight="false" outlineLevel="0" collapsed="false">
      <c r="A7" s="294"/>
      <c r="B7" s="280"/>
      <c r="C7" s="444" t="s">
        <v>283</v>
      </c>
      <c r="D7" s="444"/>
      <c r="E7" s="444"/>
      <c r="F7" s="444"/>
      <c r="G7" s="444"/>
      <c r="H7" s="445"/>
      <c r="J7" s="294"/>
      <c r="K7" s="283"/>
      <c r="L7" s="444" t="s">
        <v>284</v>
      </c>
      <c r="M7" s="446"/>
      <c r="N7" s="446"/>
      <c r="O7" s="446"/>
      <c r="P7" s="446"/>
      <c r="Q7" s="447"/>
      <c r="T7" s="283"/>
      <c r="U7" s="448" t="s">
        <v>285</v>
      </c>
      <c r="V7" s="446"/>
      <c r="W7" s="446"/>
      <c r="X7" s="446"/>
      <c r="Y7" s="446"/>
      <c r="Z7" s="447"/>
      <c r="AA7" s="446"/>
      <c r="AB7" s="80"/>
      <c r="AC7" s="275"/>
      <c r="AD7" s="290" t="s">
        <v>286</v>
      </c>
      <c r="AE7" s="290"/>
      <c r="AF7" s="290"/>
      <c r="AG7" s="290"/>
      <c r="AH7" s="290"/>
      <c r="AI7" s="443"/>
      <c r="AJ7" s="80"/>
      <c r="AL7" s="275"/>
      <c r="AM7" s="290" t="s">
        <v>287</v>
      </c>
      <c r="AN7" s="290"/>
      <c r="AO7" s="290"/>
      <c r="AP7" s="290"/>
      <c r="AQ7" s="290"/>
      <c r="AR7" s="290"/>
      <c r="AS7" s="443"/>
      <c r="AT7" s="291"/>
      <c r="AV7" s="283"/>
      <c r="AW7" s="292" t="s">
        <v>288</v>
      </c>
      <c r="AX7" s="292"/>
      <c r="AY7" s="292"/>
      <c r="AZ7" s="292"/>
      <c r="BA7" s="292"/>
      <c r="BB7" s="293"/>
      <c r="BE7" s="344"/>
      <c r="BF7" s="345" t="s">
        <v>202</v>
      </c>
      <c r="BG7" s="345"/>
      <c r="BH7" s="345"/>
      <c r="BI7" s="346"/>
      <c r="BJ7" s="346"/>
      <c r="BK7" s="346"/>
      <c r="BL7" s="346"/>
      <c r="BM7" s="346"/>
      <c r="BN7" s="346"/>
      <c r="BO7" s="266"/>
      <c r="BR7" s="283"/>
      <c r="BS7" s="292" t="s">
        <v>288</v>
      </c>
      <c r="BT7" s="292"/>
      <c r="BU7" s="292"/>
      <c r="BV7" s="292"/>
      <c r="BW7" s="292"/>
      <c r="BX7" s="293"/>
    </row>
    <row r="8" customFormat="false" ht="15" hidden="false" customHeight="false" outlineLevel="0" collapsed="false">
      <c r="A8" s="294"/>
      <c r="B8" s="283"/>
      <c r="C8" s="443" t="s">
        <v>289</v>
      </c>
      <c r="D8" s="443"/>
      <c r="E8" s="443"/>
      <c r="F8" s="443"/>
      <c r="G8" s="443"/>
      <c r="H8" s="443"/>
      <c r="J8" s="294"/>
      <c r="K8" s="283"/>
      <c r="L8" s="290" t="s">
        <v>290</v>
      </c>
      <c r="M8" s="446"/>
      <c r="N8" s="446"/>
      <c r="O8" s="446"/>
      <c r="P8" s="446"/>
      <c r="Q8" s="447"/>
      <c r="T8" s="283"/>
      <c r="U8" s="449" t="s">
        <v>291</v>
      </c>
      <c r="V8" s="446"/>
      <c r="W8" s="446"/>
      <c r="X8" s="446"/>
      <c r="Y8" s="446"/>
      <c r="Z8" s="447"/>
      <c r="AA8" s="446"/>
      <c r="AB8" s="80"/>
      <c r="AC8" s="275"/>
      <c r="AD8" s="444" t="s">
        <v>292</v>
      </c>
      <c r="AE8" s="446"/>
      <c r="AF8" s="446"/>
      <c r="AG8" s="446"/>
      <c r="AH8" s="446"/>
      <c r="AI8" s="447"/>
      <c r="AJ8" s="80"/>
      <c r="AL8" s="275"/>
      <c r="AM8" s="448" t="s">
        <v>293</v>
      </c>
      <c r="AN8" s="446"/>
      <c r="AO8" s="446"/>
      <c r="AP8" s="446"/>
      <c r="AQ8" s="446"/>
      <c r="AR8" s="446"/>
      <c r="AS8" s="447"/>
      <c r="AT8" s="296"/>
      <c r="AV8" s="283"/>
      <c r="AW8" s="298"/>
      <c r="AX8" s="298"/>
      <c r="AY8" s="298"/>
      <c r="AZ8" s="298"/>
      <c r="BA8" s="298"/>
      <c r="BB8" s="299"/>
      <c r="BE8" s="344"/>
      <c r="BF8" s="450" t="s">
        <v>207</v>
      </c>
      <c r="BG8" s="355"/>
      <c r="BH8" s="355"/>
      <c r="BI8" s="355"/>
      <c r="BJ8" s="355"/>
      <c r="BK8" s="355"/>
      <c r="BL8" s="355"/>
      <c r="BM8" s="356"/>
      <c r="BN8" s="357"/>
      <c r="BO8" s="266"/>
      <c r="BR8" s="283"/>
      <c r="BS8" s="298"/>
      <c r="BT8" s="298"/>
      <c r="BU8" s="298"/>
      <c r="BV8" s="298"/>
      <c r="BW8" s="298"/>
      <c r="BX8" s="299"/>
    </row>
    <row r="9" customFormat="false" ht="15" hidden="false" customHeight="false" outlineLevel="0" collapsed="false">
      <c r="A9" s="294"/>
      <c r="B9" s="283"/>
      <c r="C9" s="281" t="s">
        <v>294</v>
      </c>
      <c r="D9" s="281"/>
      <c r="E9" s="281"/>
      <c r="F9" s="281"/>
      <c r="G9" s="281"/>
      <c r="H9" s="281"/>
      <c r="J9" s="294"/>
      <c r="K9" s="283"/>
      <c r="L9" s="282" t="s">
        <v>295</v>
      </c>
      <c r="M9" s="446"/>
      <c r="N9" s="446"/>
      <c r="O9" s="446"/>
      <c r="P9" s="446"/>
      <c r="Q9" s="447"/>
      <c r="T9" s="283"/>
      <c r="U9" s="282" t="s">
        <v>296</v>
      </c>
      <c r="V9" s="446"/>
      <c r="W9" s="446"/>
      <c r="X9" s="446"/>
      <c r="Y9" s="446"/>
      <c r="Z9" s="447"/>
      <c r="AA9" s="446"/>
      <c r="AB9" s="80"/>
      <c r="AC9" s="275"/>
      <c r="AD9" s="444" t="s">
        <v>297</v>
      </c>
      <c r="AE9" s="446"/>
      <c r="AF9" s="446"/>
      <c r="AG9" s="446"/>
      <c r="AH9" s="446"/>
      <c r="AI9" s="447"/>
      <c r="AJ9" s="80"/>
      <c r="AL9" s="275"/>
      <c r="AM9" s="448" t="s">
        <v>298</v>
      </c>
      <c r="AN9" s="446"/>
      <c r="AO9" s="446"/>
      <c r="AP9" s="446"/>
      <c r="AQ9" s="446"/>
      <c r="AR9" s="446"/>
      <c r="AS9" s="447"/>
      <c r="AT9" s="291"/>
      <c r="AV9" s="283"/>
      <c r="AW9" s="451" t="s">
        <v>15</v>
      </c>
      <c r="AX9" s="328"/>
      <c r="AY9" s="328"/>
      <c r="AZ9" s="328"/>
      <c r="BA9" s="329"/>
      <c r="BB9" s="274"/>
      <c r="BE9" s="344"/>
      <c r="BF9" s="388"/>
      <c r="BG9" s="412"/>
      <c r="BH9" s="452"/>
      <c r="BI9" s="452"/>
      <c r="BJ9" s="452"/>
      <c r="BK9" s="452"/>
      <c r="BL9" s="452"/>
      <c r="BM9" s="452"/>
      <c r="BN9" s="372"/>
      <c r="BO9" s="266"/>
      <c r="BR9" s="283"/>
      <c r="BS9" s="303" t="s">
        <v>154</v>
      </c>
      <c r="BT9" s="304"/>
      <c r="BU9" s="304"/>
      <c r="BV9" s="304"/>
      <c r="BW9" s="305"/>
      <c r="BX9" s="274"/>
    </row>
    <row r="10" customFormat="false" ht="15" hidden="false" customHeight="false" outlineLevel="0" collapsed="false">
      <c r="A10" s="300"/>
      <c r="B10" s="283"/>
      <c r="C10" s="282"/>
      <c r="D10" s="296"/>
      <c r="E10" s="296"/>
      <c r="F10" s="296"/>
      <c r="G10" s="296"/>
      <c r="H10" s="302"/>
      <c r="J10" s="300"/>
      <c r="K10" s="283"/>
      <c r="L10" s="290" t="s">
        <v>299</v>
      </c>
      <c r="M10" s="446"/>
      <c r="N10" s="446"/>
      <c r="O10" s="446"/>
      <c r="P10" s="446"/>
      <c r="Q10" s="447"/>
      <c r="T10" s="283"/>
      <c r="U10" s="290" t="s">
        <v>300</v>
      </c>
      <c r="V10" s="446"/>
      <c r="W10" s="446"/>
      <c r="X10" s="446"/>
      <c r="Y10" s="446"/>
      <c r="Z10" s="447"/>
      <c r="AA10" s="446"/>
      <c r="AB10" s="80"/>
      <c r="AC10" s="275"/>
      <c r="AD10" s="281" t="s">
        <v>301</v>
      </c>
      <c r="AE10" s="281"/>
      <c r="AF10" s="281"/>
      <c r="AG10" s="281"/>
      <c r="AH10" s="281"/>
      <c r="AI10" s="281"/>
      <c r="AJ10" s="80"/>
      <c r="AL10" s="275"/>
      <c r="AM10" s="282" t="s">
        <v>302</v>
      </c>
      <c r="AN10" s="282"/>
      <c r="AO10" s="282"/>
      <c r="AP10" s="282"/>
      <c r="AQ10" s="282"/>
      <c r="AR10" s="282"/>
      <c r="AS10" s="281"/>
      <c r="AT10" s="69"/>
      <c r="AV10" s="283"/>
      <c r="AW10" s="330"/>
      <c r="AX10" s="30" t="s">
        <v>22</v>
      </c>
      <c r="AY10" s="30"/>
      <c r="AZ10" s="331" t="n">
        <f aca="false">'Input-Start'!AI17</f>
        <v>7</v>
      </c>
      <c r="BA10" s="22"/>
      <c r="BB10" s="274"/>
      <c r="BE10" s="344"/>
      <c r="BF10" s="453"/>
      <c r="BG10" s="454" t="s">
        <v>4</v>
      </c>
      <c r="BH10" s="455" t="s">
        <v>303</v>
      </c>
      <c r="BI10" s="455"/>
      <c r="BJ10" s="455" t="s">
        <v>304</v>
      </c>
      <c r="BK10" s="455"/>
      <c r="BL10" s="455"/>
      <c r="BM10" s="455"/>
      <c r="BN10" s="456"/>
      <c r="BO10" s="266"/>
      <c r="BR10" s="283"/>
      <c r="BS10" s="311"/>
      <c r="BT10" s="312"/>
      <c r="BU10" s="312"/>
      <c r="BV10" s="312"/>
      <c r="BW10" s="313"/>
      <c r="BX10" s="274"/>
    </row>
    <row r="11" customFormat="false" ht="15" hidden="false" customHeight="false" outlineLevel="0" collapsed="false">
      <c r="A11" s="300"/>
      <c r="B11" s="344"/>
      <c r="C11" s="450" t="s">
        <v>206</v>
      </c>
      <c r="D11" s="355"/>
      <c r="E11" s="355"/>
      <c r="F11" s="356"/>
      <c r="G11" s="357"/>
      <c r="H11" s="266"/>
      <c r="J11" s="300"/>
      <c r="K11" s="283"/>
      <c r="L11" s="69" t="s">
        <v>305</v>
      </c>
      <c r="M11" s="296"/>
      <c r="N11" s="296"/>
      <c r="O11" s="296"/>
      <c r="P11" s="296"/>
      <c r="Q11" s="302"/>
      <c r="T11" s="283"/>
      <c r="U11" s="457" t="s">
        <v>305</v>
      </c>
      <c r="V11" s="296"/>
      <c r="W11" s="296"/>
      <c r="X11" s="296"/>
      <c r="Y11" s="296"/>
      <c r="Z11" s="302"/>
      <c r="AA11" s="296"/>
      <c r="AB11" s="80"/>
      <c r="AC11" s="271"/>
      <c r="AD11" s="273"/>
      <c r="AE11" s="273"/>
      <c r="AF11" s="273"/>
      <c r="AG11" s="273"/>
      <c r="AH11" s="273"/>
      <c r="AI11" s="274"/>
      <c r="AJ11" s="80"/>
      <c r="AL11" s="271"/>
      <c r="AM11" s="273"/>
      <c r="AN11" s="273"/>
      <c r="AO11" s="273"/>
      <c r="AP11" s="273"/>
      <c r="AQ11" s="273"/>
      <c r="AR11" s="273"/>
      <c r="AS11" s="274"/>
      <c r="AT11" s="296"/>
      <c r="AV11" s="283"/>
      <c r="AW11" s="330"/>
      <c r="AX11" s="30" t="s">
        <v>24</v>
      </c>
      <c r="AY11" s="30"/>
      <c r="AZ11" s="331" t="n">
        <f aca="false">'Input-Start'!AI18</f>
        <v>4.5</v>
      </c>
      <c r="BA11" s="22"/>
      <c r="BB11" s="274"/>
      <c r="BE11" s="344"/>
      <c r="BF11" s="453"/>
      <c r="BG11" s="454"/>
      <c r="BH11" s="458" t="s">
        <v>306</v>
      </c>
      <c r="BI11" s="458"/>
      <c r="BJ11" s="458" t="s">
        <v>306</v>
      </c>
      <c r="BK11" s="458"/>
      <c r="BL11" s="458" t="s">
        <v>307</v>
      </c>
      <c r="BM11" s="458"/>
      <c r="BN11" s="456"/>
      <c r="BO11" s="266"/>
      <c r="BR11" s="283"/>
      <c r="BS11" s="315" t="s">
        <v>166</v>
      </c>
      <c r="BT11" s="312"/>
      <c r="BU11" s="312"/>
      <c r="BV11" s="316" t="n">
        <f aca="false">'Input-Start'!BA12</f>
        <v>25</v>
      </c>
      <c r="BW11" s="313"/>
      <c r="BX11" s="274"/>
    </row>
    <row r="12" customFormat="false" ht="15" hidden="false" customHeight="true" outlineLevel="0" collapsed="false">
      <c r="A12" s="300"/>
      <c r="B12" s="344"/>
      <c r="C12" s="388"/>
      <c r="D12" s="412"/>
      <c r="E12" s="452"/>
      <c r="F12" s="452"/>
      <c r="G12" s="372"/>
      <c r="H12" s="266"/>
      <c r="J12" s="300"/>
      <c r="K12" s="283"/>
      <c r="L12" s="282" t="s">
        <v>308</v>
      </c>
      <c r="M12" s="69"/>
      <c r="N12" s="69"/>
      <c r="O12" s="69"/>
      <c r="P12" s="69"/>
      <c r="Q12" s="326"/>
      <c r="T12" s="283"/>
      <c r="U12" s="282" t="s">
        <v>308</v>
      </c>
      <c r="V12" s="457"/>
      <c r="W12" s="457"/>
      <c r="X12" s="457"/>
      <c r="Y12" s="457"/>
      <c r="Z12" s="459"/>
      <c r="AA12" s="296"/>
      <c r="AB12" s="80"/>
      <c r="AC12" s="271"/>
      <c r="AD12" s="339" t="s">
        <v>4</v>
      </c>
      <c r="AE12" s="339" t="s">
        <v>195</v>
      </c>
      <c r="AF12" s="340" t="s">
        <v>196</v>
      </c>
      <c r="AG12" s="340"/>
      <c r="AH12" s="340"/>
      <c r="AI12" s="274"/>
      <c r="AJ12" s="80"/>
      <c r="AL12" s="271"/>
      <c r="AM12" s="339" t="s">
        <v>4</v>
      </c>
      <c r="AN12" s="460" t="s">
        <v>190</v>
      </c>
      <c r="AO12" s="336" t="s">
        <v>196</v>
      </c>
      <c r="AP12" s="336"/>
      <c r="AQ12" s="336"/>
      <c r="AR12" s="336"/>
      <c r="AS12" s="274"/>
      <c r="AT12" s="296"/>
      <c r="AV12" s="271"/>
      <c r="AW12" s="330"/>
      <c r="AX12" s="30" t="s">
        <v>203</v>
      </c>
      <c r="AY12" s="30"/>
      <c r="AZ12" s="331" t="n">
        <f aca="false">'Input-Start'!AI19</f>
        <v>2.4</v>
      </c>
      <c r="BA12" s="22"/>
      <c r="BB12" s="274"/>
      <c r="BE12" s="344"/>
      <c r="BF12" s="453"/>
      <c r="BG12" s="454"/>
      <c r="BH12" s="461" t="s">
        <v>22</v>
      </c>
      <c r="BI12" s="462" t="s">
        <v>24</v>
      </c>
      <c r="BJ12" s="461" t="s">
        <v>22</v>
      </c>
      <c r="BK12" s="462" t="s">
        <v>24</v>
      </c>
      <c r="BL12" s="461" t="s">
        <v>309</v>
      </c>
      <c r="BM12" s="462" t="s">
        <v>234</v>
      </c>
      <c r="BN12" s="456"/>
      <c r="BO12" s="266"/>
      <c r="BR12" s="271"/>
      <c r="BS12" s="315" t="s">
        <v>310</v>
      </c>
      <c r="BT12" s="30"/>
      <c r="BU12" s="30"/>
      <c r="BV12" s="319" t="n">
        <f aca="false">'Input-Start'!BA13-'Input-Start'!BA14-'Input-Start'!BA15</f>
        <v>0.74</v>
      </c>
      <c r="BW12" s="22"/>
      <c r="BX12" s="274"/>
    </row>
    <row r="13" customFormat="false" ht="16.5" hidden="false" customHeight="false" outlineLevel="0" collapsed="false">
      <c r="A13" s="286"/>
      <c r="B13" s="344"/>
      <c r="C13" s="453"/>
      <c r="D13" s="454" t="s">
        <v>4</v>
      </c>
      <c r="E13" s="463" t="s">
        <v>43</v>
      </c>
      <c r="F13" s="464" t="s">
        <v>218</v>
      </c>
      <c r="G13" s="456"/>
      <c r="H13" s="266"/>
      <c r="J13" s="286"/>
      <c r="K13" s="283"/>
      <c r="L13" s="282" t="s">
        <v>311</v>
      </c>
      <c r="M13" s="296"/>
      <c r="N13" s="296"/>
      <c r="O13" s="296"/>
      <c r="P13" s="296"/>
      <c r="Q13" s="302"/>
      <c r="T13" s="283"/>
      <c r="U13" s="282" t="s">
        <v>312</v>
      </c>
      <c r="V13" s="296"/>
      <c r="W13" s="296"/>
      <c r="X13" s="296"/>
      <c r="Y13" s="296"/>
      <c r="Z13" s="302"/>
      <c r="AA13" s="270"/>
      <c r="AB13" s="80"/>
      <c r="AC13" s="271"/>
      <c r="AD13" s="339"/>
      <c r="AE13" s="339"/>
      <c r="AF13" s="347" t="s">
        <v>313</v>
      </c>
      <c r="AG13" s="347" t="s">
        <v>198</v>
      </c>
      <c r="AH13" s="347" t="s">
        <v>199</v>
      </c>
      <c r="AI13" s="274"/>
      <c r="AJ13" s="80"/>
      <c r="AL13" s="271"/>
      <c r="AM13" s="339"/>
      <c r="AN13" s="460"/>
      <c r="AO13" s="465" t="s">
        <v>195</v>
      </c>
      <c r="AP13" s="347" t="s">
        <v>197</v>
      </c>
      <c r="AQ13" s="466" t="s">
        <v>198</v>
      </c>
      <c r="AR13" s="347" t="s">
        <v>199</v>
      </c>
      <c r="AS13" s="274"/>
      <c r="AT13" s="296"/>
      <c r="AV13" s="271"/>
      <c r="AW13" s="315" t="s">
        <v>236</v>
      </c>
      <c r="AX13" s="30"/>
      <c r="AY13" s="30"/>
      <c r="AZ13" s="390"/>
      <c r="BA13" s="22"/>
      <c r="BB13" s="274"/>
      <c r="BE13" s="344"/>
      <c r="BF13" s="467"/>
      <c r="BG13" s="348" t="s">
        <v>64</v>
      </c>
      <c r="BH13" s="468" t="n">
        <f aca="false">'Input-Start'!AH22</f>
        <v>0.83</v>
      </c>
      <c r="BI13" s="469" t="n">
        <f aca="false">1-BH13</f>
        <v>0.17</v>
      </c>
      <c r="BJ13" s="468" t="n">
        <f aca="false">'Input-Start'!AH25</f>
        <v>0.83</v>
      </c>
      <c r="BK13" s="469" t="n">
        <f aca="false">1-BJ13</f>
        <v>0.17</v>
      </c>
      <c r="BL13" s="468" t="n">
        <f aca="false">'Input-Start'!AH28</f>
        <v>0.64</v>
      </c>
      <c r="BM13" s="470" t="n">
        <f aca="false">1-BL13</f>
        <v>0.36</v>
      </c>
      <c r="BN13" s="456"/>
      <c r="BO13" s="266"/>
      <c r="BR13" s="271"/>
      <c r="BS13" s="315" t="s">
        <v>187</v>
      </c>
      <c r="BT13" s="30"/>
      <c r="BU13" s="30"/>
      <c r="BV13" s="332"/>
      <c r="BW13" s="22"/>
      <c r="BX13" s="274"/>
    </row>
    <row r="14" customFormat="false" ht="15.75" hidden="false" customHeight="false" outlineLevel="0" collapsed="false">
      <c r="A14" s="320"/>
      <c r="B14" s="344"/>
      <c r="C14" s="467"/>
      <c r="D14" s="348" t="s">
        <v>64</v>
      </c>
      <c r="E14" s="471" t="n">
        <f aca="false">'Input-Start'!F22</f>
        <v>19016173</v>
      </c>
      <c r="F14" s="472" t="n">
        <f aca="false">'Input-Start'!F23</f>
        <v>0</v>
      </c>
      <c r="G14" s="456"/>
      <c r="H14" s="266"/>
      <c r="J14" s="320"/>
      <c r="K14" s="344"/>
      <c r="L14" s="298" t="s">
        <v>314</v>
      </c>
      <c r="M14" s="345"/>
      <c r="N14" s="345"/>
      <c r="O14" s="346"/>
      <c r="P14" s="346"/>
      <c r="Q14" s="266"/>
      <c r="T14" s="344"/>
      <c r="U14" s="298" t="s">
        <v>315</v>
      </c>
      <c r="V14" s="345"/>
      <c r="W14" s="345"/>
      <c r="X14" s="346"/>
      <c r="Y14" s="346"/>
      <c r="Z14" s="266"/>
      <c r="AA14" s="270"/>
      <c r="AB14" s="80"/>
      <c r="AC14" s="271"/>
      <c r="AD14" s="348" t="s">
        <v>64</v>
      </c>
      <c r="AE14" s="473" t="n">
        <f aca="false">'Input-Start'!N20</f>
        <v>0</v>
      </c>
      <c r="AF14" s="474" t="n">
        <f aca="false">Cost_PY*('Input-Start'!BA38+PY_for_Inf)</f>
        <v>4004650</v>
      </c>
      <c r="AG14" s="475" t="n">
        <v>8356.16</v>
      </c>
      <c r="AH14" s="476" t="n">
        <v>297120</v>
      </c>
      <c r="AI14" s="274"/>
      <c r="AJ14" s="80"/>
      <c r="AL14" s="271"/>
      <c r="AM14" s="348" t="s">
        <v>64</v>
      </c>
      <c r="AN14" s="477" t="n">
        <f aca="false">'Input-Start'!W19</f>
        <v>3009340</v>
      </c>
      <c r="AO14" s="478" t="n">
        <f aca="false">'Input-Start'!X19</f>
        <v>0</v>
      </c>
      <c r="AP14" s="479" t="n">
        <f aca="false">Cost_PY*('Input-Start'!BA38+PY_for_Inf)</f>
        <v>4004650</v>
      </c>
      <c r="AQ14" s="480" t="n">
        <v>8356.16</v>
      </c>
      <c r="AR14" s="481" t="n">
        <v>301760</v>
      </c>
      <c r="AS14" s="274"/>
      <c r="AT14" s="482"/>
      <c r="AV14" s="271"/>
      <c r="AW14" s="406" t="s">
        <v>316</v>
      </c>
      <c r="AX14" s="30"/>
      <c r="AY14" s="30"/>
      <c r="AZ14" s="390"/>
      <c r="BA14" s="22"/>
      <c r="BB14" s="274"/>
      <c r="BE14" s="344"/>
      <c r="BF14" s="483"/>
      <c r="BG14" s="348" t="n">
        <v>1</v>
      </c>
      <c r="BH14" s="484" t="n">
        <f aca="false">BH$13+(BH$33-BH$13)*$D15/$D$34</f>
        <v>0.83</v>
      </c>
      <c r="BI14" s="469" t="n">
        <f aca="false">1-BH14</f>
        <v>0.17</v>
      </c>
      <c r="BJ14" s="484" t="n">
        <f aca="false">BJ$13+(BJ$33-BJ$13)*$D15/$D$34</f>
        <v>0.8385</v>
      </c>
      <c r="BK14" s="469" t="n">
        <f aca="false">1-BJ14</f>
        <v>0.1615</v>
      </c>
      <c r="BL14" s="484" t="n">
        <f aca="false">BL$13+(BL$33-BL$13)*$D15/$D$34</f>
        <v>0.64</v>
      </c>
      <c r="BM14" s="470" t="n">
        <f aca="false">1-BL14</f>
        <v>0.36</v>
      </c>
      <c r="BN14" s="485"/>
      <c r="BO14" s="266"/>
      <c r="BR14" s="271"/>
      <c r="BS14" s="330"/>
      <c r="BT14" s="30" t="s">
        <v>192</v>
      </c>
      <c r="BU14" s="30"/>
      <c r="BV14" s="337" t="n">
        <f aca="false">'Input-Start'!BA17</f>
        <v>24.7</v>
      </c>
      <c r="BW14" s="22"/>
      <c r="BX14" s="274"/>
    </row>
    <row r="15" customFormat="false" ht="15" hidden="false" customHeight="false" outlineLevel="0" collapsed="false">
      <c r="A15" s="279"/>
      <c r="B15" s="344"/>
      <c r="C15" s="483"/>
      <c r="D15" s="348" t="n">
        <v>1</v>
      </c>
      <c r="E15" s="486" t="n">
        <f aca="false">E$14+(E$34-E$14)*$D15/$D$34</f>
        <v>19565364.35</v>
      </c>
      <c r="F15" s="487" t="n">
        <f aca="false">Price!N8</f>
        <v>0.0699842202922738</v>
      </c>
      <c r="G15" s="485"/>
      <c r="H15" s="266"/>
      <c r="J15" s="279"/>
      <c r="K15" s="344"/>
      <c r="L15" s="281" t="s">
        <v>301</v>
      </c>
      <c r="M15" s="281"/>
      <c r="N15" s="281"/>
      <c r="O15" s="281"/>
      <c r="P15" s="281"/>
      <c r="Q15" s="281"/>
      <c r="T15" s="344"/>
      <c r="U15" s="282" t="s">
        <v>301</v>
      </c>
      <c r="V15" s="282"/>
      <c r="W15" s="282"/>
      <c r="X15" s="282"/>
      <c r="Y15" s="282"/>
      <c r="Z15" s="281"/>
      <c r="AA15" s="270"/>
      <c r="AB15" s="80"/>
      <c r="AC15" s="271"/>
      <c r="AD15" s="348" t="n">
        <v>1</v>
      </c>
      <c r="AE15" s="473" t="n">
        <f aca="false">'Input-Start'!N21^(1+Inflation_Rate)^Year</f>
        <v>0</v>
      </c>
      <c r="AF15" s="488" t="n">
        <f aca="false">Cost_PY*(PY_for_Inf+PY!$L7)*(1+Inflation_Rate)^Year</f>
        <v>4230053.20491783</v>
      </c>
      <c r="AG15" s="488" t="n">
        <v>9390.3712</v>
      </c>
      <c r="AH15" s="488" t="n">
        <v>302720</v>
      </c>
      <c r="AI15" s="274"/>
      <c r="AJ15" s="80"/>
      <c r="AL15" s="271"/>
      <c r="AM15" s="348" t="n">
        <v>1</v>
      </c>
      <c r="AN15" s="477" t="n">
        <f aca="false">'Input-Start'!W20*(1+Inflation_Rate)^Year</f>
        <v>0</v>
      </c>
      <c r="AO15" s="489" t="n">
        <f aca="false">'Agency Costs Reduction'!G7*(1+Inflation_Rate)^'Input-Detail'!$AM15</f>
        <v>460521.641277291</v>
      </c>
      <c r="AP15" s="490" t="n">
        <f aca="false">Cost_PY*(PY_for_Inf+PY!$Q7)*(1+Inflation_Rate)^Year</f>
        <v>3928222.99459235</v>
      </c>
      <c r="AQ15" s="491" t="n">
        <v>9390.4</v>
      </c>
      <c r="AR15" s="492" t="n">
        <v>325760</v>
      </c>
      <c r="AS15" s="274"/>
      <c r="AT15" s="69"/>
      <c r="AV15" s="271"/>
      <c r="AW15" s="377"/>
      <c r="AX15" s="30" t="s">
        <v>241</v>
      </c>
      <c r="AY15" s="30"/>
      <c r="AZ15" s="379" t="n">
        <f aca="false">'Input-Start'!AI32</f>
        <v>1.35</v>
      </c>
      <c r="BA15" s="22"/>
      <c r="BB15" s="274"/>
      <c r="BE15" s="344"/>
      <c r="BF15" s="311"/>
      <c r="BG15" s="348" t="n">
        <v>2</v>
      </c>
      <c r="BH15" s="484" t="n">
        <f aca="false">BH$13+(BH$33-BH$13)*$D16/$D$34</f>
        <v>0.83</v>
      </c>
      <c r="BI15" s="469" t="n">
        <f aca="false">1-BH15</f>
        <v>0.17</v>
      </c>
      <c r="BJ15" s="484" t="n">
        <f aca="false">BJ$13+(BJ$33-BJ$13)*$D16/$D$34</f>
        <v>0.847</v>
      </c>
      <c r="BK15" s="469" t="n">
        <f aca="false">1-BJ15</f>
        <v>0.153</v>
      </c>
      <c r="BL15" s="484" t="n">
        <f aca="false">BL$13+(BL$33-BL$13)*$D16/$D$34</f>
        <v>0.64</v>
      </c>
      <c r="BM15" s="470" t="n">
        <f aca="false">1-BL15</f>
        <v>0.36</v>
      </c>
      <c r="BN15" s="493"/>
      <c r="BO15" s="266"/>
      <c r="BR15" s="271"/>
      <c r="BS15" s="330"/>
      <c r="BT15" s="30" t="s">
        <v>200</v>
      </c>
      <c r="BU15" s="30"/>
      <c r="BV15" s="337" t="n">
        <f aca="false">'Input-Start'!BA18</f>
        <v>9.5</v>
      </c>
      <c r="BW15" s="22"/>
      <c r="BX15" s="274"/>
    </row>
    <row r="16" customFormat="false" ht="15" hidden="false" customHeight="true" outlineLevel="0" collapsed="false">
      <c r="A16" s="294"/>
      <c r="B16" s="344"/>
      <c r="C16" s="311"/>
      <c r="D16" s="348" t="n">
        <v>2</v>
      </c>
      <c r="E16" s="486" t="n">
        <f aca="false">E$14+(E$34-E$14)*$D16/$D$34</f>
        <v>20114555.7</v>
      </c>
      <c r="F16" s="494" t="n">
        <f aca="false">Price!N9</f>
        <v>0.133486220755981</v>
      </c>
      <c r="G16" s="493"/>
      <c r="H16" s="266"/>
      <c r="J16" s="294"/>
      <c r="K16" s="344"/>
      <c r="L16" s="495"/>
      <c r="M16" s="495"/>
      <c r="N16" s="495"/>
      <c r="O16" s="496"/>
      <c r="P16" s="496"/>
      <c r="Q16" s="266"/>
      <c r="T16" s="344"/>
      <c r="U16" s="495"/>
      <c r="V16" s="495"/>
      <c r="W16" s="495"/>
      <c r="X16" s="496"/>
      <c r="Y16" s="496"/>
      <c r="Z16" s="266"/>
      <c r="AA16" s="270"/>
      <c r="AB16" s="80"/>
      <c r="AC16" s="271"/>
      <c r="AD16" s="348" t="n">
        <v>2</v>
      </c>
      <c r="AE16" s="473" t="n">
        <f aca="false">'Input-Start'!N22^(1+Inflation_Rate)^Year</f>
        <v>0</v>
      </c>
      <c r="AF16" s="488" t="n">
        <f aca="false">Cost_PY*(PY_for_Inf+PY!$L8)*(1+Inflation_Rate)^Year</f>
        <v>4465376.41713074</v>
      </c>
      <c r="AG16" s="488" t="n">
        <v>10586.833184</v>
      </c>
      <c r="AH16" s="488" t="n">
        <v>308800</v>
      </c>
      <c r="AI16" s="274"/>
      <c r="AJ16" s="80"/>
      <c r="AL16" s="271"/>
      <c r="AM16" s="348" t="n">
        <v>2</v>
      </c>
      <c r="AN16" s="477" t="n">
        <f aca="false">'Input-Start'!W21*(1+Inflation_Rate)^Year</f>
        <v>0</v>
      </c>
      <c r="AO16" s="489" t="n">
        <f aca="false">'Agency Costs Reduction'!G8*(1+Inflation_Rate)^'Input-Detail'!$AM16</f>
        <v>455797.913368701</v>
      </c>
      <c r="AP16" s="490" t="n">
        <f aca="false">Cost_PY*(PY_for_Inf+PY!$Q8)*(1+Inflation_Rate)^Year</f>
        <v>3894735.46050484</v>
      </c>
      <c r="AQ16" s="491" t="n">
        <v>3600</v>
      </c>
      <c r="AR16" s="492" t="n">
        <v>122080</v>
      </c>
      <c r="AS16" s="274"/>
      <c r="AT16" s="69"/>
      <c r="AV16" s="271"/>
      <c r="AW16" s="377"/>
      <c r="AX16" s="30" t="s">
        <v>244</v>
      </c>
      <c r="AY16" s="30"/>
      <c r="AZ16" s="410" t="n">
        <f aca="false">'Input-Start'!AI33</f>
        <v>160</v>
      </c>
      <c r="BA16" s="22"/>
      <c r="BB16" s="274"/>
      <c r="BE16" s="344"/>
      <c r="BF16" s="453"/>
      <c r="BG16" s="348" t="n">
        <v>3</v>
      </c>
      <c r="BH16" s="484" t="n">
        <f aca="false">BH$13+(BH$33-BH$13)*$D17/$D$34</f>
        <v>0.83</v>
      </c>
      <c r="BI16" s="469" t="n">
        <f aca="false">1-BH16</f>
        <v>0.17</v>
      </c>
      <c r="BJ16" s="484" t="n">
        <f aca="false">BJ$13+(BJ$33-BJ$13)*$D17/$D$34</f>
        <v>0.8555</v>
      </c>
      <c r="BK16" s="469" t="n">
        <f aca="false">1-BJ16</f>
        <v>0.1445</v>
      </c>
      <c r="BL16" s="484" t="n">
        <f aca="false">BL$13+(BL$33-BL$13)*$D17/$D$34</f>
        <v>0.64</v>
      </c>
      <c r="BM16" s="470" t="n">
        <f aca="false">1-BL16</f>
        <v>0.36</v>
      </c>
      <c r="BN16" s="485"/>
      <c r="BO16" s="266"/>
      <c r="BR16" s="271"/>
      <c r="BS16" s="330"/>
      <c r="BT16" s="30" t="s">
        <v>204</v>
      </c>
      <c r="BU16" s="30"/>
      <c r="BV16" s="337" t="n">
        <f aca="false">'Input-Start'!BA19</f>
        <v>209</v>
      </c>
      <c r="BW16" s="22"/>
      <c r="BX16" s="274"/>
    </row>
    <row r="17" customFormat="false" ht="16.5" hidden="false" customHeight="true" outlineLevel="0" collapsed="false">
      <c r="A17" s="320"/>
      <c r="B17" s="344"/>
      <c r="C17" s="453"/>
      <c r="D17" s="348" t="n">
        <v>3</v>
      </c>
      <c r="E17" s="486" t="n">
        <f aca="false">E$14+(E$34-E$14)*$D17/$D$34</f>
        <v>20663747.05</v>
      </c>
      <c r="F17" s="494" t="n">
        <f aca="false">Price!N10</f>
        <v>0.192291508405303</v>
      </c>
      <c r="G17" s="485"/>
      <c r="H17" s="497"/>
      <c r="J17" s="320"/>
      <c r="K17" s="344"/>
      <c r="L17" s="454" t="s">
        <v>4</v>
      </c>
      <c r="M17" s="454" t="s">
        <v>48</v>
      </c>
      <c r="N17" s="498" t="s">
        <v>49</v>
      </c>
      <c r="O17" s="498" t="s">
        <v>11</v>
      </c>
      <c r="P17" s="498" t="n">
        <v>11.5881434878026</v>
      </c>
      <c r="Q17" s="266" t="n">
        <v>52.3636363636364</v>
      </c>
      <c r="T17" s="344"/>
      <c r="U17" s="454" t="s">
        <v>4</v>
      </c>
      <c r="V17" s="454" t="n">
        <v>2.24905211551905</v>
      </c>
      <c r="W17" s="498" t="s">
        <v>49</v>
      </c>
      <c r="X17" s="498" t="s">
        <v>11</v>
      </c>
      <c r="Y17" s="498" t="s">
        <v>50</v>
      </c>
      <c r="Z17" s="266"/>
      <c r="AA17" s="270"/>
      <c r="AB17" s="80"/>
      <c r="AC17" s="271"/>
      <c r="AD17" s="348" t="n">
        <v>3</v>
      </c>
      <c r="AE17" s="473" t="n">
        <f aca="false">'Input-Start'!N23^(1+Inflation_Rate)^Year</f>
        <v>0</v>
      </c>
      <c r="AF17" s="488" t="n">
        <f aca="false">Cost_PY*(PY_for_Inf+PY!$L9)*(1+Inflation_Rate)^Year</f>
        <v>4711011.97419199</v>
      </c>
      <c r="AG17" s="488" t="n">
        <v>11974.87470688</v>
      </c>
      <c r="AH17" s="488" t="n">
        <v>315200</v>
      </c>
      <c r="AI17" s="274"/>
      <c r="AJ17" s="80"/>
      <c r="AL17" s="271"/>
      <c r="AM17" s="348" t="n">
        <v>3</v>
      </c>
      <c r="AN17" s="477" t="n">
        <f aca="false">'Input-Start'!W22*(1+Inflation_Rate)^Year</f>
        <v>0</v>
      </c>
      <c r="AO17" s="489" t="n">
        <f aca="false">'Agency Costs Reduction'!G9*(1+Inflation_Rate)^'Input-Detail'!$AM17</f>
        <v>459730.170774213</v>
      </c>
      <c r="AP17" s="490" t="n">
        <f aca="false">Cost_PY*(PY_for_Inf+PY!$Q9)*(1+Inflation_Rate)^Year</f>
        <v>3819474.2463994</v>
      </c>
      <c r="AQ17" s="491" t="n">
        <v>3780</v>
      </c>
      <c r="AR17" s="492" t="n">
        <v>133760</v>
      </c>
      <c r="AS17" s="274"/>
      <c r="AT17" s="69"/>
      <c r="AV17" s="271"/>
      <c r="AW17" s="377"/>
      <c r="AX17" s="30" t="s">
        <v>247</v>
      </c>
      <c r="AY17" s="30"/>
      <c r="AZ17" s="414" t="n">
        <f aca="false">'Input-Start'!AI34</f>
        <v>30</v>
      </c>
      <c r="BA17" s="22"/>
      <c r="BB17" s="274"/>
      <c r="BE17" s="344"/>
      <c r="BF17" s="453"/>
      <c r="BG17" s="348" t="n">
        <v>4</v>
      </c>
      <c r="BH17" s="484" t="n">
        <f aca="false">BH$13+(BH$33-BH$13)*$D18/$D$34</f>
        <v>0.83</v>
      </c>
      <c r="BI17" s="469" t="n">
        <f aca="false">1-BH17</f>
        <v>0.17</v>
      </c>
      <c r="BJ17" s="484" t="n">
        <f aca="false">BJ$13+(BJ$33-BJ$13)*$D18/$D$34</f>
        <v>0.864</v>
      </c>
      <c r="BK17" s="469" t="n">
        <f aca="false">1-BJ17</f>
        <v>0.136</v>
      </c>
      <c r="BL17" s="484" t="n">
        <f aca="false">BL$13+(BL$33-BL$13)*$D18/$D$34</f>
        <v>0.64</v>
      </c>
      <c r="BM17" s="470" t="n">
        <f aca="false">1-BL17</f>
        <v>0.36</v>
      </c>
      <c r="BN17" s="485"/>
      <c r="BO17" s="266"/>
      <c r="BR17" s="271"/>
      <c r="BS17" s="315" t="s">
        <v>209</v>
      </c>
      <c r="BT17" s="30"/>
      <c r="BU17" s="30"/>
      <c r="BV17" s="332"/>
      <c r="BW17" s="22"/>
      <c r="BX17" s="274"/>
    </row>
    <row r="18" customFormat="false" ht="15.75" hidden="false" customHeight="false" outlineLevel="0" collapsed="false">
      <c r="B18" s="344"/>
      <c r="C18" s="453"/>
      <c r="D18" s="348" t="n">
        <v>4</v>
      </c>
      <c r="E18" s="486" t="n">
        <f aca="false">E$14+(E$34-E$14)*$D18/$D$34</f>
        <v>21212938.4</v>
      </c>
      <c r="F18" s="494" t="n">
        <f aca="false">Price!N11</f>
        <v>0.247136906120865</v>
      </c>
      <c r="G18" s="485"/>
      <c r="H18" s="266"/>
      <c r="K18" s="344"/>
      <c r="L18" s="348" t="s">
        <v>64</v>
      </c>
      <c r="M18" s="499" t="n">
        <f aca="false">'Input-Start'!F27</f>
        <v>8200</v>
      </c>
      <c r="N18" s="500" t="n">
        <f aca="false">E14/M18</f>
        <v>2319.04548780488</v>
      </c>
      <c r="O18" s="501" t="n">
        <f aca="false">'Input-Start'!F28</f>
        <v>2</v>
      </c>
      <c r="P18" s="502" t="n">
        <f aca="false">'Input-Start'!F29</f>
        <v>0.3</v>
      </c>
      <c r="Q18" s="266"/>
      <c r="T18" s="344"/>
      <c r="U18" s="348" t="s">
        <v>64</v>
      </c>
      <c r="V18" s="499" t="n">
        <f aca="false">'Input-Start'!G27</f>
        <v>8200</v>
      </c>
      <c r="W18" s="503" t="n">
        <f aca="false">E14/V18</f>
        <v>2319.04548780488</v>
      </c>
      <c r="X18" s="501" t="n">
        <f aca="false">'Input-Start'!G28</f>
        <v>2</v>
      </c>
      <c r="Y18" s="502" t="n">
        <f aca="false">'Input-Start'!G29</f>
        <v>0.7</v>
      </c>
      <c r="Z18" s="266"/>
      <c r="AA18" s="270"/>
      <c r="AB18" s="80"/>
      <c r="AC18" s="271"/>
      <c r="AD18" s="348" t="n">
        <v>4</v>
      </c>
      <c r="AE18" s="473" t="n">
        <f aca="false">'Input-Start'!N24^(1+Inflation_Rate)^Year</f>
        <v>0</v>
      </c>
      <c r="AF18" s="488" t="n">
        <f aca="false">Cost_PY*(PY_for_Inf+PY!$L10)*(1+Inflation_Rate)^Year</f>
        <v>4967366.82590149</v>
      </c>
      <c r="AG18" s="488" t="n">
        <v>13589.4717763616</v>
      </c>
      <c r="AH18" s="488" t="n">
        <v>322240</v>
      </c>
      <c r="AI18" s="274"/>
      <c r="AJ18" s="80"/>
      <c r="AL18" s="271"/>
      <c r="AM18" s="348" t="n">
        <v>4</v>
      </c>
      <c r="AN18" s="477" t="n">
        <f aca="false">'Input-Start'!W23*(1+Inflation_Rate)^Year</f>
        <v>0</v>
      </c>
      <c r="AO18" s="489" t="n">
        <f aca="false">'Agency Costs Reduction'!G10*(1+Inflation_Rate)^'Input-Detail'!$AM18</f>
        <v>466388.563013375</v>
      </c>
      <c r="AP18" s="490" t="n">
        <f aca="false">Cost_PY*(PY_for_Inf+PY!$Q10)*(1+Inflation_Rate)^Year</f>
        <v>3783291.59383949</v>
      </c>
      <c r="AQ18" s="491" t="n">
        <v>3969.04</v>
      </c>
      <c r="AR18" s="492" t="n">
        <v>133920</v>
      </c>
      <c r="AS18" s="274"/>
      <c r="AT18" s="69"/>
      <c r="AV18" s="271"/>
      <c r="AW18" s="377"/>
      <c r="AX18" s="30" t="s">
        <v>251</v>
      </c>
      <c r="AY18" s="30"/>
      <c r="AZ18" s="414" t="n">
        <f aca="false">'Input-Start'!AI35</f>
        <v>20</v>
      </c>
      <c r="BA18" s="22"/>
      <c r="BB18" s="274"/>
      <c r="BE18" s="344"/>
      <c r="BF18" s="453"/>
      <c r="BG18" s="348" t="n">
        <v>5</v>
      </c>
      <c r="BH18" s="484" t="n">
        <f aca="false">BH$13+(BH$33-BH$13)*$D19/$D$34</f>
        <v>0.83</v>
      </c>
      <c r="BI18" s="469" t="n">
        <f aca="false">1-BH18</f>
        <v>0.17</v>
      </c>
      <c r="BJ18" s="484" t="n">
        <f aca="false">BJ$13+(BJ$33-BJ$13)*$D19/$D$34</f>
        <v>0.8725</v>
      </c>
      <c r="BK18" s="469" t="n">
        <f aca="false">1-BJ18</f>
        <v>0.1275</v>
      </c>
      <c r="BL18" s="484" t="n">
        <f aca="false">BL$13+(BL$33-BL$13)*$D19/$D$34</f>
        <v>0.64</v>
      </c>
      <c r="BM18" s="470" t="n">
        <f aca="false">1-BL18</f>
        <v>0.36</v>
      </c>
      <c r="BN18" s="485"/>
      <c r="BO18" s="266"/>
      <c r="BR18" s="271"/>
      <c r="BS18" s="330"/>
      <c r="BT18" s="30" t="s">
        <v>192</v>
      </c>
      <c r="BU18" s="30"/>
      <c r="BV18" s="374" t="n">
        <f aca="false">'Input-Start'!BA21</f>
        <v>0</v>
      </c>
      <c r="BW18" s="22"/>
      <c r="BX18" s="274"/>
    </row>
    <row r="19" customFormat="false" ht="15" hidden="false" customHeight="false" outlineLevel="0" collapsed="false">
      <c r="B19" s="344"/>
      <c r="C19" s="453"/>
      <c r="D19" s="348" t="n">
        <v>5</v>
      </c>
      <c r="E19" s="486" t="n">
        <f aca="false">E$14+(E$34-E$14)*$D19/$D$34</f>
        <v>21762129.75</v>
      </c>
      <c r="F19" s="494" t="n">
        <f aca="false">Price!N12</f>
        <v>0.298984514248523</v>
      </c>
      <c r="G19" s="485"/>
      <c r="H19" s="266"/>
      <c r="K19" s="344"/>
      <c r="L19" s="348" t="n">
        <v>1</v>
      </c>
      <c r="M19" s="504" t="n">
        <f aca="false">E15/$N$18</f>
        <v>8436.81784289615</v>
      </c>
      <c r="N19" s="505" t="n">
        <f aca="false">E15/M19</f>
        <v>2319.04548780488</v>
      </c>
      <c r="O19" s="506" t="n">
        <f aca="false">O18</f>
        <v>2</v>
      </c>
      <c r="P19" s="507" t="n">
        <f aca="false">P18</f>
        <v>0.3</v>
      </c>
      <c r="Q19" s="266"/>
      <c r="T19" s="344"/>
      <c r="U19" s="508" t="n">
        <v>1</v>
      </c>
      <c r="V19" s="504" t="n">
        <f aca="false">E15/$W$18</f>
        <v>8436.81784289615</v>
      </c>
      <c r="W19" s="509" t="n">
        <f aca="false">E15/V19</f>
        <v>2319.04548780488</v>
      </c>
      <c r="X19" s="506" t="n">
        <f aca="false">X18</f>
        <v>2</v>
      </c>
      <c r="Y19" s="507" t="n">
        <f aca="false">Y18</f>
        <v>0.7</v>
      </c>
      <c r="Z19" s="266"/>
      <c r="AA19" s="270"/>
      <c r="AB19" s="80"/>
      <c r="AC19" s="271"/>
      <c r="AD19" s="348" t="n">
        <v>5</v>
      </c>
      <c r="AE19" s="473" t="n">
        <f aca="false">'Input-Start'!N25^(1+Inflation_Rate)^Year</f>
        <v>0</v>
      </c>
      <c r="AF19" s="488" t="n">
        <f aca="false">Cost_PY*(PY_for_Inf+PY!$L11)*(1+Inflation_Rate)^Year</f>
        <v>5234863.0579368</v>
      </c>
      <c r="AG19" s="488" t="n">
        <v>15472.3618087069</v>
      </c>
      <c r="AH19" s="488" t="n">
        <v>329760</v>
      </c>
      <c r="AI19" s="274"/>
      <c r="AJ19" s="80"/>
      <c r="AL19" s="271"/>
      <c r="AM19" s="348" t="n">
        <v>5</v>
      </c>
      <c r="AN19" s="477" t="n">
        <f aca="false">'Input-Start'!W24*(1+Inflation_Rate)^Year</f>
        <v>0</v>
      </c>
      <c r="AO19" s="489" t="n">
        <f aca="false">'Agency Costs Reduction'!G11*(1+Inflation_Rate)^'Input-Detail'!$AM19</f>
        <v>478488.640550593</v>
      </c>
      <c r="AP19" s="490" t="n">
        <f aca="false">Cost_PY*(PY_for_Inf+PY!$Q11)*(1+Inflation_Rate)^Year</f>
        <v>3742578.45230549</v>
      </c>
      <c r="AQ19" s="491" t="n">
        <v>4167.44</v>
      </c>
      <c r="AR19" s="492" t="n">
        <v>134080</v>
      </c>
      <c r="AS19" s="274"/>
      <c r="AT19" s="69"/>
      <c r="AV19" s="271"/>
      <c r="AW19" s="406" t="s">
        <v>317</v>
      </c>
      <c r="AX19" s="30"/>
      <c r="AY19" s="30"/>
      <c r="AZ19" s="390"/>
      <c r="BA19" s="22"/>
      <c r="BB19" s="274"/>
      <c r="BE19" s="344"/>
      <c r="BF19" s="407"/>
      <c r="BG19" s="348" t="n">
        <v>6</v>
      </c>
      <c r="BH19" s="484" t="n">
        <f aca="false">BH$13+(BH$33-BH$13)*$D20/$D$34</f>
        <v>0.83</v>
      </c>
      <c r="BI19" s="469" t="n">
        <f aca="false">1-BH19</f>
        <v>0.17</v>
      </c>
      <c r="BJ19" s="484" t="n">
        <f aca="false">BJ$13+(BJ$33-BJ$13)*$D20/$D$34</f>
        <v>0.881</v>
      </c>
      <c r="BK19" s="469" t="n">
        <f aca="false">1-BJ19</f>
        <v>0.119</v>
      </c>
      <c r="BL19" s="484" t="n">
        <f aca="false">BL$13+(BL$33-BL$13)*$D20/$D$34</f>
        <v>0.64</v>
      </c>
      <c r="BM19" s="470" t="n">
        <f aca="false">1-BL19</f>
        <v>0.36</v>
      </c>
      <c r="BN19" s="485"/>
      <c r="BO19" s="266"/>
      <c r="BR19" s="271"/>
      <c r="BS19" s="330"/>
      <c r="BT19" s="30" t="s">
        <v>200</v>
      </c>
      <c r="BU19" s="30"/>
      <c r="BV19" s="379" t="n">
        <f aca="false">'Input-Start'!BA22</f>
        <v>0.15</v>
      </c>
      <c r="BW19" s="22"/>
      <c r="BX19" s="274"/>
    </row>
    <row r="20" customFormat="false" ht="15" hidden="false" customHeight="false" outlineLevel="0" collapsed="false">
      <c r="B20" s="344"/>
      <c r="C20" s="407"/>
      <c r="D20" s="348" t="n">
        <v>6</v>
      </c>
      <c r="E20" s="486" t="n">
        <f aca="false">E$14+(E$34-E$14)*$D20/$D$34</f>
        <v>22311321.1</v>
      </c>
      <c r="F20" s="494" t="n">
        <f aca="false">Price!N13</f>
        <v>0.34881248351123</v>
      </c>
      <c r="G20" s="485"/>
      <c r="H20" s="266"/>
      <c r="K20" s="344"/>
      <c r="L20" s="348" t="n">
        <v>2</v>
      </c>
      <c r="M20" s="504" t="n">
        <f aca="false">E16/$N$18</f>
        <v>8673.6356857923</v>
      </c>
      <c r="N20" s="505" t="n">
        <f aca="false">E16/M20</f>
        <v>2319.04548780488</v>
      </c>
      <c r="O20" s="506" t="n">
        <f aca="false">O19</f>
        <v>2</v>
      </c>
      <c r="P20" s="507" t="n">
        <f aca="false">P19</f>
        <v>0.3</v>
      </c>
      <c r="Q20" s="266"/>
      <c r="T20" s="344"/>
      <c r="U20" s="508" t="n">
        <v>2</v>
      </c>
      <c r="V20" s="504" t="n">
        <f aca="false">E16/$W$18</f>
        <v>8673.6356857923</v>
      </c>
      <c r="W20" s="509" t="n">
        <f aca="false">E16/V20</f>
        <v>2319.04548780488</v>
      </c>
      <c r="X20" s="506" t="n">
        <f aca="false">X19</f>
        <v>2</v>
      </c>
      <c r="Y20" s="507" t="n">
        <f aca="false">Y19</f>
        <v>0.7</v>
      </c>
      <c r="Z20" s="266"/>
      <c r="AA20" s="270"/>
      <c r="AB20" s="80"/>
      <c r="AC20" s="271"/>
      <c r="AD20" s="348" t="n">
        <v>6</v>
      </c>
      <c r="AE20" s="473" t="n">
        <f aca="false">'Input-Start'!N26^(1+Inflation_Rate)^Year</f>
        <v>0</v>
      </c>
      <c r="AF20" s="488" t="n">
        <f aca="false">Cost_PY*(PY_for_Inf+PY!$L12)*(1+Inflation_Rate)^Year</f>
        <v>5513938.43375091</v>
      </c>
      <c r="AG20" s="488" t="n">
        <v>17673.3795449164</v>
      </c>
      <c r="AH20" s="488" t="n">
        <v>339652.8</v>
      </c>
      <c r="AI20" s="274"/>
      <c r="AJ20" s="80"/>
      <c r="AL20" s="271"/>
      <c r="AM20" s="348" t="n">
        <v>6</v>
      </c>
      <c r="AN20" s="477" t="n">
        <f aca="false">'Input-Start'!W25*(1+Inflation_Rate)^Year</f>
        <v>0</v>
      </c>
      <c r="AO20" s="489" t="n">
        <f aca="false">'Agency Costs Reduction'!G12*(1+Inflation_Rate)^'Input-Detail'!$AM20</f>
        <v>497478.260968781</v>
      </c>
      <c r="AP20" s="490" t="n">
        <f aca="false">Cost_PY*(PY_for_Inf+PY!$Q12)*(1+Inflation_Rate)^Year</f>
        <v>3647721.18918761</v>
      </c>
      <c r="AQ20" s="491" t="n">
        <v>4375.812</v>
      </c>
      <c r="AR20" s="492" t="n">
        <v>138102.4</v>
      </c>
      <c r="AS20" s="274"/>
      <c r="AT20" s="69"/>
      <c r="AV20" s="271"/>
      <c r="AW20" s="315"/>
      <c r="AX20" s="30" t="s">
        <v>241</v>
      </c>
      <c r="AY20" s="30"/>
      <c r="AZ20" s="379" t="n">
        <f aca="false">'Input-Start'!AI37</f>
        <v>1.35</v>
      </c>
      <c r="BA20" s="22"/>
      <c r="BB20" s="274"/>
      <c r="BE20" s="344"/>
      <c r="BF20" s="407"/>
      <c r="BG20" s="348" t="n">
        <v>7</v>
      </c>
      <c r="BH20" s="484" t="n">
        <f aca="false">BH$13+(BH$33-BH$13)*$D21/$D$34</f>
        <v>0.83</v>
      </c>
      <c r="BI20" s="469" t="n">
        <f aca="false">1-BH20</f>
        <v>0.17</v>
      </c>
      <c r="BJ20" s="484" t="n">
        <f aca="false">BJ$13+(BJ$33-BJ$13)*$D21/$D$34</f>
        <v>0.8895</v>
      </c>
      <c r="BK20" s="469" t="n">
        <f aca="false">1-BJ20</f>
        <v>0.1105</v>
      </c>
      <c r="BL20" s="484" t="n">
        <f aca="false">BL$13+(BL$33-BL$13)*$D21/$D$34</f>
        <v>0.64</v>
      </c>
      <c r="BM20" s="470" t="n">
        <f aca="false">1-BL20</f>
        <v>0.36</v>
      </c>
      <c r="BN20" s="485"/>
      <c r="BO20" s="510"/>
      <c r="BR20" s="271"/>
      <c r="BS20" s="330"/>
      <c r="BT20" s="30" t="s">
        <v>204</v>
      </c>
      <c r="BU20" s="30"/>
      <c r="BV20" s="337" t="n">
        <f aca="false">'Input-Start'!BA23</f>
        <v>2.5</v>
      </c>
      <c r="BW20" s="22"/>
      <c r="BX20" s="274"/>
    </row>
    <row r="21" customFormat="false" ht="15" hidden="false" customHeight="false" outlineLevel="0" collapsed="false">
      <c r="B21" s="344"/>
      <c r="C21" s="407"/>
      <c r="D21" s="348" t="n">
        <v>7</v>
      </c>
      <c r="E21" s="486" t="n">
        <f aca="false">E$14+(E$34-E$14)*$D21/$D$34</f>
        <v>22860512.45</v>
      </c>
      <c r="F21" s="494" t="n">
        <f aca="false">Price!N14</f>
        <v>0.39671513105108</v>
      </c>
      <c r="G21" s="485"/>
      <c r="H21" s="266"/>
      <c r="K21" s="344"/>
      <c r="L21" s="348" t="n">
        <v>3</v>
      </c>
      <c r="M21" s="504" t="n">
        <f aca="false">E17/$N$18</f>
        <v>8910.45352868845</v>
      </c>
      <c r="N21" s="505" t="n">
        <f aca="false">E17/M21</f>
        <v>2319.04548780488</v>
      </c>
      <c r="O21" s="506" t="n">
        <f aca="false">O20</f>
        <v>2</v>
      </c>
      <c r="P21" s="507" t="n">
        <f aca="false">P20</f>
        <v>0.3</v>
      </c>
      <c r="Q21" s="266"/>
      <c r="T21" s="344"/>
      <c r="U21" s="508" t="n">
        <v>3</v>
      </c>
      <c r="V21" s="504" t="n">
        <f aca="false">E17/$W$18</f>
        <v>8910.45352868845</v>
      </c>
      <c r="W21" s="509" t="n">
        <f aca="false">E17/V21</f>
        <v>2319.04548780488</v>
      </c>
      <c r="X21" s="506" t="n">
        <f aca="false">X20</f>
        <v>2</v>
      </c>
      <c r="Y21" s="507" t="n">
        <f aca="false">Y20</f>
        <v>0.7</v>
      </c>
      <c r="Z21" s="266"/>
      <c r="AA21" s="270"/>
      <c r="AB21" s="80"/>
      <c r="AC21" s="271"/>
      <c r="AD21" s="348" t="n">
        <v>7</v>
      </c>
      <c r="AE21" s="473" t="n">
        <f aca="false">'Input-Start'!N27^(1+Inflation_Rate)^Year</f>
        <v>0</v>
      </c>
      <c r="AF21" s="488" t="n">
        <f aca="false">Cost_PY*(PY_for_Inf+PY!$L13)*(1+Inflation_Rate)^Year</f>
        <v>5805046.95536173</v>
      </c>
      <c r="AG21" s="488" t="n">
        <v>20252.0590045805</v>
      </c>
      <c r="AH21" s="488" t="n">
        <v>349842.384</v>
      </c>
      <c r="AI21" s="274"/>
      <c r="AJ21" s="80"/>
      <c r="AL21" s="271"/>
      <c r="AM21" s="348" t="n">
        <v>7</v>
      </c>
      <c r="AN21" s="477" t="n">
        <f aca="false">'Input-Start'!W26*(1+Inflation_Rate)^Year</f>
        <v>0</v>
      </c>
      <c r="AO21" s="489" t="n">
        <f aca="false">'Agency Costs Reduction'!G13*(1+Inflation_Rate)^'Input-Detail'!$AM21</f>
        <v>516706.207173449</v>
      </c>
      <c r="AP21" s="490" t="n">
        <f aca="false">Cost_PY*(PY_for_Inf+PY!$Q13)*(1+Inflation_Rate)^Year</f>
        <v>3588376.1699494</v>
      </c>
      <c r="AQ21" s="491" t="n">
        <v>4594.6026</v>
      </c>
      <c r="AR21" s="492" t="n">
        <v>142245.472</v>
      </c>
      <c r="AS21" s="274"/>
      <c r="AT21" s="69"/>
      <c r="AV21" s="271"/>
      <c r="AW21" s="315"/>
      <c r="AX21" s="30" t="s">
        <v>244</v>
      </c>
      <c r="AY21" s="30"/>
      <c r="AZ21" s="410" t="n">
        <f aca="false">'Input-Start'!AI38</f>
        <v>160</v>
      </c>
      <c r="BA21" s="22"/>
      <c r="BB21" s="274"/>
      <c r="BE21" s="344"/>
      <c r="BF21" s="407"/>
      <c r="BG21" s="348" t="n">
        <v>8</v>
      </c>
      <c r="BH21" s="484" t="n">
        <f aca="false">BH$13+(BH$33-BH$13)*$D22/$D$34</f>
        <v>0.83</v>
      </c>
      <c r="BI21" s="469" t="n">
        <f aca="false">1-BH21</f>
        <v>0.17</v>
      </c>
      <c r="BJ21" s="484" t="n">
        <f aca="false">BJ$13+(BJ$33-BJ$13)*$D22/$D$34</f>
        <v>0.898</v>
      </c>
      <c r="BK21" s="469" t="n">
        <f aca="false">1-BJ21</f>
        <v>0.102</v>
      </c>
      <c r="BL21" s="484" t="n">
        <f aca="false">BL$13+(BL$33-BL$13)*$D22/$D$34</f>
        <v>0.64</v>
      </c>
      <c r="BM21" s="470" t="n">
        <f aca="false">1-BL21</f>
        <v>0.36</v>
      </c>
      <c r="BN21" s="485"/>
      <c r="BO21" s="510"/>
      <c r="BR21" s="271"/>
      <c r="BS21" s="315" t="s">
        <v>222</v>
      </c>
      <c r="BT21" s="30"/>
      <c r="BU21" s="30"/>
      <c r="BV21" s="332"/>
      <c r="BW21" s="22"/>
      <c r="BX21" s="274"/>
    </row>
    <row r="22" customFormat="false" ht="15" hidden="false" customHeight="false" outlineLevel="0" collapsed="false">
      <c r="B22" s="344"/>
      <c r="C22" s="407"/>
      <c r="D22" s="348" t="n">
        <v>8</v>
      </c>
      <c r="E22" s="486" t="n">
        <f aca="false">E$14+(E$34-E$14)*$D22/$D$34</f>
        <v>23409703.8</v>
      </c>
      <c r="F22" s="494" t="n">
        <f aca="false">Price!N15</f>
        <v>0.443037513897103</v>
      </c>
      <c r="G22" s="485"/>
      <c r="H22" s="510"/>
      <c r="K22" s="344"/>
      <c r="L22" s="348" t="n">
        <v>4</v>
      </c>
      <c r="M22" s="504" t="n">
        <f aca="false">E18/$N$18</f>
        <v>9147.2713715846</v>
      </c>
      <c r="N22" s="505" t="n">
        <f aca="false">E18/M22</f>
        <v>2319.04548780488</v>
      </c>
      <c r="O22" s="506" t="n">
        <f aca="false">O21</f>
        <v>2</v>
      </c>
      <c r="P22" s="507" t="n">
        <f aca="false">P21</f>
        <v>0.3</v>
      </c>
      <c r="Q22" s="266"/>
      <c r="T22" s="344"/>
      <c r="U22" s="508" t="n">
        <v>4</v>
      </c>
      <c r="V22" s="504" t="n">
        <f aca="false">E18/$W$18</f>
        <v>9147.2713715846</v>
      </c>
      <c r="W22" s="509" t="n">
        <f aca="false">E18/V22</f>
        <v>2319.04548780488</v>
      </c>
      <c r="X22" s="506" t="n">
        <f aca="false">X21</f>
        <v>2</v>
      </c>
      <c r="Y22" s="507" t="n">
        <f aca="false">Y21</f>
        <v>0.7</v>
      </c>
      <c r="Z22" s="266"/>
      <c r="AA22" s="270"/>
      <c r="AB22" s="80"/>
      <c r="AC22" s="271"/>
      <c r="AD22" s="348" t="n">
        <v>8</v>
      </c>
      <c r="AE22" s="473" t="n">
        <f aca="false">'Input-Start'!N28^(1+Inflation_Rate)^Year</f>
        <v>0</v>
      </c>
      <c r="AF22" s="488" t="n">
        <f aca="false">Cost_PY*(PY_for_Inf+PY!$L14)*(1+Inflation_Rate)^Year</f>
        <v>6108659.44367882</v>
      </c>
      <c r="AG22" s="488" t="n">
        <v>23279.5546047252</v>
      </c>
      <c r="AH22" s="488" t="n">
        <v>360337.65552</v>
      </c>
      <c r="AI22" s="274"/>
      <c r="AJ22" s="80"/>
      <c r="AL22" s="271"/>
      <c r="AM22" s="348" t="n">
        <v>8</v>
      </c>
      <c r="AN22" s="477" t="n">
        <f aca="false">'Input-Start'!W27*(1+Inflation_Rate)^Year</f>
        <v>0</v>
      </c>
      <c r="AO22" s="489" t="n">
        <f aca="false">'Agency Costs Reduction'!G14*(1+Inflation_Rate)^'Input-Detail'!$AM22</f>
        <v>538669.240910689</v>
      </c>
      <c r="AP22" s="490" t="n">
        <f aca="false">Cost_PY*(PY_for_Inf+PY!$Q14)*(1+Inflation_Rate)^Year</f>
        <v>3518504.94165573</v>
      </c>
      <c r="AQ22" s="491" t="n">
        <v>4824.33273</v>
      </c>
      <c r="AR22" s="492" t="n">
        <v>146512.83616</v>
      </c>
      <c r="AS22" s="274"/>
      <c r="AT22" s="69"/>
      <c r="AV22" s="271"/>
      <c r="AW22" s="377"/>
      <c r="AX22" s="30" t="s">
        <v>247</v>
      </c>
      <c r="AY22" s="30"/>
      <c r="AZ22" s="414" t="n">
        <f aca="false">'Input-Start'!AI39</f>
        <v>0</v>
      </c>
      <c r="BA22" s="22"/>
      <c r="BB22" s="274"/>
      <c r="BE22" s="344"/>
      <c r="BF22" s="407"/>
      <c r="BG22" s="348" t="n">
        <v>9</v>
      </c>
      <c r="BH22" s="484" t="n">
        <f aca="false">BH$13+(BH$33-BH$13)*$D23/$D$34</f>
        <v>0.83</v>
      </c>
      <c r="BI22" s="469" t="n">
        <f aca="false">1-BH22</f>
        <v>0.17</v>
      </c>
      <c r="BJ22" s="484" t="n">
        <f aca="false">BJ$13+(BJ$33-BJ$13)*$D23/$D$34</f>
        <v>0.9065</v>
      </c>
      <c r="BK22" s="469" t="n">
        <f aca="false">1-BJ22</f>
        <v>0.0935</v>
      </c>
      <c r="BL22" s="484" t="n">
        <f aca="false">BL$13+(BL$33-BL$13)*$D23/$D$34</f>
        <v>0.64</v>
      </c>
      <c r="BM22" s="470" t="n">
        <f aca="false">1-BL22</f>
        <v>0.36</v>
      </c>
      <c r="BN22" s="485"/>
      <c r="BO22" s="510"/>
      <c r="BR22" s="271"/>
      <c r="BS22" s="330"/>
      <c r="BT22" s="30" t="s">
        <v>192</v>
      </c>
      <c r="BU22" s="30"/>
      <c r="BV22" s="387" t="n">
        <f aca="false">'Input-Start'!BA25</f>
        <v>1.275</v>
      </c>
      <c r="BW22" s="22"/>
      <c r="BX22" s="274"/>
    </row>
    <row r="23" customFormat="false" ht="15" hidden="false" customHeight="false" outlineLevel="0" collapsed="false">
      <c r="B23" s="344"/>
      <c r="C23" s="407"/>
      <c r="D23" s="348" t="n">
        <v>9</v>
      </c>
      <c r="E23" s="486" t="n">
        <f aca="false">E$14+(E$34-E$14)*$D23/$D$34</f>
        <v>23958895.15</v>
      </c>
      <c r="F23" s="494" t="n">
        <f aca="false">Price!N16</f>
        <v>0.488152689932575</v>
      </c>
      <c r="G23" s="485"/>
      <c r="H23" s="510"/>
      <c r="K23" s="344"/>
      <c r="L23" s="348" t="n">
        <v>5</v>
      </c>
      <c r="M23" s="504" t="n">
        <f aca="false">E19/$N$18</f>
        <v>9384.08921448075</v>
      </c>
      <c r="N23" s="505" t="n">
        <f aca="false">E19/M23</f>
        <v>2319.04548780488</v>
      </c>
      <c r="O23" s="506" t="n">
        <f aca="false">O22</f>
        <v>2</v>
      </c>
      <c r="P23" s="507" t="n">
        <f aca="false">P22</f>
        <v>0.3</v>
      </c>
      <c r="Q23" s="266"/>
      <c r="T23" s="344"/>
      <c r="U23" s="508" t="n">
        <v>5</v>
      </c>
      <c r="V23" s="504" t="n">
        <f aca="false">E19/$W$18</f>
        <v>9384.08921448075</v>
      </c>
      <c r="W23" s="509" t="n">
        <f aca="false">E19/V23</f>
        <v>2319.04548780488</v>
      </c>
      <c r="X23" s="506" t="n">
        <f aca="false">X22</f>
        <v>2</v>
      </c>
      <c r="Y23" s="507" t="n">
        <f aca="false">Y22</f>
        <v>0.7</v>
      </c>
      <c r="Z23" s="266"/>
      <c r="AA23" s="270"/>
      <c r="AB23" s="80"/>
      <c r="AC23" s="271"/>
      <c r="AD23" s="348" t="n">
        <v>9</v>
      </c>
      <c r="AE23" s="473" t="n">
        <f aca="false">'Input-Start'!N29^(1+Inflation_Rate)^Year</f>
        <v>0</v>
      </c>
      <c r="AF23" s="488" t="n">
        <f aca="false">Cost_PY*(PY_for_Inf+PY!$L15)*(1+Inflation_Rate)^Year</f>
        <v>6425264.13903511</v>
      </c>
      <c r="AG23" s="488" t="n">
        <v>26840.9451908447</v>
      </c>
      <c r="AH23" s="488" t="n">
        <v>371147.7851856</v>
      </c>
      <c r="AI23" s="274"/>
      <c r="AJ23" s="80"/>
      <c r="AL23" s="271"/>
      <c r="AM23" s="348" t="n">
        <v>9</v>
      </c>
      <c r="AN23" s="477" t="n">
        <f aca="false">'Input-Start'!W28*(1+Inflation_Rate)^Year</f>
        <v>0</v>
      </c>
      <c r="AO23" s="489" t="n">
        <f aca="false">'Agency Costs Reduction'!G15*(1+Inflation_Rate)^'Input-Detail'!$AM23</f>
        <v>564183.809244349</v>
      </c>
      <c r="AP23" s="490" t="n">
        <f aca="false">Cost_PY*(PY_for_Inf+PY!$Q15)*(1+Inflation_Rate)^Year</f>
        <v>3385992.45978076</v>
      </c>
      <c r="AQ23" s="491" t="n">
        <v>5065.5493665</v>
      </c>
      <c r="AR23" s="492" t="n">
        <v>150908.2212448</v>
      </c>
      <c r="AS23" s="274"/>
      <c r="AT23" s="69"/>
      <c r="AV23" s="271"/>
      <c r="AW23" s="315"/>
      <c r="AX23" s="30" t="s">
        <v>251</v>
      </c>
      <c r="AY23" s="30"/>
      <c r="AZ23" s="414" t="n">
        <f aca="false">'Input-Start'!AI40</f>
        <v>20</v>
      </c>
      <c r="BA23" s="22"/>
      <c r="BB23" s="274"/>
      <c r="BE23" s="344"/>
      <c r="BF23" s="407"/>
      <c r="BG23" s="348" t="n">
        <v>10</v>
      </c>
      <c r="BH23" s="484" t="n">
        <f aca="false">BH$13+(BH$33-BH$13)*$D24/$D$34</f>
        <v>0.83</v>
      </c>
      <c r="BI23" s="469" t="n">
        <f aca="false">1-BH23</f>
        <v>0.17</v>
      </c>
      <c r="BJ23" s="484" t="n">
        <f aca="false">BJ$13+(BJ$33-BJ$13)*$D24/$D$34</f>
        <v>0.915</v>
      </c>
      <c r="BK23" s="469" t="n">
        <f aca="false">1-BJ23</f>
        <v>0.085</v>
      </c>
      <c r="BL23" s="484" t="n">
        <f aca="false">BL$13+(BL$33-BL$13)*$D24/$D$34</f>
        <v>0.64</v>
      </c>
      <c r="BM23" s="470" t="n">
        <f aca="false">1-BL23</f>
        <v>0.36</v>
      </c>
      <c r="BN23" s="485"/>
      <c r="BO23" s="510"/>
      <c r="BR23" s="271"/>
      <c r="BS23" s="330"/>
      <c r="BT23" s="30" t="s">
        <v>200</v>
      </c>
      <c r="BU23" s="30"/>
      <c r="BV23" s="387" t="n">
        <f aca="false">'Input-Start'!BA26</f>
        <v>1.275</v>
      </c>
      <c r="BW23" s="22"/>
      <c r="BX23" s="274"/>
    </row>
    <row r="24" customFormat="false" ht="15" hidden="false" customHeight="false" outlineLevel="0" collapsed="false">
      <c r="B24" s="344"/>
      <c r="C24" s="407"/>
      <c r="D24" s="348" t="n">
        <v>10</v>
      </c>
      <c r="E24" s="486" t="n">
        <f aca="false">E$14+(E$34-E$14)*$D24/$D$34</f>
        <v>24508086.5</v>
      </c>
      <c r="F24" s="494" t="n">
        <f aca="false">Price!N17</f>
        <v>0.531731128248894</v>
      </c>
      <c r="G24" s="485"/>
      <c r="H24" s="510"/>
      <c r="K24" s="344"/>
      <c r="L24" s="348" t="n">
        <v>6</v>
      </c>
      <c r="M24" s="504" t="n">
        <f aca="false">E20/$N$18</f>
        <v>9620.9070573769</v>
      </c>
      <c r="N24" s="505" t="n">
        <f aca="false">E20/M24</f>
        <v>2319.04548780488</v>
      </c>
      <c r="O24" s="506" t="n">
        <f aca="false">O23</f>
        <v>2</v>
      </c>
      <c r="P24" s="507" t="n">
        <f aca="false">P23</f>
        <v>0.3</v>
      </c>
      <c r="Q24" s="266"/>
      <c r="T24" s="344"/>
      <c r="U24" s="508" t="n">
        <v>6</v>
      </c>
      <c r="V24" s="504" t="n">
        <f aca="false">E20/$W$18</f>
        <v>9620.9070573769</v>
      </c>
      <c r="W24" s="509" t="n">
        <f aca="false">E20/V24</f>
        <v>2319.04548780488</v>
      </c>
      <c r="X24" s="506" t="n">
        <f aca="false">X23</f>
        <v>2</v>
      </c>
      <c r="Y24" s="507" t="n">
        <f aca="false">Y23</f>
        <v>0.7</v>
      </c>
      <c r="Z24" s="266"/>
      <c r="AA24" s="270"/>
      <c r="AB24" s="80"/>
      <c r="AC24" s="271"/>
      <c r="AD24" s="348" t="n">
        <v>10</v>
      </c>
      <c r="AE24" s="473" t="n">
        <f aca="false">'Input-Start'!N30^(1+Inflation_Rate)^Year</f>
        <v>0</v>
      </c>
      <c r="AF24" s="488" t="n">
        <f aca="false">Cost_PY*(PY_for_Inf+PY!$L16)*(1+Inflation_Rate)^Year</f>
        <v>6755367.32261347</v>
      </c>
      <c r="AG24" s="488" t="n">
        <v>31038</v>
      </c>
      <c r="AH24" s="488" t="n">
        <v>382282.218741168</v>
      </c>
      <c r="AI24" s="274"/>
      <c r="AJ24" s="80"/>
      <c r="AL24" s="271"/>
      <c r="AM24" s="348" t="n">
        <v>10</v>
      </c>
      <c r="AN24" s="477" t="n">
        <f aca="false">'Input-Start'!W29*(1+Inflation_Rate)^Year</f>
        <v>0</v>
      </c>
      <c r="AO24" s="489" t="n">
        <f aca="false">'Agency Costs Reduction'!G16*(1+Inflation_Rate)^'Input-Detail'!$AM24</f>
        <v>586327.559335338</v>
      </c>
      <c r="AP24" s="490" t="n">
        <f aca="false">Cost_PY*(PY_for_Inf+PY!$Q16)*(1+Inflation_Rate)^Year</f>
        <v>3290773.77880959</v>
      </c>
      <c r="AQ24" s="491" t="n">
        <v>5318.826834825</v>
      </c>
      <c r="AR24" s="492" t="n">
        <v>153494.934040393</v>
      </c>
      <c r="AS24" s="274"/>
      <c r="AT24" s="69"/>
      <c r="AV24" s="271"/>
      <c r="AW24" s="323" t="s">
        <v>27</v>
      </c>
      <c r="AX24" s="20"/>
      <c r="AY24" s="20"/>
      <c r="AZ24" s="20"/>
      <c r="BA24" s="324"/>
      <c r="BB24" s="274"/>
      <c r="BE24" s="344"/>
      <c r="BF24" s="407"/>
      <c r="BG24" s="348" t="n">
        <v>11</v>
      </c>
      <c r="BH24" s="484" t="n">
        <f aca="false">BH$13+(BH$33-BH$13)*$D25/$D$34</f>
        <v>0.83</v>
      </c>
      <c r="BI24" s="469" t="n">
        <f aca="false">1-BH24</f>
        <v>0.17</v>
      </c>
      <c r="BJ24" s="484" t="n">
        <f aca="false">BJ$13+(BJ$33-BJ$13)*$D25/$D$34</f>
        <v>0.9235</v>
      </c>
      <c r="BK24" s="469" t="n">
        <f aca="false">1-BJ24</f>
        <v>0.0765</v>
      </c>
      <c r="BL24" s="484" t="n">
        <f aca="false">BL$13+(BL$33-BL$13)*$D25/$D$34</f>
        <v>0.64</v>
      </c>
      <c r="BM24" s="470" t="n">
        <f aca="false">1-BL24</f>
        <v>0.36</v>
      </c>
      <c r="BN24" s="485"/>
      <c r="BO24" s="510"/>
      <c r="BR24" s="271"/>
      <c r="BS24" s="330"/>
      <c r="BT24" s="30" t="s">
        <v>204</v>
      </c>
      <c r="BU24" s="30"/>
      <c r="BV24" s="391" t="n">
        <f aca="false">'Input-Start'!BA27</f>
        <v>0.0063</v>
      </c>
      <c r="BW24" s="22"/>
      <c r="BX24" s="274"/>
    </row>
    <row r="25" customFormat="false" ht="15" hidden="false" customHeight="false" outlineLevel="0" collapsed="false">
      <c r="B25" s="344"/>
      <c r="C25" s="407"/>
      <c r="D25" s="348" t="n">
        <v>11</v>
      </c>
      <c r="E25" s="486" t="n">
        <f aca="false">E$14+(E$34-E$14)*$D25/$D$34</f>
        <v>25057277.85</v>
      </c>
      <c r="F25" s="494" t="n">
        <f aca="false">Price!N18</f>
        <v>0.57370976448128</v>
      </c>
      <c r="G25" s="485"/>
      <c r="H25" s="510"/>
      <c r="K25" s="344"/>
      <c r="L25" s="348" t="n">
        <v>7</v>
      </c>
      <c r="M25" s="504" t="n">
        <f aca="false">E21/$N$18</f>
        <v>9857.72490027305</v>
      </c>
      <c r="N25" s="505" t="n">
        <f aca="false">E21/M25</f>
        <v>2319.04548780488</v>
      </c>
      <c r="O25" s="506" t="n">
        <f aca="false">O24</f>
        <v>2</v>
      </c>
      <c r="P25" s="507" t="n">
        <f aca="false">P24</f>
        <v>0.3</v>
      </c>
      <c r="Q25" s="266"/>
      <c r="T25" s="344"/>
      <c r="U25" s="508" t="n">
        <v>7</v>
      </c>
      <c r="V25" s="504" t="n">
        <f aca="false">E21/$W$18</f>
        <v>9857.72490027305</v>
      </c>
      <c r="W25" s="509" t="n">
        <f aca="false">E21/V25</f>
        <v>2319.04548780488</v>
      </c>
      <c r="X25" s="506" t="n">
        <f aca="false">X24</f>
        <v>2</v>
      </c>
      <c r="Y25" s="507" t="n">
        <f aca="false">Y24</f>
        <v>0.7</v>
      </c>
      <c r="Z25" s="266"/>
      <c r="AA25" s="511"/>
      <c r="AB25" s="80"/>
      <c r="AC25" s="271"/>
      <c r="AD25" s="348" t="n">
        <v>11</v>
      </c>
      <c r="AE25" s="473" t="n">
        <f aca="false">'Input-Start'!N31^(1+Inflation_Rate)^Year</f>
        <v>0</v>
      </c>
      <c r="AF25" s="488" t="n">
        <f aca="false">Cost_PY*(PY_for_Inf+PY!$L17)*(1+Inflation_Rate)^Year</f>
        <v>7099493.95948139</v>
      </c>
      <c r="AG25" s="488" t="n">
        <v>32589.9</v>
      </c>
      <c r="AH25" s="488" t="n">
        <v>393750.685303403</v>
      </c>
      <c r="AI25" s="274"/>
      <c r="AJ25" s="80"/>
      <c r="AL25" s="271"/>
      <c r="AM25" s="348" t="n">
        <v>11</v>
      </c>
      <c r="AN25" s="477" t="n">
        <f aca="false">'Input-Start'!W30*(1+Inflation_Rate)^Year</f>
        <v>0</v>
      </c>
      <c r="AO25" s="489" t="n">
        <f aca="false">'Agency Costs Reduction'!G17*(1+Inflation_Rate)^'Input-Detail'!$AM25</f>
        <v>607433.51308527</v>
      </c>
      <c r="AP25" s="490" t="n">
        <f aca="false">Cost_PY*(PY_for_Inf+PY!$Q17)*(1+Inflation_Rate)^Year</f>
        <v>3184790.76916391</v>
      </c>
      <c r="AQ25" s="491" t="n">
        <v>5584.76817656625</v>
      </c>
      <c r="AR25" s="492" t="n">
        <v>158099.782061605</v>
      </c>
      <c r="AS25" s="274"/>
      <c r="AT25" s="69"/>
      <c r="AV25" s="271"/>
      <c r="AW25" s="330"/>
      <c r="AX25" s="30" t="s">
        <v>26</v>
      </c>
      <c r="AY25" s="30"/>
      <c r="AZ25" s="331" t="n">
        <f aca="false">'Input-Start'!AR16</f>
        <v>12</v>
      </c>
      <c r="BA25" s="22"/>
      <c r="BB25" s="274"/>
      <c r="BE25" s="344"/>
      <c r="BF25" s="407"/>
      <c r="BG25" s="348" t="n">
        <v>12</v>
      </c>
      <c r="BH25" s="484" t="n">
        <f aca="false">BH$13+(BH$33-BH$13)*$D26/$D$34</f>
        <v>0.83</v>
      </c>
      <c r="BI25" s="469" t="n">
        <f aca="false">1-BH25</f>
        <v>0.17</v>
      </c>
      <c r="BJ25" s="484" t="n">
        <f aca="false">BJ$13+(BJ$33-BJ$13)*$D26/$D$34</f>
        <v>0.932</v>
      </c>
      <c r="BK25" s="469" t="n">
        <f aca="false">1-BJ25</f>
        <v>0.0680000000000001</v>
      </c>
      <c r="BL25" s="484" t="n">
        <f aca="false">BL$13+(BL$33-BL$13)*$D26/$D$34</f>
        <v>0.64</v>
      </c>
      <c r="BM25" s="470" t="n">
        <f aca="false">1-BL25</f>
        <v>0.36</v>
      </c>
      <c r="BN25" s="485"/>
      <c r="BO25" s="510"/>
      <c r="BR25" s="271"/>
      <c r="BS25" s="392"/>
      <c r="BT25" s="77"/>
      <c r="BU25" s="77"/>
      <c r="BV25" s="393"/>
      <c r="BW25" s="79"/>
      <c r="BX25" s="274"/>
    </row>
    <row r="26" customFormat="false" ht="15" hidden="false" customHeight="false" outlineLevel="0" collapsed="false">
      <c r="B26" s="344"/>
      <c r="C26" s="407"/>
      <c r="D26" s="348" t="n">
        <v>12</v>
      </c>
      <c r="E26" s="486" t="n">
        <f aca="false">E$14+(E$34-E$14)*$D26/$D$34</f>
        <v>25606469.2</v>
      </c>
      <c r="F26" s="494" t="n">
        <f aca="false">Price!N19</f>
        <v>0.614080811078137</v>
      </c>
      <c r="G26" s="485"/>
      <c r="H26" s="510"/>
      <c r="K26" s="344"/>
      <c r="L26" s="348" t="n">
        <v>8</v>
      </c>
      <c r="M26" s="504" t="n">
        <f aca="false">E22/$N$18</f>
        <v>10094.5427431692</v>
      </c>
      <c r="N26" s="505" t="n">
        <f aca="false">E22/M26</f>
        <v>2319.04548780488</v>
      </c>
      <c r="O26" s="506" t="n">
        <f aca="false">O25</f>
        <v>2</v>
      </c>
      <c r="P26" s="507" t="n">
        <f aca="false">P25</f>
        <v>0.3</v>
      </c>
      <c r="Q26" s="266"/>
      <c r="T26" s="344"/>
      <c r="U26" s="508" t="n">
        <v>8</v>
      </c>
      <c r="V26" s="504" t="n">
        <f aca="false">E22/$W$18</f>
        <v>10094.5427431692</v>
      </c>
      <c r="W26" s="509" t="n">
        <f aca="false">E22/V26</f>
        <v>2319.04548780488</v>
      </c>
      <c r="X26" s="506" t="n">
        <f aca="false">X25</f>
        <v>2</v>
      </c>
      <c r="Y26" s="507" t="n">
        <f aca="false">Y25</f>
        <v>0.7</v>
      </c>
      <c r="Z26" s="266"/>
      <c r="AA26" s="511"/>
      <c r="AB26" s="80"/>
      <c r="AC26" s="271"/>
      <c r="AD26" s="348" t="n">
        <v>12</v>
      </c>
      <c r="AE26" s="473" t="n">
        <f aca="false">'Input-Start'!N32^(1+Inflation_Rate)^Year</f>
        <v>0</v>
      </c>
      <c r="AF26" s="488" t="n">
        <f aca="false">Cost_PY*(PY_for_Inf+PY!$L18)*(1+Inflation_Rate)^Year</f>
        <v>7458188.36397104</v>
      </c>
      <c r="AG26" s="488" t="n">
        <v>34219.395</v>
      </c>
      <c r="AH26" s="488" t="n">
        <v>405563.205862505</v>
      </c>
      <c r="AI26" s="274"/>
      <c r="AJ26" s="80"/>
      <c r="AL26" s="271"/>
      <c r="AM26" s="348" t="n">
        <v>12</v>
      </c>
      <c r="AN26" s="477" t="n">
        <f aca="false">'Input-Start'!W31*(1+Inflation_Rate)^Year</f>
        <v>0</v>
      </c>
      <c r="AO26" s="489" t="n">
        <f aca="false">'Agency Costs Reduction'!G18*(1+Inflation_Rate)^'Input-Detail'!$AM26</f>
        <v>627958.184438705</v>
      </c>
      <c r="AP26" s="490" t="n">
        <f aca="false">Cost_PY*(PY_for_Inf+PY!$Q18)*(1+Inflation_Rate)^Year</f>
        <v>3013660.99338034</v>
      </c>
      <c r="AQ26" s="491" t="n">
        <v>5864.00658539456</v>
      </c>
      <c r="AR26" s="492" t="n">
        <v>162842.775523453</v>
      </c>
      <c r="AS26" s="274"/>
      <c r="AT26" s="69"/>
      <c r="AV26" s="271"/>
      <c r="AW26" s="330"/>
      <c r="AX26" s="30" t="s">
        <v>28</v>
      </c>
      <c r="AY26" s="30"/>
      <c r="AZ26" s="331" t="n">
        <f aca="false">'Input-Start'!AR17</f>
        <v>0.2</v>
      </c>
      <c r="BA26" s="22"/>
      <c r="BB26" s="274"/>
      <c r="BE26" s="344"/>
      <c r="BF26" s="407"/>
      <c r="BG26" s="348" t="n">
        <v>13</v>
      </c>
      <c r="BH26" s="484" t="n">
        <f aca="false">BH$13+(BH$33-BH$13)*$D27/$D$34</f>
        <v>0.83</v>
      </c>
      <c r="BI26" s="469" t="n">
        <f aca="false">1-BH26</f>
        <v>0.17</v>
      </c>
      <c r="BJ26" s="484" t="n">
        <f aca="false">BJ$13+(BJ$33-BJ$13)*$D27/$D$34</f>
        <v>0.9405</v>
      </c>
      <c r="BK26" s="469" t="n">
        <f aca="false">1-BJ26</f>
        <v>0.0595</v>
      </c>
      <c r="BL26" s="484" t="n">
        <f aca="false">BL$13+(BL$33-BL$13)*$D27/$D$34</f>
        <v>0.64</v>
      </c>
      <c r="BM26" s="470" t="n">
        <f aca="false">1-BL26</f>
        <v>0.36</v>
      </c>
      <c r="BN26" s="485"/>
      <c r="BO26" s="510"/>
      <c r="BR26" s="271"/>
      <c r="BS26" s="273"/>
      <c r="BT26" s="273"/>
      <c r="BU26" s="273"/>
      <c r="BV26" s="273"/>
      <c r="BW26" s="273"/>
      <c r="BX26" s="274"/>
    </row>
    <row r="27" customFormat="false" ht="15.75" hidden="false" customHeight="false" outlineLevel="0" collapsed="false">
      <c r="B27" s="344"/>
      <c r="C27" s="407"/>
      <c r="D27" s="348" t="n">
        <v>13</v>
      </c>
      <c r="E27" s="486" t="n">
        <f aca="false">E$14+(E$34-E$14)*$D27/$D$34</f>
        <v>26155660.55</v>
      </c>
      <c r="F27" s="494" t="n">
        <f aca="false">Price!N20</f>
        <v>0.652377141057342</v>
      </c>
      <c r="G27" s="485"/>
      <c r="H27" s="510"/>
      <c r="K27" s="344"/>
      <c r="L27" s="348" t="n">
        <v>9</v>
      </c>
      <c r="M27" s="504" t="n">
        <f aca="false">E23/$N$18</f>
        <v>10331.3605860653</v>
      </c>
      <c r="N27" s="505" t="n">
        <f aca="false">E23/M27</f>
        <v>2319.04548780488</v>
      </c>
      <c r="O27" s="506" t="n">
        <f aca="false">O26</f>
        <v>2</v>
      </c>
      <c r="P27" s="507" t="n">
        <f aca="false">P26</f>
        <v>0.3</v>
      </c>
      <c r="Q27" s="510"/>
      <c r="T27" s="344"/>
      <c r="U27" s="508" t="n">
        <v>9</v>
      </c>
      <c r="V27" s="504" t="n">
        <f aca="false">E23/$W$18</f>
        <v>10331.3605860653</v>
      </c>
      <c r="W27" s="509" t="n">
        <f aca="false">E23/V27</f>
        <v>2319.04548780488</v>
      </c>
      <c r="X27" s="506" t="n">
        <f aca="false">X26</f>
        <v>2</v>
      </c>
      <c r="Y27" s="507" t="n">
        <f aca="false">Y26</f>
        <v>0.7</v>
      </c>
      <c r="Z27" s="510"/>
      <c r="AA27" s="511"/>
      <c r="AB27" s="80"/>
      <c r="AC27" s="271"/>
      <c r="AD27" s="348" t="n">
        <v>13</v>
      </c>
      <c r="AE27" s="473" t="n">
        <f aca="false">'Input-Start'!N33^(1+Inflation_Rate)^Year</f>
        <v>0</v>
      </c>
      <c r="AF27" s="488" t="n">
        <f aca="false">Cost_PY*(PY_for_Inf+PY!$L19)*(1+Inflation_Rate)^Year</f>
        <v>7832014.88816654</v>
      </c>
      <c r="AG27" s="488" t="n">
        <v>35930.36475</v>
      </c>
      <c r="AH27" s="488" t="n">
        <v>417730.10203838</v>
      </c>
      <c r="AI27" s="274"/>
      <c r="AJ27" s="80"/>
      <c r="AL27" s="271"/>
      <c r="AM27" s="348" t="n">
        <v>13</v>
      </c>
      <c r="AN27" s="477" t="n">
        <f aca="false">'Input-Start'!W32*(1+Inflation_Rate)^Year</f>
        <v>0</v>
      </c>
      <c r="AO27" s="489" t="n">
        <f aca="false">'Agency Costs Reduction'!G19*(1+Inflation_Rate)^'Input-Detail'!$AM27</f>
        <v>642038.763830037</v>
      </c>
      <c r="AP27" s="490" t="n">
        <f aca="false">Cost_PY*(PY_for_Inf+PY!$Q19)*(1+Inflation_Rate)^Year</f>
        <v>2888258.5812996</v>
      </c>
      <c r="AQ27" s="491" t="n">
        <v>6157.20691466429</v>
      </c>
      <c r="AR27" s="492" t="n">
        <v>167728.058789156</v>
      </c>
      <c r="AS27" s="274"/>
      <c r="AT27" s="69"/>
      <c r="AV27" s="271"/>
      <c r="AW27" s="330"/>
      <c r="AX27" s="30" t="s">
        <v>29</v>
      </c>
      <c r="AY27" s="30"/>
      <c r="AZ27" s="331" t="n">
        <f aca="false">'Input-Start'!AR18</f>
        <v>0.2</v>
      </c>
      <c r="BA27" s="22"/>
      <c r="BB27" s="274"/>
      <c r="BE27" s="344"/>
      <c r="BF27" s="407"/>
      <c r="BG27" s="348" t="n">
        <v>14</v>
      </c>
      <c r="BH27" s="484" t="n">
        <f aca="false">BH$13+(BH$33-BH$13)*$D28/$D$34</f>
        <v>0.83</v>
      </c>
      <c r="BI27" s="469" t="n">
        <f aca="false">1-BH27</f>
        <v>0.17</v>
      </c>
      <c r="BJ27" s="484" t="n">
        <f aca="false">BJ$13+(BJ$33-BJ$13)*$D28/$D$34</f>
        <v>0.949</v>
      </c>
      <c r="BK27" s="469" t="n">
        <f aca="false">1-BJ27</f>
        <v>0.051</v>
      </c>
      <c r="BL27" s="484" t="n">
        <f aca="false">BL$13+(BL$33-BL$13)*$D28/$D$34</f>
        <v>0.64</v>
      </c>
      <c r="BM27" s="470" t="n">
        <f aca="false">1-BL27</f>
        <v>0.36</v>
      </c>
      <c r="BN27" s="485"/>
      <c r="BO27" s="510"/>
      <c r="BR27" s="271"/>
      <c r="BS27" s="402" t="s">
        <v>237</v>
      </c>
      <c r="BT27" s="10"/>
      <c r="BU27" s="10"/>
      <c r="BV27" s="10"/>
      <c r="BW27" s="11"/>
      <c r="BX27" s="274"/>
    </row>
    <row r="28" customFormat="false" ht="15" hidden="false" customHeight="false" outlineLevel="0" collapsed="false">
      <c r="B28" s="344"/>
      <c r="C28" s="407"/>
      <c r="D28" s="348" t="n">
        <v>14</v>
      </c>
      <c r="E28" s="486" t="n">
        <f aca="false">E$14+(E$34-E$14)*$D28/$D$34</f>
        <v>26704851.9</v>
      </c>
      <c r="F28" s="494" t="n">
        <f aca="false">Price!N21</f>
        <v>0.688560291874923</v>
      </c>
      <c r="G28" s="485"/>
      <c r="H28" s="510"/>
      <c r="K28" s="344"/>
      <c r="L28" s="348" t="n">
        <v>10</v>
      </c>
      <c r="M28" s="504" t="n">
        <f aca="false">E24/$N$18</f>
        <v>10568.1784289615</v>
      </c>
      <c r="N28" s="505" t="n">
        <f aca="false">E24/M28</f>
        <v>2319.04548780488</v>
      </c>
      <c r="O28" s="506" t="n">
        <f aca="false">O27</f>
        <v>2</v>
      </c>
      <c r="P28" s="507" t="n">
        <f aca="false">P27</f>
        <v>0.3</v>
      </c>
      <c r="Q28" s="510"/>
      <c r="T28" s="344"/>
      <c r="U28" s="508" t="n">
        <v>10</v>
      </c>
      <c r="V28" s="504" t="n">
        <f aca="false">E24/$W$18</f>
        <v>10568.1784289615</v>
      </c>
      <c r="W28" s="509" t="n">
        <f aca="false">E24/V28</f>
        <v>2319.04548780488</v>
      </c>
      <c r="X28" s="506" t="n">
        <f aca="false">X27</f>
        <v>2</v>
      </c>
      <c r="Y28" s="507" t="n">
        <f aca="false">Y27</f>
        <v>0.7</v>
      </c>
      <c r="Z28" s="510"/>
      <c r="AA28" s="511"/>
      <c r="AB28" s="80"/>
      <c r="AC28" s="271"/>
      <c r="AD28" s="348" t="n">
        <v>14</v>
      </c>
      <c r="AE28" s="473" t="n">
        <f aca="false">'Input-Start'!N34^(1+Inflation_Rate)^Year</f>
        <v>0</v>
      </c>
      <c r="AF28" s="488" t="n">
        <f aca="false">Cost_PY*(PY_for_Inf+PY!$L20)*(1+Inflation_Rate)^Year</f>
        <v>8221558.63428619</v>
      </c>
      <c r="AG28" s="488" t="n">
        <v>37726.8829875</v>
      </c>
      <c r="AH28" s="488" t="n">
        <v>430262.005099532</v>
      </c>
      <c r="AI28" s="274"/>
      <c r="AJ28" s="80"/>
      <c r="AL28" s="271"/>
      <c r="AM28" s="348" t="n">
        <v>14</v>
      </c>
      <c r="AN28" s="477" t="n">
        <f aca="false">'Input-Start'!W33*(1+Inflation_Rate)^Year</f>
        <v>0</v>
      </c>
      <c r="AO28" s="489" t="n">
        <f aca="false">'Agency Costs Reduction'!G20*(1+Inflation_Rate)^'Input-Detail'!$AM28</f>
        <v>654203.4048374</v>
      </c>
      <c r="AP28" s="490" t="n">
        <f aca="false">Cost_PY*(PY_for_Inf+PY!$Q20)*(1+Inflation_Rate)^Year</f>
        <v>2698829.67163243</v>
      </c>
      <c r="AQ28" s="491" t="n">
        <v>6465.06726039751</v>
      </c>
      <c r="AR28" s="492" t="n">
        <v>172759.900552831</v>
      </c>
      <c r="AS28" s="274"/>
      <c r="AT28" s="69"/>
      <c r="AV28" s="271"/>
      <c r="AW28" s="330"/>
      <c r="AX28" s="30"/>
      <c r="AY28" s="30"/>
      <c r="AZ28" s="353"/>
      <c r="BA28" s="22"/>
      <c r="BB28" s="274"/>
      <c r="BE28" s="344"/>
      <c r="BF28" s="407"/>
      <c r="BG28" s="348" t="n">
        <v>15</v>
      </c>
      <c r="BH28" s="484" t="n">
        <f aca="false">BH$13+(BH$33-BH$13)*$D29/$D$34</f>
        <v>0.83</v>
      </c>
      <c r="BI28" s="469" t="n">
        <f aca="false">1-BH28</f>
        <v>0.17</v>
      </c>
      <c r="BJ28" s="484" t="n">
        <f aca="false">BJ$13+(BJ$33-BJ$13)*$D29/$D$34</f>
        <v>0.9575</v>
      </c>
      <c r="BK28" s="469" t="n">
        <f aca="false">1-BJ28</f>
        <v>0.0425</v>
      </c>
      <c r="BL28" s="484" t="n">
        <f aca="false">BL$13+(BL$33-BL$13)*$D29/$D$34</f>
        <v>0.64</v>
      </c>
      <c r="BM28" s="470" t="n">
        <f aca="false">1-BL28</f>
        <v>0.36</v>
      </c>
      <c r="BN28" s="485"/>
      <c r="BO28" s="510"/>
      <c r="BQ28" s="69"/>
      <c r="BR28" s="271"/>
      <c r="BS28" s="407"/>
      <c r="BT28" s="21"/>
      <c r="BU28" s="21"/>
      <c r="BV28" s="21"/>
      <c r="BW28" s="22"/>
      <c r="BX28" s="274"/>
    </row>
    <row r="29" customFormat="false" ht="15" hidden="false" customHeight="false" outlineLevel="0" collapsed="false">
      <c r="B29" s="344"/>
      <c r="C29" s="407"/>
      <c r="D29" s="348" t="n">
        <v>15</v>
      </c>
      <c r="E29" s="486" t="n">
        <f aca="false">E$14+(E$34-E$14)*$D29/$D$34</f>
        <v>27254043.25</v>
      </c>
      <c r="F29" s="494" t="n">
        <f aca="false">Price!N22</f>
        <v>0.72219473716396</v>
      </c>
      <c r="G29" s="485"/>
      <c r="H29" s="510"/>
      <c r="K29" s="344"/>
      <c r="L29" s="348" t="n">
        <v>11</v>
      </c>
      <c r="M29" s="504" t="n">
        <f aca="false">E25/$N$18</f>
        <v>10804.9962718576</v>
      </c>
      <c r="N29" s="505" t="n">
        <f aca="false">E25/M29</f>
        <v>2319.04548780488</v>
      </c>
      <c r="O29" s="506" t="n">
        <f aca="false">O28</f>
        <v>2</v>
      </c>
      <c r="P29" s="507" t="n">
        <f aca="false">P28</f>
        <v>0.3</v>
      </c>
      <c r="Q29" s="510"/>
      <c r="T29" s="344"/>
      <c r="U29" s="508" t="n">
        <v>11</v>
      </c>
      <c r="V29" s="504" t="n">
        <f aca="false">E25/$W$18</f>
        <v>10804.9962718576</v>
      </c>
      <c r="W29" s="509" t="n">
        <f aca="false">E25/V29</f>
        <v>2319.04548780488</v>
      </c>
      <c r="X29" s="506" t="n">
        <f aca="false">X28</f>
        <v>2</v>
      </c>
      <c r="Y29" s="507" t="n">
        <f aca="false">Y28</f>
        <v>0.7</v>
      </c>
      <c r="Z29" s="510"/>
      <c r="AA29" s="511"/>
      <c r="AB29" s="80"/>
      <c r="AC29" s="271"/>
      <c r="AD29" s="348" t="n">
        <v>15</v>
      </c>
      <c r="AE29" s="473" t="n">
        <f aca="false">'Input-Start'!N35^(1+Inflation_Rate)^Year</f>
        <v>0</v>
      </c>
      <c r="AF29" s="488" t="n">
        <f aca="false">Cost_PY*(PY_for_Inf+PY!$L21)*(1+Inflation_Rate)^Year</f>
        <v>8627426.19177367</v>
      </c>
      <c r="AG29" s="488" t="n">
        <v>39613.227136875</v>
      </c>
      <c r="AH29" s="488" t="n">
        <v>443169.865252518</v>
      </c>
      <c r="AI29" s="274"/>
      <c r="AJ29" s="80"/>
      <c r="AL29" s="271"/>
      <c r="AM29" s="348" t="n">
        <v>15</v>
      </c>
      <c r="AN29" s="477" t="n">
        <f aca="false">'Input-Start'!W34*(1+Inflation_Rate)^Year</f>
        <v>0</v>
      </c>
      <c r="AO29" s="489" t="n">
        <f aca="false">'Agency Costs Reduction'!G21*(1+Inflation_Rate)^'Input-Detail'!$AM29</f>
        <v>658710.410278672</v>
      </c>
      <c r="AP29" s="490" t="n">
        <f aca="false">Cost_PY*(PY_for_Inf+PY!$Q21)*(1+Inflation_Rate)^Year</f>
        <v>2563621.19779684</v>
      </c>
      <c r="AQ29" s="491" t="n">
        <v>6788.32062341738</v>
      </c>
      <c r="AR29" s="492" t="n">
        <v>177942.697569416</v>
      </c>
      <c r="AS29" s="274"/>
      <c r="AT29" s="69"/>
      <c r="AV29" s="271"/>
      <c r="AW29" s="315" t="s">
        <v>208</v>
      </c>
      <c r="AX29" s="30"/>
      <c r="AY29" s="30"/>
      <c r="AZ29" s="331" t="n">
        <f aca="false">'Input-Start'!AR20</f>
        <v>55</v>
      </c>
      <c r="BA29" s="22"/>
      <c r="BB29" s="274"/>
      <c r="BE29" s="344"/>
      <c r="BF29" s="407"/>
      <c r="BG29" s="348" t="n">
        <v>16</v>
      </c>
      <c r="BH29" s="484" t="n">
        <f aca="false">BH$13+(BH$33-BH$13)*$D30/$D$34</f>
        <v>0.83</v>
      </c>
      <c r="BI29" s="469" t="n">
        <f aca="false">1-BH29</f>
        <v>0.17</v>
      </c>
      <c r="BJ29" s="484" t="n">
        <f aca="false">BJ$13+(BJ$33-BJ$13)*$D30/$D$34</f>
        <v>0.966</v>
      </c>
      <c r="BK29" s="469" t="n">
        <f aca="false">1-BJ29</f>
        <v>0.034</v>
      </c>
      <c r="BL29" s="484" t="n">
        <f aca="false">BL$13+(BL$33-BL$13)*$D30/$D$34</f>
        <v>0.64</v>
      </c>
      <c r="BM29" s="470" t="n">
        <f aca="false">1-BL29</f>
        <v>0.36</v>
      </c>
      <c r="BN29" s="485"/>
      <c r="BO29" s="510"/>
      <c r="BQ29" s="69"/>
      <c r="BR29" s="271"/>
      <c r="BS29" s="315" t="s">
        <v>242</v>
      </c>
      <c r="BT29" s="30"/>
      <c r="BU29" s="30"/>
      <c r="BV29" s="409" t="n">
        <f aca="false">'Input-Start'!BA32</f>
        <v>0.03</v>
      </c>
      <c r="BW29" s="22"/>
      <c r="BX29" s="274"/>
    </row>
    <row r="30" customFormat="false" ht="15" hidden="false" customHeight="false" outlineLevel="0" collapsed="false">
      <c r="B30" s="344"/>
      <c r="C30" s="407"/>
      <c r="D30" s="348" t="n">
        <v>16</v>
      </c>
      <c r="E30" s="486" t="n">
        <f aca="false">E$14+(E$34-E$14)*$D30/$D$34</f>
        <v>27803234.6</v>
      </c>
      <c r="F30" s="494" t="n">
        <f aca="false">Price!N23</f>
        <v>0.753205951403196</v>
      </c>
      <c r="G30" s="485"/>
      <c r="H30" s="510"/>
      <c r="K30" s="344"/>
      <c r="L30" s="348" t="n">
        <v>12</v>
      </c>
      <c r="M30" s="504" t="n">
        <f aca="false">E26/$N$18</f>
        <v>11041.8141147538</v>
      </c>
      <c r="N30" s="505" t="n">
        <f aca="false">E26/M30</f>
        <v>2319.04548780488</v>
      </c>
      <c r="O30" s="506" t="n">
        <f aca="false">O29</f>
        <v>2</v>
      </c>
      <c r="P30" s="507" t="n">
        <f aca="false">P29</f>
        <v>0.3</v>
      </c>
      <c r="Q30" s="510"/>
      <c r="T30" s="344"/>
      <c r="U30" s="508" t="n">
        <v>12</v>
      </c>
      <c r="V30" s="504" t="n">
        <f aca="false">E26/$W$18</f>
        <v>11041.8141147538</v>
      </c>
      <c r="W30" s="509" t="n">
        <f aca="false">E26/V30</f>
        <v>2319.04548780488</v>
      </c>
      <c r="X30" s="506" t="n">
        <f aca="false">X29</f>
        <v>2</v>
      </c>
      <c r="Y30" s="507" t="n">
        <f aca="false">Y29</f>
        <v>0.7</v>
      </c>
      <c r="Z30" s="510"/>
      <c r="AA30" s="511"/>
      <c r="AB30" s="80"/>
      <c r="AC30" s="271"/>
      <c r="AD30" s="348" t="n">
        <v>16</v>
      </c>
      <c r="AE30" s="473" t="n">
        <f aca="false">'Input-Start'!N36^(1+Inflation_Rate)^Year</f>
        <v>0</v>
      </c>
      <c r="AF30" s="488" t="n">
        <f aca="false">Cost_PY*(PY_for_Inf+PY!$L22)*(1+Inflation_Rate)^Year</f>
        <v>9050246.39993954</v>
      </c>
      <c r="AG30" s="488" t="n">
        <v>41593.8884937188</v>
      </c>
      <c r="AH30" s="488" t="n">
        <v>456464.961210093</v>
      </c>
      <c r="AI30" s="274"/>
      <c r="AJ30" s="80"/>
      <c r="AL30" s="271"/>
      <c r="AM30" s="348" t="n">
        <v>16</v>
      </c>
      <c r="AN30" s="477" t="n">
        <f aca="false">'Input-Start'!W35*(1+Inflation_Rate)^Year</f>
        <v>0</v>
      </c>
      <c r="AO30" s="489" t="n">
        <f aca="false">'Agency Costs Reduction'!G22*(1+Inflation_Rate)^'Input-Detail'!$AM30</f>
        <v>659613.010385853</v>
      </c>
      <c r="AP30" s="490" t="n">
        <f aca="false">Cost_PY*(PY_for_Inf+PY!$Q22)*(1+Inflation_Rate)^Year</f>
        <v>2428618.70861362</v>
      </c>
      <c r="AQ30" s="491" t="n">
        <v>7127.73665458825</v>
      </c>
      <c r="AR30" s="492" t="n">
        <v>183280.978496499</v>
      </c>
      <c r="AS30" s="274"/>
      <c r="AT30" s="69"/>
      <c r="AV30" s="271"/>
      <c r="AW30" s="315" t="s">
        <v>216</v>
      </c>
      <c r="AX30" s="30"/>
      <c r="AY30" s="30"/>
      <c r="AZ30" s="353"/>
      <c r="BA30" s="22"/>
      <c r="BB30" s="274"/>
      <c r="BE30" s="344"/>
      <c r="BF30" s="407"/>
      <c r="BG30" s="348" t="n">
        <v>17</v>
      </c>
      <c r="BH30" s="484" t="n">
        <f aca="false">BH$13+(BH$33-BH$13)*$D31/$D$34</f>
        <v>0.83</v>
      </c>
      <c r="BI30" s="469" t="n">
        <f aca="false">1-BH30</f>
        <v>0.17</v>
      </c>
      <c r="BJ30" s="484" t="n">
        <f aca="false">BJ$13+(BJ$33-BJ$13)*$D31/$D$34</f>
        <v>0.9745</v>
      </c>
      <c r="BK30" s="469" t="n">
        <f aca="false">1-BJ30</f>
        <v>0.0255000000000001</v>
      </c>
      <c r="BL30" s="484" t="n">
        <f aca="false">BL$13+(BL$33-BL$13)*$D31/$D$34</f>
        <v>0.64</v>
      </c>
      <c r="BM30" s="470" t="n">
        <f aca="false">1-BL30</f>
        <v>0.36</v>
      </c>
      <c r="BN30" s="485"/>
      <c r="BO30" s="510"/>
      <c r="BQ30" s="69"/>
      <c r="BR30" s="271"/>
      <c r="BS30" s="315" t="s">
        <v>245</v>
      </c>
      <c r="BT30" s="411"/>
      <c r="BU30" s="412"/>
      <c r="BV30" s="413" t="n">
        <f aca="false">'Input-Start'!BA33</f>
        <v>0.06</v>
      </c>
      <c r="BW30" s="22"/>
      <c r="BX30" s="274"/>
    </row>
    <row r="31" customFormat="false" ht="15" hidden="false" customHeight="false" outlineLevel="0" collapsed="false">
      <c r="B31" s="344"/>
      <c r="C31" s="407"/>
      <c r="D31" s="348" t="n">
        <v>17</v>
      </c>
      <c r="E31" s="486" t="n">
        <f aca="false">E$14+(E$34-E$14)*$D31/$D$34</f>
        <v>28352425.95</v>
      </c>
      <c r="F31" s="494" t="n">
        <f aca="false">Price!N24</f>
        <v>0.781651485932894</v>
      </c>
      <c r="G31" s="485"/>
      <c r="H31" s="510"/>
      <c r="K31" s="344"/>
      <c r="L31" s="348" t="n">
        <v>13</v>
      </c>
      <c r="M31" s="504" t="n">
        <f aca="false">E27/$N$18</f>
        <v>11278.6319576499</v>
      </c>
      <c r="N31" s="505" t="n">
        <f aca="false">E27/M31</f>
        <v>2319.04548780488</v>
      </c>
      <c r="O31" s="506" t="n">
        <f aca="false">O30</f>
        <v>2</v>
      </c>
      <c r="P31" s="507" t="n">
        <f aca="false">P30</f>
        <v>0.3</v>
      </c>
      <c r="Q31" s="510"/>
      <c r="T31" s="344"/>
      <c r="U31" s="508" t="n">
        <v>13</v>
      </c>
      <c r="V31" s="504" t="n">
        <f aca="false">E27/$W$18</f>
        <v>11278.6319576499</v>
      </c>
      <c r="W31" s="509" t="n">
        <f aca="false">E27/V31</f>
        <v>2319.04548780488</v>
      </c>
      <c r="X31" s="506" t="n">
        <f aca="false">X30</f>
        <v>2</v>
      </c>
      <c r="Y31" s="507" t="n">
        <f aca="false">Y30</f>
        <v>0.7</v>
      </c>
      <c r="Z31" s="510"/>
      <c r="AA31" s="511"/>
      <c r="AB31" s="80"/>
      <c r="AC31" s="271"/>
      <c r="AD31" s="348" t="n">
        <v>17</v>
      </c>
      <c r="AE31" s="473" t="n">
        <f aca="false">'Input-Start'!N37^(1+Inflation_Rate)^Year</f>
        <v>0</v>
      </c>
      <c r="AF31" s="488" t="n">
        <f aca="false">Cost_PY*(PY_for_Inf+PY!$L23)*(1+Inflation_Rate)^Year</f>
        <v>9490671.13702276</v>
      </c>
      <c r="AG31" s="488" t="n">
        <v>43673.5829184047</v>
      </c>
      <c r="AH31" s="488" t="n">
        <v>470158.910046396</v>
      </c>
      <c r="AI31" s="274"/>
      <c r="AJ31" s="80"/>
      <c r="AL31" s="271"/>
      <c r="AM31" s="348" t="n">
        <v>17</v>
      </c>
      <c r="AN31" s="477" t="n">
        <f aca="false">'Input-Start'!W36*(1+Inflation_Rate)^Year</f>
        <v>0</v>
      </c>
      <c r="AO31" s="489" t="n">
        <f aca="false">'Agency Costs Reduction'!G23*(1+Inflation_Rate)^'Input-Detail'!$AM31</f>
        <v>658524.983440102</v>
      </c>
      <c r="AP31" s="490" t="n">
        <f aca="false">Cost_PY*(PY_for_Inf+PY!$Q23)*(1+Inflation_Rate)^Year</f>
        <v>2231909.01053789</v>
      </c>
      <c r="AQ31" s="491" t="n">
        <v>7484.12348731766</v>
      </c>
      <c r="AR31" s="492" t="n">
        <v>188779.407851393</v>
      </c>
      <c r="AS31" s="274"/>
      <c r="AT31" s="69"/>
      <c r="AV31" s="271"/>
      <c r="AW31" s="330"/>
      <c r="AX31" s="30" t="s">
        <v>219</v>
      </c>
      <c r="AY31" s="30"/>
      <c r="AZ31" s="382" t="n">
        <f aca="false">'Input-Start'!AR23</f>
        <v>0.9476</v>
      </c>
      <c r="BA31" s="22"/>
      <c r="BB31" s="274"/>
      <c r="BE31" s="344"/>
      <c r="BF31" s="407"/>
      <c r="BG31" s="348" t="n">
        <v>18</v>
      </c>
      <c r="BH31" s="484" t="n">
        <f aca="false">BH$13+(BH$33-BH$13)*$D32/$D$34</f>
        <v>0.83</v>
      </c>
      <c r="BI31" s="469" t="n">
        <f aca="false">1-BH31</f>
        <v>0.17</v>
      </c>
      <c r="BJ31" s="484" t="n">
        <f aca="false">BJ$13+(BJ$33-BJ$13)*$D32/$D$34</f>
        <v>0.983</v>
      </c>
      <c r="BK31" s="469" t="n">
        <f aca="false">1-BJ31</f>
        <v>0.017</v>
      </c>
      <c r="BL31" s="484" t="n">
        <f aca="false">BL$13+(BL$33-BL$13)*$D32/$D$34</f>
        <v>0.64</v>
      </c>
      <c r="BM31" s="470" t="n">
        <f aca="false">1-BL31</f>
        <v>0.36</v>
      </c>
      <c r="BN31" s="485"/>
      <c r="BO31" s="510"/>
      <c r="BQ31" s="69"/>
      <c r="BR31" s="271"/>
      <c r="BS31" s="315" t="s">
        <v>249</v>
      </c>
      <c r="BT31" s="411"/>
      <c r="BU31" s="412"/>
      <c r="BV31" s="413" t="n">
        <f aca="false">'Input-Start'!BA34</f>
        <v>0.03</v>
      </c>
      <c r="BW31" s="22"/>
      <c r="BX31" s="274"/>
    </row>
    <row r="32" customFormat="false" ht="15" hidden="false" customHeight="false" outlineLevel="0" collapsed="false">
      <c r="B32" s="344"/>
      <c r="C32" s="407"/>
      <c r="D32" s="348" t="n">
        <v>18</v>
      </c>
      <c r="E32" s="486" t="n">
        <f aca="false">E$14+(E$34-E$14)*$D32/$D$34</f>
        <v>28901617.3</v>
      </c>
      <c r="F32" s="494" t="n">
        <f aca="false">Price!N25</f>
        <v>0.807356047331459</v>
      </c>
      <c r="G32" s="485"/>
      <c r="H32" s="510"/>
      <c r="K32" s="344"/>
      <c r="L32" s="348" t="n">
        <v>14</v>
      </c>
      <c r="M32" s="504" t="n">
        <f aca="false">E28/$N$18</f>
        <v>11515.4498005461</v>
      </c>
      <c r="N32" s="505" t="n">
        <f aca="false">E28/M32</f>
        <v>2319.04548780488</v>
      </c>
      <c r="O32" s="506" t="n">
        <f aca="false">O31</f>
        <v>2</v>
      </c>
      <c r="P32" s="507" t="n">
        <f aca="false">P31</f>
        <v>0.3</v>
      </c>
      <c r="Q32" s="510"/>
      <c r="T32" s="344"/>
      <c r="U32" s="508" t="n">
        <v>14</v>
      </c>
      <c r="V32" s="504" t="n">
        <f aca="false">E28/$W$18</f>
        <v>11515.4498005461</v>
      </c>
      <c r="W32" s="509" t="n">
        <f aca="false">E28/V32</f>
        <v>2319.04548780488</v>
      </c>
      <c r="X32" s="506" t="n">
        <f aca="false">X31</f>
        <v>2</v>
      </c>
      <c r="Y32" s="507" t="n">
        <f aca="false">Y31</f>
        <v>0.7</v>
      </c>
      <c r="Z32" s="510"/>
      <c r="AA32" s="511"/>
      <c r="AB32" s="80"/>
      <c r="AC32" s="271"/>
      <c r="AD32" s="348" t="n">
        <v>18</v>
      </c>
      <c r="AE32" s="473" t="n">
        <f aca="false">'Input-Start'!N38^(1+Inflation_Rate)^Year</f>
        <v>0</v>
      </c>
      <c r="AF32" s="488" t="n">
        <f aca="false">Cost_PY*(PY_for_Inf+PY!$L24)*(1+Inflation_Rate)^Year</f>
        <v>9949376.13657104</v>
      </c>
      <c r="AG32" s="488" t="n">
        <v>45857.2620643249</v>
      </c>
      <c r="AH32" s="488" t="n">
        <v>484263.677347788</v>
      </c>
      <c r="AI32" s="274"/>
      <c r="AJ32" s="80"/>
      <c r="AL32" s="271"/>
      <c r="AM32" s="348" t="n">
        <v>18</v>
      </c>
      <c r="AN32" s="477" t="n">
        <f aca="false">'Input-Start'!W37*(1+Inflation_Rate)^Year</f>
        <v>0</v>
      </c>
      <c r="AO32" s="489" t="n">
        <f aca="false">'Agency Costs Reduction'!G24*(1+Inflation_Rate)^'Input-Detail'!$AM32</f>
        <v>651611.838508006</v>
      </c>
      <c r="AP32" s="490" t="n">
        <f aca="false">Cost_PY*(PY_for_Inf+PY!$Q24)*(1+Inflation_Rate)^Year</f>
        <v>2101502.40709154</v>
      </c>
      <c r="AQ32" s="491" t="n">
        <v>7858.32966168355</v>
      </c>
      <c r="AR32" s="492" t="n">
        <v>194442.790086935</v>
      </c>
      <c r="AS32" s="274"/>
      <c r="AT32" s="69"/>
      <c r="AV32" s="271"/>
      <c r="AW32" s="330"/>
      <c r="AX32" s="30" t="s">
        <v>221</v>
      </c>
      <c r="AY32" s="30"/>
      <c r="AZ32" s="382" t="n">
        <f aca="false">'Input-Start'!AR24</f>
        <v>0.0511</v>
      </c>
      <c r="BA32" s="22"/>
      <c r="BB32" s="274"/>
      <c r="BE32" s="344"/>
      <c r="BF32" s="407"/>
      <c r="BG32" s="348" t="n">
        <v>19</v>
      </c>
      <c r="BH32" s="484" t="n">
        <f aca="false">BH$13+(BH$33-BH$13)*$D33/$D$34</f>
        <v>0.83</v>
      </c>
      <c r="BI32" s="469" t="n">
        <f aca="false">1-BH32</f>
        <v>0.17</v>
      </c>
      <c r="BJ32" s="484" t="n">
        <f aca="false">BJ$13+(BJ$33-BJ$13)*$D33/$D$34</f>
        <v>0.9915</v>
      </c>
      <c r="BK32" s="469" t="n">
        <f aca="false">1-BJ32</f>
        <v>0.00849999999999995</v>
      </c>
      <c r="BL32" s="484" t="n">
        <f aca="false">BL$13+(BL$33-BL$13)*$D33/$D$34</f>
        <v>0.64</v>
      </c>
      <c r="BM32" s="470" t="n">
        <f aca="false">1-BL32</f>
        <v>0.36</v>
      </c>
      <c r="BN32" s="485"/>
      <c r="BO32" s="510"/>
      <c r="BQ32" s="69"/>
      <c r="BR32" s="271"/>
      <c r="BS32" s="315" t="s">
        <v>252</v>
      </c>
      <c r="BT32" s="30"/>
      <c r="BU32" s="30"/>
      <c r="BV32" s="390"/>
      <c r="BW32" s="22"/>
      <c r="BX32" s="274"/>
    </row>
    <row r="33" customFormat="false" ht="15" hidden="false" customHeight="false" outlineLevel="0" collapsed="false">
      <c r="B33" s="344"/>
      <c r="C33" s="407"/>
      <c r="D33" s="348" t="n">
        <v>19</v>
      </c>
      <c r="E33" s="486" t="n">
        <f aca="false">E$14+(E$34-E$14)*$D33/$D$34</f>
        <v>29450808.65</v>
      </c>
      <c r="F33" s="494" t="n">
        <f aca="false">Price!N26</f>
        <v>0.830563950021381</v>
      </c>
      <c r="G33" s="485"/>
      <c r="H33" s="510"/>
      <c r="K33" s="344"/>
      <c r="L33" s="348" t="n">
        <v>15</v>
      </c>
      <c r="M33" s="504" t="n">
        <f aca="false">E29/$N$18</f>
        <v>11752.2676434422</v>
      </c>
      <c r="N33" s="505" t="n">
        <f aca="false">E29/M33</f>
        <v>2319.04548780488</v>
      </c>
      <c r="O33" s="506" t="n">
        <f aca="false">O32</f>
        <v>2</v>
      </c>
      <c r="P33" s="507" t="n">
        <f aca="false">P32</f>
        <v>0.3</v>
      </c>
      <c r="Q33" s="510"/>
      <c r="T33" s="344"/>
      <c r="U33" s="508" t="n">
        <v>15</v>
      </c>
      <c r="V33" s="504" t="n">
        <f aca="false">E29/$W$18</f>
        <v>11752.2676434422</v>
      </c>
      <c r="W33" s="509" t="n">
        <f aca="false">E29/V33</f>
        <v>2319.04548780488</v>
      </c>
      <c r="X33" s="506" t="n">
        <f aca="false">X32</f>
        <v>2</v>
      </c>
      <c r="Y33" s="507" t="n">
        <f aca="false">Y32</f>
        <v>0.7</v>
      </c>
      <c r="Z33" s="510"/>
      <c r="AA33" s="511"/>
      <c r="AB33" s="80"/>
      <c r="AC33" s="271"/>
      <c r="AD33" s="348" t="n">
        <v>19</v>
      </c>
      <c r="AE33" s="473" t="n">
        <f aca="false">'Input-Start'!N39^(1+Inflation_Rate)^Year</f>
        <v>0</v>
      </c>
      <c r="AF33" s="488" t="n">
        <f aca="false">Cost_PY*(PY_for_Inf+PY!$L25)*(1+Inflation_Rate)^Year</f>
        <v>10427061.8320689</v>
      </c>
      <c r="AG33" s="488" t="n">
        <v>48150.1251675412</v>
      </c>
      <c r="AH33" s="488" t="n">
        <v>498791.587668222</v>
      </c>
      <c r="AI33" s="274"/>
      <c r="AJ33" s="80"/>
      <c r="AL33" s="271"/>
      <c r="AM33" s="348" t="n">
        <v>19</v>
      </c>
      <c r="AN33" s="477" t="n">
        <f aca="false">'Input-Start'!W38*(1+Inflation_Rate)^Year</f>
        <v>0</v>
      </c>
      <c r="AO33" s="489" t="n">
        <f aca="false">'Agency Costs Reduction'!G25*(1+Inflation_Rate)^'Input-Detail'!$AM33</f>
        <v>645225.331947871</v>
      </c>
      <c r="AP33" s="490" t="n">
        <f aca="false">Cost_PY*(PY_for_Inf+PY!$Q25)*(1+Inflation_Rate)^Year</f>
        <v>1908996.95440564</v>
      </c>
      <c r="AQ33" s="491" t="n">
        <v>8251.24614476773</v>
      </c>
      <c r="AR33" s="492" t="n">
        <v>200276.073789543</v>
      </c>
      <c r="AS33" s="274"/>
      <c r="AT33" s="69"/>
      <c r="AV33" s="271"/>
      <c r="AW33" s="330"/>
      <c r="AX33" s="30" t="s">
        <v>225</v>
      </c>
      <c r="AY33" s="30"/>
      <c r="AZ33" s="382" t="n">
        <f aca="false">'Input-Start'!AR25</f>
        <v>0.0013</v>
      </c>
      <c r="BA33" s="22"/>
      <c r="BB33" s="274"/>
      <c r="BE33" s="344"/>
      <c r="BF33" s="407"/>
      <c r="BG33" s="421" t="n">
        <v>20</v>
      </c>
      <c r="BH33" s="512" t="n">
        <f aca="false">'Input-Start'!AI22</f>
        <v>0.83</v>
      </c>
      <c r="BI33" s="513" t="n">
        <f aca="false">1-BH33</f>
        <v>0.17</v>
      </c>
      <c r="BJ33" s="512" t="n">
        <f aca="false">'Input-Start'!AI25</f>
        <v>1</v>
      </c>
      <c r="BK33" s="513" t="n">
        <f aca="false">1-BJ33</f>
        <v>0</v>
      </c>
      <c r="BL33" s="512" t="n">
        <f aca="false">'Input-Start'!AI28</f>
        <v>0.64</v>
      </c>
      <c r="BM33" s="514" t="n">
        <f aca="false">1-BL33</f>
        <v>0.36</v>
      </c>
      <c r="BN33" s="485"/>
      <c r="BO33" s="510"/>
      <c r="BQ33" s="69"/>
      <c r="BR33" s="271"/>
      <c r="BS33" s="418"/>
      <c r="BT33" s="30" t="s">
        <v>254</v>
      </c>
      <c r="BU33" s="30"/>
      <c r="BV33" s="410" t="n">
        <f aca="false">'Input-Start'!BA36</f>
        <v>1768</v>
      </c>
      <c r="BW33" s="22"/>
      <c r="BX33" s="274"/>
    </row>
    <row r="34" customFormat="false" ht="15" hidden="false" customHeight="false" outlineLevel="0" collapsed="false">
      <c r="B34" s="344"/>
      <c r="C34" s="407"/>
      <c r="D34" s="421" t="n">
        <v>20</v>
      </c>
      <c r="E34" s="515" t="n">
        <f aca="false">'Input-Start'!G22</f>
        <v>30000000</v>
      </c>
      <c r="F34" s="516" t="n">
        <f aca="false">Price!N27</f>
        <v>0.85118550512719</v>
      </c>
      <c r="G34" s="485"/>
      <c r="H34" s="510"/>
      <c r="K34" s="344"/>
      <c r="L34" s="348" t="n">
        <v>16</v>
      </c>
      <c r="M34" s="504" t="n">
        <f aca="false">E30/$N$18</f>
        <v>11989.0854863384</v>
      </c>
      <c r="N34" s="505" t="n">
        <f aca="false">E30/M34</f>
        <v>2319.04548780488</v>
      </c>
      <c r="O34" s="506" t="n">
        <f aca="false">O33</f>
        <v>2</v>
      </c>
      <c r="P34" s="507" t="n">
        <f aca="false">P33</f>
        <v>0.3</v>
      </c>
      <c r="Q34" s="510"/>
      <c r="T34" s="344"/>
      <c r="U34" s="508" t="n">
        <v>16</v>
      </c>
      <c r="V34" s="504" t="n">
        <f aca="false">E30/$W$18</f>
        <v>11989.0854863384</v>
      </c>
      <c r="W34" s="509" t="n">
        <f aca="false">E30/V34</f>
        <v>2319.04548780488</v>
      </c>
      <c r="X34" s="506" t="n">
        <f aca="false">X33</f>
        <v>2</v>
      </c>
      <c r="Y34" s="507" t="n">
        <f aca="false">Y33</f>
        <v>0.7</v>
      </c>
      <c r="Z34" s="510"/>
      <c r="AA34" s="511"/>
      <c r="AB34" s="80"/>
      <c r="AC34" s="271"/>
      <c r="AD34" s="421" t="n">
        <v>20</v>
      </c>
      <c r="AE34" s="517" t="n">
        <f aca="false">'Input-Start'!N40^(1+Inflation_Rate)^Year</f>
        <v>0</v>
      </c>
      <c r="AF34" s="518" t="n">
        <f aca="false">Cost_PY*(PY_for_Inf+PY!$L26)*(1+Inflation_Rate)^Year</f>
        <v>10924454.2307737</v>
      </c>
      <c r="AG34" s="518" t="n">
        <v>50557.6314259183</v>
      </c>
      <c r="AH34" s="518" t="n">
        <v>513755.335298268</v>
      </c>
      <c r="AI34" s="274"/>
      <c r="AJ34" s="80"/>
      <c r="AL34" s="271"/>
      <c r="AM34" s="421" t="n">
        <v>20</v>
      </c>
      <c r="AN34" s="519" t="n">
        <f aca="false">'Input-Start'!W39*(1+Inflation_Rate)^Year</f>
        <v>0</v>
      </c>
      <c r="AO34" s="520" t="n">
        <f aca="false">'Agency Costs Reduction'!G26*(1+Inflation_Rate)^'Input-Detail'!$AM34</f>
        <v>633856.456539647</v>
      </c>
      <c r="AP34" s="521" t="n">
        <f aca="false">Cost_PY*(PY_for_Inf+PY!$Q26)*(1+Inflation_Rate)^Year</f>
        <v>1789617.32767581</v>
      </c>
      <c r="AQ34" s="522" t="n">
        <v>8663.80845200611</v>
      </c>
      <c r="AR34" s="523" t="n">
        <v>206284.35600323</v>
      </c>
      <c r="AS34" s="274"/>
      <c r="AT34" s="69"/>
      <c r="AV34" s="271"/>
      <c r="AW34" s="315" t="s">
        <v>227</v>
      </c>
      <c r="AX34" s="30"/>
      <c r="AY34" s="30"/>
      <c r="AZ34" s="353"/>
      <c r="BA34" s="22"/>
      <c r="BB34" s="274"/>
      <c r="BE34" s="344"/>
      <c r="BF34" s="524"/>
      <c r="BG34" s="78"/>
      <c r="BH34" s="78"/>
      <c r="BI34" s="78"/>
      <c r="BJ34" s="78"/>
      <c r="BK34" s="78"/>
      <c r="BL34" s="78"/>
      <c r="BM34" s="78"/>
      <c r="BN34" s="525"/>
      <c r="BO34" s="510"/>
      <c r="BQ34" s="69"/>
      <c r="BR34" s="271"/>
      <c r="BS34" s="418"/>
      <c r="BT34" s="30" t="s">
        <v>255</v>
      </c>
      <c r="BU34" s="30"/>
      <c r="BV34" s="420" t="n">
        <f aca="false">'Input-Start'!BA37</f>
        <v>0.11</v>
      </c>
      <c r="BW34" s="22"/>
      <c r="BX34" s="274"/>
    </row>
    <row r="35" customFormat="false" ht="15.75" hidden="false" customHeight="false" outlineLevel="0" collapsed="false">
      <c r="B35" s="344"/>
      <c r="C35" s="524"/>
      <c r="D35" s="78"/>
      <c r="E35" s="78"/>
      <c r="F35" s="78"/>
      <c r="G35" s="525"/>
      <c r="H35" s="510"/>
      <c r="K35" s="344"/>
      <c r="L35" s="348" t="n">
        <v>17</v>
      </c>
      <c r="M35" s="504" t="n">
        <f aca="false">E31/$N$18</f>
        <v>12225.9033292345</v>
      </c>
      <c r="N35" s="505" t="n">
        <f aca="false">E31/M35</f>
        <v>2319.04548780488</v>
      </c>
      <c r="O35" s="506" t="n">
        <f aca="false">O34</f>
        <v>2</v>
      </c>
      <c r="P35" s="507" t="n">
        <f aca="false">P34</f>
        <v>0.3</v>
      </c>
      <c r="Q35" s="510"/>
      <c r="T35" s="344"/>
      <c r="U35" s="508" t="n">
        <v>17</v>
      </c>
      <c r="V35" s="504" t="n">
        <f aca="false">E31/$W$18</f>
        <v>12225.9033292345</v>
      </c>
      <c r="W35" s="509" t="n">
        <f aca="false">E31/V35</f>
        <v>2319.04548780488</v>
      </c>
      <c r="X35" s="506" t="n">
        <f aca="false">X34</f>
        <v>2</v>
      </c>
      <c r="Y35" s="507" t="n">
        <f aca="false">Y34</f>
        <v>0.7</v>
      </c>
      <c r="Z35" s="510"/>
      <c r="AA35" s="511"/>
      <c r="AB35" s="80"/>
      <c r="AC35" s="415"/>
      <c r="AD35" s="435"/>
      <c r="AE35" s="435"/>
      <c r="AF35" s="435"/>
      <c r="AG35" s="435"/>
      <c r="AH35" s="435"/>
      <c r="AI35" s="417"/>
      <c r="AJ35" s="80"/>
      <c r="AL35" s="271"/>
      <c r="AM35" s="273"/>
      <c r="AN35" s="273"/>
      <c r="AO35" s="273"/>
      <c r="AP35" s="273"/>
      <c r="AQ35" s="273"/>
      <c r="AR35" s="273"/>
      <c r="AS35" s="274"/>
      <c r="AT35" s="69"/>
      <c r="AV35" s="271"/>
      <c r="AW35" s="330"/>
      <c r="AX35" s="30" t="s">
        <v>219</v>
      </c>
      <c r="AY35" s="30"/>
      <c r="AZ35" s="331" t="n">
        <f aca="false">'Input-Start'!AR27</f>
        <v>1.8</v>
      </c>
      <c r="BA35" s="22"/>
      <c r="BB35" s="274"/>
      <c r="BE35" s="428"/>
      <c r="BF35" s="416"/>
      <c r="BG35" s="416"/>
      <c r="BH35" s="404"/>
      <c r="BI35" s="416"/>
      <c r="BJ35" s="416"/>
      <c r="BK35" s="435"/>
      <c r="BL35" s="435"/>
      <c r="BM35" s="435"/>
      <c r="BN35" s="435"/>
      <c r="BO35" s="417"/>
      <c r="BQ35" s="69"/>
      <c r="BR35" s="271"/>
      <c r="BS35" s="418"/>
      <c r="BT35" s="30" t="s">
        <v>256</v>
      </c>
      <c r="BU35" s="30"/>
      <c r="BV35" s="420" t="n">
        <f aca="false">'Input-Start'!BA38</f>
        <v>61.5</v>
      </c>
      <c r="BW35" s="22"/>
      <c r="BX35" s="274"/>
    </row>
    <row r="36" customFormat="false" ht="17.25" hidden="false" customHeight="false" outlineLevel="0" collapsed="false">
      <c r="B36" s="403"/>
      <c r="C36" s="404"/>
      <c r="D36" s="404"/>
      <c r="E36" s="404"/>
      <c r="F36" s="404"/>
      <c r="G36" s="404"/>
      <c r="H36" s="405"/>
      <c r="K36" s="344"/>
      <c r="L36" s="348" t="n">
        <v>18</v>
      </c>
      <c r="M36" s="504" t="n">
        <f aca="false">E32/$N$18</f>
        <v>12462.7211721307</v>
      </c>
      <c r="N36" s="505" t="n">
        <f aca="false">E32/M36</f>
        <v>2319.04548780488</v>
      </c>
      <c r="O36" s="506" t="n">
        <f aca="false">O35</f>
        <v>2</v>
      </c>
      <c r="P36" s="507" t="n">
        <f aca="false">P35</f>
        <v>0.3</v>
      </c>
      <c r="Q36" s="510"/>
      <c r="T36" s="344"/>
      <c r="U36" s="508" t="n">
        <v>18</v>
      </c>
      <c r="V36" s="504" t="n">
        <f aca="false">E32/$W$18</f>
        <v>12462.7211721307</v>
      </c>
      <c r="W36" s="509" t="n">
        <f aca="false">E32/V36</f>
        <v>2319.04548780488</v>
      </c>
      <c r="X36" s="506" t="n">
        <f aca="false">X35</f>
        <v>2</v>
      </c>
      <c r="Y36" s="507" t="n">
        <f aca="false">Y35</f>
        <v>0.7</v>
      </c>
      <c r="Z36" s="510"/>
      <c r="AA36" s="511"/>
      <c r="AB36" s="80"/>
      <c r="AC36" s="80"/>
      <c r="AJ36" s="80"/>
      <c r="AL36" s="271"/>
      <c r="AM36" s="526" t="s">
        <v>318</v>
      </c>
      <c r="AN36" s="527"/>
      <c r="AO36" s="527"/>
      <c r="AP36" s="528"/>
      <c r="AQ36" s="529"/>
      <c r="AR36" s="530" t="n">
        <f aca="false">'[1]Input-Start'!AI41</f>
        <v>38.7</v>
      </c>
      <c r="AS36" s="274"/>
      <c r="AT36" s="69"/>
      <c r="AV36" s="271"/>
      <c r="AW36" s="330"/>
      <c r="AX36" s="30" t="s">
        <v>221</v>
      </c>
      <c r="AY36" s="30"/>
      <c r="AZ36" s="331" t="n">
        <f aca="false">'Input-Start'!AR28</f>
        <v>1.1</v>
      </c>
      <c r="BA36" s="22"/>
      <c r="BB36" s="274"/>
      <c r="BE36" s="69"/>
      <c r="BF36" s="69"/>
      <c r="BG36" s="69"/>
      <c r="BH36" s="69"/>
      <c r="BJ36" s="69"/>
      <c r="BK36" s="273"/>
      <c r="BL36" s="4"/>
      <c r="BM36" s="4"/>
      <c r="BN36" s="4"/>
      <c r="BO36" s="4"/>
      <c r="BQ36" s="69"/>
      <c r="BR36" s="271"/>
      <c r="BS36" s="418"/>
      <c r="BT36" s="30" t="s">
        <v>257</v>
      </c>
      <c r="BU36" s="30"/>
      <c r="BV36" s="414" t="n">
        <f aca="false">'Input-Start'!BA39</f>
        <v>65000</v>
      </c>
      <c r="BW36" s="22"/>
      <c r="BX36" s="426"/>
    </row>
    <row r="37" customFormat="false" ht="16.5" hidden="false" customHeight="false" outlineLevel="0" collapsed="false">
      <c r="K37" s="344"/>
      <c r="L37" s="348" t="n">
        <v>19</v>
      </c>
      <c r="M37" s="504" t="n">
        <f aca="false">E33/$N$18</f>
        <v>12699.5390150268</v>
      </c>
      <c r="N37" s="505" t="n">
        <f aca="false">E33/M37</f>
        <v>2319.04548780488</v>
      </c>
      <c r="O37" s="506" t="n">
        <f aca="false">O36</f>
        <v>2</v>
      </c>
      <c r="P37" s="507" t="n">
        <f aca="false">P36</f>
        <v>0.3</v>
      </c>
      <c r="Q37" s="510"/>
      <c r="T37" s="344"/>
      <c r="U37" s="508" t="n">
        <v>19</v>
      </c>
      <c r="V37" s="504" t="n">
        <f aca="false">E33/$W$18</f>
        <v>12699.5390150268</v>
      </c>
      <c r="W37" s="509" t="n">
        <f aca="false">E33/V37</f>
        <v>2319.04548780488</v>
      </c>
      <c r="X37" s="506" t="n">
        <f aca="false">X36</f>
        <v>2</v>
      </c>
      <c r="Y37" s="507" t="n">
        <f aca="false">Y36</f>
        <v>0.7</v>
      </c>
      <c r="Z37" s="510"/>
      <c r="AA37" s="531"/>
      <c r="AB37" s="80"/>
      <c r="AC37" s="80"/>
      <c r="AJ37" s="80"/>
      <c r="AL37" s="415"/>
      <c r="AM37" s="435"/>
      <c r="AN37" s="435"/>
      <c r="AO37" s="435"/>
      <c r="AP37" s="435"/>
      <c r="AQ37" s="435"/>
      <c r="AR37" s="435"/>
      <c r="AS37" s="417"/>
      <c r="AV37" s="271"/>
      <c r="AW37" s="330"/>
      <c r="AX37" s="30" t="s">
        <v>225</v>
      </c>
      <c r="AY37" s="30"/>
      <c r="AZ37" s="331" t="n">
        <f aca="false">'Input-Start'!AR29</f>
        <v>20</v>
      </c>
      <c r="BA37" s="22"/>
      <c r="BB37" s="274"/>
      <c r="BJ37" s="69"/>
      <c r="BK37" s="69"/>
      <c r="BQ37" s="69"/>
      <c r="BR37" s="271"/>
      <c r="BS37" s="392"/>
      <c r="BT37" s="77"/>
      <c r="BU37" s="77"/>
      <c r="BV37" s="430"/>
      <c r="BW37" s="79"/>
      <c r="BX37" s="274"/>
    </row>
    <row r="38" customFormat="false" ht="16.5" hidden="false" customHeight="false" outlineLevel="0" collapsed="false">
      <c r="K38" s="344"/>
      <c r="L38" s="421" t="n">
        <v>20</v>
      </c>
      <c r="M38" s="532" t="n">
        <f aca="false">E34/$N$18</f>
        <v>12936.356857923</v>
      </c>
      <c r="N38" s="533" t="n">
        <f aca="false">E34/M38</f>
        <v>2319.04548780488</v>
      </c>
      <c r="O38" s="534" t="n">
        <f aca="false">O37</f>
        <v>2</v>
      </c>
      <c r="P38" s="535" t="n">
        <f aca="false">P37</f>
        <v>0.3</v>
      </c>
      <c r="Q38" s="510"/>
      <c r="T38" s="344"/>
      <c r="U38" s="536" t="n">
        <v>20</v>
      </c>
      <c r="V38" s="532" t="n">
        <f aca="false">E34/$W$18</f>
        <v>12936.356857923</v>
      </c>
      <c r="W38" s="537" t="n">
        <f aca="false">E34/V38</f>
        <v>2319.04548780488</v>
      </c>
      <c r="X38" s="534" t="n">
        <f aca="false">X37</f>
        <v>2</v>
      </c>
      <c r="Y38" s="535" t="n">
        <f aca="false">Y37</f>
        <v>0.7</v>
      </c>
      <c r="Z38" s="510"/>
      <c r="AB38" s="80"/>
      <c r="AC38" s="80"/>
      <c r="AJ38" s="80"/>
      <c r="AV38" s="271"/>
      <c r="AW38" s="315" t="s">
        <v>240</v>
      </c>
      <c r="AX38" s="30"/>
      <c r="AY38" s="30"/>
      <c r="AZ38" s="390"/>
      <c r="BA38" s="22"/>
      <c r="BB38" s="274"/>
      <c r="BJ38" s="69"/>
      <c r="BK38" s="69"/>
      <c r="BQ38" s="69"/>
      <c r="BR38" s="415"/>
      <c r="BS38" s="435"/>
      <c r="BT38" s="435"/>
      <c r="BU38" s="435"/>
      <c r="BV38" s="435"/>
      <c r="BW38" s="435"/>
      <c r="BX38" s="417"/>
    </row>
    <row r="39" customFormat="false" ht="16.5" hidden="false" customHeight="false" outlineLevel="0" collapsed="false">
      <c r="K39" s="403"/>
      <c r="L39" s="404"/>
      <c r="M39" s="404"/>
      <c r="N39" s="404"/>
      <c r="O39" s="404"/>
      <c r="P39" s="404"/>
      <c r="Q39" s="405"/>
      <c r="T39" s="403"/>
      <c r="U39" s="404"/>
      <c r="V39" s="404"/>
      <c r="W39" s="404"/>
      <c r="X39" s="404"/>
      <c r="Y39" s="404"/>
      <c r="Z39" s="405"/>
      <c r="AB39" s="80"/>
      <c r="AC39" s="80"/>
      <c r="AJ39" s="80"/>
      <c r="AV39" s="538"/>
      <c r="AW39" s="315"/>
      <c r="AX39" s="30" t="s">
        <v>219</v>
      </c>
      <c r="AY39" s="30"/>
      <c r="AZ39" s="408" t="n">
        <f aca="false">'Input-Start'!AR32</f>
        <v>12.75</v>
      </c>
      <c r="BA39" s="22"/>
      <c r="BB39" s="326"/>
      <c r="BJ39" s="69"/>
      <c r="BK39" s="69"/>
      <c r="BQ39" s="69"/>
      <c r="BR39" s="69"/>
      <c r="BY39" s="69"/>
    </row>
    <row r="40" customFormat="false" ht="15.75" hidden="false" customHeight="false" outlineLevel="0" collapsed="false">
      <c r="T40" s="80"/>
      <c r="U40" s="80"/>
      <c r="V40" s="80"/>
      <c r="W40" s="80"/>
      <c r="X40" s="80"/>
      <c r="Y40" s="80"/>
      <c r="Z40" s="80"/>
      <c r="AA40" s="80"/>
      <c r="AB40" s="80"/>
      <c r="AC40" s="80"/>
      <c r="AJ40" s="80"/>
      <c r="AV40" s="267"/>
      <c r="AW40" s="315"/>
      <c r="AX40" s="30" t="s">
        <v>221</v>
      </c>
      <c r="AY40" s="30"/>
      <c r="AZ40" s="408" t="n">
        <f aca="false">'Input-Start'!AR33</f>
        <v>33.41</v>
      </c>
      <c r="BA40" s="22"/>
      <c r="BB40" s="326"/>
      <c r="BK40" s="69"/>
      <c r="BP40" s="4"/>
      <c r="BQ40" s="273"/>
    </row>
    <row r="41" customFormat="false" ht="15" hidden="false" customHeight="false" outlineLevel="0" collapsed="false">
      <c r="AB41" s="80"/>
      <c r="AC41" s="80"/>
      <c r="AJ41" s="80"/>
      <c r="AV41" s="267"/>
      <c r="AW41" s="377"/>
      <c r="AX41" s="30" t="s">
        <v>248</v>
      </c>
      <c r="AY41" s="30"/>
      <c r="AZ41" s="408" t="n">
        <f aca="false">'Input-Start'!AR34</f>
        <v>12.75</v>
      </c>
      <c r="BA41" s="22"/>
      <c r="BB41" s="326"/>
      <c r="BK41" s="69"/>
      <c r="BP41" s="4"/>
      <c r="BQ41" s="273"/>
    </row>
    <row r="42" customFormat="false" ht="12.75" hidden="false" customHeight="false" outlineLevel="0" collapsed="false">
      <c r="AB42" s="80"/>
      <c r="AC42" s="80"/>
      <c r="AJ42" s="80"/>
      <c r="AV42" s="267"/>
      <c r="AW42" s="539"/>
      <c r="AX42" s="540"/>
      <c r="AY42" s="540"/>
      <c r="AZ42" s="540"/>
      <c r="BA42" s="541"/>
      <c r="BB42" s="326"/>
    </row>
    <row r="43" customFormat="false" ht="13.5" hidden="false" customHeight="false" outlineLevel="0" collapsed="false">
      <c r="AB43" s="80"/>
      <c r="AC43" s="80"/>
      <c r="AJ43" s="80"/>
      <c r="AV43" s="428"/>
      <c r="AW43" s="416"/>
      <c r="AX43" s="416"/>
      <c r="AY43" s="416"/>
      <c r="AZ43" s="416"/>
      <c r="BA43" s="416"/>
      <c r="BB43" s="429"/>
    </row>
    <row r="44" customFormat="false" ht="15" hidden="false" customHeight="false" outlineLevel="0" collapsed="false">
      <c r="AB44" s="80"/>
      <c r="AC44" s="194" t="s">
        <v>65</v>
      </c>
      <c r="AJ44" s="80"/>
    </row>
    <row r="45" customFormat="false" ht="13.5" hidden="false" customHeight="false" outlineLevel="0" collapsed="false">
      <c r="AB45" s="80"/>
      <c r="AC45" s="542" t="s">
        <v>319</v>
      </c>
      <c r="AD45" s="542"/>
      <c r="AE45" s="542"/>
      <c r="AF45" s="542"/>
      <c r="AG45" s="542"/>
      <c r="AH45" s="542"/>
      <c r="AI45" s="542"/>
      <c r="AJ45" s="80"/>
    </row>
    <row r="46" customFormat="false" ht="12.75" hidden="false" customHeight="false" outlineLevel="0" collapsed="false">
      <c r="AB46" s="80"/>
      <c r="AC46" s="543" t="s">
        <v>320</v>
      </c>
      <c r="AD46" s="543"/>
      <c r="AE46" s="543"/>
      <c r="AF46" s="543"/>
      <c r="AG46" s="543"/>
      <c r="AH46" s="543"/>
      <c r="AI46" s="543"/>
      <c r="AJ46" s="80"/>
    </row>
    <row r="47" customFormat="false" ht="12.75" hidden="false" customHeight="false" outlineLevel="0" collapsed="false">
      <c r="AB47" s="80"/>
      <c r="AC47" s="543" t="s">
        <v>321</v>
      </c>
      <c r="AD47" s="543"/>
      <c r="AE47" s="543"/>
      <c r="AF47" s="543"/>
      <c r="AG47" s="543"/>
      <c r="AH47" s="543"/>
      <c r="AI47" s="543"/>
    </row>
    <row r="48" customFormat="false" ht="12.75" hidden="false" customHeight="false" outlineLevel="0" collapsed="false">
      <c r="AC48" s="543"/>
      <c r="AD48" s="543"/>
      <c r="AE48" s="543"/>
      <c r="AF48" s="543"/>
      <c r="AG48" s="543"/>
      <c r="AH48" s="543"/>
      <c r="AI48" s="543"/>
    </row>
    <row r="49" customFormat="false" ht="12.75" hidden="false" customHeight="false" outlineLevel="0" collapsed="false">
      <c r="AC49" s="543" t="s">
        <v>322</v>
      </c>
      <c r="AD49" s="543"/>
      <c r="AE49" s="543"/>
      <c r="AF49" s="543"/>
      <c r="AG49" s="543"/>
      <c r="AH49" s="543"/>
      <c r="AI49" s="543"/>
    </row>
    <row r="50" customFormat="false" ht="12.75" hidden="false" customHeight="false" outlineLevel="0" collapsed="false">
      <c r="AC50" s="543" t="s">
        <v>323</v>
      </c>
      <c r="AD50" s="543"/>
      <c r="AE50" s="543"/>
      <c r="AF50" s="543"/>
      <c r="AG50" s="543"/>
      <c r="AH50" s="543"/>
      <c r="AI50" s="543"/>
    </row>
    <row r="51" customFormat="false" ht="12.75" hidden="false" customHeight="false" outlineLevel="0" collapsed="false">
      <c r="AC51" s="543" t="s">
        <v>324</v>
      </c>
      <c r="AD51" s="543"/>
      <c r="AE51" s="543"/>
      <c r="AF51" s="543"/>
      <c r="AG51" s="543"/>
      <c r="AH51" s="543"/>
      <c r="AI51" s="543"/>
    </row>
    <row r="52" customFormat="false" ht="12.75" hidden="false" customHeight="false" outlineLevel="0" collapsed="false">
      <c r="AC52" s="543" t="s">
        <v>325</v>
      </c>
      <c r="AD52" s="543"/>
      <c r="AE52" s="543"/>
      <c r="AF52" s="543"/>
      <c r="AG52" s="543"/>
      <c r="AH52" s="543"/>
      <c r="AI52" s="543"/>
    </row>
    <row r="53" customFormat="false" ht="12.75" hidden="false" customHeight="false" outlineLevel="0" collapsed="false">
      <c r="AC53" s="543" t="s">
        <v>326</v>
      </c>
      <c r="AD53" s="543"/>
      <c r="AE53" s="543"/>
      <c r="AF53" s="543"/>
      <c r="AG53" s="543"/>
      <c r="AH53" s="543"/>
      <c r="AI53" s="543"/>
    </row>
    <row r="54" customFormat="false" ht="12.75" hidden="false" customHeight="false" outlineLevel="0" collapsed="false">
      <c r="AC54" s="543" t="s">
        <v>327</v>
      </c>
      <c r="AD54" s="543"/>
      <c r="AE54" s="543"/>
      <c r="AF54" s="543"/>
      <c r="AG54" s="543"/>
      <c r="AH54" s="543"/>
      <c r="AI54" s="543"/>
    </row>
    <row r="55" customFormat="false" ht="12.75" hidden="false" customHeight="false" outlineLevel="0" collapsed="false">
      <c r="AC55" s="544"/>
      <c r="AD55" s="545"/>
      <c r="AE55" s="545"/>
      <c r="AF55" s="545"/>
      <c r="AG55" s="545"/>
      <c r="AH55" s="545"/>
      <c r="AI55" s="546"/>
    </row>
    <row r="56" customFormat="false" ht="14.25" hidden="false" customHeight="false" outlineLevel="0" collapsed="false">
      <c r="AC56" s="544" t="s">
        <v>328</v>
      </c>
      <c r="AD56" s="544"/>
      <c r="AE56" s="547"/>
      <c r="AF56" s="548" t="n">
        <f aca="false">'Input-Detail'!$BV$29</f>
        <v>0.03</v>
      </c>
      <c r="AG56" s="547"/>
      <c r="AH56" s="547"/>
      <c r="AI56" s="549"/>
    </row>
    <row r="57" customFormat="false" ht="12.75" hidden="false" customHeight="false" outlineLevel="0" collapsed="false">
      <c r="AC57" s="207" t="s">
        <v>329</v>
      </c>
      <c r="AD57" s="545"/>
      <c r="AE57" s="547"/>
      <c r="AF57" s="550" t="n">
        <f aca="false">'Input-Detail'!$BV$36</f>
        <v>65000</v>
      </c>
      <c r="AG57" s="547"/>
      <c r="AH57" s="547"/>
      <c r="AI57" s="549"/>
    </row>
    <row r="58" customFormat="false" ht="13.5" hidden="false" customHeight="false" outlineLevel="0" collapsed="false">
      <c r="AC58" s="208" t="s">
        <v>330</v>
      </c>
      <c r="AD58" s="220"/>
      <c r="AE58" s="551"/>
      <c r="AF58" s="551" t="n">
        <f aca="false">PY_for_Inf</f>
        <v>0.11</v>
      </c>
      <c r="AG58" s="551"/>
      <c r="AH58" s="551"/>
      <c r="AI58" s="552"/>
    </row>
    <row r="59" customFormat="false" ht="13.5" hidden="false" customHeight="false" outlineLevel="0" collapsed="false"/>
  </sheetData>
  <mergeCells count="38">
    <mergeCell ref="AE2:AI2"/>
    <mergeCell ref="AN2:AQ2"/>
    <mergeCell ref="C4:H4"/>
    <mergeCell ref="L4:Q4"/>
    <mergeCell ref="AD4:AI4"/>
    <mergeCell ref="C5:H5"/>
    <mergeCell ref="L5:Q5"/>
    <mergeCell ref="AD5:AI5"/>
    <mergeCell ref="C6:H6"/>
    <mergeCell ref="L6:Q6"/>
    <mergeCell ref="AD6:AI6"/>
    <mergeCell ref="C8:H8"/>
    <mergeCell ref="C9:H9"/>
    <mergeCell ref="AD10:AI10"/>
    <mergeCell ref="BG10:BG12"/>
    <mergeCell ref="BH10:BI10"/>
    <mergeCell ref="BJ10:BM10"/>
    <mergeCell ref="BH11:BI11"/>
    <mergeCell ref="BJ11:BK11"/>
    <mergeCell ref="BL11:BM11"/>
    <mergeCell ref="AD12:AD13"/>
    <mergeCell ref="AE12:AE13"/>
    <mergeCell ref="AF12:AH12"/>
    <mergeCell ref="AM12:AM13"/>
    <mergeCell ref="AN12:AN13"/>
    <mergeCell ref="AO12:AR12"/>
    <mergeCell ref="L15:Q15"/>
    <mergeCell ref="AC45:AI45"/>
    <mergeCell ref="AC46:AI46"/>
    <mergeCell ref="AC47:AI47"/>
    <mergeCell ref="AC48:AI48"/>
    <mergeCell ref="AC49:AI49"/>
    <mergeCell ref="AC50:AI50"/>
    <mergeCell ref="AC51:AI51"/>
    <mergeCell ref="AC52:AI52"/>
    <mergeCell ref="AC53:AI53"/>
    <mergeCell ref="AC54:AI54"/>
    <mergeCell ref="AC56:AD5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7" activeCellId="0" sqref="H7"/>
    </sheetView>
  </sheetViews>
  <sheetFormatPr defaultColWidth="8.84765625" defaultRowHeight="15.75" customHeight="false" zeroHeight="false" outlineLevelRow="0" outlineLevelCol="0"/>
  <cols>
    <col collapsed="false" customWidth="false" hidden="false" outlineLevel="0" max="1" min="1" style="553" width="8.85"/>
    <col collapsed="false" customWidth="true" hidden="false" outlineLevel="0" max="2" min="2" style="553" width="11.13"/>
    <col collapsed="false" customWidth="true" hidden="false" outlineLevel="0" max="3" min="3" style="553" width="12.28"/>
    <col collapsed="false" customWidth="true" hidden="false" outlineLevel="0" max="4" min="4" style="553" width="13.28"/>
    <col collapsed="false" customWidth="true" hidden="false" outlineLevel="0" max="5" min="5" style="553" width="14.28"/>
    <col collapsed="false" customWidth="true" hidden="false" outlineLevel="0" max="6" min="6" style="554" width="12.42"/>
    <col collapsed="false" customWidth="true" hidden="false" outlineLevel="0" max="7" min="7" style="553" width="11.7"/>
    <col collapsed="false" customWidth="true" hidden="false" outlineLevel="0" max="8" min="8" style="553" width="13.28"/>
    <col collapsed="false" customWidth="true" hidden="false" outlineLevel="0" max="9" min="9" style="553" width="12.7"/>
    <col collapsed="false" customWidth="true" hidden="false" outlineLevel="0" max="10" min="10" style="553" width="11.13"/>
    <col collapsed="false" customWidth="true" hidden="false" outlineLevel="0" max="11" min="11" style="553" width="13.85"/>
    <col collapsed="false" customWidth="true" hidden="false" outlineLevel="0" max="12" min="12" style="553" width="14.28"/>
    <col collapsed="false" customWidth="true" hidden="false" outlineLevel="0" max="13" min="13" style="553" width="13.85"/>
    <col collapsed="false" customWidth="true" hidden="false" outlineLevel="0" max="14" min="14" style="553" width="11.99"/>
    <col collapsed="false" customWidth="true" hidden="false" outlineLevel="0" max="15" min="15" style="553" width="14.14"/>
    <col collapsed="false" customWidth="true" hidden="false" outlineLevel="0" max="16" min="16" style="553" width="11.7"/>
    <col collapsed="false" customWidth="true" hidden="false" outlineLevel="0" max="17" min="17" style="553" width="8.56"/>
    <col collapsed="false" customWidth="false" hidden="false" outlineLevel="0" max="257" min="18" style="553" width="8.85"/>
  </cols>
  <sheetData>
    <row r="1" customFormat="false" ht="16.5" hidden="false" customHeight="false" outlineLevel="0" collapsed="false"/>
    <row r="2" customFormat="false" ht="16.5" hidden="false" customHeight="false" outlineLevel="0" collapsed="false">
      <c r="B2" s="555"/>
      <c r="C2" s="556"/>
      <c r="D2" s="556"/>
      <c r="E2" s="556"/>
      <c r="F2" s="557"/>
      <c r="G2" s="556"/>
      <c r="H2" s="556"/>
      <c r="I2" s="558"/>
    </row>
    <row r="3" customFormat="false" ht="15.75" hidden="false" customHeight="false" outlineLevel="0" collapsed="false">
      <c r="B3" s="559"/>
      <c r="C3" s="560" t="s">
        <v>331</v>
      </c>
      <c r="D3" s="561"/>
      <c r="E3" s="561"/>
      <c r="G3" s="561"/>
      <c r="H3" s="561"/>
      <c r="I3" s="562"/>
    </row>
    <row r="4" customFormat="false" ht="15.75" hidden="false" customHeight="false" outlineLevel="0" collapsed="false">
      <c r="B4" s="559"/>
      <c r="C4" s="560"/>
      <c r="D4" s="561"/>
      <c r="E4" s="561"/>
      <c r="G4" s="561"/>
      <c r="H4" s="561"/>
      <c r="I4" s="562"/>
    </row>
    <row r="5" customFormat="false" ht="16.5" hidden="false" customHeight="false" outlineLevel="0" collapsed="false">
      <c r="B5" s="559"/>
      <c r="C5" s="560" t="s">
        <v>332</v>
      </c>
      <c r="D5" s="561"/>
      <c r="E5" s="561"/>
      <c r="G5" s="561"/>
      <c r="H5" s="561"/>
      <c r="I5" s="562"/>
    </row>
    <row r="6" customFormat="false" ht="20.25" hidden="false" customHeight="false" outlineLevel="0" collapsed="false">
      <c r="B6" s="559"/>
      <c r="C6" s="563"/>
      <c r="D6" s="564" t="s">
        <v>333</v>
      </c>
      <c r="E6" s="565" t="s">
        <v>334</v>
      </c>
      <c r="F6" s="566" t="s">
        <v>335</v>
      </c>
      <c r="G6" s="567" t="s">
        <v>336</v>
      </c>
      <c r="H6" s="567" t="s">
        <v>337</v>
      </c>
      <c r="I6" s="562"/>
    </row>
    <row r="7" customFormat="false" ht="16.5" hidden="false" customHeight="false" outlineLevel="0" collapsed="false">
      <c r="B7" s="559"/>
      <c r="C7" s="568" t="s">
        <v>338</v>
      </c>
      <c r="D7" s="569" t="n">
        <f aca="false">'Results-Detail'!U26</f>
        <v>98941756.5088639</v>
      </c>
      <c r="E7" s="570" t="n">
        <f aca="false">'Results-Detail'!T26</f>
        <v>101951096.508864</v>
      </c>
      <c r="F7" s="571" t="n">
        <f aca="false">'Results-Detail'!S26</f>
        <v>3009340</v>
      </c>
      <c r="G7" s="572" t="n">
        <f aca="false">E7/F7</f>
        <v>33.8782246302724</v>
      </c>
      <c r="H7" s="573" t="n">
        <f aca="false">IRR('Results-Detail'!R5:R25)</f>
        <v>0.484942292407073</v>
      </c>
      <c r="I7" s="562"/>
    </row>
    <row r="8" customFormat="false" ht="15.75" hidden="false" customHeight="false" outlineLevel="0" collapsed="false">
      <c r="B8" s="559"/>
      <c r="C8" s="574" t="s">
        <v>339</v>
      </c>
      <c r="D8" s="575" t="n">
        <f aca="false">'Results-Detail'!T52</f>
        <v>51292988.8377028</v>
      </c>
      <c r="E8" s="576" t="n">
        <f aca="false">'Results-Detail'!S52</f>
        <v>54302290.0991693</v>
      </c>
      <c r="F8" s="577" t="n">
        <f aca="false">'Results-Detail'!R52</f>
        <v>3009340</v>
      </c>
      <c r="G8" s="578" t="n">
        <f aca="false">E8/F8</f>
        <v>18.0445845597936</v>
      </c>
      <c r="H8" s="578"/>
      <c r="I8" s="562"/>
    </row>
    <row r="9" customFormat="false" ht="15.75" hidden="false" customHeight="false" outlineLevel="0" collapsed="false">
      <c r="B9" s="559"/>
      <c r="C9" s="574" t="s">
        <v>340</v>
      </c>
      <c r="D9" s="575" t="n">
        <f aca="false">'Results-Detail'!T78</f>
        <v>47222874.2192258</v>
      </c>
      <c r="E9" s="576" t="n">
        <f aca="false">'Results-Detail'!S78</f>
        <v>47222874.2192258</v>
      </c>
      <c r="F9" s="577" t="n">
        <f aca="false">'Results-Detail'!R78</f>
        <v>0</v>
      </c>
      <c r="G9" s="578"/>
      <c r="H9" s="578"/>
      <c r="I9" s="562"/>
    </row>
    <row r="10" customFormat="false" ht="16.5" hidden="false" customHeight="false" outlineLevel="0" collapsed="false">
      <c r="B10" s="559"/>
      <c r="C10" s="579" t="s">
        <v>341</v>
      </c>
      <c r="D10" s="580" t="n">
        <f aca="false">'Results-Detail'!T104</f>
        <v>66863.4164899738</v>
      </c>
      <c r="E10" s="581" t="n">
        <f aca="false">'Results-Detail'!S104</f>
        <v>66863.4164899738</v>
      </c>
      <c r="F10" s="582" t="n">
        <f aca="false">'Results-Detail'!R104</f>
        <v>0</v>
      </c>
      <c r="G10" s="583"/>
      <c r="H10" s="583"/>
      <c r="I10" s="562"/>
    </row>
    <row r="11" customFormat="false" ht="17.25" hidden="false" customHeight="false" outlineLevel="0" collapsed="false">
      <c r="B11" s="559"/>
      <c r="C11" s="584" t="s">
        <v>342</v>
      </c>
      <c r="D11" s="561"/>
      <c r="E11" s="585"/>
      <c r="G11" s="586"/>
      <c r="H11" s="561"/>
      <c r="I11" s="562"/>
    </row>
    <row r="12" customFormat="false" ht="16.5" hidden="false" customHeight="false" outlineLevel="0" collapsed="false">
      <c r="B12" s="559"/>
      <c r="C12" s="584" t="s">
        <v>343</v>
      </c>
      <c r="D12" s="561"/>
      <c r="E12" s="585"/>
      <c r="G12" s="586"/>
      <c r="H12" s="561"/>
      <c r="I12" s="562"/>
    </row>
    <row r="13" customFormat="false" ht="16.5" hidden="false" customHeight="false" outlineLevel="0" collapsed="false">
      <c r="B13" s="559"/>
      <c r="C13" s="584" t="s">
        <v>344</v>
      </c>
      <c r="D13" s="561"/>
      <c r="E13" s="585"/>
      <c r="G13" s="586"/>
      <c r="H13" s="561"/>
      <c r="I13" s="562"/>
    </row>
    <row r="14" customFormat="false" ht="16.5" hidden="false" customHeight="false" outlineLevel="0" collapsed="false">
      <c r="B14" s="559"/>
      <c r="C14" s="584" t="s">
        <v>345</v>
      </c>
      <c r="D14" s="561"/>
      <c r="E14" s="585"/>
      <c r="G14" s="586"/>
      <c r="H14" s="561"/>
      <c r="I14" s="562"/>
    </row>
    <row r="15" customFormat="false" ht="16.5" hidden="false" customHeight="false" outlineLevel="0" collapsed="false">
      <c r="B15" s="559"/>
      <c r="C15" s="584" t="s">
        <v>346</v>
      </c>
      <c r="D15" s="561"/>
      <c r="E15" s="585"/>
      <c r="G15" s="586"/>
      <c r="H15" s="561"/>
      <c r="I15" s="562"/>
    </row>
    <row r="16" customFormat="false" ht="15.75" hidden="false" customHeight="false" outlineLevel="0" collapsed="false">
      <c r="B16" s="559"/>
      <c r="C16" s="561"/>
      <c r="D16" s="561"/>
      <c r="E16" s="561"/>
      <c r="G16" s="560"/>
      <c r="H16" s="561"/>
      <c r="I16" s="562"/>
      <c r="J16" s="587"/>
    </row>
    <row r="17" customFormat="false" ht="15.75" hidden="false" customHeight="false" outlineLevel="0" collapsed="false">
      <c r="B17" s="559"/>
      <c r="C17" s="561"/>
      <c r="D17" s="561"/>
      <c r="E17" s="561"/>
      <c r="F17" s="561"/>
      <c r="G17" s="561"/>
      <c r="H17" s="561"/>
      <c r="I17" s="562"/>
    </row>
    <row r="18" customFormat="false" ht="15.75" hidden="false" customHeight="false" outlineLevel="0" collapsed="false">
      <c r="B18" s="588"/>
      <c r="C18" s="560" t="s">
        <v>347</v>
      </c>
      <c r="D18" s="561"/>
      <c r="E18" s="561"/>
      <c r="G18" s="561"/>
      <c r="H18" s="561"/>
      <c r="I18" s="562"/>
    </row>
    <row r="19" customFormat="false" ht="16.5" hidden="false" customHeight="false" outlineLevel="0" collapsed="false">
      <c r="B19" s="589"/>
      <c r="C19" s="560"/>
      <c r="D19" s="561"/>
      <c r="E19" s="561"/>
      <c r="G19" s="561"/>
      <c r="H19" s="561"/>
      <c r="I19" s="562"/>
    </row>
    <row r="20" customFormat="false" ht="20.25" hidden="false" customHeight="false" outlineLevel="0" collapsed="false">
      <c r="B20" s="589"/>
      <c r="C20" s="563"/>
      <c r="D20" s="564" t="s">
        <v>333</v>
      </c>
      <c r="E20" s="565" t="s">
        <v>334</v>
      </c>
      <c r="F20" s="566" t="s">
        <v>335</v>
      </c>
      <c r="G20" s="567" t="s">
        <v>336</v>
      </c>
      <c r="H20" s="567" t="s">
        <v>337</v>
      </c>
      <c r="I20" s="562"/>
    </row>
    <row r="21" customFormat="false" ht="16.5" hidden="false" customHeight="false" outlineLevel="0" collapsed="false">
      <c r="B21" s="589"/>
      <c r="C21" s="568" t="s">
        <v>338</v>
      </c>
      <c r="D21" s="569" t="n">
        <f aca="false">SUM('Results-Detail'!U5:U15)</f>
        <v>22177410.7538567</v>
      </c>
      <c r="E21" s="570" t="n">
        <f aca="false">SUM('Results-Detail'!T5:T15)</f>
        <v>25186750.7538567</v>
      </c>
      <c r="F21" s="571" t="n">
        <f aca="false">SUM('Results-Detail'!S5:S15)</f>
        <v>3009340</v>
      </c>
      <c r="G21" s="572" t="n">
        <f aca="false">E21/F21</f>
        <v>8.36952645891015</v>
      </c>
      <c r="H21" s="573" t="n">
        <f aca="false">IRR('Results-Detail'!R5:R15)</f>
        <v>0.448254333129051</v>
      </c>
      <c r="I21" s="562"/>
    </row>
    <row r="22" customFormat="false" ht="15.75" hidden="false" customHeight="false" outlineLevel="0" collapsed="false">
      <c r="B22" s="589"/>
      <c r="C22" s="574" t="s">
        <v>339</v>
      </c>
      <c r="D22" s="575" t="n">
        <f aca="false">SUM('Results-Detail'!T31:T41)</f>
        <v>9915213.24508474</v>
      </c>
      <c r="E22" s="576" t="n">
        <f aca="false">SUM('Results-Detail'!S31:S41)</f>
        <v>12924514.5065513</v>
      </c>
      <c r="F22" s="577" t="n">
        <f aca="false">SUM('Results-Detail'!R31:R41)</f>
        <v>3009340</v>
      </c>
      <c r="G22" s="578" t="n">
        <f aca="false">E22/F22</f>
        <v>4.29480035707207</v>
      </c>
      <c r="H22" s="578"/>
      <c r="I22" s="562"/>
    </row>
    <row r="23" customFormat="false" ht="15.75" hidden="false" customHeight="false" outlineLevel="0" collapsed="false">
      <c r="B23" s="589"/>
      <c r="C23" s="574" t="s">
        <v>340</v>
      </c>
      <c r="D23" s="575" t="n">
        <f aca="false">SUM('Results-Detail'!T57:T67)</f>
        <v>11882136.7216224</v>
      </c>
      <c r="E23" s="576" t="n">
        <f aca="false">SUM('Results-Detail'!S57:S67)</f>
        <v>11882136.7216224</v>
      </c>
      <c r="F23" s="577" t="n">
        <f aca="false">SUM('Results-Detail'!R57:R67)</f>
        <v>0</v>
      </c>
      <c r="G23" s="578"/>
      <c r="H23" s="578"/>
      <c r="I23" s="562"/>
    </row>
    <row r="24" customFormat="false" ht="16.5" hidden="false" customHeight="false" outlineLevel="0" collapsed="false">
      <c r="B24" s="589"/>
      <c r="C24" s="579" t="s">
        <v>341</v>
      </c>
      <c r="D24" s="580" t="n">
        <f aca="false">SUM('Results-Detail'!T83:T93)</f>
        <v>21030.751704319</v>
      </c>
      <c r="E24" s="581" t="n">
        <f aca="false">SUM('Results-Detail'!S83:S93)</f>
        <v>21030.751704319</v>
      </c>
      <c r="F24" s="582" t="n">
        <f aca="false">SUM('Results-Detail'!R83:R93)</f>
        <v>0</v>
      </c>
      <c r="G24" s="583"/>
      <c r="H24" s="583"/>
      <c r="I24" s="562"/>
    </row>
    <row r="25" customFormat="false" ht="17.25" hidden="false" customHeight="false" outlineLevel="0" collapsed="false">
      <c r="B25" s="590"/>
      <c r="C25" s="591"/>
      <c r="D25" s="591"/>
      <c r="E25" s="591"/>
      <c r="F25" s="591"/>
      <c r="G25" s="591"/>
      <c r="H25" s="591"/>
      <c r="I25" s="592"/>
    </row>
    <row r="26" customFormat="false" ht="19.5" hidden="false" customHeight="false" outlineLevel="0" collapsed="false">
      <c r="B26" s="593"/>
      <c r="C26" s="561"/>
      <c r="D26" s="561"/>
      <c r="E26" s="585"/>
      <c r="G26" s="586"/>
      <c r="H26" s="561"/>
    </row>
    <row r="27" customFormat="false" ht="18.75" hidden="false" customHeight="false" outlineLevel="0" collapsed="false">
      <c r="B27" s="593"/>
      <c r="C27" s="561"/>
      <c r="D27" s="561"/>
      <c r="E27" s="585"/>
      <c r="G27" s="586"/>
      <c r="H27" s="561"/>
    </row>
    <row r="28" customFormat="false" ht="18.75" hidden="false" customHeight="false" outlineLevel="0" collapsed="false">
      <c r="B28" s="593"/>
      <c r="C28" s="561"/>
      <c r="D28" s="561"/>
      <c r="E28" s="585"/>
      <c r="G28" s="586"/>
      <c r="H28" s="561"/>
    </row>
    <row r="29" customFormat="false" ht="18.75" hidden="false" customHeight="false" outlineLevel="0" collapsed="false">
      <c r="B29" s="594"/>
      <c r="C29" s="561"/>
      <c r="D29" s="561"/>
      <c r="E29" s="585"/>
      <c r="G29" s="586"/>
      <c r="H29" s="561"/>
    </row>
    <row r="30" customFormat="false" ht="18.75" hidden="false" customHeight="false" outlineLevel="0" collapsed="false">
      <c r="B30" s="593"/>
      <c r="C30" s="561"/>
      <c r="D30" s="561"/>
      <c r="E30" s="585"/>
      <c r="G30" s="586"/>
      <c r="H30" s="561"/>
    </row>
    <row r="31" customFormat="false" ht="15.75" hidden="false" customHeight="false" outlineLevel="0" collapsed="false">
      <c r="B31" s="593"/>
      <c r="F31" s="553"/>
    </row>
    <row r="32" customFormat="false" ht="15.75" hidden="false" customHeight="false" outlineLevel="0" collapsed="false">
      <c r="B32" s="593"/>
      <c r="F32" s="553"/>
    </row>
    <row r="33" customFormat="false" ht="15.75" hidden="false" customHeight="false" outlineLevel="0" collapsed="false">
      <c r="B33" s="593"/>
      <c r="F33" s="553"/>
    </row>
    <row r="34" customFormat="false" ht="15.75" hidden="false" customHeight="false" outlineLevel="0" collapsed="false">
      <c r="B34" s="593"/>
      <c r="F34" s="553"/>
    </row>
    <row r="35" customFormat="false" ht="15.75" hidden="false" customHeight="false" outlineLevel="0" collapsed="false">
      <c r="B35" s="593"/>
      <c r="F35" s="553"/>
    </row>
    <row r="36" customFormat="false" ht="15.75" hidden="false" customHeight="false" outlineLevel="0" collapsed="false">
      <c r="B36" s="593"/>
      <c r="F36" s="553"/>
    </row>
    <row r="37" customFormat="false" ht="15.75" hidden="false" customHeight="false" outlineLevel="0" collapsed="false">
      <c r="B37" s="593"/>
      <c r="F37" s="553"/>
    </row>
    <row r="38" customFormat="false" ht="15.75" hidden="false" customHeight="false" outlineLevel="0" collapsed="false">
      <c r="B38" s="593"/>
      <c r="F38" s="553"/>
    </row>
    <row r="39" customFormat="false" ht="15.75" hidden="false" customHeight="false" outlineLevel="0" collapsed="false">
      <c r="B39" s="593"/>
      <c r="F39" s="553"/>
    </row>
    <row r="40" customFormat="false" ht="15.75" hidden="false" customHeight="false" outlineLevel="0" collapsed="false">
      <c r="F40" s="553"/>
    </row>
    <row r="41" customFormat="false" ht="15.75" hidden="false" customHeight="false" outlineLevel="0" collapsed="false">
      <c r="F41" s="553"/>
    </row>
    <row r="42" customFormat="false" ht="15.75" hidden="false" customHeight="false" outlineLevel="0" collapsed="false">
      <c r="F42" s="553"/>
    </row>
    <row r="43" customFormat="false" ht="15.75" hidden="false" customHeight="false" outlineLevel="0" collapsed="false">
      <c r="F43" s="553"/>
    </row>
    <row r="44" customFormat="false" ht="15.75" hidden="false" customHeight="false" outlineLevel="0" collapsed="false">
      <c r="F44" s="55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G15" activeCellId="0" sqref="G1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1.99"/>
    <col collapsed="false" customWidth="true" hidden="false" outlineLevel="0" max="3" min="3" style="0" width="15.41"/>
    <col collapsed="false" customWidth="true" hidden="false" outlineLevel="0" max="6" min="6" style="0" width="13.85"/>
    <col collapsed="false" customWidth="true" hidden="false" outlineLevel="0" max="7" min="7" style="0" width="14.41"/>
    <col collapsed="false" customWidth="true" hidden="false" outlineLevel="0" max="8" min="8" style="0" width="11.85"/>
    <col collapsed="false" customWidth="true" hidden="false" outlineLevel="0" max="9" min="9" style="0" width="14.14"/>
    <col collapsed="false" customWidth="true" hidden="false" outlineLevel="0" max="10" min="10" style="0" width="12.99"/>
    <col collapsed="false" customWidth="true" hidden="false" outlineLevel="0" max="11" min="11" style="0" width="14.41"/>
    <col collapsed="false" customWidth="true" hidden="false" outlineLevel="0" max="12" min="12" style="0" width="11.99"/>
    <col collapsed="false" customWidth="true" hidden="false" outlineLevel="0" max="13" min="13" style="0" width="11.28"/>
    <col collapsed="false" customWidth="true" hidden="false" outlineLevel="0" max="14" min="14" style="0" width="11.7"/>
    <col collapsed="false" customWidth="true" hidden="false" outlineLevel="0" max="15" min="15" style="0" width="11.13"/>
    <col collapsed="false" customWidth="true" hidden="false" outlineLevel="0" max="16" min="16" style="0" width="12.28"/>
    <col collapsed="false" customWidth="true" hidden="false" outlineLevel="0" max="18" min="17" style="0" width="11.7"/>
    <col collapsed="false" customWidth="true" hidden="false" outlineLevel="0" max="19" min="19" style="0" width="11.85"/>
    <col collapsed="false" customWidth="true" hidden="false" outlineLevel="0" max="20" min="20" style="0" width="11.7"/>
    <col collapsed="false" customWidth="true" hidden="false" outlineLevel="0" max="21" min="21" style="0" width="12.28"/>
  </cols>
  <sheetData>
    <row r="1" customFormat="false" ht="12.75" hidden="false" customHeight="false" outlineLevel="0" collapsed="false">
      <c r="C1" s="0" t="s">
        <v>202</v>
      </c>
    </row>
    <row r="2" customFormat="false" ht="12.75" hidden="false" customHeight="false" outlineLevel="0" collapsed="false">
      <c r="A2" s="7" t="s">
        <v>348</v>
      </c>
      <c r="E2" s="7" t="s">
        <v>349</v>
      </c>
      <c r="Q2" s="7" t="s">
        <v>350</v>
      </c>
    </row>
    <row r="3" customFormat="false" ht="13.5" hidden="false" customHeight="false" outlineLevel="0" collapsed="false">
      <c r="A3" s="0" t="s">
        <v>351</v>
      </c>
      <c r="C3" s="595" t="n">
        <f aca="false">'Input-Detail'!BV31</f>
        <v>0.03</v>
      </c>
      <c r="G3" s="596"/>
      <c r="O3" s="596"/>
    </row>
    <row r="4" customFormat="false" ht="42" hidden="false" customHeight="false" outlineLevel="0" collapsed="false">
      <c r="A4" s="597" t="s">
        <v>4</v>
      </c>
      <c r="B4" s="598" t="s">
        <v>352</v>
      </c>
      <c r="C4" s="599" t="s">
        <v>353</v>
      </c>
      <c r="D4" s="2"/>
      <c r="E4" s="597" t="s">
        <v>4</v>
      </c>
      <c r="F4" s="600" t="s">
        <v>354</v>
      </c>
      <c r="G4" s="601" t="s">
        <v>355</v>
      </c>
      <c r="H4" s="601" t="s">
        <v>356</v>
      </c>
      <c r="I4" s="598" t="s">
        <v>357</v>
      </c>
      <c r="J4" s="601" t="s">
        <v>358</v>
      </c>
      <c r="K4" s="601" t="s">
        <v>359</v>
      </c>
      <c r="L4" s="601" t="s">
        <v>360</v>
      </c>
      <c r="M4" s="601" t="s">
        <v>361</v>
      </c>
      <c r="N4" s="598" t="s">
        <v>362</v>
      </c>
      <c r="O4" s="599" t="s">
        <v>363</v>
      </c>
      <c r="P4" s="2"/>
      <c r="Q4" s="597" t="s">
        <v>4</v>
      </c>
      <c r="R4" s="602" t="s">
        <v>364</v>
      </c>
      <c r="S4" s="598" t="s">
        <v>365</v>
      </c>
      <c r="T4" s="603" t="s">
        <v>366</v>
      </c>
      <c r="U4" s="599" t="s">
        <v>9</v>
      </c>
    </row>
    <row r="5" customFormat="false" ht="13.5" hidden="false" customHeight="false" outlineLevel="0" collapsed="false">
      <c r="A5" s="604" t="s">
        <v>64</v>
      </c>
      <c r="B5" s="605" t="n">
        <f aca="false">B31+B57+B83</f>
        <v>3009340</v>
      </c>
      <c r="C5" s="606" t="n">
        <f aca="false">B5/(1+Discount_Rate)^0</f>
        <v>3009340</v>
      </c>
      <c r="E5" s="604" t="s">
        <v>64</v>
      </c>
      <c r="F5" s="605" t="n">
        <f aca="false">F57</f>
        <v>0</v>
      </c>
      <c r="G5" s="607" t="n">
        <f aca="false">G57</f>
        <v>0</v>
      </c>
      <c r="H5" s="607" t="n">
        <f aca="false">F83</f>
        <v>0</v>
      </c>
      <c r="I5" s="607" t="n">
        <f aca="false">F31</f>
        <v>-4640</v>
      </c>
      <c r="J5" s="607" t="n">
        <f aca="false">G31</f>
        <v>0</v>
      </c>
      <c r="K5" s="608" t="n">
        <f aca="false">H57</f>
        <v>-0</v>
      </c>
      <c r="L5" s="608"/>
      <c r="M5" s="608"/>
      <c r="N5" s="608" t="n">
        <f aca="false">SUM(F5:M5)</f>
        <v>-4640</v>
      </c>
      <c r="O5" s="606" t="n">
        <f aca="false">N5/(1+Discount_Rate)^0</f>
        <v>-4640</v>
      </c>
      <c r="Q5" s="604" t="s">
        <v>64</v>
      </c>
      <c r="R5" s="609" t="n">
        <f aca="false">N5-B5</f>
        <v>-3013980</v>
      </c>
      <c r="S5" s="605" t="n">
        <f aca="false">C5</f>
        <v>3009340</v>
      </c>
      <c r="T5" s="607" t="n">
        <f aca="false">O5</f>
        <v>-4640</v>
      </c>
      <c r="U5" s="606" t="n">
        <f aca="false">T5-S5</f>
        <v>-3013980</v>
      </c>
    </row>
    <row r="6" customFormat="false" ht="12.75" hidden="false" customHeight="false" outlineLevel="0" collapsed="false">
      <c r="A6" s="604" t="n">
        <v>1</v>
      </c>
      <c r="B6" s="605" t="n">
        <f aca="false">B32+B58+B84</f>
        <v>0</v>
      </c>
      <c r="C6" s="606" t="n">
        <f aca="false">B6/(1+Discount_Rate)^A6</f>
        <v>0</v>
      </c>
      <c r="E6" s="604" t="n">
        <v>1</v>
      </c>
      <c r="F6" s="605" t="n">
        <f aca="false">F58</f>
        <v>8106.05927111252</v>
      </c>
      <c r="G6" s="608" t="n">
        <f aca="false">G58</f>
        <v>192428.750824028</v>
      </c>
      <c r="H6" s="608" t="n">
        <f aca="false">F84</f>
        <v>465.251582552858</v>
      </c>
      <c r="I6" s="608" t="n">
        <f aca="false">F32</f>
        <v>-168318.20806412</v>
      </c>
      <c r="J6" s="608" t="n">
        <f aca="false">G32</f>
        <v>23578.7737582022</v>
      </c>
      <c r="K6" s="608" t="n">
        <f aca="false">H58</f>
        <v>-23578.7737582022</v>
      </c>
      <c r="L6" s="608" t="n">
        <f aca="false">H32</f>
        <v>0</v>
      </c>
      <c r="M6" s="608" t="n">
        <f aca="false">I58</f>
        <v>-0</v>
      </c>
      <c r="N6" s="608" t="n">
        <f aca="false">SUM(F6:M6)</f>
        <v>32681.853613573</v>
      </c>
      <c r="O6" s="606" t="n">
        <f aca="false">N6/(1+Discount_Rate)^E6</f>
        <v>31729.954964634</v>
      </c>
      <c r="Q6" s="604" t="n">
        <v>1</v>
      </c>
      <c r="R6" s="609" t="n">
        <f aca="false">N6-B6</f>
        <v>32681.853613573</v>
      </c>
      <c r="S6" s="605" t="n">
        <f aca="false">C6</f>
        <v>0</v>
      </c>
      <c r="T6" s="608" t="n">
        <f aca="false">O6</f>
        <v>31729.954964634</v>
      </c>
      <c r="U6" s="606" t="n">
        <f aca="false">T6-S6</f>
        <v>31729.954964634</v>
      </c>
    </row>
    <row r="7" customFormat="false" ht="12.75" hidden="false" customHeight="false" outlineLevel="0" collapsed="false">
      <c r="A7" s="604" t="n">
        <v>2</v>
      </c>
      <c r="B7" s="605" t="n">
        <f aca="false">B33+B59+B85</f>
        <v>0</v>
      </c>
      <c r="C7" s="606" t="n">
        <f aca="false">B7/(1+Discount_Rate)^A7</f>
        <v>0</v>
      </c>
      <c r="E7" s="604" t="n">
        <v>2</v>
      </c>
      <c r="F7" s="605" t="n">
        <f aca="false">F59</f>
        <v>15895.2948536658</v>
      </c>
      <c r="G7" s="608" t="n">
        <f aca="false">G59</f>
        <v>479124.978371947</v>
      </c>
      <c r="H7" s="608" t="n">
        <f aca="false">F85</f>
        <v>956.528198195939</v>
      </c>
      <c r="I7" s="608" t="n">
        <f aca="false">F33</f>
        <v>334714.541276853</v>
      </c>
      <c r="J7" s="608" t="n">
        <f aca="false">G33</f>
        <v>46235.9759088047</v>
      </c>
      <c r="K7" s="608" t="n">
        <f aca="false">H59</f>
        <v>-46235.9759088047</v>
      </c>
      <c r="L7" s="608" t="n">
        <f aca="false">H33</f>
        <v>0</v>
      </c>
      <c r="M7" s="608" t="n">
        <f aca="false">I59</f>
        <v>-0</v>
      </c>
      <c r="N7" s="608" t="n">
        <f aca="false">SUM(F7:M7)</f>
        <v>830691.342700661</v>
      </c>
      <c r="O7" s="606" t="n">
        <f aca="false">N7/(1+Discount_Rate)^E7</f>
        <v>783006.261382469</v>
      </c>
      <c r="Q7" s="604" t="n">
        <v>2</v>
      </c>
      <c r="R7" s="609" t="n">
        <f aca="false">N7-B7</f>
        <v>830691.342700661</v>
      </c>
      <c r="S7" s="605" t="n">
        <f aca="false">C7</f>
        <v>0</v>
      </c>
      <c r="T7" s="608" t="n">
        <f aca="false">O7</f>
        <v>783006.261382469</v>
      </c>
      <c r="U7" s="606" t="n">
        <f aca="false">T7-S7</f>
        <v>783006.261382469</v>
      </c>
    </row>
    <row r="8" customFormat="false" ht="12.75" hidden="false" customHeight="false" outlineLevel="0" collapsed="false">
      <c r="A8" s="604" t="n">
        <v>3</v>
      </c>
      <c r="B8" s="605" t="n">
        <f aca="false">B34+B60+B86</f>
        <v>0</v>
      </c>
      <c r="C8" s="606" t="n">
        <f aca="false">B8/(1+Discount_Rate)^A8</f>
        <v>0</v>
      </c>
      <c r="E8" s="604" t="n">
        <v>3</v>
      </c>
      <c r="F8" s="605" t="n">
        <f aca="false">F60</f>
        <v>23522.9014901368</v>
      </c>
      <c r="G8" s="608" t="n">
        <f aca="false">G60</f>
        <v>675114.307520312</v>
      </c>
      <c r="H8" s="608" t="n">
        <f aca="false">F86</f>
        <v>1389.345463228</v>
      </c>
      <c r="I8" s="608" t="n">
        <f aca="false">F34</f>
        <v>660454.371162441</v>
      </c>
      <c r="J8" s="608" t="n">
        <f aca="false">G34</f>
        <v>68423.0344020532</v>
      </c>
      <c r="K8" s="608" t="n">
        <f aca="false">H60</f>
        <v>-68423.0344020532</v>
      </c>
      <c r="L8" s="608" t="n">
        <f aca="false">H34</f>
        <v>0</v>
      </c>
      <c r="M8" s="608" t="n">
        <f aca="false">I60</f>
        <v>-0</v>
      </c>
      <c r="N8" s="608" t="n">
        <f aca="false">SUM(F8:M8)</f>
        <v>1360480.92563612</v>
      </c>
      <c r="O8" s="606" t="n">
        <f aca="false">N8/(1+Discount_Rate)^E8</f>
        <v>1245032.77180496</v>
      </c>
      <c r="Q8" s="604" t="n">
        <v>3</v>
      </c>
      <c r="R8" s="609" t="n">
        <f aca="false">N8-B8</f>
        <v>1360480.92563612</v>
      </c>
      <c r="S8" s="605" t="n">
        <f aca="false">C8</f>
        <v>0</v>
      </c>
      <c r="T8" s="608" t="n">
        <f aca="false">O8</f>
        <v>1245032.77180496</v>
      </c>
      <c r="U8" s="606" t="n">
        <f aca="false">T8-S8</f>
        <v>1245032.77180496</v>
      </c>
    </row>
    <row r="9" customFormat="false" ht="12.75" hidden="false" customHeight="false" outlineLevel="0" collapsed="false">
      <c r="A9" s="604" t="n">
        <v>4</v>
      </c>
      <c r="B9" s="605" t="n">
        <f aca="false">B35+B61+B87</f>
        <v>0</v>
      </c>
      <c r="C9" s="606" t="n">
        <f aca="false">B9/(1+Discount_Rate)^A9</f>
        <v>0</v>
      </c>
      <c r="E9" s="604" t="n">
        <v>4</v>
      </c>
      <c r="F9" s="605" t="n">
        <f aca="false">F61</f>
        <v>31035.5997981783</v>
      </c>
      <c r="G9" s="608" t="n">
        <f aca="false">G61</f>
        <v>1010683.99870714</v>
      </c>
      <c r="H9" s="608" t="n">
        <f aca="false">F87</f>
        <v>1876.01593542123</v>
      </c>
      <c r="I9" s="608" t="n">
        <f aca="false">F35</f>
        <v>967635.466304972</v>
      </c>
      <c r="J9" s="608" t="n">
        <f aca="false">G35</f>
        <v>90275.8494129444</v>
      </c>
      <c r="K9" s="608" t="n">
        <f aca="false">H61</f>
        <v>-90275.8494129444</v>
      </c>
      <c r="L9" s="608" t="n">
        <f aca="false">H35</f>
        <v>0</v>
      </c>
      <c r="M9" s="608" t="n">
        <f aca="false">I61</f>
        <v>-0</v>
      </c>
      <c r="N9" s="608" t="n">
        <f aca="false">SUM(F9:M9)</f>
        <v>2011231.08074571</v>
      </c>
      <c r="O9" s="606" t="n">
        <f aca="false">N9/(1+Discount_Rate)^E9</f>
        <v>1786952.76560804</v>
      </c>
      <c r="Q9" s="604" t="n">
        <v>4</v>
      </c>
      <c r="R9" s="609" t="n">
        <f aca="false">N9-B9</f>
        <v>2011231.08074571</v>
      </c>
      <c r="S9" s="605" t="n">
        <f aca="false">C9</f>
        <v>0</v>
      </c>
      <c r="T9" s="608" t="n">
        <f aca="false">O9</f>
        <v>1786952.76560804</v>
      </c>
      <c r="U9" s="606" t="n">
        <f aca="false">T9-S9</f>
        <v>1786952.76560804</v>
      </c>
    </row>
    <row r="10" customFormat="false" ht="12.75" hidden="false" customHeight="false" outlineLevel="0" collapsed="false">
      <c r="A10" s="604" t="n">
        <v>5</v>
      </c>
      <c r="B10" s="605" t="n">
        <f aca="false">B36+B62+B88</f>
        <v>0</v>
      </c>
      <c r="C10" s="606" t="n">
        <f aca="false">B10/(1+Discount_Rate)^A10</f>
        <v>0</v>
      </c>
      <c r="E10" s="604" t="n">
        <v>5</v>
      </c>
      <c r="F10" s="605" t="n">
        <f aca="false">F62</f>
        <v>38518.7155705172</v>
      </c>
      <c r="G10" s="608" t="n">
        <f aca="false">G62</f>
        <v>1328507.33140046</v>
      </c>
      <c r="H10" s="608" t="n">
        <f aca="false">F88</f>
        <v>2344.6733921549</v>
      </c>
      <c r="I10" s="608" t="n">
        <f aca="false">F36</f>
        <v>1286521.02287304</v>
      </c>
      <c r="J10" s="608" t="n">
        <f aca="false">G36</f>
        <v>112042.6152237</v>
      </c>
      <c r="K10" s="608" t="n">
        <f aca="false">H62</f>
        <v>-112042.6152237</v>
      </c>
      <c r="L10" s="608" t="n">
        <f aca="false">H36</f>
        <v>0</v>
      </c>
      <c r="M10" s="608" t="n">
        <f aca="false">I62</f>
        <v>-0</v>
      </c>
      <c r="N10" s="608" t="n">
        <f aca="false">SUM(F10:M10)</f>
        <v>2655891.74323617</v>
      </c>
      <c r="O10" s="606" t="n">
        <f aca="false">N10/(1+Discount_Rate)^E10</f>
        <v>2290995.54808889</v>
      </c>
      <c r="Q10" s="604" t="n">
        <v>5</v>
      </c>
      <c r="R10" s="609" t="n">
        <f aca="false">N10-B10</f>
        <v>2655891.74323617</v>
      </c>
      <c r="S10" s="605" t="n">
        <f aca="false">C10</f>
        <v>0</v>
      </c>
      <c r="T10" s="608" t="n">
        <f aca="false">O10</f>
        <v>2290995.54808889</v>
      </c>
      <c r="U10" s="606" t="n">
        <f aca="false">T10-S10</f>
        <v>2290995.54808889</v>
      </c>
    </row>
    <row r="11" customFormat="false" ht="12.75" hidden="false" customHeight="false" outlineLevel="0" collapsed="false">
      <c r="A11" s="604" t="n">
        <v>6</v>
      </c>
      <c r="B11" s="605" t="n">
        <f aca="false">B37+B63+B89</f>
        <v>0</v>
      </c>
      <c r="C11" s="606" t="n">
        <f aca="false">B11/(1+Discount_Rate)^A11</f>
        <v>0</v>
      </c>
      <c r="E11" s="604" t="n">
        <v>6</v>
      </c>
      <c r="F11" s="605" t="n">
        <f aca="false">F63</f>
        <v>46072.2065539805</v>
      </c>
      <c r="G11" s="608" t="n">
        <f aca="false">G63</f>
        <v>1599356.9968167</v>
      </c>
      <c r="H11" s="608" t="n">
        <f aca="false">F89</f>
        <v>2788.2496879025</v>
      </c>
      <c r="I11" s="608" t="n">
        <f aca="false">F37</f>
        <v>1664435.00050451</v>
      </c>
      <c r="J11" s="608" t="n">
        <f aca="false">G37</f>
        <v>134014.087307355</v>
      </c>
      <c r="K11" s="608" t="n">
        <f aca="false">H63</f>
        <v>-134014.087307355</v>
      </c>
      <c r="L11" s="608" t="n">
        <f aca="false">H37</f>
        <v>0</v>
      </c>
      <c r="M11" s="608" t="n">
        <f aca="false">I63</f>
        <v>-0</v>
      </c>
      <c r="N11" s="608" t="n">
        <f aca="false">SUM(F11:M11)</f>
        <v>3312652.45356309</v>
      </c>
      <c r="O11" s="606" t="n">
        <f aca="false">N11/(1+Discount_Rate)^E11</f>
        <v>2774294.27772357</v>
      </c>
      <c r="Q11" s="604" t="n">
        <v>6</v>
      </c>
      <c r="R11" s="609" t="n">
        <f aca="false">N11-B11</f>
        <v>3312652.45356309</v>
      </c>
      <c r="S11" s="605" t="n">
        <f aca="false">C11</f>
        <v>0</v>
      </c>
      <c r="T11" s="608" t="n">
        <f aca="false">O11</f>
        <v>2774294.27772357</v>
      </c>
      <c r="U11" s="606" t="n">
        <f aca="false">T11-S11</f>
        <v>2774294.27772357</v>
      </c>
    </row>
    <row r="12" customFormat="false" ht="12.75" hidden="false" customHeight="false" outlineLevel="0" collapsed="false">
      <c r="A12" s="604" t="n">
        <v>7</v>
      </c>
      <c r="B12" s="605" t="n">
        <f aca="false">B38+B64+B90</f>
        <v>0</v>
      </c>
      <c r="C12" s="606" t="n">
        <f aca="false">B12/(1+Discount_Rate)^A12</f>
        <v>0</v>
      </c>
      <c r="E12" s="604" t="n">
        <v>7</v>
      </c>
      <c r="F12" s="605" t="n">
        <f aca="false">F64</f>
        <v>53689.1382595799</v>
      </c>
      <c r="G12" s="608" t="n">
        <f aca="false">G64</f>
        <v>1978847.96875989</v>
      </c>
      <c r="H12" s="608" t="n">
        <f aca="false">F90</f>
        <v>3274.15865489517</v>
      </c>
      <c r="I12" s="608" t="n">
        <f aca="false">F38</f>
        <v>2019795.72290576</v>
      </c>
      <c r="J12" s="608" t="n">
        <f aca="false">G38</f>
        <v>156170.094734791</v>
      </c>
      <c r="K12" s="608" t="n">
        <f aca="false">H64</f>
        <v>-156170.094734791</v>
      </c>
      <c r="L12" s="608" t="n">
        <f aca="false">H38</f>
        <v>0</v>
      </c>
      <c r="M12" s="608" t="n">
        <f aca="false">I64</f>
        <v>-0</v>
      </c>
      <c r="N12" s="608" t="n">
        <f aca="false">SUM(F12:M12)</f>
        <v>4055606.98858012</v>
      </c>
      <c r="O12" s="606" t="n">
        <f aca="false">N12/(1+Discount_Rate)^E12</f>
        <v>3297579.61575928</v>
      </c>
      <c r="Q12" s="604" t="n">
        <v>7</v>
      </c>
      <c r="R12" s="609" t="n">
        <f aca="false">N12-B12</f>
        <v>4055606.98858012</v>
      </c>
      <c r="S12" s="605" t="n">
        <f aca="false">C12</f>
        <v>0</v>
      </c>
      <c r="T12" s="608" t="n">
        <f aca="false">O12</f>
        <v>3297579.61575928</v>
      </c>
      <c r="U12" s="606" t="n">
        <f aca="false">T12-S12</f>
        <v>3297579.61575928</v>
      </c>
    </row>
    <row r="13" customFormat="false" ht="12.75" hidden="false" customHeight="false" outlineLevel="0" collapsed="false">
      <c r="A13" s="604" t="n">
        <v>8</v>
      </c>
      <c r="B13" s="605" t="n">
        <f aca="false">B39+B65+B91</f>
        <v>0</v>
      </c>
      <c r="C13" s="606" t="n">
        <f aca="false">B13/(1+Discount_Rate)^A13</f>
        <v>0</v>
      </c>
      <c r="E13" s="604" t="n">
        <v>8</v>
      </c>
      <c r="F13" s="605" t="n">
        <f aca="false">F65</f>
        <v>61398.5516779079</v>
      </c>
      <c r="G13" s="608" t="n">
        <f aca="false">G65</f>
        <v>2355526.12795558</v>
      </c>
      <c r="H13" s="608" t="n">
        <f aca="false">F91</f>
        <v>3754.39007462201</v>
      </c>
      <c r="I13" s="608" t="n">
        <f aca="false">F39</f>
        <v>2397204.07024204</v>
      </c>
      <c r="J13" s="608" t="n">
        <f aca="false">G39</f>
        <v>178595.111468509</v>
      </c>
      <c r="K13" s="608" t="n">
        <f aca="false">H65</f>
        <v>-178595.111468509</v>
      </c>
      <c r="L13" s="608" t="n">
        <f aca="false">H39</f>
        <v>0</v>
      </c>
      <c r="M13" s="608" t="n">
        <f aca="false">I65</f>
        <v>-0</v>
      </c>
      <c r="N13" s="608" t="n">
        <f aca="false">SUM(F13:M13)</f>
        <v>4817883.13995014</v>
      </c>
      <c r="O13" s="606" t="n">
        <f aca="false">N13/(1+Discount_Rate)^E13</f>
        <v>3803281.44052206</v>
      </c>
      <c r="Q13" s="604" t="n">
        <v>8</v>
      </c>
      <c r="R13" s="609" t="n">
        <f aca="false">N13-B13</f>
        <v>4817883.13995014</v>
      </c>
      <c r="S13" s="605" t="n">
        <f aca="false">C13</f>
        <v>0</v>
      </c>
      <c r="T13" s="608" t="n">
        <f aca="false">O13</f>
        <v>3803281.44052206</v>
      </c>
      <c r="U13" s="606" t="n">
        <f aca="false">T13-S13</f>
        <v>3803281.44052206</v>
      </c>
    </row>
    <row r="14" customFormat="false" ht="12.75" hidden="false" customHeight="false" outlineLevel="0" collapsed="false">
      <c r="A14" s="604" t="n">
        <v>9</v>
      </c>
      <c r="B14" s="605" t="n">
        <f aca="false">B40+B66+B92</f>
        <v>0</v>
      </c>
      <c r="C14" s="606" t="n">
        <f aca="false">B14/(1+Discount_Rate)^A14</f>
        <v>0</v>
      </c>
      <c r="E14" s="604" t="n">
        <v>9</v>
      </c>
      <c r="F14" s="605" t="n">
        <f aca="false">F66</f>
        <v>69237.9467624875</v>
      </c>
      <c r="G14" s="608" t="n">
        <f aca="false">G66</f>
        <v>2720286.09541755</v>
      </c>
      <c r="H14" s="608" t="n">
        <f aca="false">F92</f>
        <v>4227.52087626666</v>
      </c>
      <c r="I14" s="608" t="n">
        <f aca="false">F40</f>
        <v>2848886.72749726</v>
      </c>
      <c r="J14" s="608" t="n">
        <f aca="false">G40</f>
        <v>201398.216765208</v>
      </c>
      <c r="K14" s="608" t="n">
        <f aca="false">H66</f>
        <v>-201398.216765208</v>
      </c>
      <c r="L14" s="608" t="n">
        <f aca="false">H40</f>
        <v>0</v>
      </c>
      <c r="M14" s="608" t="n">
        <f aca="false">I66</f>
        <v>-0</v>
      </c>
      <c r="N14" s="608" t="n">
        <f aca="false">SUM(F14:M14)</f>
        <v>5642638.29055357</v>
      </c>
      <c r="O14" s="606" t="n">
        <f aca="false">N14/(1+Discount_Rate)^E14</f>
        <v>4324612.4004431</v>
      </c>
      <c r="Q14" s="604" t="n">
        <v>9</v>
      </c>
      <c r="R14" s="609" t="n">
        <f aca="false">N14-B14</f>
        <v>5642638.29055357</v>
      </c>
      <c r="S14" s="605" t="n">
        <f aca="false">C14</f>
        <v>0</v>
      </c>
      <c r="T14" s="608" t="n">
        <f aca="false">O14</f>
        <v>4324612.4004431</v>
      </c>
      <c r="U14" s="606" t="n">
        <f aca="false">T14-S14</f>
        <v>4324612.4004431</v>
      </c>
    </row>
    <row r="15" customFormat="false" ht="12.75" hidden="false" customHeight="false" outlineLevel="0" collapsed="false">
      <c r="A15" s="604" t="n">
        <v>10</v>
      </c>
      <c r="B15" s="605" t="n">
        <f aca="false">B41+B67+B93</f>
        <v>0</v>
      </c>
      <c r="C15" s="606" t="n">
        <f aca="false">B15/(1+Discount_Rate)^A15</f>
        <v>0</v>
      </c>
      <c r="E15" s="604" t="n">
        <v>10</v>
      </c>
      <c r="F15" s="605" t="n">
        <f aca="false">F67</f>
        <v>77147.7379163296</v>
      </c>
      <c r="G15" s="608" t="n">
        <f aca="false">G67</f>
        <v>3158553.84445174</v>
      </c>
      <c r="H15" s="608" t="n">
        <f aca="false">F93</f>
        <v>4724.58262029179</v>
      </c>
      <c r="I15" s="608" t="n">
        <f aca="false">F41</f>
        <v>3282817.23263215</v>
      </c>
      <c r="J15" s="608" t="n">
        <f aca="false">G41</f>
        <v>224406.089006621</v>
      </c>
      <c r="K15" s="608" t="n">
        <f aca="false">H67</f>
        <v>-224406.089006621</v>
      </c>
      <c r="L15" s="608" t="n">
        <f aca="false">H41</f>
        <v>0</v>
      </c>
      <c r="M15" s="608" t="n">
        <f aca="false">I67</f>
        <v>-0</v>
      </c>
      <c r="N15" s="608" t="n">
        <f aca="false">SUM(F15:M15)</f>
        <v>6523243.39762052</v>
      </c>
      <c r="O15" s="606" t="n">
        <f aca="false">N15/(1+Discount_Rate)^E15</f>
        <v>4853905.71755966</v>
      </c>
      <c r="Q15" s="604" t="n">
        <v>10</v>
      </c>
      <c r="R15" s="609" t="n">
        <f aca="false">N15-B15</f>
        <v>6523243.39762052</v>
      </c>
      <c r="S15" s="605" t="n">
        <f aca="false">C15</f>
        <v>0</v>
      </c>
      <c r="T15" s="608" t="n">
        <f aca="false">O15</f>
        <v>4853905.71755966</v>
      </c>
      <c r="U15" s="606" t="n">
        <f aca="false">T15-S15</f>
        <v>4853905.71755966</v>
      </c>
    </row>
    <row r="16" customFormat="false" ht="12.75" hidden="false" customHeight="false" outlineLevel="0" collapsed="false">
      <c r="A16" s="604" t="n">
        <v>11</v>
      </c>
      <c r="B16" s="605" t="n">
        <f aca="false">B42+B68+B94</f>
        <v>0</v>
      </c>
      <c r="C16" s="606" t="n">
        <f aca="false">B16/(1+Discount_Rate)^A16</f>
        <v>0</v>
      </c>
      <c r="E16" s="604" t="n">
        <v>11</v>
      </c>
      <c r="F16" s="605" t="n">
        <f aca="false">F68</f>
        <v>85103.5814452838</v>
      </c>
      <c r="G16" s="608" t="n">
        <f aca="false">G68</f>
        <v>3602491.36929427</v>
      </c>
      <c r="H16" s="608" t="n">
        <f aca="false">F94</f>
        <v>5216.92916803877</v>
      </c>
      <c r="I16" s="608" t="n">
        <f aca="false">F42</f>
        <v>3738536.33141078</v>
      </c>
      <c r="J16" s="608" t="n">
        <f aca="false">G42</f>
        <v>247547.917649964</v>
      </c>
      <c r="K16" s="608" t="n">
        <f aca="false">H68</f>
        <v>-247547.917649964</v>
      </c>
      <c r="L16" s="608" t="n">
        <f aca="false">H42</f>
        <v>0</v>
      </c>
      <c r="M16" s="608" t="n">
        <f aca="false">I68</f>
        <v>-0</v>
      </c>
      <c r="N16" s="608" t="n">
        <f aca="false">SUM(F16:M16)</f>
        <v>7431348.21131837</v>
      </c>
      <c r="O16" s="606" t="n">
        <f aca="false">N16/(1+Discount_Rate)^E16</f>
        <v>5368564.06167055</v>
      </c>
      <c r="Q16" s="604" t="n">
        <v>11</v>
      </c>
      <c r="R16" s="609" t="n">
        <f aca="false">N16-B16</f>
        <v>7431348.21131837</v>
      </c>
      <c r="S16" s="605" t="n">
        <f aca="false">C16</f>
        <v>0</v>
      </c>
      <c r="T16" s="608" t="n">
        <f aca="false">O16</f>
        <v>5368564.06167055</v>
      </c>
      <c r="U16" s="606" t="n">
        <f aca="false">T16-S16</f>
        <v>5368564.06167055</v>
      </c>
    </row>
    <row r="17" customFormat="false" ht="12.75" hidden="false" customHeight="false" outlineLevel="0" collapsed="false">
      <c r="A17" s="604" t="n">
        <v>12</v>
      </c>
      <c r="B17" s="605" t="n">
        <f aca="false">B43+B69+B95</f>
        <v>0</v>
      </c>
      <c r="C17" s="606" t="n">
        <f aca="false">B17/(1+Discount_Rate)^A17</f>
        <v>0</v>
      </c>
      <c r="E17" s="604" t="n">
        <v>12</v>
      </c>
      <c r="F17" s="605" t="n">
        <f aca="false">F69</f>
        <v>93088.6929410854</v>
      </c>
      <c r="G17" s="608" t="n">
        <f aca="false">G69</f>
        <v>4059788.17818401</v>
      </c>
      <c r="H17" s="608" t="n">
        <f aca="false">F95</f>
        <v>5706.81177843084</v>
      </c>
      <c r="I17" s="608" t="n">
        <f aca="false">F43</f>
        <v>4275165.95317654</v>
      </c>
      <c r="J17" s="608" t="n">
        <f aca="false">G43</f>
        <v>270774.880480657</v>
      </c>
      <c r="K17" s="608" t="n">
        <f aca="false">H69</f>
        <v>-270774.880480657</v>
      </c>
      <c r="L17" s="608" t="n">
        <f aca="false">H43</f>
        <v>0</v>
      </c>
      <c r="M17" s="608" t="n">
        <f aca="false">I69</f>
        <v>-0</v>
      </c>
      <c r="N17" s="608" t="n">
        <f aca="false">SUM(F17:M17)</f>
        <v>8433749.63608007</v>
      </c>
      <c r="O17" s="606" t="n">
        <f aca="false">N17/(1+Discount_Rate)^E17</f>
        <v>5915262.30933137</v>
      </c>
      <c r="Q17" s="604" t="n">
        <v>12</v>
      </c>
      <c r="R17" s="609" t="n">
        <f aca="false">N17-B17</f>
        <v>8433749.63608007</v>
      </c>
      <c r="S17" s="605" t="n">
        <f aca="false">C17</f>
        <v>0</v>
      </c>
      <c r="T17" s="608" t="n">
        <f aca="false">O17</f>
        <v>5915262.30933137</v>
      </c>
      <c r="U17" s="606" t="n">
        <f aca="false">T17-S17</f>
        <v>5915262.30933137</v>
      </c>
    </row>
    <row r="18" customFormat="false" ht="12.75" hidden="false" customHeight="false" outlineLevel="0" collapsed="false">
      <c r="A18" s="604" t="n">
        <v>13</v>
      </c>
      <c r="B18" s="605" t="n">
        <f aca="false">B44+B70+B96</f>
        <v>0</v>
      </c>
      <c r="C18" s="606" t="n">
        <f aca="false">B18/(1+Discount_Rate)^A18</f>
        <v>0</v>
      </c>
      <c r="E18" s="604" t="n">
        <v>13</v>
      </c>
      <c r="F18" s="605" t="n">
        <f aca="false">F70</f>
        <v>101015.061908286</v>
      </c>
      <c r="G18" s="608" t="n">
        <f aca="false">G70</f>
        <v>4556327.13145414</v>
      </c>
      <c r="H18" s="608" t="n">
        <f aca="false">F96</f>
        <v>6199.3365548336</v>
      </c>
      <c r="I18" s="608" t="n">
        <f aca="false">F44</f>
        <v>4786334.35139387</v>
      </c>
      <c r="J18" s="608" t="n">
        <f aca="false">G44</f>
        <v>293830.973996737</v>
      </c>
      <c r="K18" s="608" t="n">
        <f aca="false">H70</f>
        <v>-293830.973996737</v>
      </c>
      <c r="L18" s="608" t="n">
        <f aca="false">H44</f>
        <v>0</v>
      </c>
      <c r="M18" s="608" t="n">
        <f aca="false">I70</f>
        <v>-0</v>
      </c>
      <c r="N18" s="608" t="n">
        <f aca="false">SUM(F18:M18)</f>
        <v>9449875.88131113</v>
      </c>
      <c r="O18" s="606" t="n">
        <f aca="false">N18/(1+Discount_Rate)^E18</f>
        <v>6434905.64414802</v>
      </c>
      <c r="Q18" s="604" t="n">
        <v>13</v>
      </c>
      <c r="R18" s="609" t="n">
        <f aca="false">N18-B18</f>
        <v>9449875.88131113</v>
      </c>
      <c r="S18" s="605" t="n">
        <f aca="false">C18</f>
        <v>0</v>
      </c>
      <c r="T18" s="608" t="n">
        <f aca="false">O18</f>
        <v>6434905.64414802</v>
      </c>
      <c r="U18" s="606" t="n">
        <f aca="false">T18-S18</f>
        <v>6434905.64414802</v>
      </c>
    </row>
    <row r="19" customFormat="false" ht="12.75" hidden="false" customHeight="false" outlineLevel="0" collapsed="false">
      <c r="A19" s="604" t="n">
        <v>14</v>
      </c>
      <c r="B19" s="605" t="n">
        <f aca="false">B45+B71+B97</f>
        <v>0</v>
      </c>
      <c r="C19" s="606" t="n">
        <f aca="false">B19/(1+Discount_Rate)^A19</f>
        <v>0</v>
      </c>
      <c r="E19" s="604" t="n">
        <v>14</v>
      </c>
      <c r="F19" s="605" t="n">
        <f aca="false">F71</f>
        <v>108856.371662944</v>
      </c>
      <c r="G19" s="608" t="n">
        <f aca="false">G71</f>
        <v>5051678.81181697</v>
      </c>
      <c r="H19" s="608" t="n">
        <f aca="false">F97</f>
        <v>6678.6298888431</v>
      </c>
      <c r="I19" s="608" t="n">
        <f aca="false">F45</f>
        <v>5378987.36336239</v>
      </c>
      <c r="J19" s="608" t="n">
        <f aca="false">G45</f>
        <v>316639.648654713</v>
      </c>
      <c r="K19" s="608" t="n">
        <f aca="false">H71</f>
        <v>-316639.648654713</v>
      </c>
      <c r="L19" s="608" t="n">
        <f aca="false">H45</f>
        <v>0</v>
      </c>
      <c r="M19" s="608" t="n">
        <f aca="false">I71</f>
        <v>-0</v>
      </c>
      <c r="N19" s="608" t="n">
        <f aca="false">SUM(F19:M19)</f>
        <v>10546201.1767311</v>
      </c>
      <c r="O19" s="606" t="n">
        <f aca="false">N19/(1+Discount_Rate)^E19</f>
        <v>6972281.38168223</v>
      </c>
      <c r="Q19" s="604" t="n">
        <v>14</v>
      </c>
      <c r="R19" s="609" t="n">
        <f aca="false">N19-B19</f>
        <v>10546201.1767311</v>
      </c>
      <c r="S19" s="605" t="n">
        <f aca="false">C19</f>
        <v>0</v>
      </c>
      <c r="T19" s="608" t="n">
        <f aca="false">O19</f>
        <v>6972281.38168223</v>
      </c>
      <c r="U19" s="606" t="n">
        <f aca="false">T19-S19</f>
        <v>6972281.38168223</v>
      </c>
    </row>
    <row r="20" customFormat="false" ht="12.75" hidden="false" customHeight="false" outlineLevel="0" collapsed="false">
      <c r="A20" s="604" t="n">
        <v>15</v>
      </c>
      <c r="B20" s="605" t="n">
        <f aca="false">B46+B72+B98</f>
        <v>0</v>
      </c>
      <c r="C20" s="606" t="n">
        <f aca="false">B20/(1+Discount_Rate)^A20</f>
        <v>0</v>
      </c>
      <c r="E20" s="604" t="n">
        <v>15</v>
      </c>
      <c r="F20" s="605" t="n">
        <f aca="false">F72</f>
        <v>116521.741481407</v>
      </c>
      <c r="G20" s="608" t="n">
        <f aca="false">G72</f>
        <v>5591090.42164101</v>
      </c>
      <c r="H20" s="608" t="n">
        <f aca="false">F98</f>
        <v>7156.0632357157</v>
      </c>
      <c r="I20" s="608" t="n">
        <f aca="false">F46</f>
        <v>5939055.92146143</v>
      </c>
      <c r="J20" s="608" t="n">
        <f aca="false">G46</f>
        <v>338936.552079362</v>
      </c>
      <c r="K20" s="608" t="n">
        <f aca="false">H72</f>
        <v>-338936.552079362</v>
      </c>
      <c r="L20" s="608" t="n">
        <f aca="false">H46</f>
        <v>0</v>
      </c>
      <c r="M20" s="608" t="n">
        <f aca="false">I72</f>
        <v>-0</v>
      </c>
      <c r="N20" s="608" t="n">
        <f aca="false">SUM(F20:M20)</f>
        <v>11653824.1478196</v>
      </c>
      <c r="O20" s="606" t="n">
        <f aca="false">N20/(1+Discount_Rate)^E20</f>
        <v>7480146.26213836</v>
      </c>
      <c r="Q20" s="604" t="n">
        <v>15</v>
      </c>
      <c r="R20" s="609" t="n">
        <f aca="false">N20-B20</f>
        <v>11653824.1478196</v>
      </c>
      <c r="S20" s="605" t="n">
        <f aca="false">C20</f>
        <v>0</v>
      </c>
      <c r="T20" s="608" t="n">
        <f aca="false">O20</f>
        <v>7480146.26213836</v>
      </c>
      <c r="U20" s="606" t="n">
        <f aca="false">T20-S20</f>
        <v>7480146.26213836</v>
      </c>
    </row>
    <row r="21" customFormat="false" ht="12.75" hidden="false" customHeight="false" outlineLevel="0" collapsed="false">
      <c r="A21" s="604" t="n">
        <v>16</v>
      </c>
      <c r="B21" s="605" t="n">
        <f aca="false">B47+B73+B99</f>
        <v>0</v>
      </c>
      <c r="C21" s="606" t="n">
        <f aca="false">B21/(1+Discount_Rate)^A21</f>
        <v>0</v>
      </c>
      <c r="E21" s="604" t="n">
        <v>16</v>
      </c>
      <c r="F21" s="605" t="n">
        <f aca="false">F73</f>
        <v>123974.045672357</v>
      </c>
      <c r="G21" s="608" t="n">
        <f aca="false">G73</f>
        <v>6135460.63763221</v>
      </c>
      <c r="H21" s="608" t="n">
        <f aca="false">F99</f>
        <v>7616.42816160168</v>
      </c>
      <c r="I21" s="608" t="n">
        <f aca="false">F47</f>
        <v>6518228.80512673</v>
      </c>
      <c r="J21" s="608" t="n">
        <f aca="false">G47</f>
        <v>360613.693661823</v>
      </c>
      <c r="K21" s="608" t="n">
        <f aca="false">H73</f>
        <v>-360613.693661823</v>
      </c>
      <c r="L21" s="608" t="n">
        <f aca="false">H47</f>
        <v>0</v>
      </c>
      <c r="M21" s="608" t="n">
        <f aca="false">I73</f>
        <v>-0</v>
      </c>
      <c r="N21" s="608" t="n">
        <f aca="false">SUM(F21:M21)</f>
        <v>12785279.9165929</v>
      </c>
      <c r="O21" s="606" t="n">
        <f aca="false">N21/(1+Discount_Rate)^E21</f>
        <v>7967363.75269559</v>
      </c>
      <c r="Q21" s="604" t="n">
        <v>16</v>
      </c>
      <c r="R21" s="609" t="n">
        <f aca="false">N21-B21</f>
        <v>12785279.9165929</v>
      </c>
      <c r="S21" s="605" t="n">
        <f aca="false">C21</f>
        <v>0</v>
      </c>
      <c r="T21" s="608" t="n">
        <f aca="false">O21</f>
        <v>7967363.75269559</v>
      </c>
      <c r="U21" s="606" t="n">
        <f aca="false">T21-S21</f>
        <v>7967363.75269559</v>
      </c>
    </row>
    <row r="22" customFormat="false" ht="12.75" hidden="false" customHeight="false" outlineLevel="0" collapsed="false">
      <c r="A22" s="604" t="n">
        <v>17</v>
      </c>
      <c r="B22" s="605" t="n">
        <f aca="false">B48+B74+B100</f>
        <v>0</v>
      </c>
      <c r="C22" s="606" t="n">
        <f aca="false">B22/(1+Discount_Rate)^A22</f>
        <v>0</v>
      </c>
      <c r="E22" s="604" t="n">
        <v>17</v>
      </c>
      <c r="F22" s="605" t="n">
        <f aca="false">F74</f>
        <v>131197.35797183</v>
      </c>
      <c r="G22" s="608" t="n">
        <f aca="false">G74</f>
        <v>6689830.39624906</v>
      </c>
      <c r="H22" s="608" t="n">
        <f aca="false">F100</f>
        <v>8060.85605933056</v>
      </c>
      <c r="I22" s="608" t="n">
        <f aca="false">F48</f>
        <v>7177912.64313004</v>
      </c>
      <c r="J22" s="608" t="n">
        <f aca="false">G48</f>
        <v>381624.747343734</v>
      </c>
      <c r="K22" s="608" t="n">
        <f aca="false">H74</f>
        <v>-381624.747343734</v>
      </c>
      <c r="L22" s="608" t="n">
        <f aca="false">H48</f>
        <v>0</v>
      </c>
      <c r="M22" s="608" t="n">
        <f aca="false">I74</f>
        <v>-0</v>
      </c>
      <c r="N22" s="608" t="n">
        <f aca="false">SUM(F22:M22)</f>
        <v>14007001.2534103</v>
      </c>
      <c r="O22" s="606" t="n">
        <f aca="false">N22/(1+Discount_Rate)^E22</f>
        <v>8474466.11528153</v>
      </c>
      <c r="Q22" s="604" t="n">
        <v>17</v>
      </c>
      <c r="R22" s="609" t="n">
        <f aca="false">N22-B22</f>
        <v>14007001.2534103</v>
      </c>
      <c r="S22" s="605" t="n">
        <f aca="false">C22</f>
        <v>0</v>
      </c>
      <c r="T22" s="608" t="n">
        <f aca="false">O22</f>
        <v>8474466.11528153</v>
      </c>
      <c r="U22" s="606" t="n">
        <f aca="false">T22-S22</f>
        <v>8474466.11528153</v>
      </c>
    </row>
    <row r="23" customFormat="false" ht="12.75" hidden="false" customHeight="false" outlineLevel="0" collapsed="false">
      <c r="A23" s="604" t="n">
        <v>18</v>
      </c>
      <c r="B23" s="605" t="n">
        <f aca="false">B49+B75+B101</f>
        <v>0</v>
      </c>
      <c r="C23" s="606" t="n">
        <f aca="false">B23/(1+Discount_Rate)^A23</f>
        <v>0</v>
      </c>
      <c r="E23" s="604" t="n">
        <v>18</v>
      </c>
      <c r="F23" s="605" t="n">
        <f aca="false">F75</f>
        <v>138136.661388502</v>
      </c>
      <c r="G23" s="608" t="n">
        <f aca="false">G75</f>
        <v>7265982.20080162</v>
      </c>
      <c r="H23" s="608" t="n">
        <f aca="false">F101</f>
        <v>8490.56218085276</v>
      </c>
      <c r="I23" s="608" t="n">
        <f aca="false">F49</f>
        <v>7792940.26894446</v>
      </c>
      <c r="J23" s="608" t="n">
        <f aca="false">G49</f>
        <v>401809.680592906</v>
      </c>
      <c r="K23" s="608" t="n">
        <f aca="false">H75</f>
        <v>-401809.680592906</v>
      </c>
      <c r="L23" s="608" t="n">
        <f aca="false">H49</f>
        <v>0</v>
      </c>
      <c r="M23" s="608" t="n">
        <f aca="false">I75</f>
        <v>-0</v>
      </c>
      <c r="N23" s="608" t="n">
        <f aca="false">SUM(F23:M23)</f>
        <v>15205549.6933154</v>
      </c>
      <c r="O23" s="606" t="n">
        <f aca="false">N23/(1+Discount_Rate)^E23</f>
        <v>8931657.8956949</v>
      </c>
      <c r="Q23" s="604" t="n">
        <v>18</v>
      </c>
      <c r="R23" s="609" t="n">
        <f aca="false">N23-B23</f>
        <v>15205549.6933154</v>
      </c>
      <c r="S23" s="605" t="n">
        <f aca="false">C23</f>
        <v>0</v>
      </c>
      <c r="T23" s="608" t="n">
        <f aca="false">O23</f>
        <v>8931657.8956949</v>
      </c>
      <c r="U23" s="606" t="n">
        <f aca="false">T23-S23</f>
        <v>8931657.8956949</v>
      </c>
    </row>
    <row r="24" customFormat="false" ht="12.75" hidden="false" customHeight="false" outlineLevel="0" collapsed="false">
      <c r="A24" s="604" t="n">
        <v>19</v>
      </c>
      <c r="B24" s="605" t="n">
        <f aca="false">B50+B76+B102</f>
        <v>0</v>
      </c>
      <c r="C24" s="606" t="n">
        <f aca="false">B24/(1+Discount_Rate)^A24</f>
        <v>0</v>
      </c>
      <c r="E24" s="604" t="n">
        <v>19</v>
      </c>
      <c r="F24" s="605" t="n">
        <f aca="false">F76</f>
        <v>144807.817384914</v>
      </c>
      <c r="G24" s="608" t="n">
        <f aca="false">G76</f>
        <v>7838669.49556554</v>
      </c>
      <c r="H24" s="608" t="n">
        <f aca="false">F102</f>
        <v>8898.61709851114</v>
      </c>
      <c r="I24" s="608" t="n">
        <f aca="false">F50</f>
        <v>8488516.27960975</v>
      </c>
      <c r="J24" s="608" t="n">
        <f aca="false">G50</f>
        <v>421214.63097436</v>
      </c>
      <c r="K24" s="608" t="n">
        <f aca="false">H76</f>
        <v>-421214.63097436</v>
      </c>
      <c r="L24" s="608" t="n">
        <f aca="false">H50</f>
        <v>0</v>
      </c>
      <c r="M24" s="608" t="n">
        <f aca="false">I76</f>
        <v>-0</v>
      </c>
      <c r="N24" s="608" t="n">
        <f aca="false">SUM(F24:M24)</f>
        <v>16480892.2096587</v>
      </c>
      <c r="O24" s="606" t="n">
        <f aca="false">N24/(1+Discount_Rate)^E24</f>
        <v>9398822.53656186</v>
      </c>
      <c r="Q24" s="604" t="n">
        <v>19</v>
      </c>
      <c r="R24" s="609" t="n">
        <f aca="false">N24-B24</f>
        <v>16480892.2096587</v>
      </c>
      <c r="S24" s="605" t="n">
        <f aca="false">C24</f>
        <v>0</v>
      </c>
      <c r="T24" s="608" t="n">
        <f aca="false">O24</f>
        <v>9398822.53656186</v>
      </c>
      <c r="U24" s="606" t="n">
        <f aca="false">T24-S24</f>
        <v>9398822.53656186</v>
      </c>
    </row>
    <row r="25" customFormat="false" ht="13.5" hidden="false" customHeight="false" outlineLevel="0" collapsed="false">
      <c r="A25" s="610" t="n">
        <v>20</v>
      </c>
      <c r="B25" s="611" t="n">
        <f aca="false">B51+B77+B103</f>
        <v>0</v>
      </c>
      <c r="C25" s="612" t="n">
        <f aca="false">B25/(1+Discount_Rate)^A25</f>
        <v>0</v>
      </c>
      <c r="E25" s="610" t="n">
        <v>20</v>
      </c>
      <c r="F25" s="611" t="n">
        <f aca="false">F77</f>
        <v>151170.545710589</v>
      </c>
      <c r="G25" s="613" t="n">
        <f aca="false">G77</f>
        <v>8443878.80558891</v>
      </c>
      <c r="H25" s="613" t="n">
        <f aca="false">F103</f>
        <v>9294.0040464763</v>
      </c>
      <c r="I25" s="613" t="n">
        <f aca="false">F51</f>
        <v>9133250.75374637</v>
      </c>
      <c r="J25" s="613" t="n">
        <f aca="false">G51</f>
        <v>439722.431948706</v>
      </c>
      <c r="K25" s="613" t="n">
        <f aca="false">H77</f>
        <v>-439722.431948706</v>
      </c>
      <c r="L25" s="613" t="n">
        <f aca="false">H51</f>
        <v>0</v>
      </c>
      <c r="M25" s="613" t="n">
        <f aca="false">I77</f>
        <v>-0</v>
      </c>
      <c r="N25" s="613" t="n">
        <f aca="false">SUM(F25:M25)</f>
        <v>17737594.1090923</v>
      </c>
      <c r="O25" s="612" t="n">
        <f aca="false">N25/(1+Discount_Rate)^E25</f>
        <v>9820875.79580279</v>
      </c>
      <c r="Q25" s="610" t="n">
        <v>20</v>
      </c>
      <c r="R25" s="614" t="n">
        <f aca="false">N25-B25</f>
        <v>17737594.1090923</v>
      </c>
      <c r="S25" s="611" t="n">
        <f aca="false">C25</f>
        <v>0</v>
      </c>
      <c r="T25" s="613" t="n">
        <f aca="false">O25</f>
        <v>9820875.79580279</v>
      </c>
      <c r="U25" s="612" t="n">
        <f aca="false">T25-S25</f>
        <v>9820875.79580279</v>
      </c>
    </row>
    <row r="26" customFormat="false" ht="14.25" hidden="false" customHeight="false" outlineLevel="0" collapsed="false">
      <c r="Q26" s="615" t="s">
        <v>60</v>
      </c>
      <c r="R26" s="616"/>
      <c r="S26" s="617" t="n">
        <f aca="false">SUM(S5:S25)</f>
        <v>3009340</v>
      </c>
      <c r="T26" s="617" t="n">
        <f aca="false">SUM(T5:T25)</f>
        <v>101951096.508864</v>
      </c>
      <c r="U26" s="618" t="n">
        <f aca="false">SUM(U5:U25)</f>
        <v>98941756.5088639</v>
      </c>
    </row>
    <row r="27" customFormat="false" ht="13.5" hidden="false" customHeight="false" outlineLevel="0" collapsed="false">
      <c r="R27" s="619"/>
    </row>
    <row r="28" customFormat="false" ht="12.75" hidden="false" customHeight="false" outlineLevel="0" collapsed="false">
      <c r="A28" s="7" t="s">
        <v>367</v>
      </c>
      <c r="E28" s="7" t="s">
        <v>368</v>
      </c>
      <c r="Q28" s="7" t="s">
        <v>369</v>
      </c>
    </row>
    <row r="29" customFormat="false" ht="13.5" hidden="false" customHeight="false" outlineLevel="0" collapsed="false">
      <c r="G29" s="596"/>
      <c r="Q29" s="596"/>
    </row>
    <row r="30" customFormat="false" ht="37.5" hidden="false" customHeight="true" outlineLevel="0" collapsed="false">
      <c r="A30" s="597" t="s">
        <v>4</v>
      </c>
      <c r="B30" s="598" t="s">
        <v>190</v>
      </c>
      <c r="C30" s="599" t="s">
        <v>370</v>
      </c>
      <c r="E30" s="597" t="s">
        <v>4</v>
      </c>
      <c r="F30" s="602" t="s">
        <v>371</v>
      </c>
      <c r="G30" s="600" t="s">
        <v>372</v>
      </c>
      <c r="H30" s="601" t="s">
        <v>360</v>
      </c>
      <c r="I30" s="603" t="s">
        <v>362</v>
      </c>
      <c r="J30" s="599" t="s">
        <v>373</v>
      </c>
      <c r="Q30" s="597" t="s">
        <v>4</v>
      </c>
      <c r="R30" s="598" t="s">
        <v>365</v>
      </c>
      <c r="S30" s="603" t="s">
        <v>366</v>
      </c>
      <c r="T30" s="599" t="s">
        <v>9</v>
      </c>
    </row>
    <row r="31" customFormat="false" ht="13.5" hidden="false" customHeight="false" outlineLevel="0" collapsed="false">
      <c r="A31" s="604" t="s">
        <v>64</v>
      </c>
      <c r="B31" s="605" t="n">
        <f aca="false">'Input-Detail'!AN14</f>
        <v>3009340</v>
      </c>
      <c r="C31" s="606" t="n">
        <f aca="false">B31/(1+Discount_Rate)^0</f>
        <v>3009340</v>
      </c>
      <c r="E31" s="604" t="s">
        <v>64</v>
      </c>
      <c r="F31" s="605" t="n">
        <f aca="false">'Agency Costs Reduction'!L6</f>
        <v>-4640</v>
      </c>
      <c r="G31" s="605" t="n">
        <f aca="false">'Interest Gain'!T6</f>
        <v>0</v>
      </c>
      <c r="H31" s="605"/>
      <c r="I31" s="607" t="n">
        <f aca="false">SUM(F31:H31)</f>
        <v>-4640</v>
      </c>
      <c r="J31" s="606" t="n">
        <f aca="false">I31/(1+Discount_Rate)^0</f>
        <v>-4640</v>
      </c>
      <c r="Q31" s="604" t="s">
        <v>64</v>
      </c>
      <c r="R31" s="605" t="n">
        <f aca="false">C31</f>
        <v>3009340</v>
      </c>
      <c r="S31" s="607" t="n">
        <f aca="false">J31</f>
        <v>-4640</v>
      </c>
      <c r="T31" s="606" t="n">
        <f aca="false">S31-R31</f>
        <v>-3013980</v>
      </c>
    </row>
    <row r="32" customFormat="false" ht="12.75" hidden="false" customHeight="false" outlineLevel="0" collapsed="false">
      <c r="A32" s="604" t="n">
        <v>1</v>
      </c>
      <c r="B32" s="605" t="n">
        <f aca="false">'Input-Detail'!AN15</f>
        <v>0</v>
      </c>
      <c r="C32" s="606" t="n">
        <f aca="false">B32/(1+Discount_Rate)^A32</f>
        <v>0</v>
      </c>
      <c r="E32" s="604" t="n">
        <v>1</v>
      </c>
      <c r="F32" s="605" t="n">
        <f aca="false">'Agency Costs Reduction'!L7</f>
        <v>-168318.20806412</v>
      </c>
      <c r="G32" s="605" t="n">
        <f aca="false">'Interest Gain'!T7</f>
        <v>23578.7737582022</v>
      </c>
      <c r="H32" s="605" t="n">
        <f aca="false">Price!I8*Delay!J8*Delay!I8</f>
        <v>0</v>
      </c>
      <c r="I32" s="608" t="n">
        <f aca="false">SUM(F32:H32)</f>
        <v>-144739.434305918</v>
      </c>
      <c r="J32" s="606" t="n">
        <f aca="false">I32/(1+Discount_Rate)^E32</f>
        <v>-140523.722627105</v>
      </c>
      <c r="Q32" s="604" t="n">
        <v>1</v>
      </c>
      <c r="R32" s="605" t="n">
        <f aca="false">C32</f>
        <v>0</v>
      </c>
      <c r="S32" s="608" t="n">
        <f aca="false">J32</f>
        <v>-140523.722627105</v>
      </c>
      <c r="T32" s="606" t="n">
        <f aca="false">S32-R32</f>
        <v>-140523.722627105</v>
      </c>
    </row>
    <row r="33" customFormat="false" ht="12.75" hidden="false" customHeight="false" outlineLevel="0" collapsed="false">
      <c r="A33" s="604" t="n">
        <v>2</v>
      </c>
      <c r="B33" s="605" t="n">
        <f aca="false">'Input-Detail'!AN16</f>
        <v>0</v>
      </c>
      <c r="C33" s="606" t="n">
        <f aca="false">B33/(1+Discount_Rate)^A33</f>
        <v>0</v>
      </c>
      <c r="E33" s="604" t="n">
        <v>2</v>
      </c>
      <c r="F33" s="605" t="n">
        <f aca="false">'Agency Costs Reduction'!L8</f>
        <v>334714.541276853</v>
      </c>
      <c r="G33" s="605" t="n">
        <f aca="false">'Interest Gain'!T8</f>
        <v>46235.9759088047</v>
      </c>
      <c r="H33" s="605" t="n">
        <f aca="false">Price!I9*Delay!J9*Delay!I9</f>
        <v>0</v>
      </c>
      <c r="I33" s="608" t="n">
        <f aca="false">SUM(F33:H33)</f>
        <v>380950.517185657</v>
      </c>
      <c r="J33" s="620" t="n">
        <v>28192.21</v>
      </c>
      <c r="Q33" s="604" t="n">
        <v>2</v>
      </c>
      <c r="R33" s="605" t="n">
        <f aca="false">C33</f>
        <v>0</v>
      </c>
      <c r="S33" s="608" t="n">
        <v>13.6251028844927</v>
      </c>
      <c r="T33" s="606" t="n">
        <v>52.3636363636364</v>
      </c>
      <c r="Y33" s="0" t="n">
        <v>0.76733498210908</v>
      </c>
    </row>
    <row r="34" customFormat="false" ht="12.75" hidden="false" customHeight="false" outlineLevel="0" collapsed="false">
      <c r="A34" s="604" t="n">
        <v>3</v>
      </c>
      <c r="B34" s="605" t="n">
        <f aca="false">'Input-Detail'!AN17</f>
        <v>0</v>
      </c>
      <c r="C34" s="606" t="n">
        <f aca="false">B34/(1+Discount_Rate)^A34</f>
        <v>0</v>
      </c>
      <c r="E34" s="604" t="n">
        <v>3</v>
      </c>
      <c r="F34" s="605" t="n">
        <f aca="false">'Agency Costs Reduction'!L9</f>
        <v>660454.371162441</v>
      </c>
      <c r="G34" s="605" t="n">
        <f aca="false">'Interest Gain'!T9</f>
        <v>68423.0344020532</v>
      </c>
      <c r="H34" s="605" t="n">
        <f aca="false">Price!I10*Delay!J10*Delay!I10</f>
        <v>0</v>
      </c>
      <c r="I34" s="608" t="n">
        <f aca="false">SUM(F34:H34)</f>
        <v>728877.405564494</v>
      </c>
      <c r="J34" s="606" t="n">
        <f aca="false">I34/(1+Discount_Rate)^E34</f>
        <v>667026.078393317</v>
      </c>
      <c r="Q34" s="604" t="n">
        <v>3</v>
      </c>
      <c r="R34" s="605" t="n">
        <f aca="false">C34</f>
        <v>0</v>
      </c>
      <c r="S34" s="608" t="n">
        <f aca="false">J34</f>
        <v>667026.078393317</v>
      </c>
      <c r="T34" s="606" t="n">
        <f aca="false">S34-R34</f>
        <v>667026.078393317</v>
      </c>
    </row>
    <row r="35" customFormat="false" ht="12.75" hidden="false" customHeight="false" outlineLevel="0" collapsed="false">
      <c r="A35" s="604" t="n">
        <v>4</v>
      </c>
      <c r="B35" s="605" t="n">
        <f aca="false">'Input-Detail'!AN18</f>
        <v>0</v>
      </c>
      <c r="C35" s="606" t="n">
        <f aca="false">B35/(1+Discount_Rate)^A35</f>
        <v>0</v>
      </c>
      <c r="E35" s="604" t="n">
        <v>4</v>
      </c>
      <c r="F35" s="605" t="n">
        <f aca="false">'Agency Costs Reduction'!L10</f>
        <v>967635.466304972</v>
      </c>
      <c r="G35" s="605" t="n">
        <f aca="false">'Interest Gain'!T10</f>
        <v>90275.8494129444</v>
      </c>
      <c r="H35" s="605" t="n">
        <f aca="false">Price!I11*Delay!J11*Delay!I11</f>
        <v>0</v>
      </c>
      <c r="I35" s="608" t="n">
        <f aca="false">SUM(F35:H35)</f>
        <v>1057911.31571792</v>
      </c>
      <c r="J35" s="606" t="n">
        <f aca="false">I35/(1+Discount_Rate)^E35</f>
        <v>939940.501858814</v>
      </c>
      <c r="Q35" s="604" t="n">
        <v>4</v>
      </c>
      <c r="R35" s="605" t="n">
        <f aca="false">C35</f>
        <v>0</v>
      </c>
      <c r="S35" s="608" t="n">
        <f aca="false">J35</f>
        <v>939940.501858814</v>
      </c>
      <c r="T35" s="606" t="n">
        <f aca="false">S35-R35</f>
        <v>939940.501858814</v>
      </c>
    </row>
    <row r="36" customFormat="false" ht="12.75" hidden="false" customHeight="false" outlineLevel="0" collapsed="false">
      <c r="A36" s="604" t="n">
        <v>5</v>
      </c>
      <c r="B36" s="605" t="n">
        <f aca="false">'Input-Detail'!AN19</f>
        <v>0</v>
      </c>
      <c r="C36" s="606" t="n">
        <f aca="false">B36/(1+Discount_Rate)^A36</f>
        <v>0</v>
      </c>
      <c r="E36" s="604" t="n">
        <v>5</v>
      </c>
      <c r="F36" s="605" t="n">
        <f aca="false">'Agency Costs Reduction'!L11</f>
        <v>1286521.02287304</v>
      </c>
      <c r="G36" s="605" t="n">
        <f aca="false">'Interest Gain'!T11</f>
        <v>112042.6152237</v>
      </c>
      <c r="H36" s="605" t="n">
        <f aca="false">Price!I12*Delay!J12*Delay!I12</f>
        <v>0</v>
      </c>
      <c r="I36" s="608" t="n">
        <f aca="false">SUM(F36:H36)</f>
        <v>1398563.63809674</v>
      </c>
      <c r="J36" s="606" t="n">
        <f aca="false">I36/(1+Discount_Rate)^E36</f>
        <v>1206413.27974252</v>
      </c>
      <c r="Q36" s="604" t="n">
        <v>5</v>
      </c>
      <c r="R36" s="605" t="n">
        <f aca="false">C36</f>
        <v>0</v>
      </c>
      <c r="S36" s="608" t="n">
        <f aca="false">J36</f>
        <v>1206413.27974252</v>
      </c>
      <c r="T36" s="606" t="n">
        <f aca="false">S36-R36</f>
        <v>1206413.27974252</v>
      </c>
    </row>
    <row r="37" customFormat="false" ht="12.75" hidden="false" customHeight="false" outlineLevel="0" collapsed="false">
      <c r="A37" s="604" t="n">
        <v>6</v>
      </c>
      <c r="B37" s="605" t="n">
        <f aca="false">'Input-Detail'!AN20</f>
        <v>0</v>
      </c>
      <c r="C37" s="606" t="n">
        <f aca="false">B37/(1+Discount_Rate)^A37</f>
        <v>0</v>
      </c>
      <c r="E37" s="604" t="n">
        <v>6</v>
      </c>
      <c r="F37" s="605" t="n">
        <f aca="false">'Agency Costs Reduction'!L12</f>
        <v>1664435.00050451</v>
      </c>
      <c r="G37" s="605" t="n">
        <f aca="false">'Interest Gain'!T12</f>
        <v>134014.087307355</v>
      </c>
      <c r="H37" s="605" t="n">
        <f aca="false">Price!I13*Delay!J13*Delay!I13</f>
        <v>0</v>
      </c>
      <c r="I37" s="608" t="n">
        <f aca="false">SUM(F37:H37)</f>
        <v>1798449.08781186</v>
      </c>
      <c r="J37" s="606" t="n">
        <f aca="false">I37/(1+Discount_Rate)^E37</f>
        <v>1506172.79748951</v>
      </c>
      <c r="Q37" s="604" t="n">
        <v>6</v>
      </c>
      <c r="R37" s="605" t="n">
        <f aca="false">C37</f>
        <v>0</v>
      </c>
      <c r="S37" s="608" t="n">
        <f aca="false">J37</f>
        <v>1506172.79748951</v>
      </c>
      <c r="T37" s="606" t="n">
        <f aca="false">S37-R37</f>
        <v>1506172.79748951</v>
      </c>
    </row>
    <row r="38" customFormat="false" ht="12.75" hidden="false" customHeight="false" outlineLevel="0" collapsed="false">
      <c r="A38" s="604" t="n">
        <v>7</v>
      </c>
      <c r="B38" s="605" t="n">
        <f aca="false">'Input-Detail'!AN21</f>
        <v>0</v>
      </c>
      <c r="C38" s="606" t="n">
        <f aca="false">B38/(1+Discount_Rate)^A38</f>
        <v>0</v>
      </c>
      <c r="E38" s="604" t="n">
        <v>7</v>
      </c>
      <c r="F38" s="605" t="n">
        <f aca="false">'Agency Costs Reduction'!L13</f>
        <v>2019795.72290576</v>
      </c>
      <c r="G38" s="605" t="n">
        <f aca="false">'Interest Gain'!T13</f>
        <v>156170.094734791</v>
      </c>
      <c r="H38" s="605" t="n">
        <f aca="false">Price!I14*Delay!J14*Delay!I14</f>
        <v>0</v>
      </c>
      <c r="I38" s="608" t="n">
        <f aca="false">SUM(F38:H38)</f>
        <v>2175965.81764055</v>
      </c>
      <c r="J38" s="606" t="n">
        <f aca="false">I38/(1+Discount_Rate)^E38</f>
        <v>1769259.33529683</v>
      </c>
      <c r="Q38" s="604" t="n">
        <v>7</v>
      </c>
      <c r="R38" s="605" t="n">
        <f aca="false">C38</f>
        <v>0</v>
      </c>
      <c r="S38" s="608" t="n">
        <f aca="false">J38</f>
        <v>1769259.33529683</v>
      </c>
      <c r="T38" s="606" t="n">
        <f aca="false">S38-R38</f>
        <v>1769259.33529683</v>
      </c>
    </row>
    <row r="39" customFormat="false" ht="12.75" hidden="false" customHeight="false" outlineLevel="0" collapsed="false">
      <c r="A39" s="604" t="n">
        <v>8</v>
      </c>
      <c r="B39" s="605" t="n">
        <f aca="false">'Input-Detail'!AN22</f>
        <v>0</v>
      </c>
      <c r="C39" s="606" t="n">
        <f aca="false">B39/(1+Discount_Rate)^A39</f>
        <v>0</v>
      </c>
      <c r="E39" s="604" t="n">
        <v>8</v>
      </c>
      <c r="F39" s="605" t="n">
        <f aca="false">'Agency Costs Reduction'!L14</f>
        <v>2397204.07024204</v>
      </c>
      <c r="G39" s="605" t="n">
        <f aca="false">'Interest Gain'!T14</f>
        <v>178595.111468509</v>
      </c>
      <c r="H39" s="605" t="n">
        <f aca="false">Price!I15*Delay!J15*Delay!I15</f>
        <v>0</v>
      </c>
      <c r="I39" s="608" t="n">
        <f aca="false">SUM(F39:H39)</f>
        <v>2575799.18171054</v>
      </c>
      <c r="J39" s="606" t="n">
        <f aca="false">I39/(1+Discount_Rate)^E39</f>
        <v>2033359.65978058</v>
      </c>
      <c r="Q39" s="604" t="n">
        <v>8</v>
      </c>
      <c r="R39" s="605" t="n">
        <f aca="false">C39</f>
        <v>0</v>
      </c>
      <c r="S39" s="608" t="n">
        <f aca="false">J39</f>
        <v>2033359.65978058</v>
      </c>
      <c r="T39" s="606" t="n">
        <f aca="false">S39-R39</f>
        <v>2033359.65978058</v>
      </c>
    </row>
    <row r="40" customFormat="false" ht="12.75" hidden="false" customHeight="false" outlineLevel="0" collapsed="false">
      <c r="A40" s="604" t="n">
        <v>9</v>
      </c>
      <c r="B40" s="605" t="n">
        <f aca="false">'Input-Detail'!AN23</f>
        <v>0</v>
      </c>
      <c r="C40" s="606" t="n">
        <f aca="false">B40/(1+Discount_Rate)^A40</f>
        <v>0</v>
      </c>
      <c r="E40" s="604" t="n">
        <v>9</v>
      </c>
      <c r="F40" s="605" t="n">
        <f aca="false">'Agency Costs Reduction'!L15</f>
        <v>2848886.72749726</v>
      </c>
      <c r="G40" s="605" t="n">
        <f aca="false">'Interest Gain'!T15</f>
        <v>201398.216765208</v>
      </c>
      <c r="H40" s="605" t="n">
        <f aca="false">Price!I16*Delay!J16*Delay!I16</f>
        <v>0</v>
      </c>
      <c r="I40" s="608" t="n">
        <f aca="false">SUM(F40:H40)</f>
        <v>3050284.94426247</v>
      </c>
      <c r="J40" s="606" t="n">
        <f aca="false">I40/(1+Discount_Rate)^E40</f>
        <v>2337789.41969861</v>
      </c>
      <c r="Q40" s="604" t="n">
        <v>9</v>
      </c>
      <c r="R40" s="605" t="n">
        <f aca="false">C40</f>
        <v>0</v>
      </c>
      <c r="S40" s="608" t="n">
        <f aca="false">J40</f>
        <v>2337789.41969861</v>
      </c>
      <c r="T40" s="606" t="n">
        <f aca="false">S40-R40</f>
        <v>2337789.41969861</v>
      </c>
    </row>
    <row r="41" customFormat="false" ht="12.75" hidden="false" customHeight="false" outlineLevel="0" collapsed="false">
      <c r="A41" s="604" t="n">
        <v>10</v>
      </c>
      <c r="B41" s="605" t="n">
        <f aca="false">'Input-Detail'!AN24</f>
        <v>0</v>
      </c>
      <c r="C41" s="606" t="n">
        <f aca="false">B41/(1+Discount_Rate)^A41</f>
        <v>0</v>
      </c>
      <c r="E41" s="604" t="n">
        <v>10</v>
      </c>
      <c r="F41" s="605" t="n">
        <f aca="false">'Agency Costs Reduction'!L16</f>
        <v>3282817.23263215</v>
      </c>
      <c r="G41" s="605" t="n">
        <f aca="false">'Interest Gain'!T16</f>
        <v>224406.089006621</v>
      </c>
      <c r="H41" s="605" t="n">
        <f aca="false">Price!I17*Delay!J17*Delay!I17</f>
        <v>0</v>
      </c>
      <c r="I41" s="608" t="n">
        <f aca="false">SUM(F41:H41)</f>
        <v>3507223.32163877</v>
      </c>
      <c r="J41" s="606" t="n">
        <f aca="false">I41/(1+Discount_Rate)^E41</f>
        <v>2609703.53181529</v>
      </c>
      <c r="Q41" s="604" t="n">
        <v>10</v>
      </c>
      <c r="R41" s="605" t="n">
        <f aca="false">C41</f>
        <v>0</v>
      </c>
      <c r="S41" s="608" t="n">
        <f aca="false">J41</f>
        <v>2609703.53181529</v>
      </c>
      <c r="T41" s="606" t="n">
        <f aca="false">S41-R41</f>
        <v>2609703.53181529</v>
      </c>
    </row>
    <row r="42" customFormat="false" ht="12.75" hidden="false" customHeight="false" outlineLevel="0" collapsed="false">
      <c r="A42" s="604" t="n">
        <v>11</v>
      </c>
      <c r="B42" s="605" t="n">
        <f aca="false">'Input-Detail'!AN25</f>
        <v>0</v>
      </c>
      <c r="C42" s="606" t="n">
        <f aca="false">B42/(1+Discount_Rate)^A42</f>
        <v>0</v>
      </c>
      <c r="E42" s="604" t="n">
        <v>11</v>
      </c>
      <c r="F42" s="605" t="n">
        <f aca="false">'Agency Costs Reduction'!L17</f>
        <v>3738536.33141078</v>
      </c>
      <c r="G42" s="605" t="n">
        <f aca="false">'Interest Gain'!T17</f>
        <v>247547.917649964</v>
      </c>
      <c r="H42" s="605" t="n">
        <f aca="false">Price!I18*Delay!J18*Delay!I18</f>
        <v>0</v>
      </c>
      <c r="I42" s="608" t="n">
        <f aca="false">SUM(F42:H42)</f>
        <v>3986084.24906075</v>
      </c>
      <c r="J42" s="606" t="n">
        <f aca="false">I42/(1+Discount_Rate)^E42</f>
        <v>2879632.07183668</v>
      </c>
      <c r="Q42" s="604" t="n">
        <v>11</v>
      </c>
      <c r="R42" s="605" t="n">
        <f aca="false">C42</f>
        <v>0</v>
      </c>
      <c r="S42" s="608" t="n">
        <f aca="false">J42</f>
        <v>2879632.07183668</v>
      </c>
      <c r="T42" s="606" t="n">
        <f aca="false">S42-R42</f>
        <v>2879632.07183668</v>
      </c>
    </row>
    <row r="43" customFormat="false" ht="12.75" hidden="false" customHeight="false" outlineLevel="0" collapsed="false">
      <c r="A43" s="604" t="n">
        <v>12</v>
      </c>
      <c r="B43" s="605" t="n">
        <f aca="false">'Input-Detail'!AN26</f>
        <v>0</v>
      </c>
      <c r="C43" s="606" t="n">
        <f aca="false">B43/(1+Discount_Rate)^A43</f>
        <v>0</v>
      </c>
      <c r="E43" s="604" t="n">
        <v>12</v>
      </c>
      <c r="F43" s="605" t="n">
        <f aca="false">'Agency Costs Reduction'!L18</f>
        <v>4275165.95317654</v>
      </c>
      <c r="G43" s="605" t="n">
        <f aca="false">'Interest Gain'!T18</f>
        <v>270774.880480657</v>
      </c>
      <c r="H43" s="605" t="n">
        <f aca="false">Price!I19*Delay!J19*Delay!I19</f>
        <v>0</v>
      </c>
      <c r="I43" s="608" t="n">
        <f aca="false">SUM(F43:H43)</f>
        <v>4545940.8336572</v>
      </c>
      <c r="J43" s="606" t="n">
        <f aca="false">I43/(1+Discount_Rate)^E43</f>
        <v>3188431.43727483</v>
      </c>
      <c r="Q43" s="604" t="n">
        <v>12</v>
      </c>
      <c r="R43" s="605" t="n">
        <f aca="false">C43</f>
        <v>0</v>
      </c>
      <c r="S43" s="608" t="n">
        <f aca="false">J43</f>
        <v>3188431.43727483</v>
      </c>
      <c r="T43" s="606" t="n">
        <f aca="false">S43-R43</f>
        <v>3188431.43727483</v>
      </c>
    </row>
    <row r="44" customFormat="false" ht="12.75" hidden="false" customHeight="false" outlineLevel="0" collapsed="false">
      <c r="A44" s="604" t="n">
        <v>13</v>
      </c>
      <c r="B44" s="605" t="n">
        <f aca="false">'Input-Detail'!AN27</f>
        <v>0</v>
      </c>
      <c r="C44" s="606" t="n">
        <f aca="false">B44/(1+Discount_Rate)^A44</f>
        <v>0</v>
      </c>
      <c r="E44" s="604" t="n">
        <v>13</v>
      </c>
      <c r="F44" s="605" t="n">
        <f aca="false">'Agency Costs Reduction'!L19</f>
        <v>4786334.35139387</v>
      </c>
      <c r="G44" s="605" t="n">
        <f aca="false">'Interest Gain'!T19</f>
        <v>293830.973996737</v>
      </c>
      <c r="H44" s="605" t="n">
        <f aca="false">Price!I20*Delay!J20*Delay!I20</f>
        <v>0</v>
      </c>
      <c r="I44" s="608" t="n">
        <f aca="false">SUM(F44:H44)</f>
        <v>5080165.32539061</v>
      </c>
      <c r="J44" s="606" t="n">
        <f aca="false">I44/(1+Discount_Rate)^E44</f>
        <v>3459345.38571161</v>
      </c>
      <c r="Q44" s="604" t="n">
        <v>13</v>
      </c>
      <c r="R44" s="605" t="n">
        <f aca="false">C44</f>
        <v>0</v>
      </c>
      <c r="S44" s="608" t="n">
        <f aca="false">J44</f>
        <v>3459345.38571161</v>
      </c>
      <c r="T44" s="606" t="n">
        <f aca="false">S44-R44</f>
        <v>3459345.38571161</v>
      </c>
    </row>
    <row r="45" customFormat="false" ht="12.75" hidden="false" customHeight="false" outlineLevel="0" collapsed="false">
      <c r="A45" s="604" t="n">
        <v>14</v>
      </c>
      <c r="B45" s="605" t="n">
        <f aca="false">'Input-Detail'!AN28</f>
        <v>0</v>
      </c>
      <c r="C45" s="606" t="n">
        <f aca="false">B45/(1+Discount_Rate)^A45</f>
        <v>0</v>
      </c>
      <c r="E45" s="604" t="n">
        <v>14</v>
      </c>
      <c r="F45" s="605" t="n">
        <f aca="false">'Agency Costs Reduction'!L20</f>
        <v>5378987.36336239</v>
      </c>
      <c r="G45" s="605" t="n">
        <f aca="false">'Interest Gain'!T20</f>
        <v>316639.648654713</v>
      </c>
      <c r="H45" s="605" t="n">
        <f aca="false">Price!I21*Delay!J21*Delay!I21</f>
        <v>0</v>
      </c>
      <c r="I45" s="608" t="n">
        <f aca="false">SUM(F45:H45)</f>
        <v>5695627.01201711</v>
      </c>
      <c r="J45" s="606" t="n">
        <f aca="false">I45/(1+Discount_Rate)^E45</f>
        <v>3765480.432946</v>
      </c>
      <c r="Q45" s="604" t="n">
        <v>14</v>
      </c>
      <c r="R45" s="605" t="n">
        <f aca="false">C45</f>
        <v>0</v>
      </c>
      <c r="S45" s="608" t="n">
        <f aca="false">J45</f>
        <v>3765480.432946</v>
      </c>
      <c r="T45" s="606" t="n">
        <f aca="false">S45-R45</f>
        <v>3765480.432946</v>
      </c>
    </row>
    <row r="46" customFormat="false" ht="12.75" hidden="false" customHeight="false" outlineLevel="0" collapsed="false">
      <c r="A46" s="604" t="n">
        <v>15</v>
      </c>
      <c r="B46" s="605" t="n">
        <f aca="false">'Input-Detail'!AN29</f>
        <v>0</v>
      </c>
      <c r="C46" s="606" t="n">
        <f aca="false">B46/(1+Discount_Rate)^A46</f>
        <v>0</v>
      </c>
      <c r="E46" s="604" t="n">
        <v>15</v>
      </c>
      <c r="F46" s="605" t="n">
        <f aca="false">'Agency Costs Reduction'!L21</f>
        <v>5939055.92146143</v>
      </c>
      <c r="G46" s="605" t="n">
        <f aca="false">'Interest Gain'!T21</f>
        <v>338936.552079362</v>
      </c>
      <c r="H46" s="605" t="n">
        <f aca="false">Price!I22*Delay!J22*Delay!I22</f>
        <v>0</v>
      </c>
      <c r="I46" s="608" t="n">
        <f aca="false">SUM(F46:H46)</f>
        <v>6277992.47354079</v>
      </c>
      <c r="J46" s="606" t="n">
        <f aca="false">I46/(1+Discount_Rate)^E46</f>
        <v>4029604.47480883</v>
      </c>
      <c r="Q46" s="604" t="n">
        <v>15</v>
      </c>
      <c r="R46" s="605" t="n">
        <f aca="false">C46</f>
        <v>0</v>
      </c>
      <c r="S46" s="608" t="n">
        <f aca="false">J46</f>
        <v>4029604.47480883</v>
      </c>
      <c r="T46" s="606" t="n">
        <f aca="false">S46-R46</f>
        <v>4029604.47480883</v>
      </c>
    </row>
    <row r="47" customFormat="false" ht="12.75" hidden="false" customHeight="false" outlineLevel="0" collapsed="false">
      <c r="A47" s="604" t="n">
        <v>16</v>
      </c>
      <c r="B47" s="605" t="n">
        <f aca="false">'Input-Detail'!AN30</f>
        <v>0</v>
      </c>
      <c r="C47" s="606" t="n">
        <f aca="false">B47/(1+Discount_Rate)^A47</f>
        <v>0</v>
      </c>
      <c r="E47" s="604" t="n">
        <v>16</v>
      </c>
      <c r="F47" s="605" t="n">
        <f aca="false">'Agency Costs Reduction'!L22</f>
        <v>6518228.80512673</v>
      </c>
      <c r="G47" s="605" t="n">
        <f aca="false">'Interest Gain'!T22</f>
        <v>360613.693661823</v>
      </c>
      <c r="H47" s="605" t="n">
        <f aca="false">Price!I23*Delay!J23*Delay!I23</f>
        <v>0</v>
      </c>
      <c r="I47" s="608" t="n">
        <f aca="false">SUM(F47:H47)</f>
        <v>6878842.49878855</v>
      </c>
      <c r="J47" s="606" t="n">
        <f aca="false">I47/(1+Discount_Rate)^E47</f>
        <v>4286667.2253473</v>
      </c>
      <c r="Q47" s="604" t="n">
        <v>16</v>
      </c>
      <c r="R47" s="605" t="n">
        <f aca="false">C47</f>
        <v>0</v>
      </c>
      <c r="S47" s="608" t="n">
        <f aca="false">J47</f>
        <v>4286667.2253473</v>
      </c>
      <c r="T47" s="606" t="n">
        <f aca="false">S47-R47</f>
        <v>4286667.2253473</v>
      </c>
    </row>
    <row r="48" customFormat="false" ht="12.75" hidden="false" customHeight="false" outlineLevel="0" collapsed="false">
      <c r="A48" s="604" t="n">
        <v>17</v>
      </c>
      <c r="B48" s="605" t="n">
        <f aca="false">'Input-Detail'!AN31</f>
        <v>0</v>
      </c>
      <c r="C48" s="606" t="n">
        <f aca="false">B48/(1+Discount_Rate)^A48</f>
        <v>0</v>
      </c>
      <c r="E48" s="604" t="n">
        <v>17</v>
      </c>
      <c r="F48" s="605" t="n">
        <f aca="false">'Agency Costs Reduction'!L23</f>
        <v>7177912.64313004</v>
      </c>
      <c r="G48" s="605" t="n">
        <f aca="false">'Interest Gain'!T23</f>
        <v>381624.747343734</v>
      </c>
      <c r="H48" s="605" t="n">
        <f aca="false">Price!I24*Delay!J24*Delay!I24</f>
        <v>0</v>
      </c>
      <c r="I48" s="608" t="n">
        <f aca="false">SUM(F48:H48)</f>
        <v>7559537.39047378</v>
      </c>
      <c r="J48" s="606" t="n">
        <f aca="false">I48/(1+Discount_Rate)^E48</f>
        <v>4573644.4442151</v>
      </c>
      <c r="Q48" s="604" t="n">
        <v>17</v>
      </c>
      <c r="R48" s="605" t="n">
        <f aca="false">C48</f>
        <v>0</v>
      </c>
      <c r="S48" s="608" t="n">
        <f aca="false">J48</f>
        <v>4573644.4442151</v>
      </c>
      <c r="T48" s="606" t="n">
        <f aca="false">S48-R48</f>
        <v>4573644.4442151</v>
      </c>
    </row>
    <row r="49" customFormat="false" ht="12.75" hidden="false" customHeight="false" outlineLevel="0" collapsed="false">
      <c r="A49" s="604" t="n">
        <v>18</v>
      </c>
      <c r="B49" s="605" t="n">
        <f aca="false">'Input-Detail'!AN32</f>
        <v>0</v>
      </c>
      <c r="C49" s="606" t="n">
        <f aca="false">B49/(1+Discount_Rate)^A49</f>
        <v>0</v>
      </c>
      <c r="E49" s="604" t="n">
        <v>18</v>
      </c>
      <c r="F49" s="605" t="n">
        <f aca="false">'Agency Costs Reduction'!L24</f>
        <v>7792940.26894446</v>
      </c>
      <c r="G49" s="605" t="n">
        <f aca="false">'Interest Gain'!T24</f>
        <v>401809.680592906</v>
      </c>
      <c r="H49" s="605" t="n">
        <f aca="false">Price!I25*Delay!J25*Delay!I25</f>
        <v>0</v>
      </c>
      <c r="I49" s="608" t="n">
        <f aca="false">SUM(F49:H49)</f>
        <v>8194749.94953737</v>
      </c>
      <c r="J49" s="606" t="n">
        <f aca="false">I49/(1+Discount_Rate)^E49</f>
        <v>4813551.93112205</v>
      </c>
      <c r="Q49" s="604" t="n">
        <v>18</v>
      </c>
      <c r="R49" s="605" t="n">
        <f aca="false">C49</f>
        <v>0</v>
      </c>
      <c r="S49" s="608" t="n">
        <f aca="false">J49</f>
        <v>4813551.93112205</v>
      </c>
      <c r="T49" s="606" t="n">
        <f aca="false">S49-R49</f>
        <v>4813551.93112205</v>
      </c>
    </row>
    <row r="50" customFormat="false" ht="12.75" hidden="false" customHeight="false" outlineLevel="0" collapsed="false">
      <c r="A50" s="604" t="n">
        <v>19</v>
      </c>
      <c r="B50" s="605" t="n">
        <f aca="false">'Input-Detail'!AN33</f>
        <v>0</v>
      </c>
      <c r="C50" s="606" t="n">
        <f aca="false">B50/(1+Discount_Rate)^A50</f>
        <v>0</v>
      </c>
      <c r="E50" s="604" t="n">
        <v>19</v>
      </c>
      <c r="F50" s="605" t="n">
        <f aca="false">'Agency Costs Reduction'!L25</f>
        <v>8488516.27960975</v>
      </c>
      <c r="G50" s="605" t="n">
        <f aca="false">'Interest Gain'!T25</f>
        <v>421214.63097436</v>
      </c>
      <c r="H50" s="605" t="n">
        <f aca="false">Price!I26*Delay!J26*Delay!I26</f>
        <v>0</v>
      </c>
      <c r="I50" s="608" t="n">
        <f aca="false">SUM(F50:H50)</f>
        <v>8909730.91058411</v>
      </c>
      <c r="J50" s="606" t="n">
        <f aca="false">I50/(1+Discount_Rate)^E50</f>
        <v>5081095.0409604</v>
      </c>
      <c r="Q50" s="604" t="n">
        <v>19</v>
      </c>
      <c r="R50" s="605" t="n">
        <f aca="false">C50</f>
        <v>0</v>
      </c>
      <c r="S50" s="608" t="n">
        <f aca="false">J50</f>
        <v>5081095.0409604</v>
      </c>
      <c r="T50" s="606" t="n">
        <f aca="false">S50-R50</f>
        <v>5081095.0409604</v>
      </c>
    </row>
    <row r="51" customFormat="false" ht="13.5" hidden="false" customHeight="false" outlineLevel="0" collapsed="false">
      <c r="A51" s="610" t="n">
        <v>20</v>
      </c>
      <c r="B51" s="611" t="n">
        <f aca="false">'Input-Detail'!AN34</f>
        <v>0</v>
      </c>
      <c r="C51" s="612" t="n">
        <f aca="false">B51/(1+Discount_Rate)^A51</f>
        <v>0</v>
      </c>
      <c r="E51" s="610" t="n">
        <v>20</v>
      </c>
      <c r="F51" s="611" t="n">
        <f aca="false">'Agency Costs Reduction'!L26</f>
        <v>9133250.75374637</v>
      </c>
      <c r="G51" s="611" t="n">
        <f aca="false">'Interest Gain'!T26</f>
        <v>439722.431948706</v>
      </c>
      <c r="H51" s="611" t="n">
        <f aca="false">Price!I27*Delay!J27*Delay!I27</f>
        <v>0</v>
      </c>
      <c r="I51" s="613" t="n">
        <f aca="false">SUM(F51:H51)</f>
        <v>9572973.18569508</v>
      </c>
      <c r="J51" s="612" t="n">
        <f aca="false">I51/(1+Discount_Rate)^E51</f>
        <v>5300323.14839528</v>
      </c>
      <c r="Q51" s="610" t="n">
        <v>20</v>
      </c>
      <c r="R51" s="611" t="n">
        <f aca="false">C51</f>
        <v>0</v>
      </c>
      <c r="S51" s="613" t="n">
        <f aca="false">J51</f>
        <v>5300323.14839528</v>
      </c>
      <c r="T51" s="612" t="n">
        <f aca="false">S51-R51</f>
        <v>5300323.14839528</v>
      </c>
    </row>
    <row r="52" customFormat="false" ht="14.25" hidden="false" customHeight="false" outlineLevel="0" collapsed="false">
      <c r="E52" s="4" t="s">
        <v>374</v>
      </c>
      <c r="Q52" s="615" t="s">
        <v>60</v>
      </c>
      <c r="R52" s="617" t="n">
        <f aca="false">SUM(R31:R51)</f>
        <v>3009340</v>
      </c>
      <c r="S52" s="617" t="n">
        <f aca="false">SUM(S31:S51)</f>
        <v>54302290.0991693</v>
      </c>
      <c r="T52" s="621" t="n">
        <f aca="false">SUM(T31:T51)</f>
        <v>51292988.8377028</v>
      </c>
    </row>
    <row r="53" customFormat="false" ht="13.5" hidden="false" customHeight="false" outlineLevel="0" collapsed="false"/>
    <row r="54" customFormat="false" ht="12.75" hidden="false" customHeight="false" outlineLevel="0" collapsed="false">
      <c r="A54" s="7" t="s">
        <v>375</v>
      </c>
      <c r="E54" s="7" t="s">
        <v>376</v>
      </c>
      <c r="P54" s="622"/>
      <c r="Q54" s="7" t="s">
        <v>377</v>
      </c>
    </row>
    <row r="55" customFormat="false" ht="13.5" hidden="false" customHeight="false" outlineLevel="0" collapsed="false">
      <c r="G55" s="596"/>
      <c r="N55" s="622"/>
      <c r="Q55" s="596"/>
    </row>
    <row r="56" customFormat="false" ht="28.5" hidden="false" customHeight="false" outlineLevel="0" collapsed="false">
      <c r="A56" s="597" t="s">
        <v>4</v>
      </c>
      <c r="B56" s="598" t="s">
        <v>190</v>
      </c>
      <c r="C56" s="599" t="s">
        <v>378</v>
      </c>
      <c r="E56" s="597" t="s">
        <v>4</v>
      </c>
      <c r="F56" s="600" t="s">
        <v>354</v>
      </c>
      <c r="G56" s="601" t="s">
        <v>355</v>
      </c>
      <c r="H56" s="601" t="s">
        <v>359</v>
      </c>
      <c r="I56" s="601" t="s">
        <v>361</v>
      </c>
      <c r="J56" s="601" t="s">
        <v>379</v>
      </c>
      <c r="K56" s="599" t="s">
        <v>373</v>
      </c>
      <c r="P56" s="622"/>
      <c r="Q56" s="597" t="s">
        <v>4</v>
      </c>
      <c r="R56" s="598" t="s">
        <v>365</v>
      </c>
      <c r="S56" s="603" t="s">
        <v>366</v>
      </c>
      <c r="T56" s="599" t="s">
        <v>9</v>
      </c>
    </row>
    <row r="57" customFormat="false" ht="13.5" hidden="false" customHeight="false" outlineLevel="0" collapsed="false">
      <c r="A57" s="604" t="s">
        <v>64</v>
      </c>
      <c r="B57" s="605" t="n">
        <v>0</v>
      </c>
      <c r="C57" s="606" t="n">
        <f aca="false">B57/(1+Discount_Rate)^0</f>
        <v>0</v>
      </c>
      <c r="E57" s="604" t="s">
        <v>64</v>
      </c>
      <c r="F57" s="605" t="n">
        <f aca="false">'Fuel &amp; Emission'!O6</f>
        <v>0</v>
      </c>
      <c r="G57" s="607" t="n">
        <f aca="false">'Time Value'!P6</f>
        <v>0</v>
      </c>
      <c r="H57" s="607" t="n">
        <f aca="false">(-1)*'Interest Gain'!T6</f>
        <v>-0</v>
      </c>
      <c r="I57" s="605"/>
      <c r="J57" s="607" t="n">
        <f aca="false">SUM(F57:I57)</f>
        <v>0</v>
      </c>
      <c r="K57" s="606" t="n">
        <f aca="false">J57/(1+Discount_Rate)^0</f>
        <v>0</v>
      </c>
      <c r="P57" s="622"/>
      <c r="Q57" s="604" t="s">
        <v>64</v>
      </c>
      <c r="R57" s="605" t="n">
        <f aca="false">C57</f>
        <v>0</v>
      </c>
      <c r="S57" s="607" t="n">
        <f aca="false">K57</f>
        <v>0</v>
      </c>
      <c r="T57" s="606" t="n">
        <f aca="false">S57-R57</f>
        <v>0</v>
      </c>
    </row>
    <row r="58" customFormat="false" ht="12.75" hidden="false" customHeight="false" outlineLevel="0" collapsed="false">
      <c r="A58" s="604" t="n">
        <v>1</v>
      </c>
      <c r="B58" s="605" t="n">
        <v>0</v>
      </c>
      <c r="C58" s="606" t="n">
        <f aca="false">B58/(1+Discount_Rate)^A58</f>
        <v>0</v>
      </c>
      <c r="E58" s="604" t="n">
        <v>1</v>
      </c>
      <c r="F58" s="605" t="n">
        <f aca="false">'Fuel &amp; Emission'!O7</f>
        <v>8106.05927111252</v>
      </c>
      <c r="G58" s="608" t="n">
        <f aca="false">'Time Value'!P7</f>
        <v>192428.750824028</v>
      </c>
      <c r="H58" s="608" t="n">
        <f aca="false">(-1)*'Interest Gain'!T7</f>
        <v>-23578.7737582022</v>
      </c>
      <c r="I58" s="605" t="n">
        <f aca="false">-Price!I8*Delay!J8*Delay!I8</f>
        <v>-0</v>
      </c>
      <c r="J58" s="608" t="n">
        <f aca="false">SUM(F58:I58)</f>
        <v>176956.036336938</v>
      </c>
      <c r="K58" s="606" t="n">
        <f aca="false">J58/(1+Discount_Rate)^E58</f>
        <v>171801.977026154</v>
      </c>
      <c r="P58" s="622"/>
      <c r="Q58" s="604" t="n">
        <v>1</v>
      </c>
      <c r="R58" s="605" t="n">
        <f aca="false">C58</f>
        <v>0</v>
      </c>
      <c r="S58" s="608" t="n">
        <f aca="false">K58</f>
        <v>171801.977026154</v>
      </c>
      <c r="T58" s="606" t="n">
        <f aca="false">S58-R58</f>
        <v>171801.977026154</v>
      </c>
    </row>
    <row r="59" customFormat="false" ht="12.75" hidden="false" customHeight="false" outlineLevel="0" collapsed="false">
      <c r="A59" s="604" t="n">
        <v>2</v>
      </c>
      <c r="B59" s="605" t="n">
        <v>0</v>
      </c>
      <c r="C59" s="606" t="n">
        <f aca="false">B59/(1+Discount_Rate)^A59</f>
        <v>0</v>
      </c>
      <c r="E59" s="604" t="n">
        <v>2</v>
      </c>
      <c r="F59" s="605" t="n">
        <f aca="false">'Fuel &amp; Emission'!O8</f>
        <v>15895.2948536658</v>
      </c>
      <c r="G59" s="608" t="n">
        <f aca="false">'Time Value'!P8</f>
        <v>479124.978371947</v>
      </c>
      <c r="H59" s="608" t="n">
        <f aca="false">(-1)*'Interest Gain'!T8</f>
        <v>-46235.9759088047</v>
      </c>
      <c r="I59" s="605" t="n">
        <f aca="false">-Price!I9*Delay!J9*Delay!I9</f>
        <v>-0</v>
      </c>
      <c r="J59" s="608" t="n">
        <f aca="false">SUM(F59:I59)</f>
        <v>448784.297316808</v>
      </c>
      <c r="K59" s="606" t="n">
        <f aca="false">J59/(1+Discount_Rate)^E59</f>
        <v>423022.24273429</v>
      </c>
      <c r="P59" s="622"/>
      <c r="Q59" s="604" t="n">
        <v>2</v>
      </c>
      <c r="R59" s="605" t="n">
        <f aca="false">C59</f>
        <v>0</v>
      </c>
      <c r="S59" s="608" t="n">
        <f aca="false">K59</f>
        <v>423022.24273429</v>
      </c>
      <c r="T59" s="606" t="n">
        <f aca="false">S59-R59</f>
        <v>423022.24273429</v>
      </c>
    </row>
    <row r="60" customFormat="false" ht="12.75" hidden="false" customHeight="false" outlineLevel="0" collapsed="false">
      <c r="A60" s="604" t="n">
        <v>3</v>
      </c>
      <c r="B60" s="605" t="n">
        <v>0</v>
      </c>
      <c r="C60" s="606" t="n">
        <f aca="false">B60/(1+Discount_Rate)^A60</f>
        <v>0</v>
      </c>
      <c r="E60" s="604" t="n">
        <v>3</v>
      </c>
      <c r="F60" s="605" t="n">
        <f aca="false">'Fuel &amp; Emission'!O9</f>
        <v>23522.9014901368</v>
      </c>
      <c r="G60" s="608" t="n">
        <f aca="false">'Time Value'!P9</f>
        <v>675114.307520312</v>
      </c>
      <c r="H60" s="608" t="n">
        <f aca="false">(-1)*'Interest Gain'!T9</f>
        <v>-68423.0344020532</v>
      </c>
      <c r="I60" s="605" t="n">
        <f aca="false">-Price!I10*Delay!J10*Delay!I10</f>
        <v>-0</v>
      </c>
      <c r="J60" s="608" t="n">
        <f aca="false">SUM(F60:I60)</f>
        <v>630214.174608395</v>
      </c>
      <c r="K60" s="606" t="n">
        <f aca="false">J60/(1+Discount_Rate)^E60</f>
        <v>576735.245499009</v>
      </c>
      <c r="P60" s="622"/>
      <c r="Q60" s="604" t="n">
        <v>3</v>
      </c>
      <c r="R60" s="605" t="n">
        <f aca="false">C60</f>
        <v>0</v>
      </c>
      <c r="S60" s="608" t="n">
        <f aca="false">K60</f>
        <v>576735.245499009</v>
      </c>
      <c r="T60" s="606" t="n">
        <f aca="false">S60-R60</f>
        <v>576735.245499009</v>
      </c>
    </row>
    <row r="61" customFormat="false" ht="12.75" hidden="false" customHeight="false" outlineLevel="0" collapsed="false">
      <c r="A61" s="604" t="n">
        <v>4</v>
      </c>
      <c r="B61" s="605" t="n">
        <v>0</v>
      </c>
      <c r="C61" s="606" t="n">
        <f aca="false">B61/(1+Discount_Rate)^A61</f>
        <v>0</v>
      </c>
      <c r="E61" s="604" t="n">
        <v>4</v>
      </c>
      <c r="F61" s="605" t="n">
        <f aca="false">'Fuel &amp; Emission'!O10</f>
        <v>31035.5997981783</v>
      </c>
      <c r="G61" s="608" t="n">
        <f aca="false">'Time Value'!P10</f>
        <v>1010683.99870714</v>
      </c>
      <c r="H61" s="608" t="n">
        <f aca="false">(-1)*'Interest Gain'!T10</f>
        <v>-90275.8494129444</v>
      </c>
      <c r="I61" s="605" t="n">
        <f aca="false">-Price!I11*Delay!J11*Delay!I11</f>
        <v>-0</v>
      </c>
      <c r="J61" s="608" t="n">
        <f aca="false">SUM(F61:I61)</f>
        <v>951443.749092377</v>
      </c>
      <c r="K61" s="606" t="n">
        <f aca="false">J61/(1+Discount_Rate)^E61</f>
        <v>845345.447888922</v>
      </c>
      <c r="P61" s="622"/>
      <c r="Q61" s="604" t="n">
        <v>4</v>
      </c>
      <c r="R61" s="605" t="n">
        <f aca="false">C61</f>
        <v>0</v>
      </c>
      <c r="S61" s="608" t="n">
        <f aca="false">K61</f>
        <v>845345.447888922</v>
      </c>
      <c r="T61" s="606" t="n">
        <f aca="false">S61-R61</f>
        <v>845345.447888922</v>
      </c>
    </row>
    <row r="62" customFormat="false" ht="12.75" hidden="false" customHeight="false" outlineLevel="0" collapsed="false">
      <c r="A62" s="604" t="n">
        <v>5</v>
      </c>
      <c r="B62" s="605" t="n">
        <v>0</v>
      </c>
      <c r="C62" s="606" t="n">
        <f aca="false">B62/(1+Discount_Rate)^A62</f>
        <v>0</v>
      </c>
      <c r="E62" s="604" t="n">
        <v>5</v>
      </c>
      <c r="F62" s="605" t="n">
        <f aca="false">'Fuel &amp; Emission'!O11</f>
        <v>38518.7155705172</v>
      </c>
      <c r="G62" s="608" t="n">
        <f aca="false">'Time Value'!P11</f>
        <v>1328507.33140046</v>
      </c>
      <c r="H62" s="608" t="n">
        <f aca="false">(-1)*'Interest Gain'!T11</f>
        <v>-112042.6152237</v>
      </c>
      <c r="I62" s="605" t="n">
        <f aca="false">-Price!I12*Delay!J12*Delay!I12</f>
        <v>-0</v>
      </c>
      <c r="J62" s="608" t="n">
        <f aca="false">SUM(F62:I62)</f>
        <v>1254983.43174727</v>
      </c>
      <c r="K62" s="606" t="n">
        <f aca="false">J62/(1+Discount_Rate)^E62</f>
        <v>1082559.73248178</v>
      </c>
      <c r="P62" s="622"/>
      <c r="Q62" s="604" t="n">
        <v>5</v>
      </c>
      <c r="R62" s="605" t="n">
        <f aca="false">C62</f>
        <v>0</v>
      </c>
      <c r="S62" s="608" t="n">
        <f aca="false">K62</f>
        <v>1082559.73248178</v>
      </c>
      <c r="T62" s="606" t="n">
        <f aca="false">S62-R62</f>
        <v>1082559.73248178</v>
      </c>
    </row>
    <row r="63" customFormat="false" ht="12.75" hidden="false" customHeight="false" outlineLevel="0" collapsed="false">
      <c r="A63" s="604" t="n">
        <v>6</v>
      </c>
      <c r="B63" s="605" t="n">
        <v>0</v>
      </c>
      <c r="C63" s="606" t="n">
        <f aca="false">B63/(1+Discount_Rate)^A63</f>
        <v>0</v>
      </c>
      <c r="E63" s="604" t="n">
        <v>6</v>
      </c>
      <c r="F63" s="605" t="n">
        <f aca="false">'Fuel &amp; Emission'!O12</f>
        <v>46072.2065539805</v>
      </c>
      <c r="G63" s="608" t="n">
        <f aca="false">'Time Value'!P12</f>
        <v>1599356.9968167</v>
      </c>
      <c r="H63" s="608" t="n">
        <f aca="false">(-1)*'Interest Gain'!T12</f>
        <v>-134014.087307355</v>
      </c>
      <c r="I63" s="605" t="n">
        <f aca="false">-Price!I13*Delay!J13*Delay!I13</f>
        <v>-0</v>
      </c>
      <c r="J63" s="608" t="n">
        <f aca="false">SUM(F63:I63)</f>
        <v>1511415.11606333</v>
      </c>
      <c r="K63" s="606" t="n">
        <f aca="false">J63/(1+Discount_Rate)^E63</f>
        <v>1265786.36501673</v>
      </c>
      <c r="P63" s="622"/>
      <c r="Q63" s="604" t="n">
        <v>6</v>
      </c>
      <c r="R63" s="605" t="n">
        <f aca="false">C63</f>
        <v>0</v>
      </c>
      <c r="S63" s="608" t="n">
        <f aca="false">K63</f>
        <v>1265786.36501673</v>
      </c>
      <c r="T63" s="606" t="n">
        <f aca="false">S63-R63</f>
        <v>1265786.36501673</v>
      </c>
    </row>
    <row r="64" customFormat="false" ht="12.75" hidden="false" customHeight="false" outlineLevel="0" collapsed="false">
      <c r="A64" s="604" t="n">
        <v>7</v>
      </c>
      <c r="B64" s="605" t="n">
        <v>0</v>
      </c>
      <c r="C64" s="606" t="n">
        <f aca="false">B64/(1+Discount_Rate)^A64</f>
        <v>0</v>
      </c>
      <c r="E64" s="604" t="n">
        <v>7</v>
      </c>
      <c r="F64" s="605" t="n">
        <f aca="false">'Fuel &amp; Emission'!O13</f>
        <v>53689.1382595799</v>
      </c>
      <c r="G64" s="608" t="n">
        <f aca="false">'Time Value'!P13</f>
        <v>1978847.96875989</v>
      </c>
      <c r="H64" s="608" t="n">
        <f aca="false">(-1)*'Interest Gain'!T13</f>
        <v>-156170.094734791</v>
      </c>
      <c r="I64" s="605" t="n">
        <f aca="false">-Price!I14*Delay!J14*Delay!I14</f>
        <v>-0</v>
      </c>
      <c r="J64" s="608" t="n">
        <f aca="false">SUM(F64:I64)</f>
        <v>1876367.01228467</v>
      </c>
      <c r="K64" s="606" t="n">
        <f aca="false">J64/(1+Discount_Rate)^E64</f>
        <v>1525658.08985336</v>
      </c>
      <c r="P64" s="622"/>
      <c r="Q64" s="604" t="n">
        <v>7</v>
      </c>
      <c r="R64" s="605" t="n">
        <f aca="false">C64</f>
        <v>0</v>
      </c>
      <c r="S64" s="608" t="n">
        <f aca="false">K64</f>
        <v>1525658.08985336</v>
      </c>
      <c r="T64" s="606" t="n">
        <f aca="false">S64-R64</f>
        <v>1525658.08985336</v>
      </c>
    </row>
    <row r="65" customFormat="false" ht="12.75" hidden="false" customHeight="false" outlineLevel="0" collapsed="false">
      <c r="A65" s="604" t="n">
        <v>8</v>
      </c>
      <c r="B65" s="605" t="n">
        <v>0</v>
      </c>
      <c r="C65" s="606" t="n">
        <f aca="false">B65/(1+Discount_Rate)^A65</f>
        <v>0</v>
      </c>
      <c r="E65" s="604" t="n">
        <v>8</v>
      </c>
      <c r="F65" s="605" t="n">
        <f aca="false">'Fuel &amp; Emission'!O14</f>
        <v>61398.5516779079</v>
      </c>
      <c r="G65" s="608" t="n">
        <f aca="false">'Time Value'!P14</f>
        <v>2355526.12795558</v>
      </c>
      <c r="H65" s="608" t="n">
        <f aca="false">(-1)*'Interest Gain'!T14</f>
        <v>-178595.111468509</v>
      </c>
      <c r="I65" s="605" t="n">
        <f aca="false">-Price!I15*Delay!J15*Delay!I15</f>
        <v>-0</v>
      </c>
      <c r="J65" s="608" t="n">
        <f aca="false">SUM(F65:I65)</f>
        <v>2238329.56816498</v>
      </c>
      <c r="K65" s="606" t="n">
        <f aca="false">J65/(1+Discount_Rate)^E65</f>
        <v>1766958.03054736</v>
      </c>
      <c r="P65" s="622"/>
      <c r="Q65" s="604" t="n">
        <v>8</v>
      </c>
      <c r="R65" s="605" t="n">
        <f aca="false">C65</f>
        <v>0</v>
      </c>
      <c r="S65" s="608" t="n">
        <f aca="false">K65</f>
        <v>1766958.03054736</v>
      </c>
      <c r="T65" s="606" t="n">
        <f aca="false">S65-R65</f>
        <v>1766958.03054736</v>
      </c>
    </row>
    <row r="66" customFormat="false" ht="12.75" hidden="false" customHeight="false" outlineLevel="0" collapsed="false">
      <c r="A66" s="604" t="n">
        <v>9</v>
      </c>
      <c r="B66" s="605" t="n">
        <v>0</v>
      </c>
      <c r="C66" s="606" t="n">
        <f aca="false">B66/(1+Discount_Rate)^A66</f>
        <v>0</v>
      </c>
      <c r="E66" s="604" t="n">
        <v>9</v>
      </c>
      <c r="F66" s="605" t="n">
        <f aca="false">'Fuel &amp; Emission'!O15</f>
        <v>69237.9467624875</v>
      </c>
      <c r="G66" s="608" t="n">
        <f aca="false">'Time Value'!P15</f>
        <v>2720286.09541755</v>
      </c>
      <c r="H66" s="608" t="n">
        <f aca="false">(-1)*'Interest Gain'!T15</f>
        <v>-201398.216765208</v>
      </c>
      <c r="I66" s="605" t="n">
        <f aca="false">-Price!I16*Delay!J16*Delay!I16</f>
        <v>-0</v>
      </c>
      <c r="J66" s="608" t="n">
        <f aca="false">SUM(F66:I66)</f>
        <v>2588125.82541483</v>
      </c>
      <c r="K66" s="606" t="n">
        <f aca="false">J66/(1+Discount_Rate)^E66</f>
        <v>1983582.93800859</v>
      </c>
      <c r="P66" s="622"/>
      <c r="Q66" s="604" t="n">
        <v>9</v>
      </c>
      <c r="R66" s="605" t="n">
        <f aca="false">C66</f>
        <v>0</v>
      </c>
      <c r="S66" s="608" t="n">
        <f aca="false">K66</f>
        <v>1983582.93800859</v>
      </c>
      <c r="T66" s="606" t="n">
        <f aca="false">S66-R66</f>
        <v>1983582.93800859</v>
      </c>
    </row>
    <row r="67" customFormat="false" ht="12.75" hidden="false" customHeight="false" outlineLevel="0" collapsed="false">
      <c r="A67" s="604" t="n">
        <v>10</v>
      </c>
      <c r="B67" s="605" t="n">
        <v>0</v>
      </c>
      <c r="C67" s="606" t="n">
        <f aca="false">B67/(1+Discount_Rate)^A67</f>
        <v>0</v>
      </c>
      <c r="E67" s="604" t="n">
        <v>10</v>
      </c>
      <c r="F67" s="605" t="n">
        <f aca="false">'Fuel &amp; Emission'!O16</f>
        <v>77147.7379163296</v>
      </c>
      <c r="G67" s="608" t="n">
        <f aca="false">'Time Value'!P16</f>
        <v>3158553.84445174</v>
      </c>
      <c r="H67" s="608" t="n">
        <f aca="false">(-1)*'Interest Gain'!T16</f>
        <v>-224406.089006621</v>
      </c>
      <c r="I67" s="605" t="n">
        <f aca="false">-Price!I17*Delay!J17*Delay!I17</f>
        <v>-0</v>
      </c>
      <c r="J67" s="608" t="n">
        <f aca="false">SUM(F67:I67)</f>
        <v>3011295.49336145</v>
      </c>
      <c r="K67" s="606" t="n">
        <f aca="false">J67/(1+Discount_Rate)^E67</f>
        <v>2240686.65256619</v>
      </c>
      <c r="P67" s="622"/>
      <c r="Q67" s="604" t="n">
        <v>10</v>
      </c>
      <c r="R67" s="605" t="n">
        <f aca="false">C67</f>
        <v>0</v>
      </c>
      <c r="S67" s="608" t="n">
        <f aca="false">K67</f>
        <v>2240686.65256619</v>
      </c>
      <c r="T67" s="606" t="n">
        <f aca="false">S67-R67</f>
        <v>2240686.65256619</v>
      </c>
    </row>
    <row r="68" customFormat="false" ht="12.75" hidden="false" customHeight="false" outlineLevel="0" collapsed="false">
      <c r="A68" s="604" t="n">
        <v>11</v>
      </c>
      <c r="B68" s="605" t="n">
        <v>0</v>
      </c>
      <c r="C68" s="606" t="n">
        <f aca="false">B68/(1+Discount_Rate)^A68</f>
        <v>0</v>
      </c>
      <c r="E68" s="604" t="n">
        <v>11</v>
      </c>
      <c r="F68" s="605" t="n">
        <f aca="false">'Fuel &amp; Emission'!O17</f>
        <v>85103.5814452838</v>
      </c>
      <c r="G68" s="608" t="n">
        <f aca="false">'Time Value'!P17</f>
        <v>3602491.36929427</v>
      </c>
      <c r="H68" s="608" t="n">
        <f aca="false">(-1)*'Interest Gain'!T17</f>
        <v>-247547.917649964</v>
      </c>
      <c r="I68" s="605" t="n">
        <f aca="false">-Price!I18*Delay!J18*Delay!I18</f>
        <v>-0</v>
      </c>
      <c r="J68" s="608" t="n">
        <f aca="false">SUM(F68:I68)</f>
        <v>3440047.03308959</v>
      </c>
      <c r="K68" s="606" t="n">
        <f aca="false">J68/(1+Discount_Rate)^E68</f>
        <v>2485163.16920436</v>
      </c>
      <c r="P68" s="622"/>
      <c r="Q68" s="604" t="n">
        <v>11</v>
      </c>
      <c r="R68" s="605" t="n">
        <f aca="false">C68</f>
        <v>0</v>
      </c>
      <c r="S68" s="608" t="n">
        <f aca="false">K68</f>
        <v>2485163.16920436</v>
      </c>
      <c r="T68" s="606" t="n">
        <f aca="false">S68-R68</f>
        <v>2485163.16920436</v>
      </c>
    </row>
    <row r="69" customFormat="false" ht="12.75" hidden="false" customHeight="false" outlineLevel="0" collapsed="false">
      <c r="A69" s="604" t="n">
        <v>12</v>
      </c>
      <c r="B69" s="605" t="n">
        <v>0</v>
      </c>
      <c r="C69" s="606" t="n">
        <f aca="false">B69/(1+Discount_Rate)^A69</f>
        <v>0</v>
      </c>
      <c r="E69" s="604" t="n">
        <v>12</v>
      </c>
      <c r="F69" s="605" t="n">
        <f aca="false">'Fuel &amp; Emission'!O18</f>
        <v>93088.6929410854</v>
      </c>
      <c r="G69" s="608" t="n">
        <f aca="false">'Time Value'!P18</f>
        <v>4059788.17818401</v>
      </c>
      <c r="H69" s="608" t="n">
        <f aca="false">(-1)*'Interest Gain'!T18</f>
        <v>-270774.880480657</v>
      </c>
      <c r="I69" s="605" t="n">
        <f aca="false">-Price!I19*Delay!J19*Delay!I19</f>
        <v>-0</v>
      </c>
      <c r="J69" s="608" t="n">
        <f aca="false">SUM(F69:I69)</f>
        <v>3882101.99064444</v>
      </c>
      <c r="K69" s="606" t="n">
        <f aca="false">J69/(1+Discount_Rate)^E69</f>
        <v>2722828.2290951</v>
      </c>
      <c r="P69" s="622"/>
      <c r="Q69" s="604" t="n">
        <v>12</v>
      </c>
      <c r="R69" s="605" t="n">
        <f aca="false">C69</f>
        <v>0</v>
      </c>
      <c r="S69" s="608" t="n">
        <f aca="false">K69</f>
        <v>2722828.2290951</v>
      </c>
      <c r="T69" s="606" t="n">
        <f aca="false">S69-R69</f>
        <v>2722828.2290951</v>
      </c>
    </row>
    <row r="70" customFormat="false" ht="12.75" hidden="false" customHeight="false" outlineLevel="0" collapsed="false">
      <c r="A70" s="604" t="n">
        <v>13</v>
      </c>
      <c r="B70" s="605" t="n">
        <v>0</v>
      </c>
      <c r="C70" s="606" t="n">
        <f aca="false">B70/(1+Discount_Rate)^A70</f>
        <v>0</v>
      </c>
      <c r="E70" s="604" t="n">
        <v>13</v>
      </c>
      <c r="F70" s="605" t="n">
        <f aca="false">'Fuel &amp; Emission'!O19</f>
        <v>101015.061908286</v>
      </c>
      <c r="G70" s="608" t="n">
        <f aca="false">'Time Value'!P19</f>
        <v>4556327.13145414</v>
      </c>
      <c r="H70" s="608" t="n">
        <f aca="false">(-1)*'Interest Gain'!T19</f>
        <v>-293830.973996737</v>
      </c>
      <c r="I70" s="605" t="n">
        <f aca="false">-Price!I20*Delay!J20*Delay!I20</f>
        <v>-0</v>
      </c>
      <c r="J70" s="608" t="n">
        <f aca="false">SUM(F70:I70)</f>
        <v>4363511.21936569</v>
      </c>
      <c r="K70" s="606" t="n">
        <f aca="false">J70/(1+Discount_Rate)^E70</f>
        <v>2971338.81190233</v>
      </c>
      <c r="P70" s="622"/>
      <c r="Q70" s="604" t="n">
        <v>13</v>
      </c>
      <c r="R70" s="605" t="n">
        <f aca="false">C70</f>
        <v>0</v>
      </c>
      <c r="S70" s="608" t="n">
        <f aca="false">K70</f>
        <v>2971338.81190233</v>
      </c>
      <c r="T70" s="606" t="n">
        <f aca="false">S70-R70</f>
        <v>2971338.81190233</v>
      </c>
    </row>
    <row r="71" customFormat="false" ht="12.75" hidden="false" customHeight="false" outlineLevel="0" collapsed="false">
      <c r="A71" s="604" t="n">
        <v>14</v>
      </c>
      <c r="B71" s="605" t="n">
        <v>0</v>
      </c>
      <c r="C71" s="606" t="n">
        <f aca="false">B71/(1+Discount_Rate)^A71</f>
        <v>0</v>
      </c>
      <c r="E71" s="604" t="n">
        <v>14</v>
      </c>
      <c r="F71" s="605" t="n">
        <f aca="false">'Fuel &amp; Emission'!O20</f>
        <v>108856.371662944</v>
      </c>
      <c r="G71" s="608" t="n">
        <f aca="false">'Time Value'!P20</f>
        <v>5051678.81181697</v>
      </c>
      <c r="H71" s="608" t="n">
        <f aca="false">(-1)*'Interest Gain'!T20</f>
        <v>-316639.648654713</v>
      </c>
      <c r="I71" s="605" t="n">
        <f aca="false">-Price!I21*Delay!J21*Delay!I21</f>
        <v>-0</v>
      </c>
      <c r="J71" s="608" t="n">
        <f aca="false">SUM(F71:I71)</f>
        <v>4843895.5348252</v>
      </c>
      <c r="K71" s="606" t="n">
        <f aca="false">J71/(1+Discount_Rate)^E71</f>
        <v>3202385.58759824</v>
      </c>
      <c r="P71" s="622"/>
      <c r="Q71" s="604" t="n">
        <v>14</v>
      </c>
      <c r="R71" s="605" t="n">
        <f aca="false">C71</f>
        <v>0</v>
      </c>
      <c r="S71" s="608" t="n">
        <f aca="false">K71</f>
        <v>3202385.58759824</v>
      </c>
      <c r="T71" s="606" t="n">
        <f aca="false">S71-R71</f>
        <v>3202385.58759824</v>
      </c>
    </row>
    <row r="72" customFormat="false" ht="12.75" hidden="false" customHeight="false" outlineLevel="0" collapsed="false">
      <c r="A72" s="604" t="n">
        <v>15</v>
      </c>
      <c r="B72" s="605" t="n">
        <v>0</v>
      </c>
      <c r="C72" s="606" t="n">
        <f aca="false">B72/(1+Discount_Rate)^A72</f>
        <v>0</v>
      </c>
      <c r="E72" s="604" t="n">
        <v>15</v>
      </c>
      <c r="F72" s="605" t="n">
        <f aca="false">'Fuel &amp; Emission'!O21</f>
        <v>116521.741481407</v>
      </c>
      <c r="G72" s="608" t="n">
        <f aca="false">'Time Value'!P21</f>
        <v>5591090.42164101</v>
      </c>
      <c r="H72" s="608" t="n">
        <f aca="false">(-1)*'Interest Gain'!T21</f>
        <v>-338936.552079362</v>
      </c>
      <c r="I72" s="605" t="n">
        <f aca="false">-Price!I22*Delay!J22*Delay!I22</f>
        <v>-0</v>
      </c>
      <c r="J72" s="608" t="n">
        <f aca="false">SUM(F72:I72)</f>
        <v>5368675.61104305</v>
      </c>
      <c r="K72" s="606" t="n">
        <f aca="false">J72/(1+Discount_Rate)^E72</f>
        <v>3445948.58264536</v>
      </c>
      <c r="P72" s="622"/>
      <c r="Q72" s="604" t="n">
        <v>15</v>
      </c>
      <c r="R72" s="605" t="n">
        <f aca="false">C72</f>
        <v>0</v>
      </c>
      <c r="S72" s="608" t="n">
        <f aca="false">K72</f>
        <v>3445948.58264536</v>
      </c>
      <c r="T72" s="606" t="n">
        <f aca="false">S72-R72</f>
        <v>3445948.58264536</v>
      </c>
    </row>
    <row r="73" customFormat="false" ht="12.75" hidden="false" customHeight="false" outlineLevel="0" collapsed="false">
      <c r="A73" s="604" t="n">
        <v>16</v>
      </c>
      <c r="B73" s="605" t="n">
        <v>0</v>
      </c>
      <c r="C73" s="606" t="n">
        <f aca="false">B73/(1+Discount_Rate)^A73</f>
        <v>0</v>
      </c>
      <c r="E73" s="604" t="n">
        <v>16</v>
      </c>
      <c r="F73" s="605" t="n">
        <f aca="false">'Fuel &amp; Emission'!O22</f>
        <v>123974.045672357</v>
      </c>
      <c r="G73" s="608" t="n">
        <f aca="false">'Time Value'!P22</f>
        <v>6135460.63763221</v>
      </c>
      <c r="H73" s="608" t="n">
        <f aca="false">(-1)*'Interest Gain'!T22</f>
        <v>-360613.693661823</v>
      </c>
      <c r="I73" s="605" t="n">
        <f aca="false">-Price!I23*Delay!J23*Delay!I23</f>
        <v>-0</v>
      </c>
      <c r="J73" s="608" t="n">
        <f aca="false">SUM(F73:I73)</f>
        <v>5898820.98964275</v>
      </c>
      <c r="K73" s="606" t="n">
        <f aca="false">J73/(1+Discount_Rate)^E73</f>
        <v>3675950.22112303</v>
      </c>
      <c r="P73" s="622"/>
      <c r="Q73" s="604" t="n">
        <v>16</v>
      </c>
      <c r="R73" s="605" t="n">
        <f aca="false">C73</f>
        <v>0</v>
      </c>
      <c r="S73" s="608" t="n">
        <f aca="false">K73</f>
        <v>3675950.22112303</v>
      </c>
      <c r="T73" s="606" t="n">
        <f aca="false">S73-R73</f>
        <v>3675950.22112303</v>
      </c>
    </row>
    <row r="74" customFormat="false" ht="12.75" hidden="false" customHeight="false" outlineLevel="0" collapsed="false">
      <c r="A74" s="604" t="n">
        <v>17</v>
      </c>
      <c r="B74" s="605" t="n">
        <v>0</v>
      </c>
      <c r="C74" s="606" t="n">
        <f aca="false">B74/(1+Discount_Rate)^A74</f>
        <v>0</v>
      </c>
      <c r="E74" s="604" t="n">
        <v>17</v>
      </c>
      <c r="F74" s="605" t="n">
        <f aca="false">'Fuel &amp; Emission'!O23</f>
        <v>131197.35797183</v>
      </c>
      <c r="G74" s="608" t="n">
        <f aca="false">'Time Value'!P23</f>
        <v>6689830.39624906</v>
      </c>
      <c r="H74" s="608" t="n">
        <f aca="false">(-1)*'Interest Gain'!T23</f>
        <v>-381624.747343734</v>
      </c>
      <c r="I74" s="605" t="n">
        <f aca="false">-Price!I24*Delay!J24*Delay!I24</f>
        <v>-0</v>
      </c>
      <c r="J74" s="608" t="n">
        <f aca="false">SUM(F74:I74)</f>
        <v>6439403.00687716</v>
      </c>
      <c r="K74" s="606" t="n">
        <f aca="false">J74/(1+Discount_Rate)^E74</f>
        <v>3895944.72058295</v>
      </c>
      <c r="P74" s="622"/>
      <c r="Q74" s="604" t="n">
        <v>17</v>
      </c>
      <c r="R74" s="605" t="n">
        <f aca="false">C74</f>
        <v>0</v>
      </c>
      <c r="S74" s="608" t="n">
        <f aca="false">K74</f>
        <v>3895944.72058295</v>
      </c>
      <c r="T74" s="606" t="n">
        <f aca="false">S74-R74</f>
        <v>3895944.72058295</v>
      </c>
    </row>
    <row r="75" customFormat="false" ht="12.75" hidden="false" customHeight="false" outlineLevel="0" collapsed="false">
      <c r="A75" s="604" t="n">
        <v>18</v>
      </c>
      <c r="B75" s="605" t="n">
        <v>0</v>
      </c>
      <c r="C75" s="606" t="n">
        <f aca="false">B75/(1+Discount_Rate)^A75</f>
        <v>0</v>
      </c>
      <c r="E75" s="604" t="n">
        <v>18</v>
      </c>
      <c r="F75" s="605" t="n">
        <f aca="false">'Fuel &amp; Emission'!O24</f>
        <v>138136.661388502</v>
      </c>
      <c r="G75" s="608" t="n">
        <f aca="false">'Time Value'!P24</f>
        <v>7265982.20080162</v>
      </c>
      <c r="H75" s="608" t="n">
        <f aca="false">(-1)*'Interest Gain'!T24</f>
        <v>-401809.680592906</v>
      </c>
      <c r="I75" s="605" t="n">
        <f aca="false">-Price!I25*Delay!J25*Delay!I25</f>
        <v>-0</v>
      </c>
      <c r="J75" s="608" t="n">
        <f aca="false">SUM(F75:I75)</f>
        <v>7002309.18159722</v>
      </c>
      <c r="K75" s="606" t="n">
        <f aca="false">J75/(1+Discount_Rate)^E75</f>
        <v>4113118.65413219</v>
      </c>
      <c r="P75" s="622"/>
      <c r="Q75" s="604" t="n">
        <v>18</v>
      </c>
      <c r="R75" s="605" t="n">
        <f aca="false">C75</f>
        <v>0</v>
      </c>
      <c r="S75" s="608" t="n">
        <f aca="false">K75</f>
        <v>4113118.65413219</v>
      </c>
      <c r="T75" s="606" t="n">
        <f aca="false">S75-R75</f>
        <v>4113118.65413219</v>
      </c>
    </row>
    <row r="76" customFormat="false" ht="12.75" hidden="false" customHeight="false" outlineLevel="0" collapsed="false">
      <c r="A76" s="604" t="n">
        <v>19</v>
      </c>
      <c r="B76" s="605" t="n">
        <v>0</v>
      </c>
      <c r="C76" s="606" t="n">
        <f aca="false">B76/(1+Discount_Rate)^A76</f>
        <v>0</v>
      </c>
      <c r="E76" s="604" t="n">
        <v>19</v>
      </c>
      <c r="F76" s="605" t="n">
        <f aca="false">'Fuel &amp; Emission'!O25</f>
        <v>144807.817384914</v>
      </c>
      <c r="G76" s="608" t="n">
        <f aca="false">'Time Value'!P25</f>
        <v>7838669.49556554</v>
      </c>
      <c r="H76" s="608" t="n">
        <f aca="false">(-1)*'Interest Gain'!T25</f>
        <v>-421214.63097436</v>
      </c>
      <c r="I76" s="605" t="n">
        <f aca="false">-Price!I26*Delay!J26*Delay!I26</f>
        <v>-0</v>
      </c>
      <c r="J76" s="608" t="n">
        <f aca="false">SUM(F76:I76)</f>
        <v>7562262.68197609</v>
      </c>
      <c r="K76" s="606" t="n">
        <f aca="false">J76/(1+Discount_Rate)^E76</f>
        <v>4312652.73861223</v>
      </c>
      <c r="P76" s="622"/>
      <c r="Q76" s="604" t="n">
        <v>19</v>
      </c>
      <c r="R76" s="605" t="n">
        <f aca="false">C76</f>
        <v>0</v>
      </c>
      <c r="S76" s="608" t="n">
        <f aca="false">K76</f>
        <v>4312652.73861223</v>
      </c>
      <c r="T76" s="606" t="n">
        <f aca="false">S76-R76</f>
        <v>4312652.73861223</v>
      </c>
    </row>
    <row r="77" customFormat="false" ht="13.5" hidden="false" customHeight="false" outlineLevel="0" collapsed="false">
      <c r="A77" s="610" t="n">
        <v>20</v>
      </c>
      <c r="B77" s="611" t="n">
        <v>0</v>
      </c>
      <c r="C77" s="612" t="n">
        <f aca="false">B77/(1+Discount_Rate)^A77</f>
        <v>0</v>
      </c>
      <c r="E77" s="610" t="n">
        <v>20</v>
      </c>
      <c r="F77" s="611" t="n">
        <f aca="false">'Fuel &amp; Emission'!O26</f>
        <v>151170.545710589</v>
      </c>
      <c r="G77" s="613" t="n">
        <f aca="false">'Time Value'!P26</f>
        <v>8443878.80558891</v>
      </c>
      <c r="H77" s="613" t="n">
        <f aca="false">(-1)*'Interest Gain'!T26</f>
        <v>-439722.431948706</v>
      </c>
      <c r="I77" s="611" t="n">
        <f aca="false">-Price!I27*Delay!J27*Delay!I27</f>
        <v>-0</v>
      </c>
      <c r="J77" s="613" t="n">
        <f aca="false">SUM(F77:I77)</f>
        <v>8155326.91935079</v>
      </c>
      <c r="K77" s="612" t="n">
        <f aca="false">J77/(1+Discount_Rate)^E77</f>
        <v>4515406.78270766</v>
      </c>
      <c r="P77" s="622"/>
      <c r="Q77" s="610" t="n">
        <v>20</v>
      </c>
      <c r="R77" s="611" t="n">
        <f aca="false">C77</f>
        <v>0</v>
      </c>
      <c r="S77" s="613" t="n">
        <f aca="false">K77</f>
        <v>4515406.78270766</v>
      </c>
      <c r="T77" s="612" t="n">
        <f aca="false">S77-R77</f>
        <v>4515406.78270766</v>
      </c>
    </row>
    <row r="78" customFormat="false" ht="14.25" hidden="false" customHeight="false" outlineLevel="0" collapsed="false">
      <c r="P78" s="622"/>
      <c r="Q78" s="615" t="s">
        <v>60</v>
      </c>
      <c r="R78" s="617" t="n">
        <f aca="false">SUM(R57:R77)</f>
        <v>0</v>
      </c>
      <c r="S78" s="617" t="n">
        <f aca="false">SUM(S57:S77)</f>
        <v>47222874.2192258</v>
      </c>
      <c r="T78" s="621" t="n">
        <f aca="false">SUM(T57:T77)</f>
        <v>47222874.2192258</v>
      </c>
    </row>
    <row r="79" customFormat="false" ht="13.5" hidden="false" customHeight="false" outlineLevel="0" collapsed="false">
      <c r="N79" s="622"/>
    </row>
    <row r="80" customFormat="false" ht="12.75" hidden="false" customHeight="false" outlineLevel="0" collapsed="false">
      <c r="A80" s="7" t="s">
        <v>380</v>
      </c>
      <c r="E80" s="7" t="s">
        <v>381</v>
      </c>
      <c r="P80" s="622"/>
      <c r="Q80" s="7" t="s">
        <v>382</v>
      </c>
    </row>
    <row r="81" customFormat="false" ht="13.5" hidden="false" customHeight="false" outlineLevel="0" collapsed="false">
      <c r="G81" s="596"/>
      <c r="O81" s="622"/>
      <c r="R81" s="596"/>
    </row>
    <row r="82" customFormat="false" ht="28.5" hidden="false" customHeight="false" outlineLevel="0" collapsed="false">
      <c r="A82" s="597" t="s">
        <v>4</v>
      </c>
      <c r="B82" s="598" t="s">
        <v>190</v>
      </c>
      <c r="C82" s="599" t="s">
        <v>353</v>
      </c>
      <c r="E82" s="597" t="s">
        <v>4</v>
      </c>
      <c r="F82" s="600" t="s">
        <v>383</v>
      </c>
      <c r="G82" s="601" t="s">
        <v>379</v>
      </c>
      <c r="H82" s="599" t="s">
        <v>366</v>
      </c>
      <c r="P82" s="622"/>
      <c r="Q82" s="597" t="s">
        <v>4</v>
      </c>
      <c r="R82" s="598" t="s">
        <v>365</v>
      </c>
      <c r="S82" s="603" t="s">
        <v>366</v>
      </c>
      <c r="T82" s="599" t="s">
        <v>9</v>
      </c>
    </row>
    <row r="83" customFormat="false" ht="13.5" hidden="false" customHeight="false" outlineLevel="0" collapsed="false">
      <c r="A83" s="604" t="s">
        <v>64</v>
      </c>
      <c r="B83" s="605" t="n">
        <f aca="false">0</f>
        <v>0</v>
      </c>
      <c r="C83" s="606" t="n">
        <f aca="false">B83/(1+Discount_Rate)^0</f>
        <v>0</v>
      </c>
      <c r="E83" s="604" t="s">
        <v>64</v>
      </c>
      <c r="F83" s="605" t="n">
        <f aca="false">'Fuel &amp; Emission'!N6</f>
        <v>0</v>
      </c>
      <c r="G83" s="607" t="n">
        <f aca="false">SUM(F83)</f>
        <v>0</v>
      </c>
      <c r="H83" s="606" t="n">
        <f aca="false">G83/(1+Discount_Rate)^0</f>
        <v>0</v>
      </c>
      <c r="P83" s="622"/>
      <c r="Q83" s="604" t="s">
        <v>64</v>
      </c>
      <c r="R83" s="605" t="n">
        <f aca="false">C83</f>
        <v>0</v>
      </c>
      <c r="S83" s="607" t="n">
        <f aca="false">H83</f>
        <v>0</v>
      </c>
      <c r="T83" s="606" t="n">
        <f aca="false">S83-R83</f>
        <v>0</v>
      </c>
    </row>
    <row r="84" customFormat="false" ht="12.75" hidden="false" customHeight="false" outlineLevel="0" collapsed="false">
      <c r="A84" s="604" t="n">
        <v>1</v>
      </c>
      <c r="B84" s="605" t="n">
        <f aca="false">0</f>
        <v>0</v>
      </c>
      <c r="C84" s="606" t="n">
        <f aca="false">B84/(1+Discount_Rate)^A84</f>
        <v>0</v>
      </c>
      <c r="E84" s="604" t="n">
        <v>1</v>
      </c>
      <c r="F84" s="605" t="n">
        <f aca="false">'Fuel &amp; Emission'!N7</f>
        <v>465.251582552858</v>
      </c>
      <c r="G84" s="608" t="n">
        <f aca="false">SUM(F84)</f>
        <v>465.251582552858</v>
      </c>
      <c r="H84" s="606" t="n">
        <f aca="false">G84/(1+Discount_Rate)^E84</f>
        <v>451.700565585299</v>
      </c>
      <c r="P84" s="622"/>
      <c r="Q84" s="604" t="n">
        <v>1</v>
      </c>
      <c r="R84" s="605" t="n">
        <f aca="false">C84</f>
        <v>0</v>
      </c>
      <c r="S84" s="608" t="n">
        <f aca="false">H84</f>
        <v>451.700565585299</v>
      </c>
      <c r="T84" s="606" t="n">
        <f aca="false">S84-R84</f>
        <v>451.700565585299</v>
      </c>
    </row>
    <row r="85" customFormat="false" ht="12.75" hidden="false" customHeight="false" outlineLevel="0" collapsed="false">
      <c r="A85" s="604" t="n">
        <v>2</v>
      </c>
      <c r="B85" s="605" t="n">
        <f aca="false">0</f>
        <v>0</v>
      </c>
      <c r="C85" s="606" t="n">
        <f aca="false">B85/(1+Discount_Rate)^A85</f>
        <v>0</v>
      </c>
      <c r="E85" s="604" t="n">
        <v>2</v>
      </c>
      <c r="F85" s="605" t="n">
        <f aca="false">'Fuel &amp; Emission'!N8</f>
        <v>956.528198195939</v>
      </c>
      <c r="G85" s="608" t="n">
        <f aca="false">SUM(F85)</f>
        <v>956.528198195939</v>
      </c>
      <c r="H85" s="606" t="n">
        <f aca="false">G85/(1+Discount_Rate)^E85</f>
        <v>901.619566590573</v>
      </c>
      <c r="P85" s="622"/>
      <c r="Q85" s="604" t="n">
        <v>2</v>
      </c>
      <c r="R85" s="605" t="n">
        <f aca="false">C85</f>
        <v>0</v>
      </c>
      <c r="S85" s="608" t="n">
        <f aca="false">H85</f>
        <v>901.619566590573</v>
      </c>
      <c r="T85" s="606" t="n">
        <f aca="false">S85-R85</f>
        <v>901.619566590573</v>
      </c>
    </row>
    <row r="86" customFormat="false" ht="12.75" hidden="false" customHeight="false" outlineLevel="0" collapsed="false">
      <c r="A86" s="604" t="n">
        <v>3</v>
      </c>
      <c r="B86" s="605" t="n">
        <f aca="false">0</f>
        <v>0</v>
      </c>
      <c r="C86" s="606" t="n">
        <f aca="false">B86/(1+Discount_Rate)^A86</f>
        <v>0</v>
      </c>
      <c r="E86" s="604" t="n">
        <v>3</v>
      </c>
      <c r="F86" s="605" t="n">
        <f aca="false">'Fuel &amp; Emission'!N9</f>
        <v>1389.345463228</v>
      </c>
      <c r="G86" s="608" t="n">
        <f aca="false">SUM(F86)</f>
        <v>1389.345463228</v>
      </c>
      <c r="H86" s="606" t="n">
        <f aca="false">G86/(1+Discount_Rate)^E86</f>
        <v>1271.44791263326</v>
      </c>
      <c r="P86" s="622"/>
      <c r="Q86" s="604" t="n">
        <v>3</v>
      </c>
      <c r="R86" s="605" t="n">
        <f aca="false">C86</f>
        <v>0</v>
      </c>
      <c r="S86" s="608" t="n">
        <f aca="false">H86</f>
        <v>1271.44791263326</v>
      </c>
      <c r="T86" s="606" t="n">
        <f aca="false">S86-R86</f>
        <v>1271.44791263326</v>
      </c>
    </row>
    <row r="87" customFormat="false" ht="12.75" hidden="false" customHeight="false" outlineLevel="0" collapsed="false">
      <c r="A87" s="604" t="n">
        <v>4</v>
      </c>
      <c r="B87" s="605" t="n">
        <f aca="false">0</f>
        <v>0</v>
      </c>
      <c r="C87" s="606" t="n">
        <f aca="false">B87/(1+Discount_Rate)^A87</f>
        <v>0</v>
      </c>
      <c r="E87" s="604" t="n">
        <v>4</v>
      </c>
      <c r="F87" s="605" t="n">
        <f aca="false">'Fuel &amp; Emission'!N10</f>
        <v>1876.01593542123</v>
      </c>
      <c r="G87" s="608" t="n">
        <f aca="false">SUM(F87)</f>
        <v>1876.01593542123</v>
      </c>
      <c r="H87" s="606" t="n">
        <f aca="false">G87/(1+Discount_Rate)^E87</f>
        <v>1666.8158603052</v>
      </c>
      <c r="P87" s="622"/>
      <c r="Q87" s="604" t="n">
        <v>4</v>
      </c>
      <c r="R87" s="605" t="n">
        <f aca="false">C87</f>
        <v>0</v>
      </c>
      <c r="S87" s="608" t="n">
        <f aca="false">H87</f>
        <v>1666.8158603052</v>
      </c>
      <c r="T87" s="606" t="n">
        <f aca="false">S87-R87</f>
        <v>1666.8158603052</v>
      </c>
    </row>
    <row r="88" customFormat="false" ht="12.75" hidden="false" customHeight="false" outlineLevel="0" collapsed="false">
      <c r="A88" s="604" t="n">
        <v>5</v>
      </c>
      <c r="B88" s="605" t="n">
        <f aca="false">0</f>
        <v>0</v>
      </c>
      <c r="C88" s="606" t="n">
        <f aca="false">B88/(1+Discount_Rate)^A88</f>
        <v>0</v>
      </c>
      <c r="E88" s="604" t="n">
        <v>5</v>
      </c>
      <c r="F88" s="605" t="n">
        <f aca="false">'Fuel &amp; Emission'!N11</f>
        <v>2344.6733921549</v>
      </c>
      <c r="G88" s="608" t="n">
        <f aca="false">SUM(F88)</f>
        <v>2344.6733921549</v>
      </c>
      <c r="H88" s="606" t="n">
        <f aca="false">G88/(1+Discount_Rate)^E88</f>
        <v>2022.53586458463</v>
      </c>
      <c r="P88" s="622"/>
      <c r="Q88" s="604" t="n">
        <v>5</v>
      </c>
      <c r="R88" s="605" t="n">
        <f aca="false">C88</f>
        <v>0</v>
      </c>
      <c r="S88" s="608" t="n">
        <f aca="false">H88</f>
        <v>2022.53586458463</v>
      </c>
      <c r="T88" s="606" t="n">
        <f aca="false">S88-R88</f>
        <v>2022.53586458463</v>
      </c>
    </row>
    <row r="89" customFormat="false" ht="12.75" hidden="false" customHeight="false" outlineLevel="0" collapsed="false">
      <c r="A89" s="604" t="n">
        <v>6</v>
      </c>
      <c r="B89" s="605" t="n">
        <f aca="false">0</f>
        <v>0</v>
      </c>
      <c r="C89" s="606" t="n">
        <f aca="false">B89/(1+Discount_Rate)^A89</f>
        <v>0</v>
      </c>
      <c r="E89" s="604" t="n">
        <v>6</v>
      </c>
      <c r="F89" s="605" t="n">
        <f aca="false">'Fuel &amp; Emission'!N12</f>
        <v>2788.2496879025</v>
      </c>
      <c r="G89" s="608" t="n">
        <f aca="false">SUM(F89)</f>
        <v>2788.2496879025</v>
      </c>
      <c r="H89" s="606" t="n">
        <f aca="false">G89/(1+Discount_Rate)^E89</f>
        <v>2335.11521732146</v>
      </c>
      <c r="P89" s="622"/>
      <c r="Q89" s="604" t="n">
        <v>6</v>
      </c>
      <c r="R89" s="605" t="n">
        <f aca="false">C89</f>
        <v>0</v>
      </c>
      <c r="S89" s="608" t="n">
        <f aca="false">H89</f>
        <v>2335.11521732146</v>
      </c>
      <c r="T89" s="606" t="n">
        <f aca="false">S89-R89</f>
        <v>2335.11521732146</v>
      </c>
    </row>
    <row r="90" customFormat="false" ht="12.75" hidden="false" customHeight="false" outlineLevel="0" collapsed="false">
      <c r="A90" s="604" t="n">
        <v>7</v>
      </c>
      <c r="B90" s="605" t="n">
        <f aca="false">0</f>
        <v>0</v>
      </c>
      <c r="C90" s="606" t="n">
        <f aca="false">B90/(1+Discount_Rate)^A90</f>
        <v>0</v>
      </c>
      <c r="E90" s="604" t="n">
        <v>7</v>
      </c>
      <c r="F90" s="605" t="n">
        <f aca="false">'Fuel &amp; Emission'!N13</f>
        <v>3274.15865489517</v>
      </c>
      <c r="G90" s="608" t="n">
        <f aca="false">SUM(F90)</f>
        <v>3274.15865489517</v>
      </c>
      <c r="H90" s="606" t="n">
        <f aca="false">G90/(1+Discount_Rate)^E90</f>
        <v>2662.19060908664</v>
      </c>
      <c r="P90" s="622"/>
      <c r="Q90" s="604" t="n">
        <v>7</v>
      </c>
      <c r="R90" s="605" t="n">
        <f aca="false">C90</f>
        <v>0</v>
      </c>
      <c r="S90" s="608" t="n">
        <f aca="false">H90</f>
        <v>2662.19060908664</v>
      </c>
      <c r="T90" s="606" t="n">
        <f aca="false">S90-R90</f>
        <v>2662.19060908664</v>
      </c>
    </row>
    <row r="91" customFormat="false" ht="12.75" hidden="false" customHeight="false" outlineLevel="0" collapsed="false">
      <c r="A91" s="604" t="n">
        <v>8</v>
      </c>
      <c r="B91" s="605" t="n">
        <f aca="false">0</f>
        <v>0</v>
      </c>
      <c r="C91" s="606" t="n">
        <f aca="false">B91/(1+Discount_Rate)^A91</f>
        <v>0</v>
      </c>
      <c r="E91" s="604" t="n">
        <v>8</v>
      </c>
      <c r="F91" s="605" t="n">
        <f aca="false">'Fuel &amp; Emission'!N14</f>
        <v>3754.39007462201</v>
      </c>
      <c r="G91" s="608" t="n">
        <f aca="false">SUM(F91)</f>
        <v>3754.39007462201</v>
      </c>
      <c r="H91" s="606" t="n">
        <f aca="false">G91/(1+Discount_Rate)^E91</f>
        <v>2963.7501941232</v>
      </c>
      <c r="P91" s="622"/>
      <c r="Q91" s="604" t="n">
        <v>8</v>
      </c>
      <c r="R91" s="605" t="n">
        <f aca="false">C91</f>
        <v>0</v>
      </c>
      <c r="S91" s="608" t="n">
        <f aca="false">H91</f>
        <v>2963.7501941232</v>
      </c>
      <c r="T91" s="606" t="n">
        <f aca="false">S91-R91</f>
        <v>2963.7501941232</v>
      </c>
    </row>
    <row r="92" customFormat="false" ht="12.75" hidden="false" customHeight="false" outlineLevel="0" collapsed="false">
      <c r="A92" s="604" t="n">
        <v>9</v>
      </c>
      <c r="B92" s="605" t="n">
        <f aca="false">0</f>
        <v>0</v>
      </c>
      <c r="C92" s="606" t="n">
        <f aca="false">B92/(1+Discount_Rate)^A92</f>
        <v>0</v>
      </c>
      <c r="E92" s="604" t="n">
        <v>9</v>
      </c>
      <c r="F92" s="605" t="n">
        <f aca="false">'Fuel &amp; Emission'!N15</f>
        <v>4227.52087626666</v>
      </c>
      <c r="G92" s="608" t="n">
        <f aca="false">SUM(F92)</f>
        <v>4227.52087626666</v>
      </c>
      <c r="H92" s="606" t="n">
        <f aca="false">G92/(1+Discount_Rate)^E92</f>
        <v>3240.04273590276</v>
      </c>
      <c r="P92" s="622"/>
      <c r="Q92" s="604" t="n">
        <v>9</v>
      </c>
      <c r="R92" s="605" t="n">
        <f aca="false">C92</f>
        <v>0</v>
      </c>
      <c r="S92" s="608" t="n">
        <f aca="false">H92</f>
        <v>3240.04273590276</v>
      </c>
      <c r="T92" s="606" t="n">
        <f aca="false">S92-R92</f>
        <v>3240.04273590276</v>
      </c>
    </row>
    <row r="93" customFormat="false" ht="12.75" hidden="false" customHeight="false" outlineLevel="0" collapsed="false">
      <c r="A93" s="604" t="n">
        <v>10</v>
      </c>
      <c r="B93" s="605" t="n">
        <f aca="false">0</f>
        <v>0</v>
      </c>
      <c r="C93" s="606" t="n">
        <f aca="false">B93/(1+Discount_Rate)^A93</f>
        <v>0</v>
      </c>
      <c r="E93" s="604" t="n">
        <v>10</v>
      </c>
      <c r="F93" s="605" t="n">
        <f aca="false">'Fuel &amp; Emission'!N16</f>
        <v>4724.58262029179</v>
      </c>
      <c r="G93" s="608" t="n">
        <f aca="false">SUM(F93)</f>
        <v>4724.58262029179</v>
      </c>
      <c r="H93" s="606" t="n">
        <f aca="false">G93/(1+Discount_Rate)^E93</f>
        <v>3515.53317818594</v>
      </c>
      <c r="P93" s="622"/>
      <c r="Q93" s="604" t="n">
        <v>10</v>
      </c>
      <c r="R93" s="605" t="n">
        <f aca="false">C93</f>
        <v>0</v>
      </c>
      <c r="S93" s="608" t="n">
        <f aca="false">H93</f>
        <v>3515.53317818594</v>
      </c>
      <c r="T93" s="606" t="n">
        <f aca="false">S93-R93</f>
        <v>3515.53317818594</v>
      </c>
    </row>
    <row r="94" customFormat="false" ht="12.75" hidden="false" customHeight="false" outlineLevel="0" collapsed="false">
      <c r="A94" s="604" t="n">
        <v>11</v>
      </c>
      <c r="B94" s="605" t="n">
        <f aca="false">0</f>
        <v>0</v>
      </c>
      <c r="C94" s="606" t="n">
        <f aca="false">B94/(1+Discount_Rate)^A94</f>
        <v>0</v>
      </c>
      <c r="E94" s="604" t="n">
        <v>11</v>
      </c>
      <c r="F94" s="605" t="n">
        <f aca="false">'Fuel &amp; Emission'!N17</f>
        <v>5216.92916803877</v>
      </c>
      <c r="G94" s="608" t="n">
        <f aca="false">SUM(F94)</f>
        <v>5216.92916803877</v>
      </c>
      <c r="H94" s="606" t="n">
        <f aca="false">G94/(1+Discount_Rate)^E94</f>
        <v>3768.82062949988</v>
      </c>
      <c r="P94" s="622"/>
      <c r="Q94" s="604" t="n">
        <v>11</v>
      </c>
      <c r="R94" s="605" t="n">
        <f aca="false">C94</f>
        <v>0</v>
      </c>
      <c r="S94" s="608" t="n">
        <f aca="false">H94</f>
        <v>3768.82062949988</v>
      </c>
      <c r="T94" s="606" t="n">
        <f aca="false">S94-R94</f>
        <v>3768.82062949988</v>
      </c>
    </row>
    <row r="95" customFormat="false" ht="12.75" hidden="false" customHeight="false" outlineLevel="0" collapsed="false">
      <c r="A95" s="604" t="n">
        <v>12</v>
      </c>
      <c r="B95" s="605" t="n">
        <f aca="false">0</f>
        <v>0</v>
      </c>
      <c r="C95" s="606" t="n">
        <f aca="false">B95/(1+Discount_Rate)^A95</f>
        <v>0</v>
      </c>
      <c r="E95" s="604" t="n">
        <v>12</v>
      </c>
      <c r="F95" s="605" t="n">
        <f aca="false">'Fuel &amp; Emission'!N18</f>
        <v>5706.81177843084</v>
      </c>
      <c r="G95" s="608" t="n">
        <f aca="false">SUM(F95)</f>
        <v>5706.81177843084</v>
      </c>
      <c r="H95" s="606" t="n">
        <f aca="false">G95/(1+Discount_Rate)^E95</f>
        <v>4002.64296143967</v>
      </c>
      <c r="P95" s="622"/>
      <c r="Q95" s="604" t="n">
        <v>12</v>
      </c>
      <c r="R95" s="605" t="n">
        <f aca="false">C95</f>
        <v>0</v>
      </c>
      <c r="S95" s="608" t="n">
        <f aca="false">H95</f>
        <v>4002.64296143967</v>
      </c>
      <c r="T95" s="606" t="n">
        <f aca="false">S95-R95</f>
        <v>4002.64296143967</v>
      </c>
    </row>
    <row r="96" customFormat="false" ht="12.75" hidden="false" customHeight="false" outlineLevel="0" collapsed="false">
      <c r="A96" s="604" t="n">
        <v>13</v>
      </c>
      <c r="B96" s="605" t="n">
        <f aca="false">0</f>
        <v>0</v>
      </c>
      <c r="C96" s="606" t="n">
        <f aca="false">B96/(1+Discount_Rate)^A96</f>
        <v>0</v>
      </c>
      <c r="E96" s="604" t="n">
        <v>13</v>
      </c>
      <c r="F96" s="605" t="n">
        <f aca="false">'Fuel &amp; Emission'!N19</f>
        <v>6199.3365548336</v>
      </c>
      <c r="G96" s="608" t="n">
        <f aca="false">SUM(F96)</f>
        <v>6199.3365548336</v>
      </c>
      <c r="H96" s="606" t="n">
        <f aca="false">G96/(1+Discount_Rate)^E96</f>
        <v>4221.44653408263</v>
      </c>
      <c r="P96" s="622"/>
      <c r="Q96" s="604" t="n">
        <v>13</v>
      </c>
      <c r="R96" s="605" t="n">
        <f aca="false">C96</f>
        <v>0</v>
      </c>
      <c r="S96" s="608" t="n">
        <f aca="false">H96</f>
        <v>4221.44653408263</v>
      </c>
      <c r="T96" s="606" t="n">
        <f aca="false">S96-R96</f>
        <v>4221.44653408263</v>
      </c>
    </row>
    <row r="97" customFormat="false" ht="12.75" hidden="false" customHeight="false" outlineLevel="0" collapsed="false">
      <c r="A97" s="604" t="n">
        <v>14</v>
      </c>
      <c r="B97" s="605" t="n">
        <f aca="false">0</f>
        <v>0</v>
      </c>
      <c r="C97" s="606" t="n">
        <f aca="false">B97/(1+Discount_Rate)^A97</f>
        <v>0</v>
      </c>
      <c r="E97" s="604" t="n">
        <v>14</v>
      </c>
      <c r="F97" s="605" t="n">
        <f aca="false">'Fuel &amp; Emission'!N20</f>
        <v>6678.6298888431</v>
      </c>
      <c r="G97" s="608" t="n">
        <f aca="false">SUM(F97)</f>
        <v>6678.6298888431</v>
      </c>
      <c r="H97" s="606" t="n">
        <f aca="false">G97/(1+Discount_Rate)^E97</f>
        <v>4415.36113798659</v>
      </c>
      <c r="P97" s="622"/>
      <c r="Q97" s="604" t="n">
        <v>14</v>
      </c>
      <c r="R97" s="605" t="n">
        <f aca="false">C97</f>
        <v>0</v>
      </c>
      <c r="S97" s="608" t="n">
        <f aca="false">H97</f>
        <v>4415.36113798659</v>
      </c>
      <c r="T97" s="606" t="n">
        <f aca="false">S97-R97</f>
        <v>4415.36113798659</v>
      </c>
    </row>
    <row r="98" customFormat="false" ht="12.75" hidden="false" customHeight="false" outlineLevel="0" collapsed="false">
      <c r="A98" s="604" t="n">
        <v>15</v>
      </c>
      <c r="B98" s="605" t="n">
        <f aca="false">0</f>
        <v>0</v>
      </c>
      <c r="C98" s="606" t="n">
        <f aca="false">B98/(1+Discount_Rate)^A98</f>
        <v>0</v>
      </c>
      <c r="E98" s="604" t="n">
        <v>15</v>
      </c>
      <c r="F98" s="605" t="n">
        <f aca="false">'Fuel &amp; Emission'!N21</f>
        <v>7156.0632357157</v>
      </c>
      <c r="G98" s="608" t="n">
        <f aca="false">SUM(F98)</f>
        <v>7156.0632357157</v>
      </c>
      <c r="H98" s="606" t="n">
        <f aca="false">G98/(1+Discount_Rate)^E98</f>
        <v>4593.20468417053</v>
      </c>
      <c r="P98" s="622"/>
      <c r="Q98" s="604" t="n">
        <v>15</v>
      </c>
      <c r="R98" s="605" t="n">
        <f aca="false">C98</f>
        <v>0</v>
      </c>
      <c r="S98" s="608" t="n">
        <f aca="false">H98</f>
        <v>4593.20468417053</v>
      </c>
      <c r="T98" s="606" t="n">
        <f aca="false">S98-R98</f>
        <v>4593.20468417053</v>
      </c>
    </row>
    <row r="99" customFormat="false" ht="12.75" hidden="false" customHeight="false" outlineLevel="0" collapsed="false">
      <c r="A99" s="604" t="n">
        <v>16</v>
      </c>
      <c r="B99" s="605" t="n">
        <f aca="false">0</f>
        <v>0</v>
      </c>
      <c r="C99" s="606" t="n">
        <f aca="false">B99/(1+Discount_Rate)^A99</f>
        <v>0</v>
      </c>
      <c r="E99" s="604" t="n">
        <v>16</v>
      </c>
      <c r="F99" s="605" t="n">
        <f aca="false">'Fuel &amp; Emission'!N22</f>
        <v>7616.42816160168</v>
      </c>
      <c r="G99" s="608" t="n">
        <f aca="false">SUM(F99)</f>
        <v>7616.42816160168</v>
      </c>
      <c r="H99" s="606" t="n">
        <f aca="false">G99/(1+Discount_Rate)^E99</f>
        <v>4746.3062252552</v>
      </c>
      <c r="P99" s="622"/>
      <c r="Q99" s="604" t="n">
        <v>16</v>
      </c>
      <c r="R99" s="605" t="n">
        <f aca="false">C99</f>
        <v>0</v>
      </c>
      <c r="S99" s="608" t="n">
        <f aca="false">H99</f>
        <v>4746.3062252552</v>
      </c>
      <c r="T99" s="606" t="n">
        <f aca="false">S99-R99</f>
        <v>4746.3062252552</v>
      </c>
    </row>
    <row r="100" customFormat="false" ht="12.75" hidden="false" customHeight="false" outlineLevel="0" collapsed="false">
      <c r="A100" s="604" t="n">
        <v>17</v>
      </c>
      <c r="B100" s="605" t="n">
        <f aca="false">0</f>
        <v>0</v>
      </c>
      <c r="C100" s="606" t="n">
        <f aca="false">B100/(1+Discount_Rate)^A100</f>
        <v>0</v>
      </c>
      <c r="E100" s="604" t="n">
        <v>17</v>
      </c>
      <c r="F100" s="605" t="n">
        <f aca="false">'Fuel &amp; Emission'!N23</f>
        <v>8060.85605933056</v>
      </c>
      <c r="G100" s="608" t="n">
        <f aca="false">SUM(F100)</f>
        <v>8060.85605933056</v>
      </c>
      <c r="H100" s="606" t="n">
        <f aca="false">G100/(1+Discount_Rate)^E100</f>
        <v>4876.95048348246</v>
      </c>
      <c r="P100" s="622"/>
      <c r="Q100" s="604" t="n">
        <v>17</v>
      </c>
      <c r="R100" s="605" t="n">
        <f aca="false">C100</f>
        <v>0</v>
      </c>
      <c r="S100" s="608" t="n">
        <f aca="false">H100</f>
        <v>4876.95048348246</v>
      </c>
      <c r="T100" s="606" t="n">
        <f aca="false">S100-R100</f>
        <v>4876.95048348246</v>
      </c>
    </row>
    <row r="101" customFormat="false" ht="12.75" hidden="false" customHeight="false" outlineLevel="0" collapsed="false">
      <c r="A101" s="604" t="n">
        <v>18</v>
      </c>
      <c r="B101" s="605" t="n">
        <f aca="false">0</f>
        <v>0</v>
      </c>
      <c r="C101" s="606" t="n">
        <f aca="false">B101/(1+Discount_Rate)^A101</f>
        <v>0</v>
      </c>
      <c r="E101" s="604" t="n">
        <v>18</v>
      </c>
      <c r="F101" s="605" t="n">
        <f aca="false">'Fuel &amp; Emission'!N24</f>
        <v>8490.56218085276</v>
      </c>
      <c r="G101" s="608" t="n">
        <f aca="false">SUM(F101)</f>
        <v>8490.56218085276</v>
      </c>
      <c r="H101" s="606" t="n">
        <f aca="false">G101/(1+Discount_Rate)^E101</f>
        <v>4987.31044066365</v>
      </c>
      <c r="P101" s="622"/>
      <c r="Q101" s="604" t="n">
        <v>18</v>
      </c>
      <c r="R101" s="605" t="n">
        <f aca="false">C101</f>
        <v>0</v>
      </c>
      <c r="S101" s="608" t="n">
        <f aca="false">H101</f>
        <v>4987.31044066365</v>
      </c>
      <c r="T101" s="606" t="n">
        <f aca="false">S101-R101</f>
        <v>4987.31044066365</v>
      </c>
    </row>
    <row r="102" customFormat="false" ht="12.75" hidden="false" customHeight="false" outlineLevel="0" collapsed="false">
      <c r="A102" s="604" t="n">
        <v>19</v>
      </c>
      <c r="B102" s="605" t="n">
        <f aca="false">0</f>
        <v>0</v>
      </c>
      <c r="C102" s="606" t="n">
        <f aca="false">B102/(1+Discount_Rate)^A102</f>
        <v>0</v>
      </c>
      <c r="E102" s="604" t="n">
        <v>19</v>
      </c>
      <c r="F102" s="605" t="n">
        <f aca="false">'Fuel &amp; Emission'!N25</f>
        <v>8898.61709851114</v>
      </c>
      <c r="G102" s="608" t="n">
        <f aca="false">SUM(F102)</f>
        <v>8898.61709851114</v>
      </c>
      <c r="H102" s="606" t="n">
        <f aca="false">G102/(1+Discount_Rate)^E102</f>
        <v>5074.75698923057</v>
      </c>
      <c r="P102" s="622"/>
      <c r="Q102" s="604" t="n">
        <v>19</v>
      </c>
      <c r="R102" s="605" t="n">
        <f aca="false">C102</f>
        <v>0</v>
      </c>
      <c r="S102" s="608" t="n">
        <f aca="false">H102</f>
        <v>5074.75698923057</v>
      </c>
      <c r="T102" s="606" t="n">
        <f aca="false">S102-R102</f>
        <v>5074.75698923057</v>
      </c>
    </row>
    <row r="103" customFormat="false" ht="13.5" hidden="false" customHeight="false" outlineLevel="0" collapsed="false">
      <c r="A103" s="610" t="n">
        <v>20</v>
      </c>
      <c r="B103" s="611" t="n">
        <f aca="false">0</f>
        <v>0</v>
      </c>
      <c r="C103" s="612" t="n">
        <f aca="false">B103/(1+Discount_Rate)^A103</f>
        <v>0</v>
      </c>
      <c r="E103" s="610" t="n">
        <v>20</v>
      </c>
      <c r="F103" s="611" t="n">
        <f aca="false">'Fuel &amp; Emission'!N26</f>
        <v>9294.0040464763</v>
      </c>
      <c r="G103" s="613" t="n">
        <f aca="false">SUM(F103)</f>
        <v>9294.0040464763</v>
      </c>
      <c r="H103" s="612" t="n">
        <f aca="false">G103/(1+Discount_Rate)^E103</f>
        <v>5145.86469984361</v>
      </c>
      <c r="P103" s="622"/>
      <c r="Q103" s="610" t="n">
        <v>20</v>
      </c>
      <c r="R103" s="611" t="n">
        <f aca="false">C103</f>
        <v>0</v>
      </c>
      <c r="S103" s="613" t="n">
        <f aca="false">H103</f>
        <v>5145.86469984361</v>
      </c>
      <c r="T103" s="612" t="n">
        <f aca="false">S103-R103</f>
        <v>5145.86469984361</v>
      </c>
    </row>
    <row r="104" customFormat="false" ht="14.25" hidden="false" customHeight="false" outlineLevel="0" collapsed="false">
      <c r="E104" s="2" t="s">
        <v>384</v>
      </c>
      <c r="P104" s="622"/>
      <c r="Q104" s="615" t="s">
        <v>60</v>
      </c>
      <c r="R104" s="617" t="n">
        <f aca="false">SUM(R83:R103)</f>
        <v>0</v>
      </c>
      <c r="S104" s="617" t="n">
        <f aca="false">SUM(S83:S103)</f>
        <v>66863.4164899738</v>
      </c>
      <c r="T104" s="621" t="n">
        <f aca="false">SUM(T83:T103)</f>
        <v>66863.4164899738</v>
      </c>
    </row>
    <row r="105" customFormat="false" ht="13.5" hidden="false" customHeight="false" outlineLevel="0" collapsed="false">
      <c r="O105" s="622"/>
    </row>
    <row r="106" customFormat="false" ht="12.75" hidden="false" customHeight="false" outlineLevel="0" collapsed="false">
      <c r="O106" s="622"/>
    </row>
    <row r="107" customFormat="false" ht="12.75" hidden="false" customHeight="false" outlineLevel="0" collapsed="false">
      <c r="O107" s="622"/>
    </row>
    <row r="108" customFormat="false" ht="12.75" hidden="false" customHeight="false" outlineLevel="0" collapsed="false">
      <c r="O108" s="622"/>
    </row>
    <row r="109" customFormat="false" ht="12.75" hidden="false" customHeight="false" outlineLevel="0" collapsed="false">
      <c r="O109" s="622"/>
    </row>
    <row r="110" customFormat="false" ht="12.75" hidden="false" customHeight="false" outlineLevel="0" collapsed="false">
      <c r="N110" s="62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30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I12" activeCellId="0" sqref="I12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80" width="5.56"/>
    <col collapsed="false" customWidth="true" hidden="false" outlineLevel="0" max="2" min="2" style="80" width="8.7"/>
    <col collapsed="false" customWidth="true" hidden="false" outlineLevel="0" max="3" min="3" style="80" width="10.85"/>
    <col collapsed="false" customWidth="true" hidden="false" outlineLevel="0" max="4" min="4" style="80" width="18.14"/>
    <col collapsed="false" customWidth="true" hidden="false" outlineLevel="0" max="5" min="5" style="80" width="8.28"/>
    <col collapsed="false" customWidth="true" hidden="false" outlineLevel="0" max="6" min="6" style="80" width="10.85"/>
    <col collapsed="false" customWidth="true" hidden="false" outlineLevel="0" max="7" min="7" style="80" width="10.56"/>
    <col collapsed="false" customWidth="true" hidden="false" outlineLevel="0" max="8" min="8" style="80" width="9.85"/>
    <col collapsed="false" customWidth="true" hidden="false" outlineLevel="0" max="9" min="9" style="80" width="17.85"/>
    <col collapsed="false" customWidth="true" hidden="false" outlineLevel="0" max="10" min="10" style="80" width="8.41"/>
    <col collapsed="false" customWidth="true" hidden="false" outlineLevel="0" max="11" min="11" style="80" width="9.85"/>
    <col collapsed="false" customWidth="true" hidden="false" outlineLevel="0" max="12" min="12" style="80" width="11.28"/>
    <col collapsed="false" customWidth="true" hidden="false" outlineLevel="0" max="13" min="13" style="80" width="7.42"/>
    <col collapsed="false" customWidth="true" hidden="false" outlineLevel="0" max="14" min="14" style="80" width="11.7"/>
    <col collapsed="false" customWidth="true" hidden="false" outlineLevel="0" max="15" min="15" style="80" width="21.28"/>
    <col collapsed="false" customWidth="true" hidden="false" outlineLevel="0" max="16" min="16" style="80" width="21.13"/>
    <col collapsed="false" customWidth="true" hidden="false" outlineLevel="0" max="17" min="17" style="80" width="10.71"/>
    <col collapsed="false" customWidth="true" hidden="false" outlineLevel="0" max="18" min="18" style="80" width="11.7"/>
    <col collapsed="false" customWidth="true" hidden="false" outlineLevel="0" max="19" min="19" style="80" width="12.7"/>
    <col collapsed="false" customWidth="true" hidden="false" outlineLevel="0" max="20" min="20" style="80" width="2.7"/>
    <col collapsed="false" customWidth="false" hidden="false" outlineLevel="0" max="257" min="21" style="80" width="9.14"/>
  </cols>
  <sheetData>
    <row r="2" customFormat="false" ht="12.75" hidden="false" customHeight="false" outlineLevel="0" collapsed="false">
      <c r="F2" s="623" t="s">
        <v>385</v>
      </c>
    </row>
    <row r="3" customFormat="false" ht="15" hidden="false" customHeight="true" outlineLevel="0" collapsed="false">
      <c r="F3" s="624"/>
      <c r="G3" s="624"/>
      <c r="H3" s="624"/>
    </row>
    <row r="4" customFormat="false" ht="13.5" hidden="false" customHeight="true" outlineLevel="0" collapsed="false">
      <c r="A4" s="625" t="s">
        <v>4</v>
      </c>
      <c r="B4" s="626" t="s">
        <v>303</v>
      </c>
      <c r="C4" s="626"/>
      <c r="D4" s="626"/>
      <c r="E4" s="626"/>
      <c r="F4" s="626"/>
      <c r="G4" s="627" t="s">
        <v>304</v>
      </c>
      <c r="H4" s="627"/>
      <c r="I4" s="627"/>
      <c r="J4" s="627"/>
      <c r="K4" s="627"/>
      <c r="L4" s="628" t="s">
        <v>386</v>
      </c>
      <c r="M4" s="629"/>
      <c r="N4" s="629"/>
      <c r="O4" s="629"/>
      <c r="P4" s="629"/>
      <c r="Q4" s="629"/>
      <c r="R4" s="629"/>
      <c r="S4" s="629"/>
      <c r="T4" s="629"/>
      <c r="U4" s="629"/>
      <c r="V4" s="629"/>
      <c r="W4" s="629"/>
      <c r="X4" s="629"/>
      <c r="Y4" s="629"/>
      <c r="Z4" s="629"/>
      <c r="AA4" s="629"/>
      <c r="AB4" s="629"/>
      <c r="AC4" s="629"/>
      <c r="AD4" s="629"/>
      <c r="AE4" s="629"/>
      <c r="AF4" s="629"/>
      <c r="AG4" s="629"/>
      <c r="AH4" s="629"/>
      <c r="AI4" s="629"/>
      <c r="AJ4" s="629"/>
      <c r="AK4" s="629"/>
      <c r="AL4" s="629"/>
      <c r="AM4" s="629"/>
      <c r="AN4" s="629"/>
      <c r="AO4" s="629"/>
      <c r="AP4" s="629"/>
      <c r="AQ4" s="629"/>
      <c r="AR4" s="629"/>
      <c r="AS4" s="629"/>
      <c r="AT4" s="629"/>
      <c r="AU4" s="629"/>
      <c r="AV4" s="629"/>
      <c r="AW4" s="629"/>
      <c r="AX4" s="629"/>
      <c r="AY4" s="629"/>
      <c r="AZ4" s="629"/>
      <c r="BA4" s="629"/>
      <c r="BB4" s="629"/>
      <c r="BC4" s="629"/>
      <c r="BD4" s="629"/>
      <c r="BE4" s="629"/>
      <c r="BF4" s="629"/>
      <c r="BG4" s="629"/>
      <c r="BH4" s="629"/>
      <c r="BI4" s="629"/>
      <c r="BJ4" s="629"/>
      <c r="BK4" s="629"/>
      <c r="BL4" s="629"/>
      <c r="BM4" s="629"/>
      <c r="BN4" s="629"/>
      <c r="BO4" s="629"/>
      <c r="BP4" s="629"/>
      <c r="BQ4" s="629"/>
      <c r="BR4" s="629"/>
      <c r="BS4" s="629"/>
      <c r="BT4" s="629"/>
      <c r="BU4" s="629"/>
      <c r="BV4" s="629"/>
      <c r="BW4" s="629"/>
      <c r="BX4" s="629"/>
      <c r="BY4" s="629"/>
      <c r="BZ4" s="629"/>
      <c r="CA4" s="629"/>
      <c r="CB4" s="629"/>
      <c r="CC4" s="629"/>
      <c r="CD4" s="629"/>
      <c r="CE4" s="629"/>
      <c r="CF4" s="629"/>
      <c r="CG4" s="629"/>
      <c r="CH4" s="629"/>
      <c r="CI4" s="629"/>
      <c r="CJ4" s="629"/>
      <c r="CK4" s="629"/>
      <c r="CL4" s="629"/>
      <c r="CM4" s="629"/>
      <c r="CN4" s="629"/>
      <c r="CO4" s="629"/>
      <c r="CP4" s="629"/>
      <c r="CQ4" s="629"/>
      <c r="CR4" s="629"/>
      <c r="CS4" s="629"/>
      <c r="CT4" s="629"/>
      <c r="CU4" s="629"/>
      <c r="CV4" s="629"/>
      <c r="CW4" s="629"/>
      <c r="CX4" s="629"/>
      <c r="CY4" s="629"/>
      <c r="CZ4" s="629"/>
      <c r="DA4" s="629"/>
      <c r="DB4" s="629"/>
      <c r="DC4" s="629"/>
      <c r="DD4" s="629"/>
      <c r="DE4" s="629"/>
      <c r="DF4" s="629"/>
      <c r="DG4" s="629"/>
      <c r="DH4" s="629"/>
      <c r="DI4" s="629"/>
      <c r="DJ4" s="629"/>
      <c r="DK4" s="629"/>
      <c r="DL4" s="629"/>
      <c r="DM4" s="629"/>
      <c r="DN4" s="629"/>
      <c r="DO4" s="629"/>
      <c r="DP4" s="629"/>
      <c r="DQ4" s="629"/>
      <c r="DR4" s="629"/>
      <c r="DS4" s="629"/>
      <c r="DT4" s="629"/>
      <c r="DU4" s="629"/>
      <c r="DV4" s="629"/>
      <c r="DW4" s="629"/>
      <c r="DX4" s="629"/>
      <c r="DY4" s="629"/>
      <c r="DZ4" s="629"/>
      <c r="EA4" s="629"/>
      <c r="EB4" s="629"/>
      <c r="EC4" s="629"/>
      <c r="ED4" s="629"/>
      <c r="EE4" s="629"/>
      <c r="EF4" s="629"/>
      <c r="EG4" s="629"/>
      <c r="EH4" s="629"/>
      <c r="EI4" s="629"/>
      <c r="EJ4" s="629"/>
      <c r="EK4" s="629"/>
      <c r="EL4" s="629"/>
      <c r="EM4" s="629"/>
      <c r="EN4" s="629"/>
      <c r="EO4" s="629"/>
      <c r="EP4" s="629"/>
      <c r="EQ4" s="629"/>
      <c r="ER4" s="629"/>
      <c r="ES4" s="629"/>
      <c r="ET4" s="629"/>
      <c r="EU4" s="629"/>
      <c r="EV4" s="629"/>
      <c r="EW4" s="629"/>
      <c r="EX4" s="629"/>
      <c r="EY4" s="629"/>
      <c r="EZ4" s="629"/>
      <c r="FA4" s="629"/>
      <c r="FB4" s="629"/>
      <c r="FC4" s="629"/>
      <c r="FD4" s="629"/>
      <c r="FE4" s="629"/>
      <c r="FF4" s="629"/>
      <c r="FG4" s="629"/>
      <c r="FH4" s="629"/>
      <c r="FI4" s="629"/>
      <c r="FJ4" s="629"/>
      <c r="FK4" s="629"/>
      <c r="FL4" s="629"/>
      <c r="FM4" s="629"/>
      <c r="FN4" s="629"/>
      <c r="FO4" s="629"/>
      <c r="FP4" s="629"/>
      <c r="FQ4" s="629"/>
      <c r="FR4" s="629"/>
      <c r="FS4" s="629"/>
      <c r="FT4" s="629"/>
      <c r="FU4" s="629"/>
      <c r="FV4" s="629"/>
      <c r="FW4" s="629"/>
      <c r="FX4" s="629"/>
      <c r="FY4" s="629"/>
      <c r="FZ4" s="629"/>
      <c r="GA4" s="629"/>
      <c r="GB4" s="629"/>
      <c r="GC4" s="629"/>
      <c r="GD4" s="629"/>
      <c r="GE4" s="629"/>
      <c r="GF4" s="629"/>
      <c r="GG4" s="629"/>
      <c r="GH4" s="629"/>
      <c r="GI4" s="629"/>
      <c r="GJ4" s="629"/>
      <c r="GK4" s="629"/>
      <c r="GL4" s="629"/>
      <c r="GM4" s="629"/>
      <c r="GN4" s="629"/>
      <c r="GO4" s="629"/>
      <c r="GP4" s="629"/>
      <c r="GQ4" s="629"/>
      <c r="GR4" s="629"/>
      <c r="GS4" s="629"/>
      <c r="GT4" s="629"/>
      <c r="GU4" s="629"/>
      <c r="GV4" s="629"/>
      <c r="GW4" s="629"/>
      <c r="GX4" s="629"/>
      <c r="GY4" s="629"/>
      <c r="GZ4" s="629"/>
      <c r="HA4" s="629"/>
      <c r="HB4" s="629"/>
      <c r="HC4" s="629"/>
      <c r="HD4" s="629"/>
      <c r="HE4" s="629"/>
      <c r="HF4" s="629"/>
      <c r="HG4" s="629"/>
      <c r="HH4" s="629"/>
      <c r="HI4" s="629"/>
      <c r="HJ4" s="629"/>
      <c r="HK4" s="629"/>
      <c r="HL4" s="629"/>
      <c r="HM4" s="629"/>
      <c r="HN4" s="629"/>
      <c r="HO4" s="629"/>
      <c r="HP4" s="629"/>
      <c r="HQ4" s="629"/>
      <c r="HR4" s="629"/>
      <c r="HS4" s="629"/>
      <c r="HT4" s="629"/>
      <c r="HU4" s="629"/>
      <c r="HV4" s="629"/>
      <c r="HW4" s="629"/>
      <c r="HX4" s="629"/>
      <c r="HY4" s="629"/>
      <c r="HZ4" s="629"/>
      <c r="IA4" s="629"/>
      <c r="IB4" s="629"/>
      <c r="IC4" s="629"/>
      <c r="ID4" s="629"/>
      <c r="IE4" s="629"/>
      <c r="IF4" s="629"/>
      <c r="IG4" s="629"/>
      <c r="IH4" s="629"/>
      <c r="II4" s="629"/>
      <c r="IJ4" s="629"/>
      <c r="IK4" s="629"/>
      <c r="IL4" s="629"/>
      <c r="IM4" s="629"/>
      <c r="IN4" s="629"/>
      <c r="IO4" s="629"/>
      <c r="IP4" s="629"/>
      <c r="IQ4" s="629"/>
      <c r="IR4" s="629"/>
      <c r="IS4" s="629"/>
      <c r="IT4" s="629"/>
      <c r="IU4" s="629"/>
      <c r="IV4" s="629"/>
      <c r="IW4" s="629"/>
    </row>
    <row r="5" customFormat="false" ht="14.25" hidden="false" customHeight="false" outlineLevel="0" collapsed="false">
      <c r="A5" s="625"/>
      <c r="B5" s="213" t="s">
        <v>387</v>
      </c>
      <c r="C5" s="213" t="s">
        <v>197</v>
      </c>
      <c r="D5" s="213" t="s">
        <v>198</v>
      </c>
      <c r="E5" s="213" t="s">
        <v>388</v>
      </c>
      <c r="F5" s="630" t="s">
        <v>60</v>
      </c>
      <c r="G5" s="213" t="s">
        <v>387</v>
      </c>
      <c r="H5" s="213" t="s">
        <v>197</v>
      </c>
      <c r="I5" s="213" t="s">
        <v>198</v>
      </c>
      <c r="J5" s="213" t="s">
        <v>388</v>
      </c>
      <c r="K5" s="631" t="s">
        <v>60</v>
      </c>
      <c r="L5" s="628"/>
    </row>
    <row r="6" customFormat="false" ht="13.5" hidden="false" customHeight="false" outlineLevel="0" collapsed="false">
      <c r="A6" s="632" t="s">
        <v>64</v>
      </c>
      <c r="B6" s="633" t="n">
        <f aca="false">'Input-Detail'!AE14</f>
        <v>0</v>
      </c>
      <c r="C6" s="633" t="n">
        <f aca="false">'Input-Detail'!AF14</f>
        <v>4004650</v>
      </c>
      <c r="D6" s="633" t="n">
        <f aca="false">'Input-Detail'!AG14</f>
        <v>8356.16</v>
      </c>
      <c r="E6" s="633" t="n">
        <f aca="false">'Input-Detail'!AH14</f>
        <v>297120</v>
      </c>
      <c r="F6" s="634" t="n">
        <f aca="false">SUM(B6:E6)</f>
        <v>4310126.16</v>
      </c>
      <c r="G6" s="633" t="n">
        <f aca="false">'Input-Detail'!AO14</f>
        <v>0</v>
      </c>
      <c r="H6" s="633" t="n">
        <f aca="false">'Input-Detail'!AP14</f>
        <v>4004650</v>
      </c>
      <c r="I6" s="633" t="n">
        <f aca="false">'Input-Detail'!AQ14</f>
        <v>8356.16</v>
      </c>
      <c r="J6" s="633" t="n">
        <f aca="false">'Input-Detail'!AR14</f>
        <v>301760</v>
      </c>
      <c r="K6" s="634" t="n">
        <f aca="false">SUM(G6:J6)</f>
        <v>4314766.16</v>
      </c>
      <c r="L6" s="635" t="n">
        <f aca="false">F6-K6</f>
        <v>-4640</v>
      </c>
    </row>
    <row r="7" customFormat="false" ht="12.75" hidden="false" customHeight="false" outlineLevel="0" collapsed="false">
      <c r="A7" s="632" t="n">
        <v>1</v>
      </c>
      <c r="B7" s="633" t="n">
        <f aca="false">'Input-Detail'!AE15</f>
        <v>0</v>
      </c>
      <c r="C7" s="633" t="n">
        <f aca="false">'Input-Detail'!AF15</f>
        <v>4230053.20491783</v>
      </c>
      <c r="D7" s="633" t="n">
        <f aca="false">'Input-Detail'!AG15</f>
        <v>9390.3712</v>
      </c>
      <c r="E7" s="633" t="n">
        <f aca="false">'Input-Detail'!AH15</f>
        <v>302720</v>
      </c>
      <c r="F7" s="636" t="n">
        <f aca="false">SUM(B7:E7)</f>
        <v>4542163.57611783</v>
      </c>
      <c r="G7" s="633" t="n">
        <f aca="false">('Input-Detail'!E15*'Input-Detail'!F15-'Input-Detail'!E14*'Input-Detail'!F14)*('Input-Detail'!BL14*'Input-Detail'!$AZ$15/'Input-Detail'!$AZ$16+'Input-Detail'!BM14*'Input-Detail'!$AZ$20/'Input-Detail'!$AZ$16)*'Input-Detail'!$AR$36</f>
        <v>447108.389589603</v>
      </c>
      <c r="H7" s="633" t="n">
        <f aca="false">'Input-Detail'!AP15</f>
        <v>3928222.99459235</v>
      </c>
      <c r="I7" s="633" t="n">
        <f aca="false">'Input-Detail'!AQ15</f>
        <v>9390.4</v>
      </c>
      <c r="J7" s="633" t="n">
        <f aca="false">'Input-Detail'!AR15</f>
        <v>325760</v>
      </c>
      <c r="K7" s="636" t="n">
        <f aca="false">SUM(G7:J7)</f>
        <v>4710481.78418195</v>
      </c>
      <c r="L7" s="635" t="n">
        <f aca="false">F7-K7</f>
        <v>-168318.20806412</v>
      </c>
    </row>
    <row r="8" customFormat="false" ht="12.75" hidden="false" customHeight="false" outlineLevel="0" collapsed="false">
      <c r="A8" s="632" t="n">
        <v>2</v>
      </c>
      <c r="B8" s="633" t="n">
        <f aca="false">'Input-Detail'!AE16</f>
        <v>0</v>
      </c>
      <c r="C8" s="633" t="n">
        <f aca="false">'Input-Detail'!AF16</f>
        <v>4465376.41713074</v>
      </c>
      <c r="D8" s="633" t="n">
        <f aca="false">'Input-Detail'!AG16</f>
        <v>10586.833184</v>
      </c>
      <c r="E8" s="633" t="n">
        <f aca="false">'Input-Detail'!AH16</f>
        <v>308800</v>
      </c>
      <c r="F8" s="636" t="n">
        <f aca="false">SUM(B8:E8)</f>
        <v>4784763.25031474</v>
      </c>
      <c r="G8" s="633" t="n">
        <f aca="false">('Input-Detail'!E16*'Input-Detail'!F16-'Input-Detail'!E15*'Input-Detail'!F15)*('Input-Detail'!BL15*'Input-Detail'!$AZ$15/'Input-Detail'!$AZ$16+'Input-Detail'!BM15*'Input-Detail'!$AZ$20/'Input-Detail'!$AZ$16)*'Input-Detail'!$AR$36</f>
        <v>429633.248533039</v>
      </c>
      <c r="H8" s="633" t="n">
        <f aca="false">'Input-Detail'!AP16</f>
        <v>3894735.46050484</v>
      </c>
      <c r="I8" s="633" t="n">
        <f aca="false">'Input-Detail'!AQ16</f>
        <v>3600</v>
      </c>
      <c r="J8" s="633" t="n">
        <f aca="false">'Input-Detail'!AR16</f>
        <v>122080</v>
      </c>
      <c r="K8" s="636" t="n">
        <f aca="false">SUM(G8:J8)</f>
        <v>4450048.70903788</v>
      </c>
      <c r="L8" s="635" t="n">
        <f aca="false">F8-K8</f>
        <v>334714.541276853</v>
      </c>
    </row>
    <row r="9" customFormat="false" ht="12.75" hidden="false" customHeight="false" outlineLevel="0" collapsed="false">
      <c r="A9" s="632" t="n">
        <v>3</v>
      </c>
      <c r="B9" s="633" t="n">
        <f aca="false">'Input-Detail'!AE17</f>
        <v>0</v>
      </c>
      <c r="C9" s="633" t="n">
        <f aca="false">'Input-Detail'!AF17</f>
        <v>4711011.97419199</v>
      </c>
      <c r="D9" s="633" t="n">
        <f aca="false">'Input-Detail'!AG17</f>
        <v>11974.87470688</v>
      </c>
      <c r="E9" s="633" t="n">
        <f aca="false">'Input-Detail'!AH17</f>
        <v>315200</v>
      </c>
      <c r="F9" s="636" t="n">
        <f aca="false">SUM(B9:E9)</f>
        <v>5038186.84889887</v>
      </c>
      <c r="G9" s="633" t="n">
        <f aca="false">('Input-Detail'!E17*'Input-Detail'!F17-'Input-Detail'!E16*'Input-Detail'!F16)*('Input-Detail'!BL16*'Input-Detail'!$AZ$15/'Input-Detail'!$AZ$16+'Input-Detail'!BM16*'Input-Detail'!$AZ$20/'Input-Detail'!$AZ$16)*'Input-Detail'!$AR$36</f>
        <v>420718.231337024</v>
      </c>
      <c r="H9" s="633" t="n">
        <f aca="false">'Input-Detail'!AP17</f>
        <v>3819474.2463994</v>
      </c>
      <c r="I9" s="633" t="n">
        <f aca="false">'Input-Detail'!AQ17</f>
        <v>3780</v>
      </c>
      <c r="J9" s="633" t="n">
        <f aca="false">'Input-Detail'!AR17</f>
        <v>133760</v>
      </c>
      <c r="K9" s="636" t="n">
        <f aca="false">SUM(G9:J9)</f>
        <v>4377732.47773643</v>
      </c>
      <c r="L9" s="635" t="n">
        <f aca="false">F9-K9</f>
        <v>660454.371162441</v>
      </c>
    </row>
    <row r="10" customFormat="false" ht="12.75" hidden="false" customHeight="false" outlineLevel="0" collapsed="false">
      <c r="A10" s="632" t="n">
        <v>4</v>
      </c>
      <c r="B10" s="633" t="n">
        <f aca="false">'Input-Detail'!AE18</f>
        <v>0</v>
      </c>
      <c r="C10" s="633" t="n">
        <f aca="false">'Input-Detail'!AF18</f>
        <v>4967366.82590149</v>
      </c>
      <c r="D10" s="633" t="n">
        <f aca="false">'Input-Detail'!AG18</f>
        <v>13589.4717763616</v>
      </c>
      <c r="E10" s="633" t="n">
        <f aca="false">'Input-Detail'!AH18</f>
        <v>322240</v>
      </c>
      <c r="F10" s="636" t="n">
        <f aca="false">SUM(B10:E10)</f>
        <v>5303196.29767786</v>
      </c>
      <c r="G10" s="633" t="n">
        <f aca="false">('Input-Detail'!E18*'Input-Detail'!F18-'Input-Detail'!E17*'Input-Detail'!F17)*('Input-Detail'!BL17*'Input-Detail'!$AZ$15/'Input-Detail'!$AZ$16+'Input-Detail'!BM17*'Input-Detail'!$AZ$20/'Input-Detail'!$AZ$16)*'Input-Detail'!$AR$36</f>
        <v>414380.197533394</v>
      </c>
      <c r="H10" s="633" t="n">
        <f aca="false">'Input-Detail'!AP18</f>
        <v>3783291.59383949</v>
      </c>
      <c r="I10" s="633" t="n">
        <f aca="false">'Input-Detail'!AQ18</f>
        <v>3969.04</v>
      </c>
      <c r="J10" s="633" t="n">
        <f aca="false">'Input-Detail'!AR18</f>
        <v>133920</v>
      </c>
      <c r="K10" s="636" t="n">
        <f aca="false">SUM(G10:J10)</f>
        <v>4335560.83137288</v>
      </c>
      <c r="L10" s="635" t="n">
        <f aca="false">F10-K10</f>
        <v>967635.466304972</v>
      </c>
    </row>
    <row r="11" customFormat="false" ht="12.75" hidden="false" customHeight="false" outlineLevel="0" collapsed="false">
      <c r="A11" s="632" t="n">
        <v>5</v>
      </c>
      <c r="B11" s="633" t="n">
        <f aca="false">'Input-Detail'!AE19</f>
        <v>0</v>
      </c>
      <c r="C11" s="633" t="n">
        <f aca="false">'Input-Detail'!AF19</f>
        <v>5234863.0579368</v>
      </c>
      <c r="D11" s="633" t="n">
        <f aca="false">'Input-Detail'!AG19</f>
        <v>15472.3618087069</v>
      </c>
      <c r="E11" s="633" t="n">
        <f aca="false">'Input-Detail'!AH19</f>
        <v>329760</v>
      </c>
      <c r="F11" s="636" t="n">
        <f aca="false">SUM(B11:E11)</f>
        <v>5580095.41974551</v>
      </c>
      <c r="G11" s="633" t="n">
        <f aca="false">('Input-Detail'!E19*'Input-Detail'!F19-'Input-Detail'!E18*'Input-Detail'!F18)*('Input-Detail'!BL18*'Input-Detail'!$AZ$15/'Input-Detail'!$AZ$16+'Input-Detail'!BM18*'Input-Detail'!$AZ$20/'Input-Detail'!$AZ$16)*'Input-Detail'!$AR$36</f>
        <v>412748.504566978</v>
      </c>
      <c r="H11" s="633" t="n">
        <f aca="false">'Input-Detail'!AP19</f>
        <v>3742578.45230549</v>
      </c>
      <c r="I11" s="633" t="n">
        <f aca="false">'Input-Detail'!AQ19</f>
        <v>4167.44</v>
      </c>
      <c r="J11" s="633" t="n">
        <f aca="false">'Input-Detail'!AR19</f>
        <v>134080</v>
      </c>
      <c r="K11" s="636" t="n">
        <f aca="false">SUM(G11:J11)</f>
        <v>4293574.39687247</v>
      </c>
      <c r="L11" s="635" t="n">
        <f aca="false">F11-K11</f>
        <v>1286521.02287304</v>
      </c>
    </row>
    <row r="12" customFormat="false" ht="12.75" hidden="false" customHeight="false" outlineLevel="0" collapsed="false">
      <c r="A12" s="632" t="n">
        <v>6</v>
      </c>
      <c r="B12" s="633" t="n">
        <f aca="false">'Input-Detail'!AE20</f>
        <v>0</v>
      </c>
      <c r="C12" s="633" t="n">
        <f aca="false">'Input-Detail'!AF20</f>
        <v>5513938.43375091</v>
      </c>
      <c r="D12" s="633" t="n">
        <f aca="false">'Input-Detail'!AG20</f>
        <v>17673.3795449164</v>
      </c>
      <c r="E12" s="633" t="n">
        <f aca="false">'Input-Detail'!AH20</f>
        <v>339652.8</v>
      </c>
      <c r="F12" s="636" t="n">
        <f aca="false">SUM(B12:E12)</f>
        <v>5871264.61329583</v>
      </c>
      <c r="G12" s="633" t="n">
        <f aca="false">('Input-Detail'!E20*'Input-Detail'!F20-'Input-Detail'!E19*'Input-Detail'!F19)*('Input-Detail'!BL19*'Input-Detail'!$AZ$15/'Input-Detail'!$AZ$16+'Input-Detail'!BM19*'Input-Detail'!$AZ$20/'Input-Detail'!$AZ$16)*'Input-Detail'!$AR$36</f>
        <v>416630.211603717</v>
      </c>
      <c r="H12" s="633" t="n">
        <f aca="false">'Input-Detail'!AP20</f>
        <v>3647721.18918761</v>
      </c>
      <c r="I12" s="633" t="n">
        <f aca="false">'Input-Detail'!AQ20</f>
        <v>4375.812</v>
      </c>
      <c r="J12" s="633" t="n">
        <f aca="false">'Input-Detail'!AR20</f>
        <v>138102.4</v>
      </c>
      <c r="K12" s="636" t="n">
        <f aca="false">SUM(G12:J12)</f>
        <v>4206829.61279132</v>
      </c>
      <c r="L12" s="635" t="n">
        <f aca="false">F12-K12</f>
        <v>1664435.00050451</v>
      </c>
    </row>
    <row r="13" customFormat="false" ht="12.75" hidden="false" customHeight="false" outlineLevel="0" collapsed="false">
      <c r="A13" s="632" t="n">
        <v>7</v>
      </c>
      <c r="B13" s="633" t="n">
        <f aca="false">'Input-Detail'!AE21</f>
        <v>0</v>
      </c>
      <c r="C13" s="633" t="n">
        <f aca="false">'Input-Detail'!AF21</f>
        <v>5805046.95536173</v>
      </c>
      <c r="D13" s="633" t="n">
        <f aca="false">'Input-Detail'!AG21</f>
        <v>20252.0590045805</v>
      </c>
      <c r="E13" s="633" t="n">
        <f aca="false">'Input-Detail'!AH21</f>
        <v>349842.384</v>
      </c>
      <c r="F13" s="636" t="n">
        <f aca="false">SUM(B13:E13)</f>
        <v>6175141.39836631</v>
      </c>
      <c r="G13" s="633" t="n">
        <f aca="false">('Input-Detail'!E21*'Input-Detail'!F21-'Input-Detail'!E20*'Input-Detail'!F20)*('Input-Detail'!BL20*'Input-Detail'!$AZ$15/'Input-Detail'!$AZ$16+'Input-Detail'!BM20*'Input-Detail'!$AZ$20/'Input-Detail'!$AZ$16)*'Input-Detail'!$AR$36</f>
        <v>420129.430911151</v>
      </c>
      <c r="H13" s="633" t="n">
        <f aca="false">'Input-Detail'!AP21</f>
        <v>3588376.1699494</v>
      </c>
      <c r="I13" s="633" t="n">
        <f aca="false">'Input-Detail'!AQ21</f>
        <v>4594.6026</v>
      </c>
      <c r="J13" s="633" t="n">
        <f aca="false">'Input-Detail'!AR21</f>
        <v>142245.472</v>
      </c>
      <c r="K13" s="636" t="n">
        <f aca="false">SUM(G13:J13)</f>
        <v>4155345.67546055</v>
      </c>
      <c r="L13" s="635" t="n">
        <f aca="false">F13-K13</f>
        <v>2019795.72290576</v>
      </c>
    </row>
    <row r="14" customFormat="false" ht="12.75" hidden="false" customHeight="false" outlineLevel="0" collapsed="false">
      <c r="A14" s="632" t="n">
        <v>8</v>
      </c>
      <c r="B14" s="633" t="n">
        <f aca="false">'Input-Detail'!AE22</f>
        <v>0</v>
      </c>
      <c r="C14" s="633" t="n">
        <f aca="false">'Input-Detail'!AF22</f>
        <v>6108659.44367882</v>
      </c>
      <c r="D14" s="633" t="n">
        <f aca="false">'Input-Detail'!AG22</f>
        <v>23279.5546047252</v>
      </c>
      <c r="E14" s="633" t="n">
        <f aca="false">'Input-Detail'!AH22</f>
        <v>360337.65552</v>
      </c>
      <c r="F14" s="636" t="n">
        <f aca="false">SUM(B14:E14)</f>
        <v>6492276.65380355</v>
      </c>
      <c r="G14" s="633" t="n">
        <f aca="false">('Input-Detail'!E22*'Input-Detail'!F22-'Input-Detail'!E21*'Input-Detail'!F21)*('Input-Detail'!BL21*'Input-Detail'!$AZ$15/'Input-Detail'!$AZ$16+'Input-Detail'!BM21*'Input-Detail'!$AZ$20/'Input-Detail'!$AZ$16)*'Input-Detail'!$AR$36</f>
        <v>425230.473015776</v>
      </c>
      <c r="H14" s="633" t="n">
        <f aca="false">'Input-Detail'!AP22</f>
        <v>3518504.94165573</v>
      </c>
      <c r="I14" s="633" t="n">
        <f aca="false">'Input-Detail'!AQ22</f>
        <v>4824.33273</v>
      </c>
      <c r="J14" s="633" t="n">
        <f aca="false">'Input-Detail'!AR22</f>
        <v>146512.83616</v>
      </c>
      <c r="K14" s="636" t="n">
        <f aca="false">SUM(G14:J14)</f>
        <v>4095072.58356151</v>
      </c>
      <c r="L14" s="635" t="n">
        <f aca="false">F14-K14</f>
        <v>2397204.07024204</v>
      </c>
    </row>
    <row r="15" customFormat="false" ht="12.75" hidden="false" customHeight="false" outlineLevel="0" collapsed="false">
      <c r="A15" s="632" t="n">
        <v>9</v>
      </c>
      <c r="B15" s="633" t="n">
        <f aca="false">'Input-Detail'!AE23</f>
        <v>0</v>
      </c>
      <c r="C15" s="633" t="n">
        <f aca="false">'Input-Detail'!AF23</f>
        <v>6425264.13903511</v>
      </c>
      <c r="D15" s="633" t="n">
        <f aca="false">'Input-Detail'!AG23</f>
        <v>26840.9451908447</v>
      </c>
      <c r="E15" s="633" t="n">
        <f aca="false">'Input-Detail'!AH23</f>
        <v>371147.7851856</v>
      </c>
      <c r="F15" s="636" t="n">
        <f aca="false">SUM(B15:E15)</f>
        <v>6823252.86941155</v>
      </c>
      <c r="G15" s="633" t="n">
        <f aca="false">('Input-Detail'!E23*'Input-Detail'!F23-'Input-Detail'!E22*'Input-Detail'!F22)*('Input-Detail'!BL22*'Input-Detail'!$AZ$15/'Input-Detail'!$AZ$16+'Input-Detail'!BM22*'Input-Detail'!$AZ$20/'Input-Detail'!$AZ$16)*'Input-Detail'!$AR$36</f>
        <v>432399.911522234</v>
      </c>
      <c r="H15" s="633" t="n">
        <f aca="false">'Input-Detail'!AP23</f>
        <v>3385992.45978076</v>
      </c>
      <c r="I15" s="633" t="n">
        <f aca="false">'Input-Detail'!AQ23</f>
        <v>5065.5493665</v>
      </c>
      <c r="J15" s="633" t="n">
        <f aca="false">'Input-Detail'!AR23</f>
        <v>150908.2212448</v>
      </c>
      <c r="K15" s="636" t="n">
        <f aca="false">SUM(G15:J15)</f>
        <v>3974366.14191429</v>
      </c>
      <c r="L15" s="635" t="n">
        <f aca="false">F15-K15</f>
        <v>2848886.72749726</v>
      </c>
    </row>
    <row r="16" customFormat="false" ht="12.75" hidden="false" customHeight="false" outlineLevel="0" collapsed="false">
      <c r="A16" s="632" t="n">
        <v>10</v>
      </c>
      <c r="B16" s="633" t="n">
        <f aca="false">'Input-Detail'!AE24</f>
        <v>0</v>
      </c>
      <c r="C16" s="633" t="n">
        <f aca="false">'Input-Detail'!AF24</f>
        <v>6755367.32261347</v>
      </c>
      <c r="D16" s="633" t="n">
        <f aca="false">'Input-Detail'!AG24</f>
        <v>31038</v>
      </c>
      <c r="E16" s="633" t="n">
        <f aca="false">'Input-Detail'!AH24</f>
        <v>382282.218741168</v>
      </c>
      <c r="F16" s="636" t="n">
        <f aca="false">SUM(B16:E16)</f>
        <v>7168687.54135463</v>
      </c>
      <c r="G16" s="633" t="n">
        <f aca="false">('Input-Detail'!E24*'Input-Detail'!F24-'Input-Detail'!E23*'Input-Detail'!F23)*('Input-Detail'!BL23*'Input-Detail'!$AZ$15/'Input-Detail'!$AZ$16+'Input-Detail'!BM23*'Input-Detail'!$AZ$20/'Input-Detail'!$AZ$16)*'Input-Detail'!$AR$36</f>
        <v>436282.769037674</v>
      </c>
      <c r="H16" s="633" t="n">
        <f aca="false">'Input-Detail'!AP24</f>
        <v>3290773.77880959</v>
      </c>
      <c r="I16" s="633" t="n">
        <f aca="false">'Input-Detail'!AQ24</f>
        <v>5318.826834825</v>
      </c>
      <c r="J16" s="633" t="n">
        <f aca="false">'Input-Detail'!AR24</f>
        <v>153494.934040393</v>
      </c>
      <c r="K16" s="636" t="n">
        <f aca="false">SUM(G16:J16)</f>
        <v>3885870.30872248</v>
      </c>
      <c r="L16" s="635" t="n">
        <f aca="false">F16-K16</f>
        <v>3282817.23263215</v>
      </c>
    </row>
    <row r="17" customFormat="false" ht="12.75" hidden="false" customHeight="false" outlineLevel="0" collapsed="false">
      <c r="A17" s="632" t="n">
        <v>11</v>
      </c>
      <c r="B17" s="633" t="n">
        <f aca="false">'Input-Detail'!AE25</f>
        <v>0</v>
      </c>
      <c r="C17" s="633" t="n">
        <f aca="false">'Input-Detail'!AF25</f>
        <v>7099493.95948139</v>
      </c>
      <c r="D17" s="633" t="n">
        <f aca="false">'Input-Detail'!AG25</f>
        <v>32589.9</v>
      </c>
      <c r="E17" s="633" t="n">
        <f aca="false">'Input-Detail'!AH25</f>
        <v>393750.685303403</v>
      </c>
      <c r="F17" s="636" t="n">
        <f aca="false">SUM(B17:E17)</f>
        <v>7525834.5447848</v>
      </c>
      <c r="G17" s="633" t="n">
        <f aca="false">('Input-Detail'!E25*'Input-Detail'!F25-'Input-Detail'!E24*'Input-Detail'!F24)*('Input-Detail'!BL24*'Input-Detail'!$AZ$15/'Input-Detail'!$AZ$16+'Input-Detail'!BM24*'Input-Detail'!$AZ$20/'Input-Detail'!$AZ$16)*'Input-Detail'!$AR$36</f>
        <v>438822.893971932</v>
      </c>
      <c r="H17" s="633" t="n">
        <f aca="false">'Input-Detail'!AP25</f>
        <v>3184790.76916391</v>
      </c>
      <c r="I17" s="633" t="n">
        <f aca="false">'Input-Detail'!AQ25</f>
        <v>5584.76817656625</v>
      </c>
      <c r="J17" s="633" t="n">
        <f aca="false">'Input-Detail'!AR25</f>
        <v>158099.782061605</v>
      </c>
      <c r="K17" s="636" t="n">
        <f aca="false">SUM(G17:J17)</f>
        <v>3787298.21337401</v>
      </c>
      <c r="L17" s="635" t="n">
        <f aca="false">F17-K17</f>
        <v>3738536.33141078</v>
      </c>
    </row>
    <row r="18" customFormat="false" ht="12.75" hidden="false" customHeight="false" outlineLevel="0" collapsed="false">
      <c r="A18" s="632" t="n">
        <v>12</v>
      </c>
      <c r="B18" s="633" t="n">
        <f aca="false">'Input-Detail'!AE26</f>
        <v>0</v>
      </c>
      <c r="C18" s="633" t="n">
        <f aca="false">'Input-Detail'!AF26</f>
        <v>7458188.36397104</v>
      </c>
      <c r="D18" s="633" t="n">
        <f aca="false">'Input-Detail'!AG26</f>
        <v>34219.395</v>
      </c>
      <c r="E18" s="633" t="n">
        <f aca="false">'Input-Detail'!AH26</f>
        <v>405563.205862505</v>
      </c>
      <c r="F18" s="636" t="n">
        <f aca="false">SUM(B18:E18)</f>
        <v>7897970.96483355</v>
      </c>
      <c r="G18" s="633" t="n">
        <f aca="false">('Input-Detail'!E26*'Input-Detail'!F26-'Input-Detail'!E25*'Input-Detail'!F25)*('Input-Detail'!BL25*'Input-Detail'!$AZ$15/'Input-Detail'!$AZ$16+'Input-Detail'!BM25*'Input-Detail'!$AZ$20/'Input-Detail'!$AZ$16)*'Input-Detail'!$AR$36</f>
        <v>440437.236167816</v>
      </c>
      <c r="H18" s="633" t="n">
        <f aca="false">'Input-Detail'!AP26</f>
        <v>3013660.99338034</v>
      </c>
      <c r="I18" s="633" t="n">
        <f aca="false">'Input-Detail'!AQ26</f>
        <v>5864.00658539456</v>
      </c>
      <c r="J18" s="633" t="n">
        <f aca="false">'Input-Detail'!AR26</f>
        <v>162842.775523453</v>
      </c>
      <c r="K18" s="636" t="n">
        <f aca="false">SUM(G18:J18)</f>
        <v>3622805.011657</v>
      </c>
      <c r="L18" s="635" t="n">
        <f aca="false">F18-K18</f>
        <v>4275165.95317654</v>
      </c>
    </row>
    <row r="19" customFormat="false" ht="12.75" hidden="false" customHeight="false" outlineLevel="0" collapsed="false">
      <c r="A19" s="632" t="n">
        <v>13</v>
      </c>
      <c r="B19" s="633" t="n">
        <f aca="false">'Input-Detail'!AE27</f>
        <v>0</v>
      </c>
      <c r="C19" s="633" t="n">
        <f aca="false">'Input-Detail'!AF27</f>
        <v>7832014.88816654</v>
      </c>
      <c r="D19" s="633" t="n">
        <f aca="false">'Input-Detail'!AG27</f>
        <v>35930.36475</v>
      </c>
      <c r="E19" s="633" t="n">
        <f aca="false">'Input-Detail'!AH27</f>
        <v>417730.10203838</v>
      </c>
      <c r="F19" s="636" t="n">
        <f aca="false">SUM(B19:E19)</f>
        <v>8285675.35495492</v>
      </c>
      <c r="G19" s="633" t="n">
        <f aca="false">('Input-Detail'!E27*'Input-Detail'!F27-'Input-Detail'!E26*'Input-Detail'!F26)*('Input-Detail'!BL26*'Input-Detail'!$AZ$15/'Input-Detail'!$AZ$16+'Input-Detail'!BM26*'Input-Detail'!$AZ$20/'Input-Detail'!$AZ$16)*'Input-Detail'!$AR$36</f>
        <v>437197.156557627</v>
      </c>
      <c r="H19" s="633" t="n">
        <f aca="false">'Input-Detail'!AP27</f>
        <v>2888258.5812996</v>
      </c>
      <c r="I19" s="633" t="n">
        <f aca="false">'Input-Detail'!AQ27</f>
        <v>6157.20691466429</v>
      </c>
      <c r="J19" s="633" t="n">
        <f aca="false">'Input-Detail'!AR27</f>
        <v>167728.058789156</v>
      </c>
      <c r="K19" s="636" t="n">
        <f aca="false">SUM(G19:J19)</f>
        <v>3499341.00356104</v>
      </c>
      <c r="L19" s="635" t="n">
        <f aca="false">F19-K19</f>
        <v>4786334.35139387</v>
      </c>
    </row>
    <row r="20" customFormat="false" ht="12.75" hidden="false" customHeight="false" outlineLevel="0" collapsed="false">
      <c r="A20" s="632" t="n">
        <v>14</v>
      </c>
      <c r="B20" s="633" t="n">
        <f aca="false">'Input-Detail'!AE28</f>
        <v>0</v>
      </c>
      <c r="C20" s="633" t="n">
        <f aca="false">'Input-Detail'!AF28</f>
        <v>8221558.63428619</v>
      </c>
      <c r="D20" s="633" t="n">
        <f aca="false">'Input-Detail'!AG28</f>
        <v>37726.8829875</v>
      </c>
      <c r="E20" s="633" t="n">
        <f aca="false">'Input-Detail'!AH28</f>
        <v>430262.005099532</v>
      </c>
      <c r="F20" s="636" t="n">
        <f aca="false">SUM(B20:E20)</f>
        <v>8689547.52237322</v>
      </c>
      <c r="G20" s="633" t="n">
        <f aca="false">('Input-Detail'!E28*'Input-Detail'!F28-'Input-Detail'!E27*'Input-Detail'!F27)*('Input-Detail'!BL27*'Input-Detail'!$AZ$15/'Input-Detail'!$AZ$16+'Input-Detail'!BM27*'Input-Detail'!$AZ$20/'Input-Detail'!$AZ$16)*'Input-Detail'!$AR$36</f>
        <v>432505.519565171</v>
      </c>
      <c r="H20" s="633" t="n">
        <f aca="false">'Input-Detail'!AP28</f>
        <v>2698829.67163243</v>
      </c>
      <c r="I20" s="633" t="n">
        <f aca="false">'Input-Detail'!AQ28</f>
        <v>6465.06726039751</v>
      </c>
      <c r="J20" s="633" t="n">
        <f aca="false">'Input-Detail'!AR28</f>
        <v>172759.900552831</v>
      </c>
      <c r="K20" s="636" t="n">
        <f aca="false">SUM(G20:J20)</f>
        <v>3310560.15901083</v>
      </c>
      <c r="L20" s="635" t="n">
        <f aca="false">F20-K20</f>
        <v>5378987.36336239</v>
      </c>
    </row>
    <row r="21" customFormat="false" ht="12.75" hidden="false" customHeight="false" outlineLevel="0" collapsed="false">
      <c r="A21" s="632" t="n">
        <v>15</v>
      </c>
      <c r="B21" s="633" t="n">
        <f aca="false">'Input-Detail'!AE29</f>
        <v>0</v>
      </c>
      <c r="C21" s="633" t="n">
        <f aca="false">'Input-Detail'!AF29</f>
        <v>8627426.19177367</v>
      </c>
      <c r="D21" s="633" t="n">
        <f aca="false">'Input-Detail'!AG29</f>
        <v>39613.227136875</v>
      </c>
      <c r="E21" s="633" t="n">
        <f aca="false">'Input-Detail'!AH29</f>
        <v>443169.865252518</v>
      </c>
      <c r="F21" s="636" t="n">
        <f aca="false">SUM(B21:E21)</f>
        <v>9110209.28416306</v>
      </c>
      <c r="G21" s="633" t="n">
        <f aca="false">('Input-Detail'!E29*'Input-Detail'!F29-'Input-Detail'!E28*'Input-Detail'!F28)*('Input-Detail'!BL28*'Input-Detail'!$AZ$15/'Input-Detail'!$AZ$16+'Input-Detail'!BM28*'Input-Detail'!$AZ$20/'Input-Detail'!$AZ$16)*'Input-Detail'!$AR$36</f>
        <v>422801.146711959</v>
      </c>
      <c r="H21" s="633" t="n">
        <f aca="false">'Input-Detail'!AP29</f>
        <v>2563621.19779684</v>
      </c>
      <c r="I21" s="633" t="n">
        <f aca="false">'Input-Detail'!AQ29</f>
        <v>6788.32062341738</v>
      </c>
      <c r="J21" s="633" t="n">
        <f aca="false">'Input-Detail'!AR29</f>
        <v>177942.697569416</v>
      </c>
      <c r="K21" s="636" t="n">
        <f aca="false">SUM(G21:J21)</f>
        <v>3171153.36270163</v>
      </c>
      <c r="L21" s="635" t="n">
        <f aca="false">F21-K21</f>
        <v>5939055.92146143</v>
      </c>
    </row>
    <row r="22" customFormat="false" ht="12.75" hidden="false" customHeight="false" outlineLevel="0" collapsed="false">
      <c r="A22" s="632" t="n">
        <v>16</v>
      </c>
      <c r="B22" s="633" t="n">
        <f aca="false">'Input-Detail'!AE30</f>
        <v>0</v>
      </c>
      <c r="C22" s="633" t="n">
        <f aca="false">'Input-Detail'!AF30</f>
        <v>9050246.39993954</v>
      </c>
      <c r="D22" s="633" t="n">
        <f aca="false">'Input-Detail'!AG30</f>
        <v>41593.8884937188</v>
      </c>
      <c r="E22" s="633" t="n">
        <f aca="false">'Input-Detail'!AH30</f>
        <v>456464.961210093</v>
      </c>
      <c r="F22" s="636" t="n">
        <f aca="false">SUM(B22:E22)</f>
        <v>9548305.24964335</v>
      </c>
      <c r="G22" s="633" t="n">
        <f aca="false">('Input-Detail'!E30*'Input-Detail'!F30-'Input-Detail'!E29*'Input-Detail'!F29)*('Input-Detail'!BL29*'Input-Detail'!$AZ$15/'Input-Detail'!$AZ$16+'Input-Detail'!BM29*'Input-Detail'!$AZ$20/'Input-Detail'!$AZ$16)*'Input-Detail'!$AR$36</f>
        <v>411049.020751917</v>
      </c>
      <c r="H22" s="633" t="n">
        <f aca="false">'Input-Detail'!AP30</f>
        <v>2428618.70861362</v>
      </c>
      <c r="I22" s="633" t="n">
        <f aca="false">'Input-Detail'!AQ30</f>
        <v>7127.73665458825</v>
      </c>
      <c r="J22" s="633" t="n">
        <f aca="false">'Input-Detail'!AR30</f>
        <v>183280.978496499</v>
      </c>
      <c r="K22" s="636" t="n">
        <f aca="false">SUM(G22:J22)</f>
        <v>3030076.44451662</v>
      </c>
      <c r="L22" s="635" t="n">
        <f aca="false">F22-K22</f>
        <v>6518228.80512673</v>
      </c>
    </row>
    <row r="23" customFormat="false" ht="12.75" hidden="false" customHeight="false" outlineLevel="0" collapsed="false">
      <c r="A23" s="632" t="n">
        <v>17</v>
      </c>
      <c r="B23" s="633" t="n">
        <f aca="false">'Input-Detail'!AE31</f>
        <v>0</v>
      </c>
      <c r="C23" s="633" t="n">
        <f aca="false">'Input-Detail'!AF31</f>
        <v>9490671.13702276</v>
      </c>
      <c r="D23" s="633" t="n">
        <f aca="false">'Input-Detail'!AG31</f>
        <v>43673.5829184047</v>
      </c>
      <c r="E23" s="633" t="n">
        <f aca="false">'Input-Detail'!AH31</f>
        <v>470158.910046396</v>
      </c>
      <c r="F23" s="636" t="n">
        <f aca="false">SUM(B23:E23)</f>
        <v>10004503.6299876</v>
      </c>
      <c r="G23" s="633" t="n">
        <f aca="false">('Input-Detail'!E31*'Input-Detail'!F31-'Input-Detail'!E30*'Input-Detail'!F30)*('Input-Detail'!BL30*'Input-Detail'!$AZ$15/'Input-Detail'!$AZ$16+'Input-Detail'!BM30*'Input-Detail'!$AZ$20/'Input-Detail'!$AZ$16)*'Input-Detail'!$AR$36</f>
        <v>398418.444980917</v>
      </c>
      <c r="H23" s="633" t="n">
        <f aca="false">'Input-Detail'!AP31</f>
        <v>2231909.01053789</v>
      </c>
      <c r="I23" s="633" t="n">
        <f aca="false">'Input-Detail'!AQ31</f>
        <v>7484.12348731766</v>
      </c>
      <c r="J23" s="633" t="n">
        <f aca="false">'Input-Detail'!AR31</f>
        <v>188779.407851393</v>
      </c>
      <c r="K23" s="636" t="n">
        <f aca="false">SUM(G23:J23)</f>
        <v>2826590.98685752</v>
      </c>
      <c r="L23" s="635" t="n">
        <f aca="false">F23-K23</f>
        <v>7177912.64313004</v>
      </c>
    </row>
    <row r="24" customFormat="false" ht="12.75" hidden="false" customHeight="false" outlineLevel="0" collapsed="false">
      <c r="A24" s="632" t="n">
        <v>18</v>
      </c>
      <c r="B24" s="633" t="n">
        <f aca="false">'Input-Detail'!AE32</f>
        <v>0</v>
      </c>
      <c r="C24" s="633" t="n">
        <f aca="false">'Input-Detail'!AF32</f>
        <v>9949376.13657104</v>
      </c>
      <c r="D24" s="633" t="n">
        <f aca="false">'Input-Detail'!AG32</f>
        <v>45857.2620643249</v>
      </c>
      <c r="E24" s="633" t="n">
        <f aca="false">'Input-Detail'!AH32</f>
        <v>484263.677347788</v>
      </c>
      <c r="F24" s="636" t="n">
        <f aca="false">SUM(B24:E24)</f>
        <v>10479497.0759832</v>
      </c>
      <c r="G24" s="633" t="n">
        <f aca="false">('Input-Detail'!E32*'Input-Detail'!F32-'Input-Detail'!E31*'Input-Detail'!F31)*('Input-Detail'!BL31*'Input-Detail'!$AZ$15/'Input-Detail'!$AZ$16+'Input-Detail'!BM31*'Input-Detail'!$AZ$20/'Input-Detail'!$AZ$16)*'Input-Detail'!$AR$36</f>
        <v>382753.280198535</v>
      </c>
      <c r="H24" s="633" t="n">
        <f aca="false">'Input-Detail'!AP32</f>
        <v>2101502.40709154</v>
      </c>
      <c r="I24" s="633" t="n">
        <f aca="false">'Input-Detail'!AQ32</f>
        <v>7858.32966168355</v>
      </c>
      <c r="J24" s="633" t="n">
        <f aca="false">'Input-Detail'!AR32</f>
        <v>194442.790086935</v>
      </c>
      <c r="K24" s="636" t="n">
        <f aca="false">SUM(G24:J24)</f>
        <v>2686556.80703869</v>
      </c>
      <c r="L24" s="635" t="n">
        <f aca="false">F24-K24</f>
        <v>7792940.26894446</v>
      </c>
    </row>
    <row r="25" customFormat="false" ht="12.75" hidden="false" customHeight="false" outlineLevel="0" collapsed="false">
      <c r="A25" s="632" t="n">
        <v>19</v>
      </c>
      <c r="B25" s="633" t="n">
        <f aca="false">'Input-Detail'!AE33</f>
        <v>0</v>
      </c>
      <c r="C25" s="633" t="n">
        <f aca="false">'Input-Detail'!AF33</f>
        <v>10427061.8320689</v>
      </c>
      <c r="D25" s="633" t="n">
        <f aca="false">'Input-Detail'!AG33</f>
        <v>48150.1251675412</v>
      </c>
      <c r="E25" s="633" t="n">
        <f aca="false">'Input-Detail'!AH33</f>
        <v>498791.587668222</v>
      </c>
      <c r="F25" s="636" t="n">
        <f aca="false">SUM(B25:E25)</f>
        <v>10974003.5449047</v>
      </c>
      <c r="G25" s="633" t="n">
        <f aca="false">('Input-Detail'!E33*'Input-Detail'!F33-'Input-Detail'!E32*'Input-Detail'!F32)*('Input-Detail'!BL32*'Input-Detail'!$AZ$15/'Input-Detail'!$AZ$16+'Input-Detail'!BM32*'Input-Detail'!$AZ$20/'Input-Detail'!$AZ$16)*'Input-Detail'!$AR$36</f>
        <v>367962.990954956</v>
      </c>
      <c r="H25" s="633" t="n">
        <f aca="false">'Input-Detail'!AP33</f>
        <v>1908996.95440564</v>
      </c>
      <c r="I25" s="633" t="n">
        <f aca="false">'Input-Detail'!AQ33</f>
        <v>8251.24614476773</v>
      </c>
      <c r="J25" s="633" t="n">
        <f aca="false">'Input-Detail'!AR33</f>
        <v>200276.073789543</v>
      </c>
      <c r="K25" s="636" t="n">
        <f aca="false">SUM(G25:J25)</f>
        <v>2485487.26529491</v>
      </c>
      <c r="L25" s="635" t="n">
        <f aca="false">F25-K25</f>
        <v>8488516.27960975</v>
      </c>
    </row>
    <row r="26" customFormat="false" ht="13.5" hidden="false" customHeight="false" outlineLevel="0" collapsed="false">
      <c r="A26" s="637" t="n">
        <v>20</v>
      </c>
      <c r="B26" s="638" t="n">
        <f aca="false">'Input-Detail'!AE34</f>
        <v>0</v>
      </c>
      <c r="C26" s="638" t="n">
        <f aca="false">'Input-Detail'!AF34</f>
        <v>10924454.2307737</v>
      </c>
      <c r="D26" s="638" t="n">
        <f aca="false">'Input-Detail'!AG34</f>
        <v>50557.6314259183</v>
      </c>
      <c r="E26" s="638" t="n">
        <f aca="false">'Input-Detail'!AH34</f>
        <v>513755.335298268</v>
      </c>
      <c r="F26" s="639" t="n">
        <f aca="false">SUM(B26:E26)</f>
        <v>11488767.1974979</v>
      </c>
      <c r="G26" s="638" t="n">
        <f aca="false">('Input-Detail'!E34*'Input-Detail'!F34-'Input-Detail'!E33*'Input-Detail'!F33)*('Input-Detail'!BL33*'Input-Detail'!$AZ$15/'Input-Detail'!$AZ$16+'Input-Detail'!BM33*'Input-Detail'!$AZ$20/'Input-Detail'!$AZ$16)*'Input-Detail'!$AR$36</f>
        <v>350950.951620467</v>
      </c>
      <c r="H26" s="638" t="n">
        <f aca="false">'Input-Detail'!AP34</f>
        <v>1789617.32767581</v>
      </c>
      <c r="I26" s="638" t="n">
        <f aca="false">'Input-Detail'!AQ34</f>
        <v>8663.80845200611</v>
      </c>
      <c r="J26" s="638" t="n">
        <f aca="false">'Input-Detail'!AR34</f>
        <v>206284.35600323</v>
      </c>
      <c r="K26" s="639" t="n">
        <f aca="false">SUM(G26:J26)</f>
        <v>2355516.44375152</v>
      </c>
      <c r="L26" s="640" t="n">
        <f aca="false">F26-K26</f>
        <v>9133250.75374637</v>
      </c>
    </row>
    <row r="27" customFormat="false" ht="13.5" hidden="false" customHeight="false" outlineLevel="0" collapsed="false"/>
    <row r="29" customFormat="false" ht="12.75" hidden="false" customHeight="false" outlineLevel="0" collapsed="false">
      <c r="O29" s="641"/>
      <c r="P29" s="642"/>
    </row>
    <row r="30" customFormat="false" ht="12.75" hidden="false" customHeight="false" outlineLevel="0" collapsed="false">
      <c r="O30" s="643"/>
    </row>
  </sheetData>
  <mergeCells count="4">
    <mergeCell ref="A4:A5"/>
    <mergeCell ref="B4:F4"/>
    <mergeCell ref="G4:K4"/>
    <mergeCell ref="L4:L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BB1" colorId="64" zoomScale="75" zoomScaleNormal="75" zoomScalePageLayoutView="100" workbookViewId="0">
      <selection pane="topLeft" activeCell="BM27" activeCellId="0" sqref="BM27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9.28"/>
    <col collapsed="false" customWidth="true" hidden="false" outlineLevel="0" max="3" min="3" style="1" width="13.85"/>
    <col collapsed="false" customWidth="false" hidden="false" outlineLevel="0" max="4" min="4" style="1" width="8.85"/>
    <col collapsed="false" customWidth="true" hidden="false" outlineLevel="0" max="5" min="5" style="1" width="5.13"/>
    <col collapsed="false" customWidth="true" hidden="false" outlineLevel="0" max="7" min="6" style="1" width="1.7"/>
    <col collapsed="false" customWidth="true" hidden="false" outlineLevel="0" max="8" min="8" style="1" width="5.85"/>
    <col collapsed="false" customWidth="true" hidden="false" outlineLevel="0" max="9" min="9" style="1" width="11.28"/>
    <col collapsed="false" customWidth="true" hidden="false" outlineLevel="0" max="10" min="10" style="1" width="9.85"/>
    <col collapsed="false" customWidth="true" hidden="false" outlineLevel="0" max="11" min="11" style="1" width="16.13"/>
    <col collapsed="false" customWidth="true" hidden="false" outlineLevel="0" max="12" min="12" style="1" width="11.7"/>
    <col collapsed="false" customWidth="true" hidden="false" outlineLevel="0" max="13" min="13" style="1" width="8.28"/>
    <col collapsed="false" customWidth="true" hidden="false" outlineLevel="0" max="14" min="14" style="1" width="15.99"/>
    <col collapsed="false" customWidth="true" hidden="false" outlineLevel="0" max="15" min="15" style="1" width="12.28"/>
    <col collapsed="false" customWidth="true" hidden="false" outlineLevel="0" max="17" min="16" style="1" width="7.85"/>
    <col collapsed="false" customWidth="true" hidden="false" outlineLevel="0" max="18" min="18" style="2" width="5.85"/>
    <col collapsed="false" customWidth="true" hidden="false" outlineLevel="0" max="19" min="19" style="2" width="12.56"/>
    <col collapsed="false" customWidth="true" hidden="false" outlineLevel="0" max="20" min="20" style="2" width="9.56"/>
    <col collapsed="false" customWidth="true" hidden="false" outlineLevel="0" max="21" min="21" style="2" width="7.28"/>
    <col collapsed="false" customWidth="true" hidden="false" outlineLevel="0" max="22" min="22" style="2" width="10.41"/>
    <col collapsed="false" customWidth="true" hidden="false" outlineLevel="0" max="23" min="23" style="2" width="10.56"/>
    <col collapsed="false" customWidth="true" hidden="false" outlineLevel="0" max="24" min="24" style="2" width="5.99"/>
    <col collapsed="false" customWidth="true" hidden="false" outlineLevel="0" max="25" min="25" style="2" width="7.14"/>
    <col collapsed="false" customWidth="true" hidden="false" outlineLevel="0" max="26" min="26" style="2" width="11.13"/>
    <col collapsed="false" customWidth="true" hidden="false" outlineLevel="0" max="30" min="27" style="2" width="8.28"/>
    <col collapsed="false" customWidth="true" hidden="false" outlineLevel="0" max="31" min="31" style="2" width="6.41"/>
    <col collapsed="false" customWidth="true" hidden="false" outlineLevel="0" max="32" min="32" style="2" width="6.7"/>
    <col collapsed="false" customWidth="true" hidden="false" outlineLevel="0" max="33" min="33" style="2" width="6.41"/>
    <col collapsed="false" customWidth="true" hidden="false" outlineLevel="0" max="34" min="34" style="2" width="5.85"/>
    <col collapsed="false" customWidth="true" hidden="false" outlineLevel="0" max="35" min="35" style="2" width="6.41"/>
    <col collapsed="false" customWidth="true" hidden="false" outlineLevel="0" max="36" min="36" style="2" width="6.28"/>
    <col collapsed="false" customWidth="true" hidden="false" outlineLevel="0" max="37" min="37" style="2" width="6.7"/>
    <col collapsed="false" customWidth="true" hidden="false" outlineLevel="0" max="38" min="38" style="2" width="7.14"/>
    <col collapsed="false" customWidth="true" hidden="false" outlineLevel="0" max="39" min="39" style="2" width="6.56"/>
    <col collapsed="false" customWidth="true" hidden="false" outlineLevel="0" max="40" min="40" style="2" width="6.41"/>
    <col collapsed="false" customWidth="true" hidden="false" outlineLevel="0" max="42" min="41" style="2" width="7.42"/>
    <col collapsed="false" customWidth="true" hidden="false" outlineLevel="0" max="43" min="43" style="2" width="7.28"/>
    <col collapsed="false" customWidth="true" hidden="false" outlineLevel="0" max="44" min="44" style="2" width="8.14"/>
    <col collapsed="false" customWidth="true" hidden="false" outlineLevel="0" max="45" min="45" style="2" width="7.56"/>
    <col collapsed="false" customWidth="true" hidden="false" outlineLevel="0" max="46" min="46" style="2" width="7.99"/>
    <col collapsed="false" customWidth="true" hidden="false" outlineLevel="0" max="47" min="47" style="2" width="7.7"/>
    <col collapsed="false" customWidth="true" hidden="false" outlineLevel="0" max="48" min="48" style="2" width="7.42"/>
    <col collapsed="false" customWidth="true" hidden="false" outlineLevel="0" max="49" min="49" style="2" width="7.7"/>
    <col collapsed="false" customWidth="true" hidden="false" outlineLevel="0" max="50" min="50" style="2" width="7.56"/>
    <col collapsed="false" customWidth="true" hidden="false" outlineLevel="0" max="51" min="51" style="2" width="7.85"/>
    <col collapsed="false" customWidth="true" hidden="false" outlineLevel="0" max="52" min="52" style="2" width="10.28"/>
    <col collapsed="false" customWidth="true" hidden="false" outlineLevel="0" max="53" min="53" style="2" width="9.99"/>
    <col collapsed="false" customWidth="true" hidden="false" outlineLevel="0" max="54" min="54" style="2" width="12.28"/>
    <col collapsed="false" customWidth="true" hidden="false" outlineLevel="0" max="55" min="55" style="2" width="9.56"/>
    <col collapsed="false" customWidth="false" hidden="false" outlineLevel="0" max="60" min="56" style="2" width="8.85"/>
    <col collapsed="false" customWidth="true" hidden="false" outlineLevel="0" max="61" min="61" style="2" width="10.85"/>
    <col collapsed="false" customWidth="true" hidden="false" outlineLevel="0" max="62" min="62" style="2" width="8.14"/>
    <col collapsed="false" customWidth="true" hidden="false" outlineLevel="0" max="63" min="63" style="2" width="7.42"/>
    <col collapsed="false" customWidth="true" hidden="false" outlineLevel="0" max="64" min="64" style="2" width="10.71"/>
    <col collapsed="false" customWidth="true" hidden="false" outlineLevel="0" max="65" min="65" style="2" width="6.41"/>
    <col collapsed="false" customWidth="true" hidden="false" outlineLevel="0" max="66" min="66" style="2" width="6.56"/>
    <col collapsed="false" customWidth="true" hidden="false" outlineLevel="0" max="67" min="67" style="2" width="5.56"/>
    <col collapsed="false" customWidth="true" hidden="false" outlineLevel="0" max="68" min="68" style="2" width="5.99"/>
    <col collapsed="false" customWidth="true" hidden="false" outlineLevel="0" max="69" min="69" style="2" width="5.85"/>
    <col collapsed="false" customWidth="true" hidden="false" outlineLevel="0" max="70" min="70" style="2" width="7.85"/>
    <col collapsed="false" customWidth="true" hidden="false" outlineLevel="0" max="72" min="71" style="2" width="6.41"/>
    <col collapsed="false" customWidth="true" hidden="false" outlineLevel="0" max="73" min="73" style="2" width="6.99"/>
    <col collapsed="false" customWidth="true" hidden="false" outlineLevel="0" max="74" min="74" style="2" width="5.99"/>
    <col collapsed="false" customWidth="true" hidden="false" outlineLevel="0" max="75" min="75" style="2" width="7.42"/>
    <col collapsed="false" customWidth="true" hidden="false" outlineLevel="0" max="76" min="76" style="2" width="6.13"/>
    <col collapsed="false" customWidth="true" hidden="false" outlineLevel="0" max="77" min="77" style="2" width="5.85"/>
    <col collapsed="false" customWidth="true" hidden="false" outlineLevel="0" max="78" min="78" style="2" width="6.13"/>
    <col collapsed="false" customWidth="true" hidden="false" outlineLevel="0" max="79" min="79" style="2" width="6.41"/>
    <col collapsed="false" customWidth="true" hidden="false" outlineLevel="0" max="80" min="80" style="2" width="5.56"/>
    <col collapsed="false" customWidth="true" hidden="false" outlineLevel="0" max="81" min="81" style="2" width="5.71"/>
    <col collapsed="false" customWidth="true" hidden="false" outlineLevel="0" max="82" min="82" style="2" width="5.56"/>
    <col collapsed="false" customWidth="true" hidden="false" outlineLevel="0" max="83" min="83" style="2" width="5.13"/>
    <col collapsed="false" customWidth="true" hidden="false" outlineLevel="0" max="84" min="84" style="1" width="10.13"/>
    <col collapsed="false" customWidth="false" hidden="false" outlineLevel="0" max="89" min="85" style="2" width="8.85"/>
    <col collapsed="false" customWidth="true" hidden="false" outlineLevel="0" max="90" min="90" style="2" width="7.99"/>
    <col collapsed="false" customWidth="true" hidden="false" outlineLevel="0" max="91" min="91" style="2" width="10.71"/>
    <col collapsed="false" customWidth="true" hidden="false" outlineLevel="0" max="92" min="92" style="2" width="10.13"/>
    <col collapsed="false" customWidth="true" hidden="false" outlineLevel="0" max="93" min="93" style="2" width="7.14"/>
    <col collapsed="false" customWidth="false" hidden="false" outlineLevel="0" max="94" min="94" style="2" width="8.85"/>
    <col collapsed="false" customWidth="true" hidden="false" outlineLevel="0" max="95" min="95" style="2" width="6.41"/>
    <col collapsed="false" customWidth="true" hidden="false" outlineLevel="0" max="96" min="96" style="2" width="6.99"/>
    <col collapsed="false" customWidth="true" hidden="false" outlineLevel="0" max="97" min="97" style="1" width="6.56"/>
    <col collapsed="false" customWidth="true" hidden="false" outlineLevel="0" max="98" min="98" style="1" width="6.7"/>
    <col collapsed="false" customWidth="true" hidden="false" outlineLevel="0" max="99" min="99" style="1" width="6.28"/>
    <col collapsed="false" customWidth="true" hidden="false" outlineLevel="0" max="100" min="100" style="1" width="6.13"/>
    <col collapsed="false" customWidth="true" hidden="false" outlineLevel="0" max="101" min="101" style="1" width="5.99"/>
    <col collapsed="false" customWidth="true" hidden="false" outlineLevel="0" max="102" min="102" style="1" width="6.85"/>
    <col collapsed="false" customWidth="true" hidden="false" outlineLevel="0" max="104" min="103" style="1" width="6.41"/>
    <col collapsed="false" customWidth="true" hidden="false" outlineLevel="0" max="105" min="105" style="1" width="6.13"/>
    <col collapsed="false" customWidth="true" hidden="false" outlineLevel="0" max="106" min="106" style="1" width="6.28"/>
    <col collapsed="false" customWidth="true" hidden="false" outlineLevel="0" max="107" min="107" style="1" width="6.7"/>
    <col collapsed="false" customWidth="true" hidden="false" outlineLevel="0" max="109" min="108" style="1" width="6.56"/>
    <col collapsed="false" customWidth="true" hidden="false" outlineLevel="0" max="110" min="110" style="1" width="6.28"/>
    <col collapsed="false" customWidth="true" hidden="false" outlineLevel="0" max="111" min="111" style="1" width="11.13"/>
    <col collapsed="false" customWidth="false" hidden="false" outlineLevel="0" max="257" min="112" style="1" width="8.85"/>
  </cols>
  <sheetData>
    <row r="1" customFormat="false" ht="12.75" hidden="false" customHeight="fals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5" t="s">
        <v>0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G1" s="4"/>
      <c r="CH1" s="4"/>
      <c r="CI1" s="4"/>
      <c r="CJ1" s="4"/>
      <c r="CK1" s="4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customFormat="false" ht="12.75" hidden="false" customHeight="fals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6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G2" s="4"/>
    </row>
    <row r="3" customFormat="false" ht="14.25" hidden="false" customHeight="true" outlineLevel="0" collapsed="false">
      <c r="B3" s="7" t="s">
        <v>1</v>
      </c>
      <c r="C3" s="3"/>
      <c r="D3" s="3"/>
      <c r="E3" s="3"/>
      <c r="F3" s="3"/>
      <c r="G3" s="3"/>
      <c r="J3" s="3"/>
      <c r="K3" s="7" t="s">
        <v>41</v>
      </c>
      <c r="M3" s="3"/>
      <c r="N3" s="3"/>
      <c r="O3" s="3"/>
      <c r="P3" s="3"/>
      <c r="Q3" s="3"/>
      <c r="R3" s="3"/>
      <c r="S3" s="3"/>
      <c r="T3" s="3"/>
      <c r="U3" s="3"/>
      <c r="V3" s="8" t="s">
        <v>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3" t="s">
        <v>42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G3" s="1"/>
      <c r="CH3" s="1"/>
      <c r="CI3" s="4"/>
      <c r="CJ3" s="3" t="s">
        <v>3</v>
      </c>
      <c r="CK3" s="4"/>
      <c r="CL3" s="4"/>
      <c r="CM3" s="4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customFormat="false" ht="12.7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T4" s="100"/>
    </row>
    <row r="5" customFormat="false" ht="18.75" hidden="false" customHeight="true" outlineLevel="0" collapsed="false">
      <c r="B5" s="9"/>
      <c r="C5" s="10"/>
      <c r="D5" s="10"/>
      <c r="E5" s="11"/>
      <c r="H5" s="12" t="s">
        <v>4</v>
      </c>
      <c r="I5" s="12" t="s">
        <v>43</v>
      </c>
      <c r="J5" s="101" t="s">
        <v>10</v>
      </c>
      <c r="K5" s="17" t="s">
        <v>44</v>
      </c>
      <c r="L5" s="102" t="s">
        <v>45</v>
      </c>
      <c r="M5" s="102"/>
      <c r="N5" s="102"/>
      <c r="O5" s="17" t="s">
        <v>46</v>
      </c>
      <c r="P5" s="103" t="s">
        <v>47</v>
      </c>
      <c r="Q5" s="103"/>
      <c r="R5" s="103"/>
      <c r="S5" s="12" t="s">
        <v>46</v>
      </c>
      <c r="T5" s="1"/>
      <c r="U5" s="1"/>
      <c r="V5" s="12" t="s">
        <v>4</v>
      </c>
      <c r="W5" s="12" t="s">
        <v>43</v>
      </c>
      <c r="X5" s="12" t="s">
        <v>10</v>
      </c>
      <c r="Y5" s="12" t="s">
        <v>48</v>
      </c>
      <c r="Z5" s="12" t="s">
        <v>49</v>
      </c>
      <c r="AA5" s="12" t="s">
        <v>11</v>
      </c>
      <c r="AB5" s="104" t="s">
        <v>50</v>
      </c>
      <c r="AC5" s="17" t="s">
        <v>12</v>
      </c>
      <c r="AD5" s="105" t="s">
        <v>14</v>
      </c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6" t="s">
        <v>51</v>
      </c>
      <c r="BA5" s="107" t="s">
        <v>52</v>
      </c>
      <c r="BB5" s="106" t="s">
        <v>53</v>
      </c>
      <c r="BC5" s="107" t="s">
        <v>52</v>
      </c>
      <c r="BF5" s="14" t="s">
        <v>4</v>
      </c>
      <c r="BG5" s="108" t="s">
        <v>10</v>
      </c>
      <c r="BH5" s="109" t="s">
        <v>12</v>
      </c>
      <c r="BI5" s="110" t="s">
        <v>54</v>
      </c>
      <c r="BJ5" s="111" t="s">
        <v>14</v>
      </c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4" t="s">
        <v>55</v>
      </c>
      <c r="CJ5" s="14" t="s">
        <v>4</v>
      </c>
      <c r="CK5" s="108" t="s">
        <v>10</v>
      </c>
      <c r="CL5" s="109" t="s">
        <v>12</v>
      </c>
      <c r="CM5" s="107" t="s">
        <v>56</v>
      </c>
      <c r="CN5" s="111" t="s">
        <v>14</v>
      </c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111"/>
      <c r="CZ5" s="111"/>
      <c r="DA5" s="111"/>
      <c r="DB5" s="111"/>
      <c r="DC5" s="111"/>
      <c r="DD5" s="111"/>
      <c r="DE5" s="111"/>
      <c r="DF5" s="111"/>
      <c r="DG5" s="111"/>
      <c r="DH5" s="111"/>
      <c r="DI5" s="111"/>
      <c r="DJ5" s="14" t="s">
        <v>57</v>
      </c>
    </row>
    <row r="6" customFormat="false" ht="33.75" hidden="false" customHeight="true" outlineLevel="0" collapsed="false">
      <c r="B6" s="19" t="s">
        <v>15</v>
      </c>
      <c r="C6" s="20"/>
      <c r="D6" s="21"/>
      <c r="E6" s="22"/>
      <c r="H6" s="12"/>
      <c r="I6" s="12"/>
      <c r="J6" s="101"/>
      <c r="K6" s="17"/>
      <c r="L6" s="112" t="s">
        <v>58</v>
      </c>
      <c r="M6" s="113" t="s">
        <v>59</v>
      </c>
      <c r="N6" s="113" t="s">
        <v>60</v>
      </c>
      <c r="O6" s="17"/>
      <c r="P6" s="112" t="s">
        <v>58</v>
      </c>
      <c r="Q6" s="113" t="s">
        <v>59</v>
      </c>
      <c r="R6" s="113" t="s">
        <v>60</v>
      </c>
      <c r="S6" s="12"/>
      <c r="T6" s="1"/>
      <c r="U6" s="1"/>
      <c r="V6" s="12"/>
      <c r="W6" s="12"/>
      <c r="X6" s="12"/>
      <c r="Y6" s="12"/>
      <c r="Z6" s="12"/>
      <c r="AA6" s="12"/>
      <c r="AB6" s="104"/>
      <c r="AC6" s="17"/>
      <c r="AD6" s="114" t="s">
        <v>61</v>
      </c>
      <c r="AE6" s="115" t="n">
        <v>1</v>
      </c>
      <c r="AF6" s="115" t="n">
        <v>2</v>
      </c>
      <c r="AG6" s="115" t="n">
        <v>3</v>
      </c>
      <c r="AH6" s="115" t="n">
        <v>4</v>
      </c>
      <c r="AI6" s="115" t="n">
        <v>5</v>
      </c>
      <c r="AJ6" s="115" t="n">
        <v>6</v>
      </c>
      <c r="AK6" s="115" t="n">
        <v>7</v>
      </c>
      <c r="AL6" s="115" t="n">
        <v>8</v>
      </c>
      <c r="AM6" s="115" t="n">
        <v>9</v>
      </c>
      <c r="AN6" s="115" t="n">
        <v>10</v>
      </c>
      <c r="AO6" s="115" t="n">
        <v>11</v>
      </c>
      <c r="AP6" s="115" t="n">
        <v>12</v>
      </c>
      <c r="AQ6" s="115" t="n">
        <v>13</v>
      </c>
      <c r="AR6" s="115" t="n">
        <v>14</v>
      </c>
      <c r="AS6" s="115" t="n">
        <v>15</v>
      </c>
      <c r="AT6" s="115" t="n">
        <v>16</v>
      </c>
      <c r="AU6" s="115" t="n">
        <v>17</v>
      </c>
      <c r="AV6" s="115" t="n">
        <v>18</v>
      </c>
      <c r="AW6" s="115" t="n">
        <v>19</v>
      </c>
      <c r="AX6" s="115" t="n">
        <v>20</v>
      </c>
      <c r="AY6" s="116" t="n">
        <v>21</v>
      </c>
      <c r="AZ6" s="106"/>
      <c r="BA6" s="107"/>
      <c r="BB6" s="106"/>
      <c r="BC6" s="107"/>
      <c r="BF6" s="14"/>
      <c r="BG6" s="108"/>
      <c r="BH6" s="109"/>
      <c r="BI6" s="110"/>
      <c r="BJ6" s="117" t="s">
        <v>62</v>
      </c>
      <c r="BK6" s="118" t="s">
        <v>61</v>
      </c>
      <c r="BL6" s="117" t="s">
        <v>63</v>
      </c>
      <c r="BM6" s="119" t="n">
        <v>1</v>
      </c>
      <c r="BN6" s="119" t="n">
        <v>2</v>
      </c>
      <c r="BO6" s="119" t="n">
        <v>3</v>
      </c>
      <c r="BP6" s="119" t="n">
        <v>4</v>
      </c>
      <c r="BQ6" s="119" t="n">
        <v>5</v>
      </c>
      <c r="BR6" s="119" t="n">
        <v>6</v>
      </c>
      <c r="BS6" s="119" t="n">
        <v>7</v>
      </c>
      <c r="BT6" s="119" t="n">
        <v>8</v>
      </c>
      <c r="BU6" s="119" t="n">
        <v>9</v>
      </c>
      <c r="BV6" s="119" t="n">
        <v>10</v>
      </c>
      <c r="BW6" s="119" t="n">
        <v>11</v>
      </c>
      <c r="BX6" s="119" t="n">
        <v>12</v>
      </c>
      <c r="BY6" s="119" t="n">
        <v>13</v>
      </c>
      <c r="BZ6" s="119" t="n">
        <v>14</v>
      </c>
      <c r="CA6" s="119" t="n">
        <v>15</v>
      </c>
      <c r="CB6" s="119" t="n">
        <v>16</v>
      </c>
      <c r="CC6" s="119" t="n">
        <v>17</v>
      </c>
      <c r="CD6" s="119" t="n">
        <v>18</v>
      </c>
      <c r="CE6" s="119" t="n">
        <v>19</v>
      </c>
      <c r="CF6" s="119" t="n">
        <v>20</v>
      </c>
      <c r="CG6" s="120" t="n">
        <v>21</v>
      </c>
      <c r="CH6" s="14"/>
      <c r="CJ6" s="14"/>
      <c r="CK6" s="108"/>
      <c r="CL6" s="109"/>
      <c r="CM6" s="107"/>
      <c r="CN6" s="121" t="s">
        <v>63</v>
      </c>
      <c r="CO6" s="122" t="n">
        <v>1</v>
      </c>
      <c r="CP6" s="122" t="n">
        <v>2</v>
      </c>
      <c r="CQ6" s="122" t="n">
        <v>3</v>
      </c>
      <c r="CR6" s="122" t="n">
        <v>4</v>
      </c>
      <c r="CS6" s="122" t="n">
        <v>5</v>
      </c>
      <c r="CT6" s="122" t="n">
        <v>6</v>
      </c>
      <c r="CU6" s="122" t="n">
        <v>7</v>
      </c>
      <c r="CV6" s="122" t="n">
        <v>8</v>
      </c>
      <c r="CW6" s="122" t="n">
        <v>9</v>
      </c>
      <c r="CX6" s="122" t="n">
        <v>10</v>
      </c>
      <c r="CY6" s="122" t="n">
        <v>11</v>
      </c>
      <c r="CZ6" s="122" t="n">
        <v>12</v>
      </c>
      <c r="DA6" s="122" t="n">
        <v>13</v>
      </c>
      <c r="DB6" s="122" t="n">
        <v>14</v>
      </c>
      <c r="DC6" s="122" t="n">
        <v>15</v>
      </c>
      <c r="DD6" s="122" t="n">
        <v>16</v>
      </c>
      <c r="DE6" s="122" t="n">
        <v>17</v>
      </c>
      <c r="DF6" s="122" t="n">
        <v>18</v>
      </c>
      <c r="DG6" s="122" t="n">
        <v>19</v>
      </c>
      <c r="DH6" s="122" t="n">
        <v>20</v>
      </c>
      <c r="DI6" s="123" t="n">
        <v>21</v>
      </c>
      <c r="DJ6" s="14"/>
    </row>
    <row r="7" customFormat="false" ht="13.5" hidden="false" customHeight="false" outlineLevel="0" collapsed="false">
      <c r="B7" s="29"/>
      <c r="C7" s="30" t="s">
        <v>22</v>
      </c>
      <c r="D7" s="31" t="n">
        <f aca="false">'Input-Detail'!AZ10</f>
        <v>7</v>
      </c>
      <c r="E7" s="22"/>
      <c r="H7" s="50" t="s">
        <v>64</v>
      </c>
      <c r="I7" s="124" t="n">
        <f aca="false">'Input-Detail'!E14</f>
        <v>19016173</v>
      </c>
      <c r="J7" s="125" t="n">
        <f aca="false">'Input-Detail'!F14</f>
        <v>0</v>
      </c>
      <c r="K7" s="126" t="n">
        <f aca="false">AC7</f>
        <v>5740</v>
      </c>
      <c r="L7" s="127"/>
      <c r="M7" s="128"/>
      <c r="N7" s="128"/>
      <c r="O7" s="129"/>
      <c r="P7" s="127"/>
      <c r="Q7" s="128"/>
      <c r="R7" s="128"/>
      <c r="S7" s="130"/>
      <c r="T7" s="1"/>
      <c r="U7" s="1"/>
      <c r="V7" s="50" t="s">
        <v>64</v>
      </c>
      <c r="W7" s="124" t="n">
        <f aca="false">'Input-Detail'!E14</f>
        <v>19016173</v>
      </c>
      <c r="X7" s="131" t="n">
        <f aca="false">J7</f>
        <v>0</v>
      </c>
      <c r="Y7" s="132" t="n">
        <f aca="false">'Input-Detail'!V18</f>
        <v>8200</v>
      </c>
      <c r="Z7" s="133" t="n">
        <f aca="false">'Input-Detail'!W18</f>
        <v>2319.04548780488</v>
      </c>
      <c r="AA7" s="132" t="n">
        <f aca="false">'Input-Detail'!X18</f>
        <v>2</v>
      </c>
      <c r="AB7" s="134" t="n">
        <f aca="false">'Input-Detail'!Y18</f>
        <v>0.7</v>
      </c>
      <c r="AC7" s="57" t="n">
        <f aca="false">Y7*AB7</f>
        <v>5740</v>
      </c>
      <c r="AD7" s="135" t="n">
        <f aca="false">Peak_Time_Eve*$BH7*(3600/K40+BK7)/3600</f>
        <v>32.9464087601818</v>
      </c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7"/>
      <c r="AZ7" s="138"/>
      <c r="BA7" s="139"/>
      <c r="BB7" s="140"/>
      <c r="BC7" s="140"/>
      <c r="BF7" s="50" t="s">
        <v>64</v>
      </c>
      <c r="BG7" s="131" t="n">
        <f aca="false">$X7</f>
        <v>0</v>
      </c>
      <c r="BH7" s="141" t="n">
        <f aca="false">$AC7</f>
        <v>5740</v>
      </c>
      <c r="BI7" s="142" t="n">
        <f aca="false">BH7*(1-BG7)</f>
        <v>5740</v>
      </c>
      <c r="BJ7" s="143" t="n">
        <f aca="false">Peak_Arrival_Manual/K40</f>
        <v>10.4834722222222</v>
      </c>
      <c r="BK7" s="144" t="n">
        <f aca="false">900*Peak_Time_Eve*(BJ7/Total_Lanes-1+SQRT((BJ7/Total_Lanes-1)^2+8*(BJ7/Total_Lanes)/(Peak_Time_Eve*$K40*Total_Lanes)))</f>
        <v>3.75662644047512</v>
      </c>
      <c r="BL7" s="145" t="n">
        <f aca="false">Peak_Arrival_Manual/N40</f>
        <v>10.4834722222222</v>
      </c>
      <c r="BM7" s="146" t="n">
        <f aca="false">IF(BM$6&lt;Total_Lanes,900*Peak_Time_Eve*(($BL7/(Total_Lanes-BM$6))-1+SQRT((($BL7/(Total_Lanes-BM$6))-1)^2+8*($BL7/(Total_Lanes-BM$6))/(Peak_Time_Eve*$N40*(Total_Lanes-BM$6)))),"-")</f>
        <v>11.3671393917207</v>
      </c>
      <c r="BN7" s="146" t="n">
        <f aca="false">IF(BN$6&lt;Total_Lanes,900*Peak_Time_Eve*(($BL7/(Total_Lanes-BN$6))-1+SQRT((($BL7/(Total_Lanes-BN$6))-1)^2+8*($BL7/(Total_Lanes-BN$6))/(Peak_Time_Eve*$N40*(Total_Lanes-BN$6)))),"-")</f>
        <v>187.29856830192</v>
      </c>
      <c r="BO7" s="146" t="n">
        <f aca="false">IF(BO$6&lt;Total_Lanes,900*Peak_Time_Eve*(($BL7/(Total_Lanes-BO$6))-1+SQRT((($BL7/(Total_Lanes-BO$6))-1)^2+8*($BL7/(Total_Lanes-BO$6))/(Peak_Time_Eve*$N40*(Total_Lanes-BO$6)))),"-")</f>
        <v>598.507460919182</v>
      </c>
      <c r="BP7" s="146" t="n">
        <f aca="false">IF(BP$6&lt;Total_Lanes,900*Peak_Time_Eve*(($BL7/(Total_Lanes-BP$6))-1+SQRT((($BL7/(Total_Lanes-BP$6))-1)^2+8*($BL7/(Total_Lanes-BP$6))/(Peak_Time_Eve*$N40*(Total_Lanes-BP$6)))),"-")</f>
        <v>1121.02117390371</v>
      </c>
      <c r="BQ7" s="146" t="n">
        <f aca="false">IF(BQ$6&lt;Total_Lanes,900*Peak_Time_Eve*(($BL7/(Total_Lanes-BQ$6))-1+SQRT((($BL7/(Total_Lanes-BQ$6))-1)^2+8*($BL7/(Total_Lanes-BQ$6))/(Peak_Time_Eve*$N40*(Total_Lanes-BQ$6)))),"-")</f>
        <v>1794.3223239832</v>
      </c>
      <c r="BR7" s="146" t="n">
        <f aca="false">IF(BR$6&lt;Total_Lanes,900*Peak_Time_Eve*(($BL7/(Total_Lanes-BR$6))-1+SQRT((($BL7/(Total_Lanes-BR$6))-1)^2+8*($BL7/(Total_Lanes-BR$6))/(Peak_Time_Eve*$N40*(Total_Lanes-BR$6)))),"-")</f>
        <v>2692.64322798053</v>
      </c>
      <c r="BS7" s="146" t="n">
        <f aca="false">IF(BS$6&lt;Total_Lanes,900*Peak_Time_Eve*(($BL7/(Total_Lanes-BS$6))-1+SQRT((($BL7/(Total_Lanes-BS$6))-1)^2+8*($BL7/(Total_Lanes-BS$6))/(Peak_Time_Eve*$N40*(Total_Lanes-BS$6)))),"-")</f>
        <v>3950.612458917</v>
      </c>
      <c r="BT7" s="146" t="n">
        <f aca="false">IF(BT$6&lt;Total_Lanes,900*Peak_Time_Eve*(($BL7/(Total_Lanes-BT$6))-1+SQRT((($BL7/(Total_Lanes-BT$6))-1)^2+8*($BL7/(Total_Lanes-BT$6))/(Peak_Time_Eve*$N40*(Total_Lanes-BT$6)))),"-")</f>
        <v>5837.78165755051</v>
      </c>
      <c r="BU7" s="146" t="n">
        <f aca="false">IF(BU$6&lt;Total_Lanes,900*Peak_Time_Eve*(($BL7/(Total_Lanes-BU$6))-1+SQRT((($BL7/(Total_Lanes-BU$6))-1)^2+8*($BL7/(Total_Lanes-BU$6))/(Peak_Time_Eve*$N40*(Total_Lanes-BU$6)))),"-")</f>
        <v>8983.23588718928</v>
      </c>
      <c r="BV7" s="146" t="n">
        <f aca="false">IF(BV$6&lt;Total_Lanes,900*Peak_Time_Eve*(($BL7/(Total_Lanes-BV$6))-1+SQRT((($BL7/(Total_Lanes-BV$6))-1)^2+8*($BL7/(Total_Lanes-BV$6))/(Peak_Time_Eve*$N40*(Total_Lanes-BV$6)))),"-")</f>
        <v>15274.3114561941</v>
      </c>
      <c r="BW7" s="146" t="n">
        <f aca="false">IF(BW$6&lt;Total_Lanes,900*Peak_Time_Eve*(($BL7/(Total_Lanes-BW$6))-1+SQRT((($BL7/(Total_Lanes-BW$6))-1)^2+8*($BL7/(Total_Lanes-BW$6))/(Peak_Time_Eve*$N40*(Total_Lanes-BW$6)))),"-")</f>
        <v>34147.7667647407</v>
      </c>
      <c r="BX7" s="136" t="str">
        <f aca="false">IF(BX$6&lt;Total_Lanes,900*Peak_Time_Eve*(($BL7/(Total_Lanes-BX$6))-1+SQRT((($BL7/(Total_Lanes-BX$6))-1)^2+8*($BL7/(Total_Lanes-BX$6))/(Peak_Time_Eve*$N40*(Total_Lanes-BX$6)))),"-")</f>
        <v>-</v>
      </c>
      <c r="BY7" s="136" t="str">
        <f aca="false">IF(BY$6&lt;Total_Lanes,900*Peak_Time_Eve*(($BL7/(Total_Lanes-BY$6))-1+SQRT((($BL7/(Total_Lanes-BY$6))-1)^2+8*($BL7/(Total_Lanes-BY$6))/(Peak_Time_Eve*$N40*(Total_Lanes-BY$6)))),"-")</f>
        <v>-</v>
      </c>
      <c r="BZ7" s="136" t="str">
        <f aca="false">IF(BZ$6&lt;Total_Lanes,900*Peak_Time_Eve*(($BL7/(Total_Lanes-BZ$6))-1+SQRT((($BL7/(Total_Lanes-BZ$6))-1)^2+8*($BL7/(Total_Lanes-BZ$6))/(Peak_Time_Eve*$N40*(Total_Lanes-BZ$6)))),"-")</f>
        <v>-</v>
      </c>
      <c r="CA7" s="136" t="str">
        <f aca="false">IF(CA$6&lt;Total_Lanes,900*Peak_Time_Eve*(($BL7/(Total_Lanes-CA$6))-1+SQRT((($BL7/(Total_Lanes-CA$6))-1)^2+8*($BL7/(Total_Lanes-CA$6))/(Peak_Time_Eve*$N40*(Total_Lanes-CA$6)))),"-")</f>
        <v>-</v>
      </c>
      <c r="CB7" s="136" t="str">
        <f aca="false">IF(CB$6&lt;Total_Lanes,900*Peak_Time_Eve*(($BL7/(Total_Lanes-CB$6))-1+SQRT((($BL7/(Total_Lanes-CB$6))-1)^2+8*($BL7/(Total_Lanes-CB$6))/(Peak_Time_Eve*$N40*(Total_Lanes-CB$6)))),"-")</f>
        <v>-</v>
      </c>
      <c r="CC7" s="136" t="str">
        <f aca="false">IF(CC$6&lt;Total_Lanes,900*Peak_Time_Eve*(($BL7/(Total_Lanes-CC$6))-1+SQRT((($BL7/(Total_Lanes-CC$6))-1)^2+8*($BL7/(Total_Lanes-CC$6))/(Peak_Time_Eve*$N40*(Total_Lanes-CC$6)))),"-")</f>
        <v>-</v>
      </c>
      <c r="CD7" s="136" t="str">
        <f aca="false">IF(CD$6&lt;Total_Lanes,900*Peak_Time_Eve*(($BL7/(Total_Lanes-CD$6))-1+SQRT((($BL7/(Total_Lanes-CD$6))-1)^2+8*($BL7/(Total_Lanes-CD$6))/(Peak_Time_Eve*$N40*(Total_Lanes-CD$6)))),"-")</f>
        <v>-</v>
      </c>
      <c r="CE7" s="136" t="str">
        <f aca="false">IF(CE$6&lt;Total_Lanes,900*Peak_Time_Eve*(($BL7/(Total_Lanes-CE$6))-1+SQRT((($BL7/(Total_Lanes-CE$6))-1)^2+8*($BL7/(Total_Lanes-CE$6))/(Peak_Time_Eve*$N40*(Total_Lanes-CE$6)))),"-")</f>
        <v>-</v>
      </c>
      <c r="CF7" s="136" t="str">
        <f aca="false">IF(CF$6&lt;Total_Lanes,900*Peak_Time_Eve*(($BL7/(Total_Lanes-CF$6))-1+SQRT((($BL7/(Total_Lanes-CF$6))-1)^2+8*($BL7/(Total_Lanes-CF$6))/(Peak_Time_Eve*$N40*(Total_Lanes-CF$6)))),"-")</f>
        <v>-</v>
      </c>
      <c r="CG7" s="147" t="str">
        <f aca="false">IF(CG$6&lt;Total_Lanes,900*Peak_Time_Eve*(($BL7/(Total_Lanes-CG$6))-1+SQRT((($BL7/(Total_Lanes-CG$6))-1)^2+8*($BL7/(Total_Lanes-CG$6))/(Peak_Time_Eve*$N40*(Total_Lanes-CG$6)))),"-")</f>
        <v>-</v>
      </c>
      <c r="CH7" s="148" t="n">
        <f aca="false">3600/N40</f>
        <v>6.575</v>
      </c>
      <c r="CJ7" s="50" t="s">
        <v>64</v>
      </c>
      <c r="CK7" s="131" t="n">
        <f aca="false">$X7</f>
        <v>0</v>
      </c>
      <c r="CL7" s="57" t="n">
        <f aca="false">$AC7</f>
        <v>5740</v>
      </c>
      <c r="CM7" s="149" t="n">
        <f aca="false">CL7*CK7</f>
        <v>0</v>
      </c>
      <c r="CN7" s="150"/>
      <c r="CO7" s="151"/>
      <c r="CP7" s="152"/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3"/>
      <c r="DJ7" s="148"/>
    </row>
    <row r="8" customFormat="false" ht="12.75" hidden="false" customHeight="false" outlineLevel="0" collapsed="false">
      <c r="B8" s="29"/>
      <c r="C8" s="30" t="s">
        <v>24</v>
      </c>
      <c r="D8" s="31" t="n">
        <f aca="false">'Input-Detail'!AZ11</f>
        <v>4.5</v>
      </c>
      <c r="E8" s="22"/>
      <c r="H8" s="50" t="n">
        <v>1</v>
      </c>
      <c r="I8" s="124" t="n">
        <f aca="false">'Input-Detail'!E15</f>
        <v>19565364.35</v>
      </c>
      <c r="J8" s="131" t="n">
        <f aca="false">'Input-Detail'!F15</f>
        <v>0.0699842202922738</v>
      </c>
      <c r="K8" s="57" t="n">
        <f aca="false">AC8</f>
        <v>5905.7724900273</v>
      </c>
      <c r="L8" s="135" t="n">
        <f aca="false">AD55</f>
        <v>9.70528734148185</v>
      </c>
      <c r="M8" s="150" t="n">
        <f aca="false">AD8</f>
        <v>30.7597086578616</v>
      </c>
      <c r="N8" s="150" t="n">
        <f aca="false">SUM(L8:M8)</f>
        <v>40.4649959993435</v>
      </c>
      <c r="O8" s="154" t="n">
        <f aca="false">$S$34*N8</f>
        <v>10520.8989598293</v>
      </c>
      <c r="P8" s="135" t="n">
        <f aca="false">BC55</f>
        <v>9.16343938312437</v>
      </c>
      <c r="Q8" s="150" t="n">
        <f aca="false">BC8</f>
        <v>39.6091081769857</v>
      </c>
      <c r="R8" s="150" t="n">
        <f aca="false">SUM(P8:Q8)</f>
        <v>48.77254756011</v>
      </c>
      <c r="S8" s="155" t="n">
        <f aca="false">$S$34*R8</f>
        <v>12680.8623656286</v>
      </c>
      <c r="T8" s="1"/>
      <c r="U8" s="1"/>
      <c r="V8" s="50" t="n">
        <v>1</v>
      </c>
      <c r="W8" s="132" t="n">
        <f aca="false">W$7+(W$27-W$7)*$V8/20</f>
        <v>19565364.35</v>
      </c>
      <c r="X8" s="131" t="n">
        <f aca="false">J8</f>
        <v>0.0699842202922738</v>
      </c>
      <c r="Y8" s="132" t="n">
        <f aca="false">'Input-Detail'!E15/Z8</f>
        <v>8436.81784289615</v>
      </c>
      <c r="Z8" s="156" t="n">
        <f aca="false">Z7</f>
        <v>2319.04548780488</v>
      </c>
      <c r="AA8" s="156" t="n">
        <f aca="false">AA7</f>
        <v>2</v>
      </c>
      <c r="AB8" s="157" t="n">
        <f aca="false">AB7</f>
        <v>0.7</v>
      </c>
      <c r="AC8" s="57" t="n">
        <f aca="false">Y8*AB8</f>
        <v>5905.7724900273</v>
      </c>
      <c r="AD8" s="135" t="n">
        <f aca="false">Peak_Time_Eve*$BH8*(CH8+BK8)/3600</f>
        <v>30.7597086578616</v>
      </c>
      <c r="AE8" s="136" t="n">
        <f aca="false">IF(AE$6&lt;Total_Lanes,($BI8*($CH8+BM8)+$CM8*CO8)*Peak_Time_Eve/3600,"-")</f>
        <v>39.6091081769857</v>
      </c>
      <c r="AF8" s="136" t="n">
        <f aca="false">IF(AF$6&lt;Total_Lanes,($BI8*($CH8+BN8)+$CM8*CP8)*Peak_Time_Eve/3600,"-")</f>
        <v>208.436368221008</v>
      </c>
      <c r="AG8" s="136" t="n">
        <f aca="false">IF(AG$6&lt;Total_Lanes,($BI8*($CH8+BO8)+$CM8*CQ8)*Peak_Time_Eve/3600,"-")</f>
        <v>1339.37692912301</v>
      </c>
      <c r="AH8" s="136" t="n">
        <f aca="false">IF(AH$6&lt;Total_Lanes,($BI8*($CH8+BP8)+$CM8*CR8)*Peak_Time_Eve/3600,"-")</f>
        <v>2866.17785969119</v>
      </c>
      <c r="AI8" s="136" t="n">
        <f aca="false">IF(AI$6&lt;Total_Lanes,($BI8*($CH8+BQ8)+$CM8*CS8)*Peak_Time_Eve/3600,"-")</f>
        <v>4837.49123227174</v>
      </c>
      <c r="AJ8" s="136" t="n">
        <f aca="false">IF(AJ$6&lt;Total_Lanes,($BI8*($CH8+BR8)+$CM8*CT8)*Peak_Time_Eve/3600,"-")</f>
        <v>7468.50342623548</v>
      </c>
      <c r="AK8" s="136" t="n">
        <f aca="false">IF(AK$6&lt;Total_Lanes,($BI8*($CH8+BS8)+$CM8*CU8)*Peak_Time_Eve/3600,"-")</f>
        <v>11153.1978359542</v>
      </c>
      <c r="AL8" s="136" t="n">
        <f aca="false">IF(AL$6&lt;Total_Lanes,($BI8*($CH8+BT8)+$CM8*CV8)*Peak_Time_Eve/3600,"-")</f>
        <v>16681.048425436</v>
      </c>
      <c r="AM8" s="136" t="n">
        <f aca="false">IF(AM$6&lt;Total_Lanes,($BI8*($CH8+BU8)+$CM8*CW8)*Peak_Time_Eve/3600,"-")</f>
        <v>25894.7541439311</v>
      </c>
      <c r="AN8" s="136" t="n">
        <f aca="false">IF(AN$6&lt;Total_Lanes,($BI8*($CH8+BV8)+$CM8*CX8)*Peak_Time_Eve/3600,"-")</f>
        <v>44322.7513684023</v>
      </c>
      <c r="AO8" s="136" t="n">
        <f aca="false">IF(AO$6&lt;Total_Lanes,($BI8*($CH8+BW8)+$CM8*CY8)*Peak_Time_Eve/3600,"-")</f>
        <v>99607.5272064351</v>
      </c>
      <c r="AP8" s="136" t="str">
        <f aca="false">IF(AP$6&lt;Total_Lanes,($BI8*($CH8+BX8)+$CM8*CZ8)*Peak_Time_Eve/3600,"-")</f>
        <v>-</v>
      </c>
      <c r="AQ8" s="136" t="str">
        <f aca="false">IF(AQ$6&lt;Total_Lanes,($BI8*($CH8+BY8)+$CM8*DA8)*Peak_Time_Eve/3600,"-")</f>
        <v>-</v>
      </c>
      <c r="AR8" s="136" t="str">
        <f aca="false">IF(AR$6&lt;Total_Lanes,($BI8*($CH8+BZ8)+$CM8*DB8)*Peak_Time_Eve/3600,"-")</f>
        <v>-</v>
      </c>
      <c r="AS8" s="136" t="str">
        <f aca="false">IF(AS$6&lt;Total_Lanes,($BI8*($CH8+CA8)+$CM8*DC8)*Peak_Time_Eve/3600,"-")</f>
        <v>-</v>
      </c>
      <c r="AT8" s="136" t="str">
        <f aca="false">IF(AT$6&lt;Total_Lanes,($BI8*($CH8+CB8)+$CM8*DD8)*Peak_Time_Eve/3600,"-")</f>
        <v>-</v>
      </c>
      <c r="AU8" s="136" t="str">
        <f aca="false">IF(AU$6&lt;Total_Lanes,($BI8*($CH8+CC8)+$CM8*DE8)*Peak_Time_Eve/3600,"-")</f>
        <v>-</v>
      </c>
      <c r="AV8" s="136" t="str">
        <f aca="false">IF(AV$6&lt;Total_Lanes,($BI8*($CH8+CD8)+$CM8*DF8)*Peak_Time_Eve/3600,"-")</f>
        <v>-</v>
      </c>
      <c r="AW8" s="136" t="str">
        <f aca="false">IF(AW$6&lt;Total_Lanes,($BI8*($CH8+CE8)+$CM8*DG8)*Peak_Time_Eve/3600,"-")</f>
        <v>-</v>
      </c>
      <c r="AX8" s="136" t="str">
        <f aca="false">IF(AX$6&lt;Total_Lanes,($BI8*($CH8+CF8)+$CM8*DH8)*Peak_Time_Eve/3600,"-")</f>
        <v>-</v>
      </c>
      <c r="AY8" s="137" t="str">
        <f aca="false">IF(AY$6&lt;Total_Lanes,($BI8*($CH8+CG8)+$CM8*DI8)*Peak_Time_Eve/3600,"-")</f>
        <v>-</v>
      </c>
      <c r="AZ8" s="158" t="n">
        <f aca="false">SUMIF(AE8:AY8,BA8,$AE$6:$AY$6)</f>
        <v>1</v>
      </c>
      <c r="BA8" s="159" t="n">
        <f aca="false">MIN(AE8:AY8)</f>
        <v>39.6091081769857</v>
      </c>
      <c r="BB8" s="158" t="n">
        <f aca="false">Price!X8</f>
        <v>1</v>
      </c>
      <c r="BC8" s="159" t="n">
        <f aca="false">SUMIF($AE$6:$AY$6,$BB8,$AE8:$AY8)</f>
        <v>39.6091081769857</v>
      </c>
      <c r="BF8" s="50" t="n">
        <v>1</v>
      </c>
      <c r="BG8" s="131" t="n">
        <f aca="false">$X8</f>
        <v>0.0699842202922738</v>
      </c>
      <c r="BH8" s="141" t="n">
        <f aca="false">$AC8</f>
        <v>5905.7724900273</v>
      </c>
      <c r="BI8" s="58" t="n">
        <f aca="false">BH8*(1-BG8)</f>
        <v>5492.46160708918</v>
      </c>
      <c r="BJ8" s="143" t="n">
        <f aca="false">Peak_Arrival_Manual/K41</f>
        <v>10.0313708518365</v>
      </c>
      <c r="BK8" s="144" t="n">
        <f aca="false">900*Peak_Time_Eve*(BJ8/Total_Lanes-1+SQRT((BJ8/Total_Lanes-1)^2+8*(BJ8/Total_Lanes)/(Peak_Time_Eve*$K41*Total_Lanes)))</f>
        <v>2.77889536458124</v>
      </c>
      <c r="BL8" s="145" t="n">
        <f aca="false">Peak_Arrival_Manual/N41</f>
        <v>10.0637916321561</v>
      </c>
      <c r="BM8" s="146" t="n">
        <f aca="false">IF(BM$6&lt;Total_Lanes,900*Peak_Time_Eve*(($BL8/(Total_Lanes-BM$6))-1+SQRT((($BL8/(Total_Lanes-BM$6))-1)^2+8*($BL8/(Total_Lanes-BM$6))/(Peak_Time_Eve*$N41*(Total_Lanes-BM$6)))),"-")</f>
        <v>6.31585669730303</v>
      </c>
      <c r="BN8" s="146" t="n">
        <f aca="false">IF(BN$6&lt;Total_Lanes,900*Peak_Time_Eve*(($BL8/(Total_Lanes-BN$6))-1+SQRT((($BL8/(Total_Lanes-BN$6))-1)^2+8*($BL8/(Total_Lanes-BN$6))/(Peak_Time_Eve*$N41*(Total_Lanes-BN$6)))),"-")</f>
        <v>61.6984866939847</v>
      </c>
      <c r="BO8" s="146" t="n">
        <f aca="false">IF(BO$6&lt;Total_Lanes,900*Peak_Time_Eve*(($BL8/(Total_Lanes-BO$6))-1+SQRT((($BL8/(Total_Lanes-BO$6))-1)^2+8*($BL8/(Total_Lanes-BO$6))/(Peak_Time_Eve*$N41*(Total_Lanes-BO$6)))),"-")</f>
        <v>432.340825079549</v>
      </c>
      <c r="BP8" s="146" t="n">
        <f aca="false">IF(BP$6&lt;Total_Lanes,900*Peak_Time_Eve*(($BL8/(Total_Lanes-BP$6))-1+SQRT((($BL8/(Total_Lanes-BP$6))-1)^2+8*($BL8/(Total_Lanes-BP$6))/(Peak_Time_Eve*$N41*(Total_Lanes-BP$6)))),"-")</f>
        <v>932.709687914315</v>
      </c>
      <c r="BQ8" s="146" t="n">
        <f aca="false">IF(BQ$6&lt;Total_Lanes,900*Peak_Time_Eve*(($BL8/(Total_Lanes-BQ$6))-1+SQRT((($BL8/(Total_Lanes-BQ$6))-1)^2+8*($BL8/(Total_Lanes-BQ$6))/(Peak_Time_Eve*$N41*(Total_Lanes-BQ$6)))),"-")</f>
        <v>1578.75350218784</v>
      </c>
      <c r="BR8" s="146" t="n">
        <f aca="false">IF(BR$6&lt;Total_Lanes,900*Peak_Time_Eve*(($BL8/(Total_Lanes-BR$6))-1+SQRT((($BL8/(Total_Lanes-BR$6))-1)^2+8*($BL8/(Total_Lanes-BR$6))/(Peak_Time_Eve*$N41*(Total_Lanes-BR$6)))),"-")</f>
        <v>2440.99449732726</v>
      </c>
      <c r="BS8" s="146" t="n">
        <f aca="false">IF(BS$6&lt;Total_Lanes,900*Peak_Time_Eve*(($BL8/(Total_Lanes-BS$6))-1+SQRT((($BL8/(Total_Lanes-BS$6))-1)^2+8*($BL8/(Total_Lanes-BS$6))/(Peak_Time_Eve*$N41*(Total_Lanes-BS$6)))),"-")</f>
        <v>3648.54997301195</v>
      </c>
      <c r="BT8" s="146" t="n">
        <f aca="false">IF(BT$6&lt;Total_Lanes,900*Peak_Time_Eve*(($BL8/(Total_Lanes-BT$6))-1+SQRT((($BL8/(Total_Lanes-BT$6))-1)^2+8*($BL8/(Total_Lanes-BT$6))/(Peak_Time_Eve*$N41*(Total_Lanes-BT$6)))),"-")</f>
        <v>5460.14796976068</v>
      </c>
      <c r="BU8" s="146" t="n">
        <f aca="false">IF(BU$6&lt;Total_Lanes,900*Peak_Time_Eve*(($BL8/(Total_Lanes-BU$6))-1+SQRT((($BL8/(Total_Lanes-BU$6))-1)^2+8*($BL8/(Total_Lanes-BU$6))/(Peak_Time_Eve*$N41*(Total_Lanes-BU$6)))),"-")</f>
        <v>8479.68136330455</v>
      </c>
      <c r="BV8" s="146" t="n">
        <f aca="false">IF(BV$6&lt;Total_Lanes,900*Peak_Time_Eve*(($BL8/(Total_Lanes-BV$6))-1+SQRT((($BL8/(Total_Lanes-BV$6))-1)^2+8*($BL8/(Total_Lanes-BV$6))/(Peak_Time_Eve*$N41*(Total_Lanes-BV$6)))),"-")</f>
        <v>14518.9399047719</v>
      </c>
      <c r="BW8" s="146" t="n">
        <f aca="false">IF(BW$6&lt;Total_Lanes,900*Peak_Time_Eve*(($BL8/(Total_Lanes-BW$6))-1+SQRT((($BL8/(Total_Lanes-BW$6))-1)^2+8*($BL8/(Total_Lanes-BW$6))/(Peak_Time_Eve*$N41*(Total_Lanes-BW$6)))),"-")</f>
        <v>32636.9722409076</v>
      </c>
      <c r="BX8" s="136" t="str">
        <f aca="false">IF(BX$6&lt;Total_Lanes,900*Peak_Time_Eve*(($BL8/(Total_Lanes-BX$6))-1+SQRT((($BL8/(Total_Lanes-BX$6))-1)^2+8*($BL8/(Total_Lanes-BX$6))/(Peak_Time_Eve*$N41*(Total_Lanes-BX$6)))),"-")</f>
        <v>-</v>
      </c>
      <c r="BY8" s="136" t="str">
        <f aca="false">IF(BY$6&lt;Total_Lanes,900*Peak_Time_Eve*(($BL8/(Total_Lanes-BY$6))-1+SQRT((($BL8/(Total_Lanes-BY$6))-1)^2+8*($BL8/(Total_Lanes-BY$6))/(Peak_Time_Eve*$N41*(Total_Lanes-BY$6)))),"-")</f>
        <v>-</v>
      </c>
      <c r="BZ8" s="136" t="str">
        <f aca="false">IF(BZ$6&lt;Total_Lanes,900*Peak_Time_Eve*(($BL8/(Total_Lanes-BZ$6))-1+SQRT((($BL8/(Total_Lanes-BZ$6))-1)^2+8*($BL8/(Total_Lanes-BZ$6))/(Peak_Time_Eve*$N41*(Total_Lanes-BZ$6)))),"-")</f>
        <v>-</v>
      </c>
      <c r="CA8" s="136" t="str">
        <f aca="false">IF(CA$6&lt;Total_Lanes,900*Peak_Time_Eve*(($BL8/(Total_Lanes-CA$6))-1+SQRT((($BL8/(Total_Lanes-CA$6))-1)^2+8*($BL8/(Total_Lanes-CA$6))/(Peak_Time_Eve*$N41*(Total_Lanes-CA$6)))),"-")</f>
        <v>-</v>
      </c>
      <c r="CB8" s="136" t="str">
        <f aca="false">IF(CB$6&lt;Total_Lanes,900*Peak_Time_Eve*(($BL8/(Total_Lanes-CB$6))-1+SQRT((($BL8/(Total_Lanes-CB$6))-1)^2+8*($BL8/(Total_Lanes-CB$6))/(Peak_Time_Eve*$N41*(Total_Lanes-CB$6)))),"-")</f>
        <v>-</v>
      </c>
      <c r="CC8" s="136" t="str">
        <f aca="false">IF(CC$6&lt;Total_Lanes,900*Peak_Time_Eve*(($BL8/(Total_Lanes-CC$6))-1+SQRT((($BL8/(Total_Lanes-CC$6))-1)^2+8*($BL8/(Total_Lanes-CC$6))/(Peak_Time_Eve*$N41*(Total_Lanes-CC$6)))),"-")</f>
        <v>-</v>
      </c>
      <c r="CD8" s="136" t="str">
        <f aca="false">IF(CD$6&lt;Total_Lanes,900*Peak_Time_Eve*(($BL8/(Total_Lanes-CD$6))-1+SQRT((($BL8/(Total_Lanes-CD$6))-1)^2+8*($BL8/(Total_Lanes-CD$6))/(Peak_Time_Eve*$N41*(Total_Lanes-CD$6)))),"-")</f>
        <v>-</v>
      </c>
      <c r="CE8" s="136" t="str">
        <f aca="false">IF(CE$6&lt;Total_Lanes,900*Peak_Time_Eve*(($BL8/(Total_Lanes-CE$6))-1+SQRT((($BL8/(Total_Lanes-CE$6))-1)^2+8*($BL8/(Total_Lanes-CE$6))/(Peak_Time_Eve*$N41*(Total_Lanes-CE$6)))),"-")</f>
        <v>-</v>
      </c>
      <c r="CF8" s="136" t="str">
        <f aca="false">IF(CF$6&lt;Total_Lanes,900*Peak_Time_Eve*(($BL8/(Total_Lanes-CF$6))-1+SQRT((($BL8/(Total_Lanes-CF$6))-1)^2+8*($BL8/(Total_Lanes-CF$6))/(Peak_Time_Eve*$N41*(Total_Lanes-CF$6)))),"-")</f>
        <v>-</v>
      </c>
      <c r="CG8" s="147" t="str">
        <f aca="false">IF(CG$6&lt;Total_Lanes,900*Peak_Time_Eve*(($BL8/(Total_Lanes-CG$6))-1+SQRT((($BL8/(Total_Lanes-CG$6))-1)^2+8*($BL8/(Total_Lanes-CG$6))/(Peak_Time_Eve*$N41*(Total_Lanes-CG$6)))),"-")</f>
        <v>-</v>
      </c>
      <c r="CH8" s="160" t="n">
        <f aca="false">3600/N41</f>
        <v>6.59625</v>
      </c>
      <c r="CJ8" s="50" t="n">
        <v>1</v>
      </c>
      <c r="CK8" s="131" t="n">
        <f aca="false">$X8</f>
        <v>0.0699842202922738</v>
      </c>
      <c r="CL8" s="57" t="n">
        <f aca="false">$AC8</f>
        <v>5905.7724900273</v>
      </c>
      <c r="CM8" s="135" t="n">
        <f aca="false">CL8*CK8</f>
        <v>413.310882938121</v>
      </c>
      <c r="CN8" s="161" t="n">
        <f aca="false">CM8/O40</f>
        <v>0.275540588625414</v>
      </c>
      <c r="CO8" s="151" t="n">
        <f aca="false">IF(CO$6&lt;Total_Lanes,900*Peak_Time_Eve*(($CN8/CO$6-1)+SQRT(($CN8/CO$6-1)^2+8*($CN8/CO$6)/(Peak_Time_Eve*$O41*CO$6))),"-")</f>
        <v>0.912495732793595</v>
      </c>
      <c r="CP8" s="151" t="n">
        <f aca="false">IF(CP$6&lt;Total_Lanes,900*Peak_Time_Eve*(($CN8/CP$6-1)+SQRT(($CN8/CP$6-1)^2+8*($CN8/CP$6)/(Peak_Time_Eve*$O41*CP$6))),"-")</f>
        <v>0.191728655377688</v>
      </c>
      <c r="CQ8" s="151" t="n">
        <f aca="false">IF(CQ$6&lt;Total_Lanes,900*Peak_Time_Eve*(($CN8/CQ$6-1)+SQRT(($CN8/CQ$6-1)^2+8*($CN8/CQ$6)/(Peak_Time_Eve*$O41*CQ$6))),"-")</f>
        <v>0.0809066984328588</v>
      </c>
      <c r="CR8" s="151" t="n">
        <f aca="false">IF(CR$6&lt;Total_Lanes,900*Peak_Time_Eve*(($CN8/CR$6-1)+SQRT(($CN8/CR$6-1)^2+8*($CN8/CR$6)/(Peak_Time_Eve*$O41*CR$6))),"-")</f>
        <v>0.044388230794401</v>
      </c>
      <c r="CS8" s="151" t="n">
        <f aca="false">IF(CS$6&lt;Total_Lanes,900*Peak_Time_Eve*(($CN8/CS$6-1)+SQRT(($CN8/CS$6-1)^2+8*($CN8/CS$6)/(Peak_Time_Eve*$O41*CS$6))),"-")</f>
        <v>0.0279943973630292</v>
      </c>
      <c r="CT8" s="151" t="n">
        <f aca="false">IF(CT$6&lt;Total_Lanes,900*Peak_Time_Eve*(($CN8/CT$6-1)+SQRT(($CN8/CT$6-1)^2+8*($CN8/CT$6)/(Peak_Time_Eve*$O41*CT$6))),"-")</f>
        <v>0.0192534542920786</v>
      </c>
      <c r="CU8" s="151" t="n">
        <f aca="false">IF(CU$6&lt;Total_Lanes,900*Peak_Time_Eve*(($CN8/CU$6-1)+SQRT(($CN8/CU$6-1)^2+8*($CN8/CU$6)/(Peak_Time_Eve*$O41*CU$6))),"-")</f>
        <v>0.0140488133550498</v>
      </c>
      <c r="CV8" s="151" t="n">
        <f aca="false">IF(CV$6&lt;Total_Lanes,900*Peak_Time_Eve*(($CN8/CV$6-1)+SQRT(($CN8/CV$6-1)^2+8*($CN8/CV$6)/(Peak_Time_Eve*$O41*CV$6))),"-")</f>
        <v>0.010701321309492</v>
      </c>
      <c r="CW8" s="151" t="n">
        <f aca="false">IF(CW$6&lt;Total_Lanes,900*Peak_Time_Eve*(($CN8/CW$6-1)+SQRT(($CN8/CW$6-1)^2+8*($CN8/CW$6)/(Peak_Time_Eve*$O41*CW$6))),"-")</f>
        <v>0.00842199035031577</v>
      </c>
      <c r="CX8" s="151" t="n">
        <f aca="false">IF(CX$6&lt;Total_Lanes,900*Peak_Time_Eve*(($CN8/CX$6-1)+SQRT(($CN8/CX$6-1)^2+8*($CN8/CX$6)/(Peak_Time_Eve*$O41*CX$6))),"-")</f>
        <v>0.00680033820035231</v>
      </c>
      <c r="CY8" s="151" t="n">
        <f aca="false">IF(CY$6&lt;Total_Lanes,900*Peak_Time_Eve*(($CN8/CY$6-1)+SQRT(($CN8/CY$6-1)^2+8*($CN8/CY$6)/(Peak_Time_Eve*$O41*CY$6))),"-")</f>
        <v>0.00560567654614985</v>
      </c>
      <c r="CZ8" s="162" t="str">
        <f aca="false">IF(CZ$6&lt;Total_Lanes,900*Peak_Time_Eve*(($CN8/CZ$6-1)+SQRT(($CN8/CZ$6-1)^2+8*($CN8/CZ$6)/(Peak_Time_Eve*$O41*CZ$6))),"-")</f>
        <v>-</v>
      </c>
      <c r="DA8" s="162" t="str">
        <f aca="false">IF(DA$6&lt;Total_Lanes,900*Peak_Time_Eve*(($CN8/DA$6-1)+SQRT(($CN8/DA$6-1)^2+8*($CN8/DA$6)/(Peak_Time_Eve*$O41*DA$6))),"-")</f>
        <v>-</v>
      </c>
      <c r="DB8" s="162" t="str">
        <f aca="false">IF(DB$6&lt;Total_Lanes,900*Peak_Time_Eve*(($CN8/DB$6-1)+SQRT(($CN8/DB$6-1)^2+8*($CN8/DB$6)/(Peak_Time_Eve*$O41*DB$6))),"-")</f>
        <v>-</v>
      </c>
      <c r="DC8" s="162" t="str">
        <f aca="false">IF(DC$6&lt;Total_Lanes,900*Peak_Time_Eve*(($CN8/DC$6-1)+SQRT(($CN8/DC$6-1)^2+8*($CN8/DC$6)/(Peak_Time_Eve*$O41*DC$6))),"-")</f>
        <v>-</v>
      </c>
      <c r="DD8" s="162" t="str">
        <f aca="false">IF(DD$6&lt;Total_Lanes,900*Peak_Time_Eve*(($CN8/DD$6-1)+SQRT(($CN8/DD$6-1)^2+8*($CN8/DD$6)/(Peak_Time_Eve*$O41*DD$6))),"-")</f>
        <v>-</v>
      </c>
      <c r="DE8" s="162" t="str">
        <f aca="false">IF(DE$6&lt;Total_Lanes,900*Peak_Time_Eve*(($CN8/DE$6-1)+SQRT(($CN8/DE$6-1)^2+8*($CN8/DE$6)/(Peak_Time_Eve*$O41*DE$6))),"-")</f>
        <v>-</v>
      </c>
      <c r="DF8" s="162" t="str">
        <f aca="false">IF(DF$6&lt;Total_Lanes,900*Peak_Time_Eve*(($CN8/DF$6-1)+SQRT(($CN8/DF$6-1)^2+8*($CN8/DF$6)/(Peak_Time_Eve*$O41*DF$6))),"-")</f>
        <v>-</v>
      </c>
      <c r="DG8" s="162" t="str">
        <f aca="false">IF(DG$6&lt;Total_Lanes,900*Peak_Time_Eve*(($CN8/DG$6-1)+SQRT(($CN8/DG$6-1)^2+8*($CN8/DG$6)/(Peak_Time_Eve*$O41*DG$6))),"-")</f>
        <v>-</v>
      </c>
      <c r="DH8" s="162" t="str">
        <f aca="false">IF(DH$6&lt;Total_Lanes,900*Peak_Time_Eve*(($CN8/DH$6-1)+SQRT(($CN8/DH$6-1)^2+8*($CN8/DH$6)/(Peak_Time_Eve*$O41*DH$6))),"-")</f>
        <v>-</v>
      </c>
      <c r="DI8" s="163" t="str">
        <f aca="false">IF(DI$6&lt;Total_Lanes,900*Peak_Time_Eve*(($CN8/DI$6-1)+SQRT(($CN8/DI$6-1)^2+8*($CN8/DI$6)/(Peak_Time_Eve*$O41*DI$6))),"-")</f>
        <v>-</v>
      </c>
      <c r="DJ8" s="160" t="n">
        <f aca="false">3600/O41</f>
        <v>2.4</v>
      </c>
    </row>
    <row r="9" customFormat="false" ht="14.25" hidden="false" customHeight="true" outlineLevel="0" collapsed="false">
      <c r="B9" s="29"/>
      <c r="C9" s="30" t="s">
        <v>25</v>
      </c>
      <c r="D9" s="31" t="n">
        <f aca="false">'Input-Detail'!AZ12</f>
        <v>2.4</v>
      </c>
      <c r="E9" s="22"/>
      <c r="H9" s="50" t="n">
        <v>2</v>
      </c>
      <c r="I9" s="124" t="n">
        <f aca="false">'Input-Detail'!E16</f>
        <v>20114555.7</v>
      </c>
      <c r="J9" s="131" t="n">
        <f aca="false">'Input-Detail'!F16</f>
        <v>0.133486220755981</v>
      </c>
      <c r="K9" s="57" t="n">
        <f aca="false">AC9</f>
        <v>6071.54498005461</v>
      </c>
      <c r="L9" s="135" t="n">
        <f aca="false">AD56</f>
        <v>9.9800769986313</v>
      </c>
      <c r="M9" s="150" t="n">
        <f aca="false">AD9</f>
        <v>29.5819224023046</v>
      </c>
      <c r="N9" s="150" t="n">
        <f aca="false">SUM(L9:M9)</f>
        <v>39.5619994009359</v>
      </c>
      <c r="O9" s="154" t="n">
        <f aca="false">$S$34*N9</f>
        <v>10286.1198442433</v>
      </c>
      <c r="P9" s="135" t="n">
        <f aca="false">BC56</f>
        <v>8.88438048235859</v>
      </c>
      <c r="Q9" s="150" t="n">
        <f aca="false">BC9</f>
        <v>33.2775433258122</v>
      </c>
      <c r="R9" s="150" t="n">
        <f aca="false">SUM(P9:Q9)</f>
        <v>42.1619238081708</v>
      </c>
      <c r="S9" s="155" t="n">
        <f aca="false">$S$34*R9</f>
        <v>10962.1001901244</v>
      </c>
      <c r="T9" s="1"/>
      <c r="U9" s="1"/>
      <c r="V9" s="50" t="n">
        <v>2</v>
      </c>
      <c r="W9" s="132" t="n">
        <f aca="false">W$7+(W$27-W$7)*$V9/20</f>
        <v>20114555.7</v>
      </c>
      <c r="X9" s="131" t="n">
        <f aca="false">J9</f>
        <v>0.133486220755981</v>
      </c>
      <c r="Y9" s="132" t="n">
        <f aca="false">'Input-Detail'!E16/Z9</f>
        <v>8673.6356857923</v>
      </c>
      <c r="Z9" s="156" t="n">
        <f aca="false">Z8</f>
        <v>2319.04548780488</v>
      </c>
      <c r="AA9" s="156" t="n">
        <f aca="false">AA8</f>
        <v>2</v>
      </c>
      <c r="AB9" s="157" t="n">
        <f aca="false">AB8</f>
        <v>0.7</v>
      </c>
      <c r="AC9" s="57" t="n">
        <f aca="false">Y9*AB9</f>
        <v>6071.54498005461</v>
      </c>
      <c r="AD9" s="135" t="n">
        <f aca="false">Peak_Time_Eve*$BH9*(3600/K42+BK9)/3600</f>
        <v>29.5819224023046</v>
      </c>
      <c r="AE9" s="136" t="n">
        <f aca="false">IF(AE$6&lt;Total_Lanes,($BI9*($CH9+BM9)+$CM9*CO9)*Peak_Time_Eve/3600,"-")</f>
        <v>33.2775433258122</v>
      </c>
      <c r="AF9" s="136" t="n">
        <f aca="false">IF(AF$6&lt;Total_Lanes,($BI9*($CH9+BN9)+$CM9*CP9)*Peak_Time_Eve/3600,"-")</f>
        <v>69.2430994565451</v>
      </c>
      <c r="AG9" s="136" t="n">
        <f aca="false">IF(AG$6&lt;Total_Lanes,($BI9*($CH9+BO9)+$CM9*CQ9)*Peak_Time_Eve/3600,"-")</f>
        <v>833.613308218596</v>
      </c>
      <c r="AH9" s="136" t="n">
        <f aca="false">IF(AH$6&lt;Total_Lanes,($BI9*($CH9+BP9)+$CM9*CR9)*Peak_Time_Eve/3600,"-")</f>
        <v>2230.95095113628</v>
      </c>
      <c r="AI9" s="136" t="n">
        <f aca="false">IF(AI$6&lt;Total_Lanes,($BI9*($CH9+BQ9)+$CM9*CS9)*Peak_Time_Eve/3600,"-")</f>
        <v>4044.12605755149</v>
      </c>
      <c r="AJ9" s="136" t="n">
        <f aca="false">IF(AJ$6&lt;Total_Lanes,($BI9*($CH9+BR9)+$CM9*CT9)*Peak_Time_Eve/3600,"-")</f>
        <v>6465.44125058297</v>
      </c>
      <c r="AK9" s="136" t="n">
        <f aca="false">IF(AK$6&lt;Total_Lanes,($BI9*($CH9+BS9)+$CM9*CU9)*Peak_Time_Eve/3600,"-")</f>
        <v>9856.90868061804</v>
      </c>
      <c r="AL9" s="136" t="n">
        <f aca="false">IF(AL$6&lt;Total_Lanes,($BI9*($CH9+BT9)+$CM9*CV9)*Peak_Time_Eve/3600,"-")</f>
        <v>14945.070898348</v>
      </c>
      <c r="AM9" s="136" t="n">
        <f aca="false">IF(AM$6&lt;Total_Lanes,($BI9*($CH9+BU9)+$CM9*CW9)*Peak_Time_Eve/3600,"-")</f>
        <v>23426.0476417485</v>
      </c>
      <c r="AN9" s="136" t="n">
        <f aca="false">IF(AN$6&lt;Total_Lanes,($BI9*($CH9+BV9)+$CM9*CX9)*Peak_Time_Eve/3600,"-")</f>
        <v>40388.6468557557</v>
      </c>
      <c r="AO9" s="136" t="n">
        <f aca="false">IF(AO$6&lt;Total_Lanes,($BI9*($CH9+BW9)+$CM9*CY9)*Peak_Time_Eve/3600,"-")</f>
        <v>91277.2894648167</v>
      </c>
      <c r="AP9" s="136" t="str">
        <f aca="false">IF(AP$6&lt;Total_Lanes,($BI9*($CH9+BX9)+$CM9*CZ9)*Peak_Time_Eve/3600,"-")</f>
        <v>-</v>
      </c>
      <c r="AQ9" s="136" t="str">
        <f aca="false">IF(AQ$6&lt;Total_Lanes,($BI9*($CH9+BY9)+$CM9*DA9)*Peak_Time_Eve/3600,"-")</f>
        <v>-</v>
      </c>
      <c r="AR9" s="136" t="str">
        <f aca="false">IF(AR$6&lt;Total_Lanes,($BI9*($CH9+BZ9)+$CM9*DB9)*Peak_Time_Eve/3600,"-")</f>
        <v>-</v>
      </c>
      <c r="AS9" s="136" t="str">
        <f aca="false">IF(AS$6&lt;Total_Lanes,($BI9*($CH9+CA9)+$CM9*DC9)*Peak_Time_Eve/3600,"-")</f>
        <v>-</v>
      </c>
      <c r="AT9" s="136" t="str">
        <f aca="false">IF(AT$6&lt;Total_Lanes,($BI9*($CH9+CB9)+$CM9*DD9)*Peak_Time_Eve/3600,"-")</f>
        <v>-</v>
      </c>
      <c r="AU9" s="136" t="str">
        <f aca="false">IF(AU$6&lt;Total_Lanes,($BI9*($CH9+CC9)+$CM9*DE9)*Peak_Time_Eve/3600,"-")</f>
        <v>-</v>
      </c>
      <c r="AV9" s="136" t="str">
        <f aca="false">IF(AV$6&lt;Total_Lanes,($BI9*($CH9+CD9)+$CM9*DF9)*Peak_Time_Eve/3600,"-")</f>
        <v>-</v>
      </c>
      <c r="AW9" s="136" t="str">
        <f aca="false">IF(AW$6&lt;Total_Lanes,($BI9*($CH9+CE9)+$CM9*DG9)*Peak_Time_Eve/3600,"-")</f>
        <v>-</v>
      </c>
      <c r="AX9" s="136" t="str">
        <f aca="false">IF(AX$6&lt;Total_Lanes,($BI9*($CH9+CF9)+$CM9*DH9)*Peak_Time_Eve/3600,"-")</f>
        <v>-</v>
      </c>
      <c r="AY9" s="137" t="str">
        <f aca="false">IF(AY$6&lt;Total_Lanes,($BI9*($CH9+CG9)+$CM9*DI9)*Peak_Time_Eve/3600,"-")</f>
        <v>-</v>
      </c>
      <c r="AZ9" s="158" t="n">
        <f aca="false">SUMIF(AE9:AY9,BA9,$AE$6:$AY$6)</f>
        <v>1</v>
      </c>
      <c r="BA9" s="159" t="n">
        <f aca="false">MIN(AE9:AY9)</f>
        <v>33.2775433258122</v>
      </c>
      <c r="BB9" s="158" t="n">
        <f aca="false">Price!X9</f>
        <v>1</v>
      </c>
      <c r="BC9" s="159" t="n">
        <f aca="false">SUMIF($AE$6:$AY$6,$BB9,$AE9:$AY9)</f>
        <v>33.2775433258122</v>
      </c>
      <c r="BF9" s="50" t="n">
        <v>2</v>
      </c>
      <c r="BG9" s="131" t="n">
        <f aca="false">$X9</f>
        <v>0.133486220755981</v>
      </c>
      <c r="BH9" s="141" t="n">
        <f aca="false">$AC9</f>
        <v>6071.54498005461</v>
      </c>
      <c r="BI9" s="58" t="n">
        <f aca="false">BH9*(1-BG9)</f>
        <v>5261.07738651717</v>
      </c>
      <c r="BJ9" s="143" t="n">
        <f aca="false">Peak_Arrival_Manual/K42</f>
        <v>9.60877328231956</v>
      </c>
      <c r="BK9" s="144" t="n">
        <f aca="false">900*Peak_Time_Eve*(BJ9/Total_Lanes-1+SQRT((BJ9/Total_Lanes-1)^2+8*(BJ9/Total_Lanes)/(Peak_Time_Eve*$K42*Total_Lanes)))</f>
        <v>2.19500178687129</v>
      </c>
      <c r="BL9" s="145" t="n">
        <f aca="false">Peak_Arrival_Manual/N42</f>
        <v>9.67088322368816</v>
      </c>
      <c r="BM9" s="146" t="n">
        <f aca="false">IF(BM$6&lt;Total_Lanes,900*Peak_Time_Eve*(($BL9/(Total_Lanes-BM$6))-1+SQRT((($BL9/(Total_Lanes-BM$6))-1)^2+8*($BL9/(Total_Lanes-BM$6))/(Peak_Time_Eve*$N42*(Total_Lanes-BM$6)))),"-")</f>
        <v>4.33409525123661</v>
      </c>
      <c r="BN9" s="146" t="n">
        <f aca="false">IF(BN$6&lt;Total_Lanes,900*Peak_Time_Eve*(($BL9/(Total_Lanes-BN$6))-1+SQRT((($BL9/(Total_Lanes-BN$6))-1)^2+8*($BL9/(Total_Lanes-BN$6))/(Peak_Time_Eve*$N42*(Total_Lanes-BN$6)))),"-")</f>
        <v>17.0045895128999</v>
      </c>
      <c r="BO9" s="146" t="n">
        <f aca="false">IF(BO$6&lt;Total_Lanes,900*Peak_Time_Eve*(($BL9/(Total_Lanes-BO$6))-1+SQRT((($BL9/(Total_Lanes-BO$6))-1)^2+8*($BL9/(Total_Lanes-BO$6))/(Peak_Time_Eve*$N42*(Total_Lanes-BO$6)))),"-")</f>
        <v>278.563923274883</v>
      </c>
      <c r="BP9" s="146" t="n">
        <f aca="false">IF(BP$6&lt;Total_Lanes,900*Peak_Time_Eve*(($BL9/(Total_Lanes-BP$6))-1+SQRT((($BL9/(Total_Lanes-BP$6))-1)^2+8*($BL9/(Total_Lanes-BP$6))/(Peak_Time_Eve*$N42*(Total_Lanes-BP$6)))),"-")</f>
        <v>756.655015335133</v>
      </c>
      <c r="BQ9" s="146" t="n">
        <f aca="false">IF(BQ$6&lt;Total_Lanes,900*Peak_Time_Eve*(($BL9/(Total_Lanes-BQ$6))-1+SQRT((($BL9/(Total_Lanes-BQ$6))-1)^2+8*($BL9/(Total_Lanes-BQ$6))/(Peak_Time_Eve*$N42*(Total_Lanes-BQ$6)))),"-")</f>
        <v>1377.0116005721</v>
      </c>
      <c r="BR9" s="146" t="n">
        <f aca="false">IF(BR$6&lt;Total_Lanes,900*Peak_Time_Eve*(($BL9/(Total_Lanes-BR$6))-1+SQRT((($BL9/(Total_Lanes-BR$6))-1)^2+8*($BL9/(Total_Lanes-BR$6))/(Peak_Time_Eve*$N42*(Total_Lanes-BR$6)))),"-")</f>
        <v>2205.43172749604</v>
      </c>
      <c r="BS9" s="146" t="n">
        <f aca="false">IF(BS$6&lt;Total_Lanes,900*Peak_Time_Eve*(($BL9/(Total_Lanes-BS$6))-1+SQRT((($BL9/(Total_Lanes-BS$6))-1)^2+8*($BL9/(Total_Lanes-BS$6))/(Peak_Time_Eve*$N42*(Total_Lanes-BS$6)))),"-")</f>
        <v>3365.7739474902</v>
      </c>
      <c r="BT9" s="146" t="n">
        <f aca="false">IF(BT$6&lt;Total_Lanes,900*Peak_Time_Eve*(($BL9/(Total_Lanes-BT$6))-1+SQRT((($BL9/(Total_Lanes-BT$6))-1)^2+8*($BL9/(Total_Lanes-BT$6))/(Peak_Time_Eve*$N42*(Total_Lanes-BT$6)))),"-")</f>
        <v>5106.61464427881</v>
      </c>
      <c r="BU9" s="146" t="n">
        <f aca="false">IF(BU$6&lt;Total_Lanes,900*Peak_Time_Eve*(($BL9/(Total_Lanes-BU$6))-1+SQRT((($BL9/(Total_Lanes-BU$6))-1)^2+8*($BL9/(Total_Lanes-BU$6))/(Peak_Time_Eve*$N42*(Total_Lanes-BU$6)))),"-")</f>
        <v>8008.25642289924</v>
      </c>
      <c r="BV9" s="146" t="n">
        <f aca="false">IF(BV$6&lt;Total_Lanes,900*Peak_Time_Eve*(($BL9/(Total_Lanes-BV$6))-1+SQRT((($BL9/(Total_Lanes-BV$6))-1)^2+8*($BL9/(Total_Lanes-BV$6))/(Peak_Time_Eve*$N42*(Total_Lanes-BV$6)))),"-")</f>
        <v>13811.759970878</v>
      </c>
      <c r="BW9" s="146" t="n">
        <f aca="false">IF(BW$6&lt;Total_Lanes,900*Peak_Time_Eve*(($BL9/(Total_Lanes-BW$6))-1+SQRT((($BL9/(Total_Lanes-BW$6))-1)^2+8*($BL9/(Total_Lanes-BW$6))/(Peak_Time_Eve*$N42*(Total_Lanes-BW$6)))),"-")</f>
        <v>31222.5585473551</v>
      </c>
      <c r="BX9" s="136" t="str">
        <f aca="false">IF(BX$6&lt;Total_Lanes,900*Peak_Time_Eve*(($BL9/(Total_Lanes-BX$6))-1+SQRT((($BL9/(Total_Lanes-BX$6))-1)^2+8*($BL9/(Total_Lanes-BX$6))/(Peak_Time_Eve*$N42*(Total_Lanes-BX$6)))),"-")</f>
        <v>-</v>
      </c>
      <c r="BY9" s="136" t="str">
        <f aca="false">IF(BY$6&lt;Total_Lanes,900*Peak_Time_Eve*(($BL9/(Total_Lanes-BY$6))-1+SQRT((($BL9/(Total_Lanes-BY$6))-1)^2+8*($BL9/(Total_Lanes-BY$6))/(Peak_Time_Eve*$N42*(Total_Lanes-BY$6)))),"-")</f>
        <v>-</v>
      </c>
      <c r="BZ9" s="136" t="str">
        <f aca="false">IF(BZ$6&lt;Total_Lanes,900*Peak_Time_Eve*(($BL9/(Total_Lanes-BZ$6))-1+SQRT((($BL9/(Total_Lanes-BZ$6))-1)^2+8*($BL9/(Total_Lanes-BZ$6))/(Peak_Time_Eve*$N42*(Total_Lanes-BZ$6)))),"-")</f>
        <v>-</v>
      </c>
      <c r="CA9" s="136" t="str">
        <f aca="false">IF(CA$6&lt;Total_Lanes,900*Peak_Time_Eve*(($BL9/(Total_Lanes-CA$6))-1+SQRT((($BL9/(Total_Lanes-CA$6))-1)^2+8*($BL9/(Total_Lanes-CA$6))/(Peak_Time_Eve*$N42*(Total_Lanes-CA$6)))),"-")</f>
        <v>-</v>
      </c>
      <c r="CB9" s="136" t="str">
        <f aca="false">IF(CB$6&lt;Total_Lanes,900*Peak_Time_Eve*(($BL9/(Total_Lanes-CB$6))-1+SQRT((($BL9/(Total_Lanes-CB$6))-1)^2+8*($BL9/(Total_Lanes-CB$6))/(Peak_Time_Eve*$N42*(Total_Lanes-CB$6)))),"-")</f>
        <v>-</v>
      </c>
      <c r="CC9" s="136" t="str">
        <f aca="false">IF(CC$6&lt;Total_Lanes,900*Peak_Time_Eve*(($BL9/(Total_Lanes-CC$6))-1+SQRT((($BL9/(Total_Lanes-CC$6))-1)^2+8*($BL9/(Total_Lanes-CC$6))/(Peak_Time_Eve*$N42*(Total_Lanes-CC$6)))),"-")</f>
        <v>-</v>
      </c>
      <c r="CD9" s="136" t="str">
        <f aca="false">IF(CD$6&lt;Total_Lanes,900*Peak_Time_Eve*(($BL9/(Total_Lanes-CD$6))-1+SQRT((($BL9/(Total_Lanes-CD$6))-1)^2+8*($BL9/(Total_Lanes-CD$6))/(Peak_Time_Eve*$N42*(Total_Lanes-CD$6)))),"-")</f>
        <v>-</v>
      </c>
      <c r="CE9" s="136" t="str">
        <f aca="false">IF(CE$6&lt;Total_Lanes,900*Peak_Time_Eve*(($BL9/(Total_Lanes-CE$6))-1+SQRT((($BL9/(Total_Lanes-CE$6))-1)^2+8*($BL9/(Total_Lanes-CE$6))/(Peak_Time_Eve*$N42*(Total_Lanes-CE$6)))),"-")</f>
        <v>-</v>
      </c>
      <c r="CF9" s="136" t="str">
        <f aca="false">IF(CF$6&lt;Total_Lanes,900*Peak_Time_Eve*(($BL9/(Total_Lanes-CF$6))-1+SQRT((($BL9/(Total_Lanes-CF$6))-1)^2+8*($BL9/(Total_Lanes-CF$6))/(Peak_Time_Eve*$N42*(Total_Lanes-CF$6)))),"-")</f>
        <v>-</v>
      </c>
      <c r="CG9" s="147" t="str">
        <f aca="false">IF(CG$6&lt;Total_Lanes,900*Peak_Time_Eve*(($BL9/(Total_Lanes-CG$6))-1+SQRT((($BL9/(Total_Lanes-CG$6))-1)^2+8*($BL9/(Total_Lanes-CG$6))/(Peak_Time_Eve*$N42*(Total_Lanes-CG$6)))),"-")</f>
        <v>-</v>
      </c>
      <c r="CH9" s="160" t="n">
        <f aca="false">3600/N42</f>
        <v>6.6175</v>
      </c>
      <c r="CJ9" s="50" t="n">
        <v>2</v>
      </c>
      <c r="CK9" s="131" t="n">
        <f aca="false">$X9</f>
        <v>0.133486220755981</v>
      </c>
      <c r="CL9" s="57" t="n">
        <f aca="false">$AC9</f>
        <v>6071.54498005461</v>
      </c>
      <c r="CM9" s="135" t="n">
        <f aca="false">CL9*CK9</f>
        <v>810.467593537436</v>
      </c>
      <c r="CN9" s="161" t="n">
        <f aca="false">CM9/O41</f>
        <v>0.540311729024957</v>
      </c>
      <c r="CO9" s="164" t="n">
        <f aca="false">IF(CO$6&lt;Total_Lanes,900*Peak_Time_Eve*(($CN9/CO$6-1)+SQRT(($CN9/CO$6-1)^2+8*($CN9/CO$6)/(Peak_Time_Eve*$O42*CO$6))),"-")</f>
        <v>2.8161371066426</v>
      </c>
      <c r="CP9" s="164" t="n">
        <f aca="false">IF(CP$6&lt;Total_Lanes,900*Peak_Time_Eve*(($CN9/CP$6-1)+SQRT(($CN9/CP$6-1)^2+8*($CN9/CP$6)/(Peak_Time_Eve*$O42*CP$6))),"-")</f>
        <v>0.444111604275532</v>
      </c>
      <c r="CQ9" s="164" t="n">
        <f aca="false">IF(CQ$6&lt;Total_Lanes,900*Peak_Time_Eve*(($CN9/CQ$6-1)+SQRT(($CN9/CQ$6-1)^2+8*($CN9/CQ$6)/(Peak_Time_Eve*$O42*CQ$6))),"-")</f>
        <v>0.175722938631906</v>
      </c>
      <c r="CR9" s="164" t="n">
        <f aca="false">IF(CR$6&lt;Total_Lanes,900*Peak_Time_Eve*(($CN9/CR$6-1)+SQRT(($CN9/CR$6-1)^2+8*($CN9/CR$6)/(Peak_Time_Eve*$O42*CR$6))),"-")</f>
        <v>0.0937012980774199</v>
      </c>
      <c r="CS9" s="164" t="n">
        <f aca="false">IF(CS$6&lt;Total_Lanes,900*Peak_Time_Eve*(($CN9/CS$6-1)+SQRT(($CN9/CS$6-1)^2+8*($CN9/CS$6)/(Peak_Time_Eve*$O42*CS$6))),"-")</f>
        <v>0.0581531526969048</v>
      </c>
      <c r="CT9" s="164" t="n">
        <f aca="false">IF(CT$6&lt;Total_Lanes,900*Peak_Time_Eve*(($CN9/CT$6-1)+SQRT(($CN9/CT$6-1)^2+8*($CN9/CT$6)/(Peak_Time_Eve*$O42*CT$6))),"-")</f>
        <v>0.0395850585702462</v>
      </c>
      <c r="CU9" s="164" t="n">
        <f aca="false">IF(CU$6&lt;Total_Lanes,900*Peak_Time_Eve*(($CN9/CU$6-1)+SQRT(($CN9/CU$6-1)^2+8*($CN9/CU$6)/(Peak_Time_Eve*$O42*CU$6))),"-")</f>
        <v>0.028677565971913</v>
      </c>
      <c r="CV9" s="164" t="n">
        <f aca="false">IF(CV$6&lt;Total_Lanes,900*Peak_Time_Eve*(($CN9/CV$6-1)+SQRT(($CN9/CV$6-1)^2+8*($CN9/CV$6)/(Peak_Time_Eve*$O42*CV$6))),"-")</f>
        <v>0.0217291210552695</v>
      </c>
      <c r="CW9" s="164" t="n">
        <f aca="false">IF(CW$6&lt;Total_Lanes,900*Peak_Time_Eve*(($CN9/CW$6-1)+SQRT(($CN9/CW$6-1)^2+8*($CN9/CW$6)/(Peak_Time_Eve*$O42*CW$6))),"-")</f>
        <v>0.0170316444213947</v>
      </c>
      <c r="CX9" s="164" t="n">
        <f aca="false">IF(CX$6&lt;Total_Lanes,900*Peak_Time_Eve*(($CN9/CX$6-1)+SQRT(($CN9/CX$6-1)^2+8*($CN9/CX$6)/(Peak_Time_Eve*$O42*CX$6))),"-")</f>
        <v>0.0137080936785772</v>
      </c>
      <c r="CY9" s="164" t="n">
        <f aca="false">IF(CY$6&lt;Total_Lanes,900*Peak_Time_Eve*(($CN9/CY$6-1)+SQRT(($CN9/CY$6-1)^2+8*($CN9/CY$6)/(Peak_Time_Eve*$O42*CY$6))),"-")</f>
        <v>0.011270489544235</v>
      </c>
      <c r="CZ9" s="165" t="str">
        <f aca="false">IF(CZ$6&lt;Total_Lanes,900*Peak_Time_Eve*(($CN9/CZ$6-1)+SQRT(($CN9/CZ$6-1)^2+8*($CN9/CZ$6)/(Peak_Time_Eve*$O42*CZ$6))),"-")</f>
        <v>-</v>
      </c>
      <c r="DA9" s="165" t="str">
        <f aca="false">IF(DA$6&lt;Total_Lanes,900*Peak_Time_Eve*(($CN9/DA$6-1)+SQRT(($CN9/DA$6-1)^2+8*($CN9/DA$6)/(Peak_Time_Eve*$O42*DA$6))),"-")</f>
        <v>-</v>
      </c>
      <c r="DB9" s="165" t="str">
        <f aca="false">IF(DB$6&lt;Total_Lanes,900*Peak_Time_Eve*(($CN9/DB$6-1)+SQRT(($CN9/DB$6-1)^2+8*($CN9/DB$6)/(Peak_Time_Eve*$O42*DB$6))),"-")</f>
        <v>-</v>
      </c>
      <c r="DC9" s="165" t="str">
        <f aca="false">IF(DC$6&lt;Total_Lanes,900*Peak_Time_Eve*(($CN9/DC$6-1)+SQRT(($CN9/DC$6-1)^2+8*($CN9/DC$6)/(Peak_Time_Eve*$O42*DC$6))),"-")</f>
        <v>-</v>
      </c>
      <c r="DD9" s="165" t="str">
        <f aca="false">IF(DD$6&lt;Total_Lanes,900*Peak_Time_Eve*(($CN9/DD$6-1)+SQRT(($CN9/DD$6-1)^2+8*($CN9/DD$6)/(Peak_Time_Eve*$O42*DD$6))),"-")</f>
        <v>-</v>
      </c>
      <c r="DE9" s="165" t="str">
        <f aca="false">IF(DE$6&lt;Total_Lanes,900*Peak_Time_Eve*(($CN9/DE$6-1)+SQRT(($CN9/DE$6-1)^2+8*($CN9/DE$6)/(Peak_Time_Eve*$O42*DE$6))),"-")</f>
        <v>-</v>
      </c>
      <c r="DF9" s="165" t="str">
        <f aca="false">IF(DF$6&lt;Total_Lanes,900*Peak_Time_Eve*(($CN9/DF$6-1)+SQRT(($CN9/DF$6-1)^2+8*($CN9/DF$6)/(Peak_Time_Eve*$O42*DF$6))),"-")</f>
        <v>-</v>
      </c>
      <c r="DG9" s="165" t="str">
        <f aca="false">IF(DG$6&lt;Total_Lanes,900*Peak_Time_Eve*(($CN9/DG$6-1)+SQRT(($CN9/DG$6-1)^2+8*($CN9/DG$6)/(Peak_Time_Eve*$O42*DG$6))),"-")</f>
        <v>-</v>
      </c>
      <c r="DH9" s="165" t="str">
        <f aca="false">IF(DH$6&lt;Total_Lanes,900*Peak_Time_Eve*(($CN9/DH$6-1)+SQRT(($CN9/DH$6-1)^2+8*($CN9/DH$6)/(Peak_Time_Eve*$O42*DH$6))),"-")</f>
        <v>-</v>
      </c>
      <c r="DI9" s="166" t="str">
        <f aca="false">IF(DI$6&lt;Total_Lanes,900*Peak_Time_Eve*(($CN9/DI$6-1)+SQRT(($CN9/DI$6-1)^2+8*($CN9/DI$6)/(Peak_Time_Eve*$O42*DI$6))),"-")</f>
        <v>-</v>
      </c>
      <c r="DJ9" s="167" t="n">
        <f aca="false">3600/O42</f>
        <v>2.4</v>
      </c>
    </row>
    <row r="10" customFormat="false" ht="12.75" hidden="false" customHeight="false" outlineLevel="0" collapsed="false">
      <c r="B10" s="65" t="s">
        <v>26</v>
      </c>
      <c r="C10" s="30"/>
      <c r="D10" s="66" t="n">
        <f aca="false">'Input-Detail'!AZ25</f>
        <v>12</v>
      </c>
      <c r="E10" s="67"/>
      <c r="H10" s="50" t="n">
        <v>3</v>
      </c>
      <c r="I10" s="124" t="n">
        <f aca="false">'Input-Detail'!E17</f>
        <v>20663747.05</v>
      </c>
      <c r="J10" s="131" t="n">
        <f aca="false">'Input-Detail'!F17</f>
        <v>0.192291508405303</v>
      </c>
      <c r="K10" s="57" t="n">
        <f aca="false">AC10</f>
        <v>6237.31747008191</v>
      </c>
      <c r="L10" s="135" t="n">
        <f aca="false">AD57</f>
        <v>10.257272967351</v>
      </c>
      <c r="M10" s="150" t="n">
        <f aca="false">AD10</f>
        <v>29.0121171943618</v>
      </c>
      <c r="N10" s="150" t="n">
        <f aca="false">SUM(L10:M10)</f>
        <v>39.2693901617128</v>
      </c>
      <c r="O10" s="154" t="n">
        <f aca="false">$S$34*N10</f>
        <v>10210.0414420453</v>
      </c>
      <c r="P10" s="135" t="n">
        <f aca="false">BC57</f>
        <v>8.56080618810974</v>
      </c>
      <c r="Q10" s="150" t="n">
        <f aca="false">BC10</f>
        <v>42.6658092091889</v>
      </c>
      <c r="R10" s="150" t="n">
        <f aca="false">SUM(P10:Q10)</f>
        <v>51.2266153972986</v>
      </c>
      <c r="S10" s="155" t="n">
        <f aca="false">$S$34*R10</f>
        <v>13318.9200032976</v>
      </c>
      <c r="T10" s="1"/>
      <c r="U10" s="1"/>
      <c r="V10" s="50" t="n">
        <v>3</v>
      </c>
      <c r="W10" s="132" t="n">
        <f aca="false">W$7+(W$27-W$7)*$V10/20</f>
        <v>20663747.05</v>
      </c>
      <c r="X10" s="131" t="n">
        <f aca="false">J10</f>
        <v>0.192291508405303</v>
      </c>
      <c r="Y10" s="132" t="n">
        <f aca="false">'Input-Detail'!E17/Z10</f>
        <v>8910.45352868845</v>
      </c>
      <c r="Z10" s="156" t="n">
        <f aca="false">Z9</f>
        <v>2319.04548780488</v>
      </c>
      <c r="AA10" s="156" t="n">
        <f aca="false">AA9</f>
        <v>2</v>
      </c>
      <c r="AB10" s="157" t="n">
        <f aca="false">AB9</f>
        <v>0.7</v>
      </c>
      <c r="AC10" s="57" t="n">
        <f aca="false">Y10*AB10</f>
        <v>6237.31747008191</v>
      </c>
      <c r="AD10" s="135" t="n">
        <f aca="false">Peak_Time_Eve*$BH10*(3600/K43+BK10)/3600</f>
        <v>29.0121171943618</v>
      </c>
      <c r="AE10" s="136" t="n">
        <f aca="false">IF(AE$6&lt;Total_Lanes,($BI10*($CH10+BM10)+$CM10*CO10)*Peak_Time_Eve/3600,"-")</f>
        <v>34.0051346865221</v>
      </c>
      <c r="AF10" s="136" t="n">
        <f aca="false">IF(AF$6&lt;Total_Lanes,($BI10*($CH10+BN10)+$CM10*CP10)*Peak_Time_Eve/3600,"-")</f>
        <v>42.6658092091889</v>
      </c>
      <c r="AG10" s="136" t="n">
        <f aca="false">IF(AG$6&lt;Total_Lanes,($BI10*($CH10+BO10)+$CM10*CQ10)*Peak_Time_Eve/3600,"-")</f>
        <v>400.228238786084</v>
      </c>
      <c r="AH10" s="136" t="n">
        <f aca="false">IF(AH$6&lt;Total_Lanes,($BI10*($CH10+BP10)+$CM10*CR10)*Peak_Time_Eve/3600,"-")</f>
        <v>1660.52241438831</v>
      </c>
      <c r="AI10" s="136" t="n">
        <f aca="false">IF(AI$6&lt;Total_Lanes,($BI10*($CH10+BQ10)+$CM10*CS10)*Peak_Time_Eve/3600,"-")</f>
        <v>3326.25626922836</v>
      </c>
      <c r="AJ10" s="136" t="n">
        <f aca="false">IF(AJ$6&lt;Total_Lanes,($BI10*($CH10+BR10)+$CM10*CT10)*Peak_Time_Eve/3600,"-")</f>
        <v>5553.02634995767</v>
      </c>
      <c r="AK10" s="136" t="n">
        <f aca="false">IF(AK$6&lt;Total_Lanes,($BI10*($CH10+BS10)+$CM10*CU10)*Peak_Time_Eve/3600,"-")</f>
        <v>8672.63296761927</v>
      </c>
      <c r="AL10" s="136" t="n">
        <f aca="false">IF(AL$6&lt;Total_Lanes,($BI10*($CH10+BT10)+$CM10*CV10)*Peak_Time_Eve/3600,"-")</f>
        <v>13353.2015691417</v>
      </c>
      <c r="AM10" s="136" t="n">
        <f aca="false">IF(AM$6&lt;Total_Lanes,($BI10*($CH10+BU10)+$CM10*CW10)*Peak_Time_Eve/3600,"-")</f>
        <v>21154.9593556896</v>
      </c>
      <c r="AN10" s="136" t="n">
        <f aca="false">IF(AN$6&lt;Total_Lanes,($BI10*($CH10+BV10)+$CM10*CX10)*Peak_Time_Eve/3600,"-")</f>
        <v>36759.1908315737</v>
      </c>
      <c r="AO10" s="136" t="n">
        <f aca="false">IF(AO$6&lt;Total_Lanes,($BI10*($CH10+BW10)+$CM10*CY10)*Peak_Time_Eve/3600,"-")</f>
        <v>83572.7993066458</v>
      </c>
      <c r="AP10" s="136" t="str">
        <f aca="false">IF(AP$6&lt;Total_Lanes,($BI10*($CH10+BX10)+$CM10*CZ10)*Peak_Time_Eve/3600,"-")</f>
        <v>-</v>
      </c>
      <c r="AQ10" s="136" t="str">
        <f aca="false">IF(AQ$6&lt;Total_Lanes,($BI10*($CH10+BY10)+$CM10*DA10)*Peak_Time_Eve/3600,"-")</f>
        <v>-</v>
      </c>
      <c r="AR10" s="136" t="str">
        <f aca="false">IF(AR$6&lt;Total_Lanes,($BI10*($CH10+BZ10)+$CM10*DB10)*Peak_Time_Eve/3600,"-")</f>
        <v>-</v>
      </c>
      <c r="AS10" s="136" t="str">
        <f aca="false">IF(AS$6&lt;Total_Lanes,($BI10*($CH10+CA10)+$CM10*DC10)*Peak_Time_Eve/3600,"-")</f>
        <v>-</v>
      </c>
      <c r="AT10" s="136" t="str">
        <f aca="false">IF(AT$6&lt;Total_Lanes,($BI10*($CH10+CB10)+$CM10*DD10)*Peak_Time_Eve/3600,"-")</f>
        <v>-</v>
      </c>
      <c r="AU10" s="136" t="str">
        <f aca="false">IF(AU$6&lt;Total_Lanes,($BI10*($CH10+CC10)+$CM10*DE10)*Peak_Time_Eve/3600,"-")</f>
        <v>-</v>
      </c>
      <c r="AV10" s="136" t="str">
        <f aca="false">IF(AV$6&lt;Total_Lanes,($BI10*($CH10+CD10)+$CM10*DF10)*Peak_Time_Eve/3600,"-")</f>
        <v>-</v>
      </c>
      <c r="AW10" s="136" t="str">
        <f aca="false">IF(AW$6&lt;Total_Lanes,($BI10*($CH10+CE10)+$CM10*DG10)*Peak_Time_Eve/3600,"-")</f>
        <v>-</v>
      </c>
      <c r="AX10" s="136" t="str">
        <f aca="false">IF(AX$6&lt;Total_Lanes,($BI10*($CH10+CF10)+$CM10*DH10)*Peak_Time_Eve/3600,"-")</f>
        <v>-</v>
      </c>
      <c r="AY10" s="137" t="str">
        <f aca="false">IF(AY$6&lt;Total_Lanes,($BI10*($CH10+CG10)+$CM10*DI10)*Peak_Time_Eve/3600,"-")</f>
        <v>-</v>
      </c>
      <c r="AZ10" s="158" t="n">
        <f aca="false">SUMIF(AE10:AY10,BA10,$AE$6:$AY$6)</f>
        <v>1</v>
      </c>
      <c r="BA10" s="159" t="n">
        <f aca="false">MIN(AE10:AY10)</f>
        <v>34.0051346865221</v>
      </c>
      <c r="BB10" s="158" t="n">
        <f aca="false">Price!X10</f>
        <v>2</v>
      </c>
      <c r="BC10" s="159" t="n">
        <f aca="false">SUMIF($AE$6:$AY$6,$BB10,$AE10:$AY10)</f>
        <v>42.6658092091889</v>
      </c>
      <c r="BF10" s="50" t="n">
        <v>3</v>
      </c>
      <c r="BG10" s="131" t="n">
        <f aca="false">$X10</f>
        <v>0.192291508405303</v>
      </c>
      <c r="BH10" s="141" t="n">
        <f aca="false">$AC10</f>
        <v>6237.31747008191</v>
      </c>
      <c r="BI10" s="58" t="n">
        <f aca="false">BH10*(1-BG10)</f>
        <v>5037.93428535712</v>
      </c>
      <c r="BJ10" s="143" t="n">
        <f aca="false">Peak_Arrival_Manual/K43</f>
        <v>9.20122720172862</v>
      </c>
      <c r="BK10" s="144" t="n">
        <f aca="false">900*Peak_Time_Eve*(BJ10/Total_Lanes-1+SQRT((BJ10/Total_Lanes-1)^2+8*(BJ10/Total_Lanes)/(Peak_Time_Eve*$K43*Total_Lanes)))</f>
        <v>1.79747922690159</v>
      </c>
      <c r="BL10" s="145" t="n">
        <f aca="false">Peak_Arrival_Manual/N43</f>
        <v>9.29044062136515</v>
      </c>
      <c r="BM10" s="146" t="n">
        <f aca="false">IF(BM$6&lt;Total_Lanes,900*Peak_Time_Eve*(($BL10/(Total_Lanes-BM$6))-1+SQRT((($BL10/(Total_Lanes-BM$6))-1)^2+8*($BL10/(Total_Lanes-BM$6))/(Peak_Time_Eve*$N43*(Total_Lanes-BM$6)))),"-")</f>
        <v>3.26078362378808</v>
      </c>
      <c r="BN10" s="146" t="n">
        <f aca="false">IF(BN$6&lt;Total_Lanes,900*Peak_Time_Eve*(($BL10/(Total_Lanes-BN$6))-1+SQRT((($BL10/(Total_Lanes-BN$6))-1)^2+8*($BL10/(Total_Lanes-BN$6))/(Peak_Time_Eve*$N43*(Total_Lanes-BN$6)))),"-")</f>
        <v>8.41506408922925</v>
      </c>
      <c r="BO10" s="146" t="n">
        <f aca="false">IF(BO$6&lt;Total_Lanes,900*Peak_Time_Eve*(($BL10/(Total_Lanes-BO$6))-1+SQRT((($BL10/(Total_Lanes-BO$6))-1)^2+8*($BL10/(Total_Lanes-BO$6))/(Peak_Time_Eve*$N43*(Total_Lanes-BO$6)))),"-")</f>
        <v>136.289315443318</v>
      </c>
      <c r="BP10" s="146" t="n">
        <f aca="false">IF(BP$6&lt;Total_Lanes,900*Peak_Time_Eve*(($BL10/(Total_Lanes-BP$6))-1+SQRT((($BL10/(Total_Lanes-BP$6))-1)^2+8*($BL10/(Total_Lanes-BP$6))/(Peak_Time_Eve*$N43*(Total_Lanes-BP$6)))),"-")</f>
        <v>586.612450604719</v>
      </c>
      <c r="BQ10" s="146" t="n">
        <f aca="false">IF(BQ$6&lt;Total_Lanes,900*Peak_Time_Eve*(($BL10/(Total_Lanes-BQ$6))-1+SQRT((($BL10/(Total_Lanes-BQ$6))-1)^2+8*($BL10/(Total_Lanes-BQ$6))/(Peak_Time_Eve*$N43*(Total_Lanes-BQ$6)))),"-")</f>
        <v>1181.77526217317</v>
      </c>
      <c r="BR10" s="146" t="n">
        <f aca="false">IF(BR$6&lt;Total_Lanes,900*Peak_Time_Eve*(($BL10/(Total_Lanes-BR$6))-1+SQRT((($BL10/(Total_Lanes-BR$6))-1)^2+8*($BL10/(Total_Lanes-BR$6))/(Peak_Time_Eve*$N43*(Total_Lanes-BR$6)))),"-")</f>
        <v>1977.38349022752</v>
      </c>
      <c r="BS10" s="146" t="n">
        <f aca="false">IF(BS$6&lt;Total_Lanes,900*Peak_Time_Eve*(($BL10/(Total_Lanes-BS$6))-1+SQRT((($BL10/(Total_Lanes-BS$6))-1)^2+8*($BL10/(Total_Lanes-BS$6))/(Peak_Time_Eve*$N43*(Total_Lanes-BS$6)))),"-")</f>
        <v>3091.98966171701</v>
      </c>
      <c r="BT10" s="146" t="n">
        <f aca="false">IF(BT$6&lt;Total_Lanes,900*Peak_Time_Eve*(($BL10/(Total_Lanes-BT$6))-1+SQRT((($BL10/(Total_Lanes-BT$6))-1)^2+8*($BL10/(Total_Lanes-BT$6))/(Peak_Time_Eve*$N43*(Total_Lanes-BT$6)))),"-")</f>
        <v>4764.30932253019</v>
      </c>
      <c r="BU10" s="146" t="n">
        <f aca="false">IF(BU$6&lt;Total_Lanes,900*Peak_Time_Eve*(($BL10/(Total_Lanes-BU$6))-1+SQRT((($BL10/(Total_Lanes-BU$6))-1)^2+8*($BL10/(Total_Lanes-BU$6))/(Peak_Time_Eve*$N43*(Total_Lanes-BU$6)))),"-")</f>
        <v>7551.79561967881</v>
      </c>
      <c r="BV10" s="146" t="n">
        <f aca="false">IF(BV$6&lt;Total_Lanes,900*Peak_Time_Eve*(($BL10/(Total_Lanes-BV$6))-1+SQRT((($BL10/(Total_Lanes-BV$6))-1)^2+8*($BL10/(Total_Lanes-BV$6))/(Peak_Time_Eve*$N43*(Total_Lanes-BV$6)))),"-")</f>
        <v>13127.0217411032</v>
      </c>
      <c r="BW10" s="146" t="n">
        <f aca="false">IF(BW$6&lt;Total_Lanes,900*Peak_Time_Eve*(($BL10/(Total_Lanes-BW$6))-1+SQRT((($BL10/(Total_Lanes-BW$6))-1)^2+8*($BL10/(Total_Lanes-BW$6))/(Peak_Time_Eve*$N43*(Total_Lanes-BW$6)))),"-")</f>
        <v>29853.023905083</v>
      </c>
      <c r="BX10" s="136" t="str">
        <f aca="false">IF(BX$6&lt;Total_Lanes,900*Peak_Time_Eve*(($BL10/(Total_Lanes-BX$6))-1+SQRT((($BL10/(Total_Lanes-BX$6))-1)^2+8*($BL10/(Total_Lanes-BX$6))/(Peak_Time_Eve*$N43*(Total_Lanes-BX$6)))),"-")</f>
        <v>-</v>
      </c>
      <c r="BY10" s="136" t="str">
        <f aca="false">IF(BY$6&lt;Total_Lanes,900*Peak_Time_Eve*(($BL10/(Total_Lanes-BY$6))-1+SQRT((($BL10/(Total_Lanes-BY$6))-1)^2+8*($BL10/(Total_Lanes-BY$6))/(Peak_Time_Eve*$N43*(Total_Lanes-BY$6)))),"-")</f>
        <v>-</v>
      </c>
      <c r="BZ10" s="136" t="str">
        <f aca="false">IF(BZ$6&lt;Total_Lanes,900*Peak_Time_Eve*(($BL10/(Total_Lanes-BZ$6))-1+SQRT((($BL10/(Total_Lanes-BZ$6))-1)^2+8*($BL10/(Total_Lanes-BZ$6))/(Peak_Time_Eve*$N43*(Total_Lanes-BZ$6)))),"-")</f>
        <v>-</v>
      </c>
      <c r="CA10" s="136" t="str">
        <f aca="false">IF(CA$6&lt;Total_Lanes,900*Peak_Time_Eve*(($BL10/(Total_Lanes-CA$6))-1+SQRT((($BL10/(Total_Lanes-CA$6))-1)^2+8*($BL10/(Total_Lanes-CA$6))/(Peak_Time_Eve*$N43*(Total_Lanes-CA$6)))),"-")</f>
        <v>-</v>
      </c>
      <c r="CB10" s="136" t="str">
        <f aca="false">IF(CB$6&lt;Total_Lanes,900*Peak_Time_Eve*(($BL10/(Total_Lanes-CB$6))-1+SQRT((($BL10/(Total_Lanes-CB$6))-1)^2+8*($BL10/(Total_Lanes-CB$6))/(Peak_Time_Eve*$N43*(Total_Lanes-CB$6)))),"-")</f>
        <v>-</v>
      </c>
      <c r="CC10" s="136" t="str">
        <f aca="false">IF(CC$6&lt;Total_Lanes,900*Peak_Time_Eve*(($BL10/(Total_Lanes-CC$6))-1+SQRT((($BL10/(Total_Lanes-CC$6))-1)^2+8*($BL10/(Total_Lanes-CC$6))/(Peak_Time_Eve*$N43*(Total_Lanes-CC$6)))),"-")</f>
        <v>-</v>
      </c>
      <c r="CD10" s="136" t="str">
        <f aca="false">IF(CD$6&lt;Total_Lanes,900*Peak_Time_Eve*(($BL10/(Total_Lanes-CD$6))-1+SQRT((($BL10/(Total_Lanes-CD$6))-1)^2+8*($BL10/(Total_Lanes-CD$6))/(Peak_Time_Eve*$N43*(Total_Lanes-CD$6)))),"-")</f>
        <v>-</v>
      </c>
      <c r="CE10" s="136" t="str">
        <f aca="false">IF(CE$6&lt;Total_Lanes,900*Peak_Time_Eve*(($BL10/(Total_Lanes-CE$6))-1+SQRT((($BL10/(Total_Lanes-CE$6))-1)^2+8*($BL10/(Total_Lanes-CE$6))/(Peak_Time_Eve*$N43*(Total_Lanes-CE$6)))),"-")</f>
        <v>-</v>
      </c>
      <c r="CF10" s="136" t="str">
        <f aca="false">IF(CF$6&lt;Total_Lanes,900*Peak_Time_Eve*(($BL10/(Total_Lanes-CF$6))-1+SQRT((($BL10/(Total_Lanes-CF$6))-1)^2+8*($BL10/(Total_Lanes-CF$6))/(Peak_Time_Eve*$N43*(Total_Lanes-CF$6)))),"-")</f>
        <v>-</v>
      </c>
      <c r="CG10" s="147" t="str">
        <f aca="false">IF(CG$6&lt;Total_Lanes,900*Peak_Time_Eve*(($BL10/(Total_Lanes-CG$6))-1+SQRT((($BL10/(Total_Lanes-CG$6))-1)^2+8*($BL10/(Total_Lanes-CG$6))/(Peak_Time_Eve*$N43*(Total_Lanes-CG$6)))),"-")</f>
        <v>-</v>
      </c>
      <c r="CH10" s="160" t="n">
        <f aca="false">3600/N43</f>
        <v>6.63875</v>
      </c>
      <c r="CJ10" s="50" t="n">
        <v>3</v>
      </c>
      <c r="CK10" s="131" t="n">
        <f aca="false">$X10</f>
        <v>0.192291508405303</v>
      </c>
      <c r="CL10" s="57" t="n">
        <f aca="false">$AC10</f>
        <v>6237.31747008191</v>
      </c>
      <c r="CM10" s="135" t="n">
        <f aca="false">CL10*CK10</f>
        <v>1199.3831847248</v>
      </c>
      <c r="CN10" s="161" t="n">
        <f aca="false">CM10/O42</f>
        <v>0.799588789816533</v>
      </c>
      <c r="CO10" s="164" t="n">
        <f aca="false">IF(CO$6&lt;Total_Lanes,900*Peak_Time_Eve*(($CN10/CO$6-1)+SQRT(($CN10/CO$6-1)^2+8*($CN10/CO$6)/(Peak_Time_Eve*$O43*CO$6))),"-")</f>
        <v>9.45156037518842</v>
      </c>
      <c r="CP10" s="164" t="n">
        <f aca="false">IF(CP$6&lt;Total_Lanes,900*Peak_Time_Eve*(($CN10/CP$6-1)+SQRT(($CN10/CP$6-1)^2+8*($CN10/CP$6)/(Peak_Time_Eve*$O43*CP$6))),"-")</f>
        <v>0.799019415333779</v>
      </c>
      <c r="CQ10" s="164" t="n">
        <f aca="false">IF(CQ$6&lt;Total_Lanes,900*Peak_Time_Eve*(($CN10/CQ$6-1)+SQRT(($CN10/CQ$6-1)^2+8*($CN10/CQ$6)/(Peak_Time_Eve*$O43*CQ$6))),"-")</f>
        <v>0.290673224981664</v>
      </c>
      <c r="CR10" s="164" t="n">
        <f aca="false">IF(CR$6&lt;Total_Lanes,900*Peak_Time_Eve*(($CN10/CR$6-1)+SQRT(($CN10/CR$6-1)^2+8*($CN10/CR$6)/(Peak_Time_Eve*$O43*CR$6))),"-")</f>
        <v>0.149895834345681</v>
      </c>
      <c r="CS10" s="164" t="n">
        <f aca="false">IF(CS$6&lt;Total_Lanes,900*Peak_Time_Eve*(($CN10/CS$6-1)+SQRT(($CN10/CS$6-1)^2+8*($CN10/CS$6)/(Peak_Time_Eve*$O43*CS$6))),"-")</f>
        <v>0.0913698694804399</v>
      </c>
      <c r="CT10" s="164" t="n">
        <f aca="false">IF(CT$6&lt;Total_Lanes,900*Peak_Time_Eve*(($CN10/CT$6-1)+SQRT(($CN10/CT$6-1)^2+8*($CN10/CT$6)/(Peak_Time_Eve*$O43*CT$6))),"-")</f>
        <v>0.0615007542856372</v>
      </c>
      <c r="CU10" s="164" t="n">
        <f aca="false">IF(CU$6&lt;Total_Lanes,900*Peak_Time_Eve*(($CN10/CU$6-1)+SQRT(($CN10/CU$6-1)^2+8*($CN10/CU$6)/(Peak_Time_Eve*$O43*CU$6))),"-")</f>
        <v>0.0442133461162619</v>
      </c>
      <c r="CV10" s="164" t="n">
        <f aca="false">IF(CV$6&lt;Total_Lanes,900*Peak_Time_Eve*(($CN10/CV$6-1)+SQRT(($CN10/CV$6-1)^2+8*($CN10/CV$6)/(Peak_Time_Eve*$O43*CV$6))),"-")</f>
        <v>0.0333139543946981</v>
      </c>
      <c r="CW10" s="164" t="n">
        <f aca="false">IF(CW$6&lt;Total_Lanes,900*Peak_Time_Eve*(($CN10/CW$6-1)+SQRT(($CN10/CW$6-1)^2+8*($CN10/CW$6)/(Peak_Time_Eve*$O43*CW$6))),"-")</f>
        <v>0.0260013774479262</v>
      </c>
      <c r="CX10" s="164" t="n">
        <f aca="false">IF(CX$6&lt;Total_Lanes,900*Peak_Time_Eve*(($CN10/CX$6-1)+SQRT(($CN10/CX$6-1)^2+8*($CN10/CX$6)/(Peak_Time_Eve*$O43*CX$6))),"-")</f>
        <v>0.0208577743656679</v>
      </c>
      <c r="CY10" s="164" t="n">
        <f aca="false">IF(CY$6&lt;Total_Lanes,900*Peak_Time_Eve*(($CN10/CY$6-1)+SQRT(($CN10/CY$6-1)^2+8*($CN10/CY$6)/(Peak_Time_Eve*$O43*CY$6))),"-")</f>
        <v>0.0171027264102896</v>
      </c>
      <c r="CZ10" s="165" t="str">
        <f aca="false">IF(CZ$6&lt;Total_Lanes,900*Peak_Time_Eve*(($CN10/CZ$6-1)+SQRT(($CN10/CZ$6-1)^2+8*($CN10/CZ$6)/(Peak_Time_Eve*$O43*CZ$6))),"-")</f>
        <v>-</v>
      </c>
      <c r="DA10" s="165" t="str">
        <f aca="false">IF(DA$6&lt;Total_Lanes,900*Peak_Time_Eve*(($CN10/DA$6-1)+SQRT(($CN10/DA$6-1)^2+8*($CN10/DA$6)/(Peak_Time_Eve*$O43*DA$6))),"-")</f>
        <v>-</v>
      </c>
      <c r="DB10" s="165" t="str">
        <f aca="false">IF(DB$6&lt;Total_Lanes,900*Peak_Time_Eve*(($CN10/DB$6-1)+SQRT(($CN10/DB$6-1)^2+8*($CN10/DB$6)/(Peak_Time_Eve*$O43*DB$6))),"-")</f>
        <v>-</v>
      </c>
      <c r="DC10" s="165" t="str">
        <f aca="false">IF(DC$6&lt;Total_Lanes,900*Peak_Time_Eve*(($CN10/DC$6-1)+SQRT(($CN10/DC$6-1)^2+8*($CN10/DC$6)/(Peak_Time_Eve*$O43*DC$6))),"-")</f>
        <v>-</v>
      </c>
      <c r="DD10" s="165" t="str">
        <f aca="false">IF(DD$6&lt;Total_Lanes,900*Peak_Time_Eve*(($CN10/DD$6-1)+SQRT(($CN10/DD$6-1)^2+8*($CN10/DD$6)/(Peak_Time_Eve*$O43*DD$6))),"-")</f>
        <v>-</v>
      </c>
      <c r="DE10" s="165" t="str">
        <f aca="false">IF(DE$6&lt;Total_Lanes,900*Peak_Time_Eve*(($CN10/DE$6-1)+SQRT(($CN10/DE$6-1)^2+8*($CN10/DE$6)/(Peak_Time_Eve*$O43*DE$6))),"-")</f>
        <v>-</v>
      </c>
      <c r="DF10" s="165" t="str">
        <f aca="false">IF(DF$6&lt;Total_Lanes,900*Peak_Time_Eve*(($CN10/DF$6-1)+SQRT(($CN10/DF$6-1)^2+8*($CN10/DF$6)/(Peak_Time_Eve*$O43*DF$6))),"-")</f>
        <v>-</v>
      </c>
      <c r="DG10" s="165" t="str">
        <f aca="false">IF(DG$6&lt;Total_Lanes,900*Peak_Time_Eve*(($CN10/DG$6-1)+SQRT(($CN10/DG$6-1)^2+8*($CN10/DG$6)/(Peak_Time_Eve*$O43*DG$6))),"-")</f>
        <v>-</v>
      </c>
      <c r="DH10" s="165" t="str">
        <f aca="false">IF(DH$6&lt;Total_Lanes,900*Peak_Time_Eve*(($CN10/DH$6-1)+SQRT(($CN10/DH$6-1)^2+8*($CN10/DH$6)/(Peak_Time_Eve*$O43*DH$6))),"-")</f>
        <v>-</v>
      </c>
      <c r="DI10" s="166" t="str">
        <f aca="false">IF(DI$6&lt;Total_Lanes,900*Peak_Time_Eve*(($CN10/DI$6-1)+SQRT(($CN10/DI$6-1)^2+8*($CN10/DI$6)/(Peak_Time_Eve*$O43*DI$6))),"-")</f>
        <v>-</v>
      </c>
      <c r="DJ10" s="167" t="n">
        <f aca="false">3600/O43</f>
        <v>2.4</v>
      </c>
    </row>
    <row r="11" customFormat="false" ht="12.75" hidden="false" customHeight="false" outlineLevel="0" collapsed="false">
      <c r="B11" s="76"/>
      <c r="C11" s="77"/>
      <c r="D11" s="78"/>
      <c r="E11" s="79"/>
      <c r="F11" s="69"/>
      <c r="G11" s="69"/>
      <c r="H11" s="50" t="n">
        <v>4</v>
      </c>
      <c r="I11" s="124" t="n">
        <f aca="false">'Input-Detail'!E18</f>
        <v>21212938.4</v>
      </c>
      <c r="J11" s="131" t="n">
        <f aca="false">'Input-Detail'!F18</f>
        <v>0.247136906120865</v>
      </c>
      <c r="K11" s="57" t="n">
        <f aca="false">AC11</f>
        <v>6403.08996010922</v>
      </c>
      <c r="L11" s="135" t="n">
        <f aca="false">AD58</f>
        <v>10.5365670067321</v>
      </c>
      <c r="M11" s="150" t="n">
        <f aca="false">AD11</f>
        <v>28.7506515449613</v>
      </c>
      <c r="N11" s="150" t="n">
        <f aca="false">SUM(L11:M11)</f>
        <v>39.2872185516934</v>
      </c>
      <c r="O11" s="154" t="n">
        <f aca="false">$S$34*N11</f>
        <v>10214.6768234403</v>
      </c>
      <c r="P11" s="135" t="n">
        <f aca="false">BC58</f>
        <v>8.24905478572392</v>
      </c>
      <c r="Q11" s="150" t="n">
        <f aca="false">BC11</f>
        <v>33.5156041001652</v>
      </c>
      <c r="R11" s="150" t="n">
        <f aca="false">SUM(P11:Q11)</f>
        <v>41.7646588858891</v>
      </c>
      <c r="S11" s="155" t="n">
        <f aca="false">$S$34*R11</f>
        <v>10858.8113103312</v>
      </c>
      <c r="T11" s="69"/>
      <c r="U11" s="69"/>
      <c r="V11" s="50" t="n">
        <v>4</v>
      </c>
      <c r="W11" s="132" t="n">
        <f aca="false">W$7+(W$27-W$7)*$V11/20</f>
        <v>21212938.4</v>
      </c>
      <c r="X11" s="131" t="n">
        <f aca="false">J11</f>
        <v>0.247136906120865</v>
      </c>
      <c r="Y11" s="132" t="n">
        <f aca="false">'Input-Detail'!E18/Z11</f>
        <v>9147.2713715846</v>
      </c>
      <c r="Z11" s="156" t="n">
        <f aca="false">Z10</f>
        <v>2319.04548780488</v>
      </c>
      <c r="AA11" s="156" t="n">
        <f aca="false">AA10</f>
        <v>2</v>
      </c>
      <c r="AB11" s="157" t="n">
        <f aca="false">AB10</f>
        <v>0.7</v>
      </c>
      <c r="AC11" s="57" t="n">
        <f aca="false">Y11*AB11</f>
        <v>6403.08996010922</v>
      </c>
      <c r="AD11" s="135" t="n">
        <f aca="false">Peak_Time_Eve*$BH11*(3600/K44+BK11)/3600</f>
        <v>28.7506515449613</v>
      </c>
      <c r="AE11" s="136" t="n">
        <f aca="false">IF(AE$6&lt;Total_Lanes,($BI11*($CH11+BM11)+$CM11*CO11)*Peak_Time_Eve/3600,"-")</f>
        <v>232.593032586884</v>
      </c>
      <c r="AF11" s="136" t="n">
        <f aca="false">IF(AF$6&lt;Total_Lanes,($BI11*($CH11+BN11)+$CM11*CP11)*Peak_Time_Eve/3600,"-")</f>
        <v>33.5156041001652</v>
      </c>
      <c r="AG11" s="136" t="n">
        <f aca="false">IF(AG$6&lt;Total_Lanes,($BI11*($CH11+BO11)+$CM11*CQ11)*Peak_Time_Eve/3600,"-")</f>
        <v>118.811478751989</v>
      </c>
      <c r="AH11" s="136" t="n">
        <f aca="false">IF(AH$6&lt;Total_Lanes,($BI11*($CH11+BP11)+$CM11*CR11)*Peak_Time_Eve/3600,"-")</f>
        <v>1145.85579662239</v>
      </c>
      <c r="AI11" s="136" t="n">
        <f aca="false">IF(AI$6&lt;Total_Lanes,($BI11*($CH11+BQ11)+$CM11*CS11)*Peak_Time_Eve/3600,"-")</f>
        <v>2671.7386268807</v>
      </c>
      <c r="AJ11" s="136" t="n">
        <f aca="false">IF(AJ$6&lt;Total_Lanes,($BI11*($CH11+BR11)+$CM11*CT11)*Peak_Time_Eve/3600,"-")</f>
        <v>4716.19017030868</v>
      </c>
      <c r="AK11" s="136" t="n">
        <f aca="false">IF(AK$6&lt;Total_Lanes,($BI11*($CH11+BS11)+$CM11*CU11)*Peak_Time_Eve/3600,"-")</f>
        <v>7581.31441333876</v>
      </c>
      <c r="AL11" s="136" t="n">
        <f aca="false">IF(AL$6&lt;Total_Lanes,($BI11*($CH11+BT11)+$CM11*CV11)*Peak_Time_Eve/3600,"-")</f>
        <v>11880.423926948</v>
      </c>
      <c r="AM11" s="136" t="n">
        <f aca="false">IF(AM$6&lt;Total_Lanes,($BI11*($CH11+BU11)+$CM11*CW11)*Peak_Time_Eve/3600,"-")</f>
        <v>19046.5456931953</v>
      </c>
      <c r="AN11" s="136" t="n">
        <f aca="false">IF(AN$6&lt;Total_Lanes,($BI11*($CH11+BV11)+$CM11*CX11)*Peak_Time_Eve/3600,"-")</f>
        <v>33379.5884629114</v>
      </c>
      <c r="AO11" s="136" t="n">
        <f aca="false">IF(AO$6&lt;Total_Lanes,($BI11*($CH11+BW11)+$CM11*CY11)*Peak_Time_Eve/3600,"-")</f>
        <v>76379.7101852262</v>
      </c>
      <c r="AP11" s="136" t="str">
        <f aca="false">IF(AP$6&lt;Total_Lanes,($BI11*($CH11+BX11)+$CM11*CZ11)*Peak_Time_Eve/3600,"-")</f>
        <v>-</v>
      </c>
      <c r="AQ11" s="136" t="str">
        <f aca="false">IF(AQ$6&lt;Total_Lanes,($BI11*($CH11+BY11)+$CM11*DA11)*Peak_Time_Eve/3600,"-")</f>
        <v>-</v>
      </c>
      <c r="AR11" s="136" t="str">
        <f aca="false">IF(AR$6&lt;Total_Lanes,($BI11*($CH11+BZ11)+$CM11*DB11)*Peak_Time_Eve/3600,"-")</f>
        <v>-</v>
      </c>
      <c r="AS11" s="136" t="str">
        <f aca="false">IF(AS$6&lt;Total_Lanes,($BI11*($CH11+CA11)+$CM11*DC11)*Peak_Time_Eve/3600,"-")</f>
        <v>-</v>
      </c>
      <c r="AT11" s="136" t="str">
        <f aca="false">IF(AT$6&lt;Total_Lanes,($BI11*($CH11+CB11)+$CM11*DD11)*Peak_Time_Eve/3600,"-")</f>
        <v>-</v>
      </c>
      <c r="AU11" s="136" t="str">
        <f aca="false">IF(AU$6&lt;Total_Lanes,($BI11*($CH11+CC11)+$CM11*DE11)*Peak_Time_Eve/3600,"-")</f>
        <v>-</v>
      </c>
      <c r="AV11" s="136" t="str">
        <f aca="false">IF(AV$6&lt;Total_Lanes,($BI11*($CH11+CD11)+$CM11*DF11)*Peak_Time_Eve/3600,"-")</f>
        <v>-</v>
      </c>
      <c r="AW11" s="136" t="str">
        <f aca="false">IF(AW$6&lt;Total_Lanes,($BI11*($CH11+CE11)+$CM11*DG11)*Peak_Time_Eve/3600,"-")</f>
        <v>-</v>
      </c>
      <c r="AX11" s="136" t="str">
        <f aca="false">IF(AX$6&lt;Total_Lanes,($BI11*($CH11+CF11)+$CM11*DH11)*Peak_Time_Eve/3600,"-")</f>
        <v>-</v>
      </c>
      <c r="AY11" s="137" t="str">
        <f aca="false">IF(AY$6&lt;Total_Lanes,($BI11*($CH11+CG11)+$CM11*DI11)*Peak_Time_Eve/3600,"-")</f>
        <v>-</v>
      </c>
      <c r="AZ11" s="158" t="n">
        <f aca="false">SUMIF(AE11:AY11,BA11,$AE$6:$AY$6)</f>
        <v>2</v>
      </c>
      <c r="BA11" s="159" t="n">
        <f aca="false">MIN(AE11:AY11)</f>
        <v>33.5156041001652</v>
      </c>
      <c r="BB11" s="158" t="n">
        <f aca="false">Price!X11</f>
        <v>2</v>
      </c>
      <c r="BC11" s="159" t="n">
        <f aca="false">SUMIF($AE$6:$AY$6,$BB11,$AE11:$AY11)</f>
        <v>33.5156041001652</v>
      </c>
      <c r="BF11" s="50" t="n">
        <v>4</v>
      </c>
      <c r="BG11" s="131" t="n">
        <f aca="false">$X11</f>
        <v>0.247136906120865</v>
      </c>
      <c r="BH11" s="141" t="n">
        <f aca="false">$AC11</f>
        <v>6403.08996010922</v>
      </c>
      <c r="BI11" s="58" t="n">
        <f aca="false">BH11*(1-BG11)</f>
        <v>4820.65011775425</v>
      </c>
      <c r="BJ11" s="143" t="n">
        <f aca="false">Peak_Arrival_Manual/K44</f>
        <v>8.80438181228728</v>
      </c>
      <c r="BK11" s="144" t="n">
        <f aca="false">900*Peak_Time_Eve*(BJ11/Total_Lanes-1+SQRT((BJ11/Total_Lanes-1)^2+8*(BJ11/Total_Lanes)/(Peak_Time_Eve*$K44*Total_Lanes)))</f>
        <v>1.5072186012279</v>
      </c>
      <c r="BL11" s="145" t="n">
        <f aca="false">Peak_Arrival_Manual/N44</f>
        <v>8.91820271784536</v>
      </c>
      <c r="BM11" s="146" t="n">
        <f aca="false">IF(BM$6&lt;Total_Lanes,900*Peak_Time_Eve*(($BL11/(Total_Lanes-BM$6))-1+SQRT((($BL11/(Total_Lanes-BM$6))-1)^2+8*($BL11/(Total_Lanes-BM$6))/(Peak_Time_Eve*$N44*(Total_Lanes-BM$6)))),"-")</f>
        <v>2.58390469061186</v>
      </c>
      <c r="BN11" s="146" t="n">
        <f aca="false">IF(BN$6&lt;Total_Lanes,900*Peak_Time_Eve*(($BL11/(Total_Lanes-BN$6))-1+SQRT((($BL11/(Total_Lanes-BN$6))-1)^2+8*($BL11/(Total_Lanes-BN$6))/(Peak_Time_Eve*$N44*(Total_Lanes-BN$6)))),"-")</f>
        <v>5.41512600469113</v>
      </c>
      <c r="BO11" s="146" t="n">
        <f aca="false">IF(BO$6&lt;Total_Lanes,900*Peak_Time_Eve*(($BL11/(Total_Lanes-BO$6))-1+SQRT((($BL11/(Total_Lanes-BO$6))-1)^2+8*($BL11/(Total_Lanes-BO$6))/(Peak_Time_Eve*$N44*(Total_Lanes-BO$6)))),"-")</f>
        <v>37.5610389228583</v>
      </c>
      <c r="BP11" s="146" t="n">
        <f aca="false">IF(BP$6&lt;Total_Lanes,900*Peak_Time_Eve*(($BL11/(Total_Lanes-BP$6))-1+SQRT((($BL11/(Total_Lanes-BP$6))-1)^2+8*($BL11/(Total_Lanes-BP$6))/(Peak_Time_Eve*$N44*(Total_Lanes-BP$6)))),"-")</f>
        <v>421.124696700677</v>
      </c>
      <c r="BQ11" s="146" t="n">
        <f aca="false">IF(BQ$6&lt;Total_Lanes,900*Peak_Time_Eve*(($BL11/(Total_Lanes-BQ$6))-1+SQRT((($BL11/(Total_Lanes-BQ$6))-1)^2+8*($BL11/(Total_Lanes-BQ$6))/(Peak_Time_Eve*$N44*(Total_Lanes-BQ$6)))),"-")</f>
        <v>990.908025050951</v>
      </c>
      <c r="BR11" s="146" t="n">
        <f aca="false">IF(BR$6&lt;Total_Lanes,900*Peak_Time_Eve*(($BL11/(Total_Lanes-BR$6))-1+SQRT((($BL11/(Total_Lanes-BR$6))-1)^2+8*($BL11/(Total_Lanes-BR$6))/(Peak_Time_Eve*$N44*(Total_Lanes-BR$6)))),"-")</f>
        <v>1754.30731061299</v>
      </c>
      <c r="BS11" s="146" t="n">
        <f aca="false">IF(BS$6&lt;Total_Lanes,900*Peak_Time_Eve*(($BL11/(Total_Lanes-BS$6))-1+SQRT((($BL11/(Total_Lanes-BS$6))-1)^2+8*($BL11/(Total_Lanes-BS$6))/(Peak_Time_Eve*$N44*(Total_Lanes-BS$6)))),"-")</f>
        <v>2824.13446460625</v>
      </c>
      <c r="BT11" s="146" t="n">
        <f aca="false">IF(BT$6&lt;Total_Lanes,900*Peak_Time_Eve*(($BL11/(Total_Lanes-BT$6))-1+SQRT((($BL11/(Total_Lanes-BT$6))-1)^2+8*($BL11/(Total_Lanes-BT$6))/(Peak_Time_Eve*$N44*(Total_Lanes-BT$6)))),"-")</f>
        <v>4429.39954276742</v>
      </c>
      <c r="BU11" s="146" t="n">
        <f aca="false">IF(BU$6&lt;Total_Lanes,900*Peak_Time_Eve*(($BL11/(Total_Lanes-BU$6))-1+SQRT((($BL11/(Total_Lanes-BU$6))-1)^2+8*($BL11/(Total_Lanes-BU$6))/(Peak_Time_Eve*$N44*(Total_Lanes-BU$6)))),"-")</f>
        <v>7105.1870287135</v>
      </c>
      <c r="BV11" s="146" t="n">
        <f aca="false">IF(BV$6&lt;Total_Lanes,900*Peak_Time_Eve*(($BL11/(Total_Lanes-BV$6))-1+SQRT((($BL11/(Total_Lanes-BV$6))-1)^2+8*($BL11/(Total_Lanes-BV$6))/(Peak_Time_Eve*$N44*(Total_Lanes-BV$6)))),"-")</f>
        <v>12457.0560911577</v>
      </c>
      <c r="BW11" s="146" t="n">
        <f aca="false">IF(BW$6&lt;Total_Lanes,900*Peak_Time_Eve*(($BL11/(Total_Lanes-BW$6))-1+SQRT((($BL11/(Total_Lanes-BW$6))-1)^2+8*($BL11/(Total_Lanes-BW$6))/(Peak_Time_Eve*$N44*(Total_Lanes-BW$6)))),"-")</f>
        <v>28513.0289113626</v>
      </c>
      <c r="BX11" s="136" t="str">
        <f aca="false">IF(BX$6&lt;Total_Lanes,900*Peak_Time_Eve*(($BL11/(Total_Lanes-BX$6))-1+SQRT((($BL11/(Total_Lanes-BX$6))-1)^2+8*($BL11/(Total_Lanes-BX$6))/(Peak_Time_Eve*$N44*(Total_Lanes-BX$6)))),"-")</f>
        <v>-</v>
      </c>
      <c r="BY11" s="136" t="str">
        <f aca="false">IF(BY$6&lt;Total_Lanes,900*Peak_Time_Eve*(($BL11/(Total_Lanes-BY$6))-1+SQRT((($BL11/(Total_Lanes-BY$6))-1)^2+8*($BL11/(Total_Lanes-BY$6))/(Peak_Time_Eve*$N44*(Total_Lanes-BY$6)))),"-")</f>
        <v>-</v>
      </c>
      <c r="BZ11" s="136" t="str">
        <f aca="false">IF(BZ$6&lt;Total_Lanes,900*Peak_Time_Eve*(($BL11/(Total_Lanes-BZ$6))-1+SQRT((($BL11/(Total_Lanes-BZ$6))-1)^2+8*($BL11/(Total_Lanes-BZ$6))/(Peak_Time_Eve*$N44*(Total_Lanes-BZ$6)))),"-")</f>
        <v>-</v>
      </c>
      <c r="CA11" s="136" t="str">
        <f aca="false">IF(CA$6&lt;Total_Lanes,900*Peak_Time_Eve*(($BL11/(Total_Lanes-CA$6))-1+SQRT((($BL11/(Total_Lanes-CA$6))-1)^2+8*($BL11/(Total_Lanes-CA$6))/(Peak_Time_Eve*$N44*(Total_Lanes-CA$6)))),"-")</f>
        <v>-</v>
      </c>
      <c r="CB11" s="136" t="str">
        <f aca="false">IF(CB$6&lt;Total_Lanes,900*Peak_Time_Eve*(($BL11/(Total_Lanes-CB$6))-1+SQRT((($BL11/(Total_Lanes-CB$6))-1)^2+8*($BL11/(Total_Lanes-CB$6))/(Peak_Time_Eve*$N44*(Total_Lanes-CB$6)))),"-")</f>
        <v>-</v>
      </c>
      <c r="CC11" s="136" t="str">
        <f aca="false">IF(CC$6&lt;Total_Lanes,900*Peak_Time_Eve*(($BL11/(Total_Lanes-CC$6))-1+SQRT((($BL11/(Total_Lanes-CC$6))-1)^2+8*($BL11/(Total_Lanes-CC$6))/(Peak_Time_Eve*$N44*(Total_Lanes-CC$6)))),"-")</f>
        <v>-</v>
      </c>
      <c r="CD11" s="136" t="str">
        <f aca="false">IF(CD$6&lt;Total_Lanes,900*Peak_Time_Eve*(($BL11/(Total_Lanes-CD$6))-1+SQRT((($BL11/(Total_Lanes-CD$6))-1)^2+8*($BL11/(Total_Lanes-CD$6))/(Peak_Time_Eve*$N44*(Total_Lanes-CD$6)))),"-")</f>
        <v>-</v>
      </c>
      <c r="CE11" s="136" t="str">
        <f aca="false">IF(CE$6&lt;Total_Lanes,900*Peak_Time_Eve*(($BL11/(Total_Lanes-CE$6))-1+SQRT((($BL11/(Total_Lanes-CE$6))-1)^2+8*($BL11/(Total_Lanes-CE$6))/(Peak_Time_Eve*$N44*(Total_Lanes-CE$6)))),"-")</f>
        <v>-</v>
      </c>
      <c r="CF11" s="136" t="str">
        <f aca="false">IF(CF$6&lt;Total_Lanes,900*Peak_Time_Eve*(($BL11/(Total_Lanes-CF$6))-1+SQRT((($BL11/(Total_Lanes-CF$6))-1)^2+8*($BL11/(Total_Lanes-CF$6))/(Peak_Time_Eve*$N44*(Total_Lanes-CF$6)))),"-")</f>
        <v>-</v>
      </c>
      <c r="CG11" s="147" t="str">
        <f aca="false">IF(CG$6&lt;Total_Lanes,900*Peak_Time_Eve*(($BL11/(Total_Lanes-CG$6))-1+SQRT((($BL11/(Total_Lanes-CG$6))-1)^2+8*($BL11/(Total_Lanes-CG$6))/(Peak_Time_Eve*$N44*(Total_Lanes-CG$6)))),"-")</f>
        <v>-</v>
      </c>
      <c r="CH11" s="160" t="n">
        <f aca="false">3600/N44</f>
        <v>6.66</v>
      </c>
      <c r="CJ11" s="50" t="n">
        <v>4</v>
      </c>
      <c r="CK11" s="131" t="n">
        <f aca="false">$X11</f>
        <v>0.247136906120865</v>
      </c>
      <c r="CL11" s="57" t="n">
        <f aca="false">$AC11</f>
        <v>6403.08996010922</v>
      </c>
      <c r="CM11" s="135" t="n">
        <f aca="false">CL11*CK11</f>
        <v>1582.43984235497</v>
      </c>
      <c r="CN11" s="161" t="n">
        <f aca="false">CM11/O43</f>
        <v>1.05495989490331</v>
      </c>
      <c r="CO11" s="146" t="n">
        <f aca="false">IF(CO$6&lt;Total_Lanes,900*Peak_Time_Eve*(($CN11/CO$6-1)+SQRT(($CN11/CO$6-1)^2+8*($CN11/CO$6)/(Peak_Time_Eve*$O44*CO$6))),"-")</f>
        <v>236.410774304283</v>
      </c>
      <c r="CP11" s="164" t="n">
        <f aca="false">IF(CP$6&lt;Total_Lanes,900*Peak_Time_Eve*(($CN11/CP$6-1)+SQRT(($CN11/CP$6-1)^2+8*($CN11/CP$6)/(Peak_Time_Eve*$O44*CP$6))),"-")</f>
        <v>1.33852152049806</v>
      </c>
      <c r="CQ11" s="164" t="n">
        <f aca="false">IF(CQ$6&lt;Total_Lanes,900*Peak_Time_Eve*(($CN11/CQ$6-1)+SQRT(($CN11/CQ$6-1)^2+8*($CN11/CQ$6)/(Peak_Time_Eve*$O44*CQ$6))),"-")</f>
        <v>0.433827084299687</v>
      </c>
      <c r="CR11" s="164" t="n">
        <f aca="false">IF(CR$6&lt;Total_Lanes,900*Peak_Time_Eve*(($CN11/CR$6-1)+SQRT(($CN11/CR$6-1)^2+8*($CN11/CR$6)/(Peak_Time_Eve*$O44*CR$6))),"-")</f>
        <v>0.214912053912397</v>
      </c>
      <c r="CS11" s="164" t="n">
        <f aca="false">IF(CS$6&lt;Total_Lanes,900*Peak_Time_Eve*(($CN11/CS$6-1)+SQRT(($CN11/CS$6-1)^2+8*($CN11/CS$6)/(Peak_Time_Eve*$O44*CS$6))),"-")</f>
        <v>0.128353034395556</v>
      </c>
      <c r="CT11" s="164" t="n">
        <f aca="false">IF(CT$6&lt;Total_Lanes,900*Peak_Time_Eve*(($CN11/CT$6-1)+SQRT(($CN11/CT$6-1)^2+8*($CN11/CT$6)/(Peak_Time_Eve*$O44*CT$6))),"-")</f>
        <v>0.0853323356293734</v>
      </c>
      <c r="CU11" s="164" t="n">
        <f aca="false">IF(CU$6&lt;Total_Lanes,900*Peak_Time_Eve*(($CN11/CU$6-1)+SQRT(($CN11/CU$6-1)^2+8*($CN11/CU$6)/(Peak_Time_Eve*$O44*CU$6))),"-")</f>
        <v>0.0608395118864014</v>
      </c>
      <c r="CV11" s="164" t="n">
        <f aca="false">IF(CV$6&lt;Total_Lanes,900*Peak_Time_Eve*(($CN11/CV$6-1)+SQRT(($CN11/CV$6-1)^2+8*($CN11/CV$6)/(Peak_Time_Eve*$O44*CV$6))),"-")</f>
        <v>0.0455696942021078</v>
      </c>
      <c r="CW11" s="164" t="n">
        <f aca="false">IF(CW$6&lt;Total_Lanes,900*Peak_Time_Eve*(($CN11/CW$6-1)+SQRT(($CN11/CW$6-1)^2+8*($CN11/CW$6)/(Peak_Time_Eve*$O44*CW$6))),"-")</f>
        <v>0.0354081918491511</v>
      </c>
      <c r="CX11" s="164" t="n">
        <f aca="false">IF(CX$6&lt;Total_Lanes,900*Peak_Time_Eve*(($CN11/CX$6-1)+SQRT(($CN11/CX$6-1)^2+8*($CN11/CX$6)/(Peak_Time_Eve*$O44*CX$6))),"-")</f>
        <v>0.0283048646337214</v>
      </c>
      <c r="CY11" s="164" t="n">
        <f aca="false">IF(CY$6&lt;Total_Lanes,900*Peak_Time_Eve*(($CN11/CY$6-1)+SQRT(($CN11/CY$6-1)^2+8*($CN11/CY$6)/(Peak_Time_Eve*$O44*CY$6))),"-")</f>
        <v>0.0231443441963464</v>
      </c>
      <c r="CZ11" s="165" t="str">
        <f aca="false">IF(CZ$6&lt;Total_Lanes,900*Peak_Time_Eve*(($CN11/CZ$6-1)+SQRT(($CN11/CZ$6-1)^2+8*($CN11/CZ$6)/(Peak_Time_Eve*$O44*CZ$6))),"-")</f>
        <v>-</v>
      </c>
      <c r="DA11" s="165" t="str">
        <f aca="false">IF(DA$6&lt;Total_Lanes,900*Peak_Time_Eve*(($CN11/DA$6-1)+SQRT(($CN11/DA$6-1)^2+8*($CN11/DA$6)/(Peak_Time_Eve*$O44*DA$6))),"-")</f>
        <v>-</v>
      </c>
      <c r="DB11" s="165" t="str">
        <f aca="false">IF(DB$6&lt;Total_Lanes,900*Peak_Time_Eve*(($CN11/DB$6-1)+SQRT(($CN11/DB$6-1)^2+8*($CN11/DB$6)/(Peak_Time_Eve*$O44*DB$6))),"-")</f>
        <v>-</v>
      </c>
      <c r="DC11" s="165" t="str">
        <f aca="false">IF(DC$6&lt;Total_Lanes,900*Peak_Time_Eve*(($CN11/DC$6-1)+SQRT(($CN11/DC$6-1)^2+8*($CN11/DC$6)/(Peak_Time_Eve*$O44*DC$6))),"-")</f>
        <v>-</v>
      </c>
      <c r="DD11" s="165" t="str">
        <f aca="false">IF(DD$6&lt;Total_Lanes,900*Peak_Time_Eve*(($CN11/DD$6-1)+SQRT(($CN11/DD$6-1)^2+8*($CN11/DD$6)/(Peak_Time_Eve*$O44*DD$6))),"-")</f>
        <v>-</v>
      </c>
      <c r="DE11" s="165" t="str">
        <f aca="false">IF(DE$6&lt;Total_Lanes,900*Peak_Time_Eve*(($CN11/DE$6-1)+SQRT(($CN11/DE$6-1)^2+8*($CN11/DE$6)/(Peak_Time_Eve*$O44*DE$6))),"-")</f>
        <v>-</v>
      </c>
      <c r="DF11" s="165" t="str">
        <f aca="false">IF(DF$6&lt;Total_Lanes,900*Peak_Time_Eve*(($CN11/DF$6-1)+SQRT(($CN11/DF$6-1)^2+8*($CN11/DF$6)/(Peak_Time_Eve*$O44*DF$6))),"-")</f>
        <v>-</v>
      </c>
      <c r="DG11" s="165" t="str">
        <f aca="false">IF(DG$6&lt;Total_Lanes,900*Peak_Time_Eve*(($CN11/DG$6-1)+SQRT(($CN11/DG$6-1)^2+8*($CN11/DG$6)/(Peak_Time_Eve*$O44*DG$6))),"-")</f>
        <v>-</v>
      </c>
      <c r="DH11" s="165" t="str">
        <f aca="false">IF(DH$6&lt;Total_Lanes,900*Peak_Time_Eve*(($CN11/DH$6-1)+SQRT(($CN11/DH$6-1)^2+8*($CN11/DH$6)/(Peak_Time_Eve*$O44*DH$6))),"-")</f>
        <v>-</v>
      </c>
      <c r="DI11" s="166" t="str">
        <f aca="false">IF(DI$6&lt;Total_Lanes,900*Peak_Time_Eve*(($CN11/DI$6-1)+SQRT(($CN11/DI$6-1)^2+8*($CN11/DI$6)/(Peak_Time_Eve*$O44*DI$6))),"-")</f>
        <v>-</v>
      </c>
      <c r="DJ11" s="167" t="n">
        <f aca="false">3600/O44</f>
        <v>2.4</v>
      </c>
    </row>
    <row r="12" customFormat="false" ht="12.75" hidden="false" customHeight="false" outlineLevel="0" collapsed="false">
      <c r="H12" s="50" t="n">
        <v>5</v>
      </c>
      <c r="I12" s="124" t="n">
        <f aca="false">'Input-Detail'!E19</f>
        <v>21762129.75</v>
      </c>
      <c r="J12" s="131" t="n">
        <f aca="false">'Input-Detail'!F19</f>
        <v>0.298984514248523</v>
      </c>
      <c r="K12" s="57" t="n">
        <f aca="false">AC12</f>
        <v>6568.86245013652</v>
      </c>
      <c r="L12" s="135" t="n">
        <f aca="false">AD59</f>
        <v>10.8174473241586</v>
      </c>
      <c r="M12" s="150" t="n">
        <f aca="false">AD12</f>
        <v>28.6737476132958</v>
      </c>
      <c r="N12" s="150" t="n">
        <f aca="false">SUM(L12:M12)</f>
        <v>39.4911949374544</v>
      </c>
      <c r="O12" s="154" t="n">
        <f aca="false">$S$34*N12</f>
        <v>10267.7106837381</v>
      </c>
      <c r="P12" s="135" t="n">
        <f aca="false">BC59</f>
        <v>7.96740561366489</v>
      </c>
      <c r="Q12" s="150" t="n">
        <f aca="false">BC12</f>
        <v>29.5434959239831</v>
      </c>
      <c r="R12" s="150" t="n">
        <f aca="false">SUM(P12:Q12)</f>
        <v>37.510901537648</v>
      </c>
      <c r="S12" s="155" t="n">
        <f aca="false">$S$34*R12</f>
        <v>9752.83439978847</v>
      </c>
      <c r="T12" s="1"/>
      <c r="U12" s="1"/>
      <c r="V12" s="50" t="n">
        <v>5</v>
      </c>
      <c r="W12" s="132" t="n">
        <f aca="false">W$7+(W$27-W$7)*$V12/20</f>
        <v>21762129.75</v>
      </c>
      <c r="X12" s="131" t="n">
        <f aca="false">J12</f>
        <v>0.298984514248523</v>
      </c>
      <c r="Y12" s="132" t="n">
        <f aca="false">'Input-Detail'!E19/Z12</f>
        <v>9384.08921448075</v>
      </c>
      <c r="Z12" s="156" t="n">
        <f aca="false">Z11</f>
        <v>2319.04548780488</v>
      </c>
      <c r="AA12" s="156" t="n">
        <f aca="false">AA11</f>
        <v>2</v>
      </c>
      <c r="AB12" s="157" t="n">
        <f aca="false">AB11</f>
        <v>0.7</v>
      </c>
      <c r="AC12" s="57" t="n">
        <f aca="false">Y12*AB12</f>
        <v>6568.86245013652</v>
      </c>
      <c r="AD12" s="135" t="n">
        <f aca="false">Peak_Time_Eve*$BH12*(3600/K45+BK12)/3600</f>
        <v>28.6737476132958</v>
      </c>
      <c r="AE12" s="136" t="n">
        <f aca="false">IF(AE$6&lt;Total_Lanes,($BI12*($CH12+BM12)+$CM12*CO12)*Peak_Time_Eve/3600,"-")</f>
        <v>1248.49802969416</v>
      </c>
      <c r="AF12" s="136" t="n">
        <f aca="false">IF(AF$6&lt;Total_Lanes,($BI12*($CH12+BN12)+$CM12*CP12)*Peak_Time_Eve/3600,"-")</f>
        <v>29.5434959239831</v>
      </c>
      <c r="AG12" s="136" t="n">
        <f aca="false">IF(AG$6&lt;Total_Lanes,($BI12*($CH12+BO12)+$CM12*CQ12)*Peak_Time_Eve/3600,"-")</f>
        <v>51.1363074118178</v>
      </c>
      <c r="AH12" s="136" t="n">
        <f aca="false">IF(AH$6&lt;Total_Lanes,($BI12*($CH12+BP12)+$CM12*CR12)*Peak_Time_Eve/3600,"-")</f>
        <v>678.025061526279</v>
      </c>
      <c r="AI12" s="136" t="n">
        <f aca="false">IF(AI$6&lt;Total_Lanes,($BI12*($CH12+BQ12)+$CM12*CS12)*Peak_Time_Eve/3600,"-")</f>
        <v>2064.98664311314</v>
      </c>
      <c r="AJ12" s="136" t="n">
        <f aca="false">IF(AJ$6&lt;Total_Lanes,($BI12*($CH12+BR12)+$CM12*CT12)*Peak_Time_Eve/3600,"-")</f>
        <v>3935.06137178153</v>
      </c>
      <c r="AK12" s="136" t="n">
        <f aca="false">IF(AK$6&lt;Total_Lanes,($BI12*($CH12+BS12)+$CM12*CU12)*Peak_Time_Eve/3600,"-")</f>
        <v>6557.32677384692</v>
      </c>
      <c r="AL12" s="136" t="n">
        <f aca="false">IF(AL$6&lt;Total_Lanes,($BI12*($CH12+BT12)+$CM12*CV12)*Peak_Time_Eve/3600,"-")</f>
        <v>10492.5205981069</v>
      </c>
      <c r="AM12" s="136" t="n">
        <f aca="false">IF(AM$6&lt;Total_Lanes,($BI12*($CH12+BU12)+$CM12*CW12)*Peak_Time_Eve/3600,"-")</f>
        <v>17052.2828840594</v>
      </c>
      <c r="AN12" s="136" t="n">
        <f aca="false">IF(AN$6&lt;Total_Lanes,($BI12*($CH12+BV12)+$CM12*CX12)*Peak_Time_Eve/3600,"-")</f>
        <v>30172.7085431392</v>
      </c>
      <c r="AO12" s="136" t="n">
        <f aca="false">IF(AO$6&lt;Total_Lanes,($BI12*($CH12+BW12)+$CM12*CY12)*Peak_Time_Eve/3600,"-")</f>
        <v>69535.072366959</v>
      </c>
      <c r="AP12" s="136" t="str">
        <f aca="false">IF(AP$6&lt;Total_Lanes,($BI12*($CH12+BX12)+$CM12*CZ12)*Peak_Time_Eve/3600,"-")</f>
        <v>-</v>
      </c>
      <c r="AQ12" s="136" t="str">
        <f aca="false">IF(AQ$6&lt;Total_Lanes,($BI12*($CH12+BY12)+$CM12*DA12)*Peak_Time_Eve/3600,"-")</f>
        <v>-</v>
      </c>
      <c r="AR12" s="136" t="str">
        <f aca="false">IF(AR$6&lt;Total_Lanes,($BI12*($CH12+BZ12)+$CM12*DB12)*Peak_Time_Eve/3600,"-")</f>
        <v>-</v>
      </c>
      <c r="AS12" s="136" t="str">
        <f aca="false">IF(AS$6&lt;Total_Lanes,($BI12*($CH12+CA12)+$CM12*DC12)*Peak_Time_Eve/3600,"-")</f>
        <v>-</v>
      </c>
      <c r="AT12" s="136" t="str">
        <f aca="false">IF(AT$6&lt;Total_Lanes,($BI12*($CH12+CB12)+$CM12*DD12)*Peak_Time_Eve/3600,"-")</f>
        <v>-</v>
      </c>
      <c r="AU12" s="136" t="str">
        <f aca="false">IF(AU$6&lt;Total_Lanes,($BI12*($CH12+CC12)+$CM12*DE12)*Peak_Time_Eve/3600,"-")</f>
        <v>-</v>
      </c>
      <c r="AV12" s="136" t="str">
        <f aca="false">IF(AV$6&lt;Total_Lanes,($BI12*($CH12+CD12)+$CM12*DF12)*Peak_Time_Eve/3600,"-")</f>
        <v>-</v>
      </c>
      <c r="AW12" s="136" t="str">
        <f aca="false">IF(AW$6&lt;Total_Lanes,($BI12*($CH12+CE12)+$CM12*DG12)*Peak_Time_Eve/3600,"-")</f>
        <v>-</v>
      </c>
      <c r="AX12" s="136" t="str">
        <f aca="false">IF(AX$6&lt;Total_Lanes,($BI12*($CH12+CF12)+$CM12*DH12)*Peak_Time_Eve/3600,"-")</f>
        <v>-</v>
      </c>
      <c r="AY12" s="137" t="str">
        <f aca="false">IF(AY$6&lt;Total_Lanes,($BI12*($CH12+CG12)+$CM12*DI12)*Peak_Time_Eve/3600,"-")</f>
        <v>-</v>
      </c>
      <c r="AZ12" s="158" t="n">
        <f aca="false">SUMIF(AE12:AY12,BA12,$AE$6:$AY$6)</f>
        <v>2</v>
      </c>
      <c r="BA12" s="159" t="n">
        <f aca="false">MIN(AE12:AY12)</f>
        <v>29.5434959239831</v>
      </c>
      <c r="BB12" s="158" t="n">
        <f aca="false">Price!X12</f>
        <v>2</v>
      </c>
      <c r="BC12" s="159" t="n">
        <f aca="false">SUMIF($AE$6:$AY$6,$BB12,$AE12:$AY12)</f>
        <v>29.5434959239831</v>
      </c>
      <c r="BF12" s="50" t="n">
        <v>5</v>
      </c>
      <c r="BG12" s="131" t="n">
        <f aca="false">$X12</f>
        <v>0.298984514248523</v>
      </c>
      <c r="BH12" s="141" t="n">
        <f aca="false">$AC12</f>
        <v>6568.86245013652</v>
      </c>
      <c r="BI12" s="58" t="n">
        <f aca="false">BH12*(1-BG12)</f>
        <v>4604.87430131709</v>
      </c>
      <c r="BJ12" s="143" t="n">
        <f aca="false">Peak_Arrival_Manual/K45</f>
        <v>8.41029125865552</v>
      </c>
      <c r="BK12" s="144" t="n">
        <f aca="false">900*Peak_Time_Eve*(BJ12/Total_Lanes-1+SQRT((BJ12/Total_Lanes-1)^2+8*(BJ12/Total_Lanes)/(Peak_Time_Eve*$K45*Total_Lanes)))</f>
        <v>1.28218168034707</v>
      </c>
      <c r="BL12" s="145" t="n">
        <f aca="false">Peak_Arrival_Manual/N45</f>
        <v>8.5461990071319</v>
      </c>
      <c r="BM12" s="146" t="n">
        <f aca="false">IF(BM$6&lt;Total_Lanes,900*Peak_Time_Eve*(($BL12/(Total_Lanes-BM$6))-1+SQRT((($BL12/(Total_Lanes-BM$6))-1)^2+8*($BL12/(Total_Lanes-BM$6))/(Peak_Time_Eve*$N45*(Total_Lanes-BM$6)))),"-")</f>
        <v>2.10988689482256</v>
      </c>
      <c r="BN12" s="146" t="n">
        <f aca="false">IF(BN$6&lt;Total_Lanes,900*Peak_Time_Eve*(($BL12/(Total_Lanes-BN$6))-1+SQRT((($BL12/(Total_Lanes-BN$6))-1)^2+8*($BL12/(Total_Lanes-BN$6))/(Peak_Time_Eve*$N45*(Total_Lanes-BN$6)))),"-")</f>
        <v>3.89854644973022</v>
      </c>
      <c r="BO12" s="146" t="n">
        <f aca="false">IF(BO$6&lt;Total_Lanes,900*Peak_Time_Eve*(($BL12/(Total_Lanes-BO$6))-1+SQRT((($BL12/(Total_Lanes-BO$6))-1)^2+8*($BL12/(Total_Lanes-BO$6))/(Peak_Time_Eve*$N45*(Total_Lanes-BO$6)))),"-")</f>
        <v>13.043269390641</v>
      </c>
      <c r="BP12" s="146" t="n">
        <f aca="false">IF(BP$6&lt;Total_Lanes,900*Peak_Time_Eve*(($BL12/(Total_Lanes-BP$6))-1+SQRT((($BL12/(Total_Lanes-BP$6))-1)^2+8*($BL12/(Total_Lanes-BP$6))/(Peak_Time_Eve*$N45*(Total_Lanes-BP$6)))),"-")</f>
        <v>258.227556441125</v>
      </c>
      <c r="BQ12" s="146" t="n">
        <f aca="false">IF(BQ$6&lt;Total_Lanes,900*Peak_Time_Eve*(($BL12/(Total_Lanes-BQ$6))-1+SQRT((($BL12/(Total_Lanes-BQ$6))-1)^2+8*($BL12/(Total_Lanes-BQ$6))/(Peak_Time_Eve*$N45*(Total_Lanes-BQ$6)))),"-")</f>
        <v>800.429062455695</v>
      </c>
      <c r="BR12" s="146" t="n">
        <f aca="false">IF(BR$6&lt;Total_Lanes,900*Peak_Time_Eve*(($BL12/(Total_Lanes-BR$6))-1+SQRT((($BL12/(Total_Lanes-BR$6))-1)^2+8*($BL12/(Total_Lanes-BR$6))/(Peak_Time_Eve*$N45*(Total_Lanes-BR$6)))),"-")</f>
        <v>1531.44785588114</v>
      </c>
      <c r="BS12" s="146" t="n">
        <f aca="false">IF(BS$6&lt;Total_Lanes,900*Peak_Time_Eve*(($BL12/(Total_Lanes-BS$6))-1+SQRT((($BL12/(Total_Lanes-BS$6))-1)^2+8*($BL12/(Total_Lanes-BS$6))/(Peak_Time_Eve*$N45*(Total_Lanes-BS$6)))),"-")</f>
        <v>2556.47954324526</v>
      </c>
      <c r="BT12" s="146" t="n">
        <f aca="false">IF(BT$6&lt;Total_Lanes,900*Peak_Time_Eve*(($BL12/(Total_Lanes-BT$6))-1+SQRT((($BL12/(Total_Lanes-BT$6))-1)^2+8*($BL12/(Total_Lanes-BT$6))/(Peak_Time_Eve*$N45*(Total_Lanes-BT$6)))),"-")</f>
        <v>4094.7166472629</v>
      </c>
      <c r="BU12" s="146" t="n">
        <f aca="false">IF(BU$6&lt;Total_Lanes,900*Peak_Time_Eve*(($BL12/(Total_Lanes-BU$6))-1+SQRT((($BL12/(Total_Lanes-BU$6))-1)^2+8*($BL12/(Total_Lanes-BU$6))/(Peak_Time_Eve*$N45*(Total_Lanes-BU$6)))),"-")</f>
        <v>6658.86877806327</v>
      </c>
      <c r="BV12" s="146" t="n">
        <f aca="false">IF(BV$6&lt;Total_Lanes,900*Peak_Time_Eve*(($BL12/(Total_Lanes-BV$6))-1+SQRT((($BL12/(Total_Lanes-BV$6))-1)^2+8*($BL12/(Total_Lanes-BV$6))/(Peak_Time_Eve*$N45*(Total_Lanes-BV$6)))),"-")</f>
        <v>11787.5178552605</v>
      </c>
      <c r="BW12" s="146" t="n">
        <f aca="false">IF(BW$6&lt;Total_Lanes,900*Peak_Time_Eve*(($BL12/(Total_Lanes-BW$6))-1+SQRT((($BL12/(Total_Lanes-BW$6))-1)^2+8*($BL12/(Total_Lanes-BW$6))/(Peak_Time_Eve*$N45*(Total_Lanes-BW$6)))),"-")</f>
        <v>27173.8809488287</v>
      </c>
      <c r="BX12" s="136" t="str">
        <f aca="false">IF(BX$6&lt;Total_Lanes,900*Peak_Time_Eve*(($BL12/(Total_Lanes-BX$6))-1+SQRT((($BL12/(Total_Lanes-BX$6))-1)^2+8*($BL12/(Total_Lanes-BX$6))/(Peak_Time_Eve*$N45*(Total_Lanes-BX$6)))),"-")</f>
        <v>-</v>
      </c>
      <c r="BY12" s="136" t="str">
        <f aca="false">IF(BY$6&lt;Total_Lanes,900*Peak_Time_Eve*(($BL12/(Total_Lanes-BY$6))-1+SQRT((($BL12/(Total_Lanes-BY$6))-1)^2+8*($BL12/(Total_Lanes-BY$6))/(Peak_Time_Eve*$N45*(Total_Lanes-BY$6)))),"-")</f>
        <v>-</v>
      </c>
      <c r="BZ12" s="136" t="str">
        <f aca="false">IF(BZ$6&lt;Total_Lanes,900*Peak_Time_Eve*(($BL12/(Total_Lanes-BZ$6))-1+SQRT((($BL12/(Total_Lanes-BZ$6))-1)^2+8*($BL12/(Total_Lanes-BZ$6))/(Peak_Time_Eve*$N45*(Total_Lanes-BZ$6)))),"-")</f>
        <v>-</v>
      </c>
      <c r="CA12" s="136" t="str">
        <f aca="false">IF(CA$6&lt;Total_Lanes,900*Peak_Time_Eve*(($BL12/(Total_Lanes-CA$6))-1+SQRT((($BL12/(Total_Lanes-CA$6))-1)^2+8*($BL12/(Total_Lanes-CA$6))/(Peak_Time_Eve*$N45*(Total_Lanes-CA$6)))),"-")</f>
        <v>-</v>
      </c>
      <c r="CB12" s="136" t="str">
        <f aca="false">IF(CB$6&lt;Total_Lanes,900*Peak_Time_Eve*(($BL12/(Total_Lanes-CB$6))-1+SQRT((($BL12/(Total_Lanes-CB$6))-1)^2+8*($BL12/(Total_Lanes-CB$6))/(Peak_Time_Eve*$N45*(Total_Lanes-CB$6)))),"-")</f>
        <v>-</v>
      </c>
      <c r="CC12" s="136" t="str">
        <f aca="false">IF(CC$6&lt;Total_Lanes,900*Peak_Time_Eve*(($BL12/(Total_Lanes-CC$6))-1+SQRT((($BL12/(Total_Lanes-CC$6))-1)^2+8*($BL12/(Total_Lanes-CC$6))/(Peak_Time_Eve*$N45*(Total_Lanes-CC$6)))),"-")</f>
        <v>-</v>
      </c>
      <c r="CD12" s="136" t="str">
        <f aca="false">IF(CD$6&lt;Total_Lanes,900*Peak_Time_Eve*(($BL12/(Total_Lanes-CD$6))-1+SQRT((($BL12/(Total_Lanes-CD$6))-1)^2+8*($BL12/(Total_Lanes-CD$6))/(Peak_Time_Eve*$N45*(Total_Lanes-CD$6)))),"-")</f>
        <v>-</v>
      </c>
      <c r="CE12" s="136" t="str">
        <f aca="false">IF(CE$6&lt;Total_Lanes,900*Peak_Time_Eve*(($BL12/(Total_Lanes-CE$6))-1+SQRT((($BL12/(Total_Lanes-CE$6))-1)^2+8*($BL12/(Total_Lanes-CE$6))/(Peak_Time_Eve*$N45*(Total_Lanes-CE$6)))),"-")</f>
        <v>-</v>
      </c>
      <c r="CF12" s="136" t="str">
        <f aca="false">IF(CF$6&lt;Total_Lanes,900*Peak_Time_Eve*(($BL12/(Total_Lanes-CF$6))-1+SQRT((($BL12/(Total_Lanes-CF$6))-1)^2+8*($BL12/(Total_Lanes-CF$6))/(Peak_Time_Eve*$N45*(Total_Lanes-CF$6)))),"-")</f>
        <v>-</v>
      </c>
      <c r="CG12" s="147" t="str">
        <f aca="false">IF(CG$6&lt;Total_Lanes,900*Peak_Time_Eve*(($BL12/(Total_Lanes-CG$6))-1+SQRT((($BL12/(Total_Lanes-CG$6))-1)^2+8*($BL12/(Total_Lanes-CG$6))/(Peak_Time_Eve*$N45*(Total_Lanes-CG$6)))),"-")</f>
        <v>-</v>
      </c>
      <c r="CH12" s="160" t="n">
        <f aca="false">3600/N45</f>
        <v>6.68125</v>
      </c>
      <c r="CJ12" s="50" t="n">
        <v>5</v>
      </c>
      <c r="CK12" s="131" t="n">
        <f aca="false">$X12</f>
        <v>0.298984514248523</v>
      </c>
      <c r="CL12" s="57" t="n">
        <f aca="false">$AC12</f>
        <v>6568.86245013652</v>
      </c>
      <c r="CM12" s="135" t="n">
        <f aca="false">CL12*CK12</f>
        <v>1963.98814881943</v>
      </c>
      <c r="CN12" s="161" t="n">
        <f aca="false">CM12/O44</f>
        <v>1.30932543254629</v>
      </c>
      <c r="CO12" s="146" t="n">
        <f aca="false">IF(CO$6&lt;Total_Lanes,900*Peak_Time_Eve*(($CN12/CO$6-1)+SQRT(($CN12/CO$6-1)^2+8*($CN12/CO$6)/(Peak_Time_Eve*$O45*CO$6))),"-")</f>
        <v>1123.63935312425</v>
      </c>
      <c r="CP12" s="164" t="n">
        <f aca="false">IF(CP$6&lt;Total_Lanes,900*Peak_Time_Eve*(($CN12/CP$6-1)+SQRT(($CN12/CP$6-1)^2+8*($CN12/CP$6)/(Peak_Time_Eve*$O45*CP$6))),"-")</f>
        <v>2.27071628783593</v>
      </c>
      <c r="CQ12" s="164" t="n">
        <f aca="false">IF(CQ$6&lt;Total_Lanes,900*Peak_Time_Eve*(($CN12/CQ$6-1)+SQRT(($CN12/CQ$6-1)^2+8*($CN12/CQ$6)/(Peak_Time_Eve*$O45*CQ$6))),"-")</f>
        <v>0.619362644428345</v>
      </c>
      <c r="CR12" s="164" t="n">
        <f aca="false">IF(CR$6&lt;Total_Lanes,900*Peak_Time_Eve*(($CN12/CR$6-1)+SQRT(($CN12/CR$6-1)^2+8*($CN12/CR$6)/(Peak_Time_Eve*$O45*CR$6))),"-")</f>
        <v>0.291934436735697</v>
      </c>
      <c r="CS12" s="164" t="n">
        <f aca="false">IF(CS$6&lt;Total_Lanes,900*Peak_Time_Eve*(($CN12/CS$6-1)+SQRT(($CN12/CS$6-1)^2+8*($CN12/CS$6)/(Peak_Time_Eve*$O45*CS$6))),"-")</f>
        <v>0.170276714045192</v>
      </c>
      <c r="CT12" s="164" t="n">
        <f aca="false">IF(CT$6&lt;Total_Lanes,900*Peak_Time_Eve*(($CN12/CT$6-1)+SQRT(($CN12/CT$6-1)^2+8*($CN12/CT$6)/(Peak_Time_Eve*$O45*CT$6))),"-")</f>
        <v>0.111649058069019</v>
      </c>
      <c r="CU12" s="164" t="n">
        <f aca="false">IF(CU$6&lt;Total_Lanes,900*Peak_Time_Eve*(($CN12/CU$6-1)+SQRT(($CN12/CU$6-1)^2+8*($CN12/CU$6)/(Peak_Time_Eve*$O45*CU$6))),"-")</f>
        <v>0.0788833506617293</v>
      </c>
      <c r="CV12" s="164" t="n">
        <f aca="false">IF(CV$6&lt;Total_Lanes,900*Peak_Time_Eve*(($CN12/CV$6-1)+SQRT(($CN12/CV$6-1)^2+8*($CN12/CV$6)/(Peak_Time_Eve*$O45*CV$6))),"-")</f>
        <v>0.0587070805592838</v>
      </c>
      <c r="CW12" s="164" t="n">
        <f aca="false">IF(CW$6&lt;Total_Lanes,900*Peak_Time_Eve*(($CN12/CW$6-1)+SQRT(($CN12/CW$6-1)^2+8*($CN12/CW$6)/(Peak_Time_Eve*$O45*CW$6))),"-")</f>
        <v>0.0453989169561631</v>
      </c>
      <c r="CX12" s="164" t="n">
        <f aca="false">IF(CX$6&lt;Total_Lanes,900*Peak_Time_Eve*(($CN12/CX$6-1)+SQRT(($CN12/CX$6-1)^2+8*($CN12/CX$6)/(Peak_Time_Eve*$O45*CX$6))),"-")</f>
        <v>0.0361576618444159</v>
      </c>
      <c r="CY12" s="164" t="n">
        <f aca="false">IF(CY$6&lt;Total_Lanes,900*Peak_Time_Eve*(($CN12/CY$6-1)+SQRT(($CN12/CY$6-1)^2+8*($CN12/CY$6)/(Peak_Time_Eve*$O45*CY$6))),"-")</f>
        <v>0.0294786855361995</v>
      </c>
      <c r="CZ12" s="165" t="str">
        <f aca="false">IF(CZ$6&lt;Total_Lanes,900*Peak_Time_Eve*(($CN12/CZ$6-1)+SQRT(($CN12/CZ$6-1)^2+8*($CN12/CZ$6)/(Peak_Time_Eve*$O45*CZ$6))),"-")</f>
        <v>-</v>
      </c>
      <c r="DA12" s="165" t="str">
        <f aca="false">IF(DA$6&lt;Total_Lanes,900*Peak_Time_Eve*(($CN12/DA$6-1)+SQRT(($CN12/DA$6-1)^2+8*($CN12/DA$6)/(Peak_Time_Eve*$O45*DA$6))),"-")</f>
        <v>-</v>
      </c>
      <c r="DB12" s="165" t="str">
        <f aca="false">IF(DB$6&lt;Total_Lanes,900*Peak_Time_Eve*(($CN12/DB$6-1)+SQRT(($CN12/DB$6-1)^2+8*($CN12/DB$6)/(Peak_Time_Eve*$O45*DB$6))),"-")</f>
        <v>-</v>
      </c>
      <c r="DC12" s="165" t="str">
        <f aca="false">IF(DC$6&lt;Total_Lanes,900*Peak_Time_Eve*(($CN12/DC$6-1)+SQRT(($CN12/DC$6-1)^2+8*($CN12/DC$6)/(Peak_Time_Eve*$O45*DC$6))),"-")</f>
        <v>-</v>
      </c>
      <c r="DD12" s="165" t="str">
        <f aca="false">IF(DD$6&lt;Total_Lanes,900*Peak_Time_Eve*(($CN12/DD$6-1)+SQRT(($CN12/DD$6-1)^2+8*($CN12/DD$6)/(Peak_Time_Eve*$O45*DD$6))),"-")</f>
        <v>-</v>
      </c>
      <c r="DE12" s="165" t="str">
        <f aca="false">IF(DE$6&lt;Total_Lanes,900*Peak_Time_Eve*(($CN12/DE$6-1)+SQRT(($CN12/DE$6-1)^2+8*($CN12/DE$6)/(Peak_Time_Eve*$O45*DE$6))),"-")</f>
        <v>-</v>
      </c>
      <c r="DF12" s="165" t="str">
        <f aca="false">IF(DF$6&lt;Total_Lanes,900*Peak_Time_Eve*(($CN12/DF$6-1)+SQRT(($CN12/DF$6-1)^2+8*($CN12/DF$6)/(Peak_Time_Eve*$O45*DF$6))),"-")</f>
        <v>-</v>
      </c>
      <c r="DG12" s="165" t="str">
        <f aca="false">IF(DG$6&lt;Total_Lanes,900*Peak_Time_Eve*(($CN12/DG$6-1)+SQRT(($CN12/DG$6-1)^2+8*($CN12/DG$6)/(Peak_Time_Eve*$O45*DG$6))),"-")</f>
        <v>-</v>
      </c>
      <c r="DH12" s="165" t="str">
        <f aca="false">IF(DH$6&lt;Total_Lanes,900*Peak_Time_Eve*(($CN12/DH$6-1)+SQRT(($CN12/DH$6-1)^2+8*($CN12/DH$6)/(Peak_Time_Eve*$O45*DH$6))),"-")</f>
        <v>-</v>
      </c>
      <c r="DI12" s="166" t="str">
        <f aca="false">IF(DI$6&lt;Total_Lanes,900*Peak_Time_Eve*(($CN12/DI$6-1)+SQRT(($CN12/DI$6-1)^2+8*($CN12/DI$6)/(Peak_Time_Eve*$O45*DI$6))),"-")</f>
        <v>-</v>
      </c>
      <c r="DJ12" s="167" t="n">
        <f aca="false">3600/O45</f>
        <v>2.4</v>
      </c>
    </row>
    <row r="13" customFormat="false" ht="12.75" hidden="false" customHeight="false" outlineLevel="0" collapsed="false">
      <c r="H13" s="50" t="n">
        <v>6</v>
      </c>
      <c r="I13" s="124" t="n">
        <f aca="false">'Input-Detail'!E20</f>
        <v>22311321.1</v>
      </c>
      <c r="J13" s="131" t="n">
        <f aca="false">'Input-Detail'!F20</f>
        <v>0.34881248351123</v>
      </c>
      <c r="K13" s="57" t="n">
        <f aca="false">AC13</f>
        <v>6734.63494016383</v>
      </c>
      <c r="L13" s="135" t="n">
        <f aca="false">AD60</f>
        <v>11.0993488029841</v>
      </c>
      <c r="M13" s="150" t="n">
        <f aca="false">AD13</f>
        <v>28.711240507369</v>
      </c>
      <c r="N13" s="150" t="n">
        <f aca="false">SUM(L13:M13)</f>
        <v>39.8105893103531</v>
      </c>
      <c r="O13" s="154" t="n">
        <f aca="false">$S$34*N13</f>
        <v>10350.7532206918</v>
      </c>
      <c r="P13" s="135" t="n">
        <f aca="false">BC60</f>
        <v>7.62206237533371</v>
      </c>
      <c r="Q13" s="150" t="n">
        <f aca="false">BC13</f>
        <v>34.840456501748</v>
      </c>
      <c r="R13" s="150" t="n">
        <f aca="false">SUM(P13:Q13)</f>
        <v>42.4625188770817</v>
      </c>
      <c r="S13" s="155" t="n">
        <f aca="false">$S$34*R13</f>
        <v>11040.2549080412</v>
      </c>
      <c r="T13" s="1"/>
      <c r="U13" s="1"/>
      <c r="V13" s="50" t="n">
        <v>6</v>
      </c>
      <c r="W13" s="132" t="n">
        <f aca="false">W$7+(W$27-W$7)*$V13/20</f>
        <v>22311321.1</v>
      </c>
      <c r="X13" s="131" t="n">
        <f aca="false">J13</f>
        <v>0.34881248351123</v>
      </c>
      <c r="Y13" s="132" t="n">
        <f aca="false">'Input-Detail'!E20/Z13</f>
        <v>9620.9070573769</v>
      </c>
      <c r="Z13" s="156" t="n">
        <f aca="false">Z12</f>
        <v>2319.04548780488</v>
      </c>
      <c r="AA13" s="156" t="n">
        <f aca="false">AA12</f>
        <v>2</v>
      </c>
      <c r="AB13" s="157" t="n">
        <f aca="false">AB12</f>
        <v>0.7</v>
      </c>
      <c r="AC13" s="57" t="n">
        <f aca="false">Y13*AB13</f>
        <v>6734.63494016383</v>
      </c>
      <c r="AD13" s="135" t="n">
        <f aca="false">Peak_Time_Eve*$BH13*(3600/K46+BK13)/3600</f>
        <v>28.711240507369</v>
      </c>
      <c r="AE13" s="136" t="n">
        <f aca="false">IF(AE$6&lt;Total_Lanes,($BI13*($CH13+BM13)+$CM13*CO13)*Peak_Time_Eve/3600,"-")</f>
        <v>2688.83446490521</v>
      </c>
      <c r="AF13" s="136" t="n">
        <f aca="false">IF(AF$6&lt;Total_Lanes,($BI13*($CH13+BN13)+$CM13*CP13)*Peak_Time_Eve/3600,"-")</f>
        <v>29.1846937049058</v>
      </c>
      <c r="AG13" s="136" t="n">
        <f aca="false">IF(AG$6&lt;Total_Lanes,($BI13*($CH13+BO13)+$CM13*CQ13)*Peak_Time_Eve/3600,"-")</f>
        <v>34.840456501748</v>
      </c>
      <c r="AH13" s="136" t="n">
        <f aca="false">IF(AH$6&lt;Total_Lanes,($BI13*($CH13+BP13)+$CM13*CR13)*Peak_Time_Eve/3600,"-")</f>
        <v>269.904916043848</v>
      </c>
      <c r="AI13" s="136" t="n">
        <f aca="false">IF(AI$6&lt;Total_Lanes,($BI13*($CH13+BQ13)+$CM13*CS13)*Peak_Time_Eve/3600,"-")</f>
        <v>1492.49417224254</v>
      </c>
      <c r="AJ13" s="136" t="n">
        <f aca="false">IF(AJ$6&lt;Total_Lanes,($BI13*($CH13+BR13)+$CM13*CT13)*Peak_Time_Eve/3600,"-")</f>
        <v>3191.57435875469</v>
      </c>
      <c r="AK13" s="136" t="n">
        <f aca="false">IF(AK$6&lt;Total_Lanes,($BI13*($CH13+BS13)+$CM13*CU13)*Peak_Time_Eve/3600,"-")</f>
        <v>5576.8701932646</v>
      </c>
      <c r="AL13" s="136" t="n">
        <f aca="false">IF(AL$6&lt;Total_Lanes,($BI13*($CH13+BT13)+$CM13*CV13)*Peak_Time_Eve/3600,"-")</f>
        <v>9157.17469349038</v>
      </c>
      <c r="AM13" s="136" t="n">
        <f aca="false">IF(AM$6&lt;Total_Lanes,($BI13*($CH13+BU13)+$CM13*CW13)*Peak_Time_Eve/3600,"-")</f>
        <v>15125.6810630501</v>
      </c>
      <c r="AN13" s="136" t="n">
        <f aca="false">IF(AN$6&lt;Total_Lanes,($BI13*($CH13+BV13)+$CM13*CX13)*Peak_Time_Eve/3600,"-")</f>
        <v>27063.7243602395</v>
      </c>
      <c r="AO13" s="136" t="n">
        <f aca="false">IF(AO$6&lt;Total_Lanes,($BI13*($CH13+BW13)+$CM13*CY13)*Peak_Time_Eve/3600,"-")</f>
        <v>62879.0547540161</v>
      </c>
      <c r="AP13" s="136" t="str">
        <f aca="false">IF(AP$6&lt;Total_Lanes,($BI13*($CH13+BX13)+$CM13*CZ13)*Peak_Time_Eve/3600,"-")</f>
        <v>-</v>
      </c>
      <c r="AQ13" s="136" t="str">
        <f aca="false">IF(AQ$6&lt;Total_Lanes,($BI13*($CH13+BY13)+$CM13*DA13)*Peak_Time_Eve/3600,"-")</f>
        <v>-</v>
      </c>
      <c r="AR13" s="136" t="str">
        <f aca="false">IF(AR$6&lt;Total_Lanes,($BI13*($CH13+BZ13)+$CM13*DB13)*Peak_Time_Eve/3600,"-")</f>
        <v>-</v>
      </c>
      <c r="AS13" s="136" t="str">
        <f aca="false">IF(AS$6&lt;Total_Lanes,($BI13*($CH13+CA13)+$CM13*DC13)*Peak_Time_Eve/3600,"-")</f>
        <v>-</v>
      </c>
      <c r="AT13" s="136" t="str">
        <f aca="false">IF(AT$6&lt;Total_Lanes,($BI13*($CH13+CB13)+$CM13*DD13)*Peak_Time_Eve/3600,"-")</f>
        <v>-</v>
      </c>
      <c r="AU13" s="136" t="str">
        <f aca="false">IF(AU$6&lt;Total_Lanes,($BI13*($CH13+CC13)+$CM13*DE13)*Peak_Time_Eve/3600,"-")</f>
        <v>-</v>
      </c>
      <c r="AV13" s="136" t="str">
        <f aca="false">IF(AV$6&lt;Total_Lanes,($BI13*($CH13+CD13)+$CM13*DF13)*Peak_Time_Eve/3600,"-")</f>
        <v>-</v>
      </c>
      <c r="AW13" s="136" t="str">
        <f aca="false">IF(AW$6&lt;Total_Lanes,($BI13*($CH13+CE13)+$CM13*DG13)*Peak_Time_Eve/3600,"-")</f>
        <v>-</v>
      </c>
      <c r="AX13" s="136" t="str">
        <f aca="false">IF(AX$6&lt;Total_Lanes,($BI13*($CH13+CF13)+$CM13*DH13)*Peak_Time_Eve/3600,"-")</f>
        <v>-</v>
      </c>
      <c r="AY13" s="137" t="str">
        <f aca="false">IF(AY$6&lt;Total_Lanes,($BI13*($CH13+CG13)+$CM13*DI13)*Peak_Time_Eve/3600,"-")</f>
        <v>-</v>
      </c>
      <c r="AZ13" s="158" t="n">
        <f aca="false">SUMIF(AE13:AY13,BA13,$AE$6:$AY$6)</f>
        <v>2</v>
      </c>
      <c r="BA13" s="159" t="n">
        <f aca="false">MIN(AE13:AY13)</f>
        <v>29.1846937049058</v>
      </c>
      <c r="BB13" s="158" t="n">
        <f aca="false">Price!X13</f>
        <v>3</v>
      </c>
      <c r="BC13" s="159" t="n">
        <f aca="false">SUMIF($AE$6:$AY$6,$BB13,$AE13:$AY13)</f>
        <v>34.840456501748</v>
      </c>
      <c r="BF13" s="50" t="n">
        <v>6</v>
      </c>
      <c r="BG13" s="131" t="n">
        <f aca="false">$X13</f>
        <v>0.34881248351123</v>
      </c>
      <c r="BH13" s="141" t="n">
        <f aca="false">$AC13</f>
        <v>6734.63494016383</v>
      </c>
      <c r="BI13" s="58" t="n">
        <f aca="false">BH13*(1-BG13)</f>
        <v>4385.51020114378</v>
      </c>
      <c r="BJ13" s="143" t="n">
        <f aca="false">Peak_Arrival_Manual/K46</f>
        <v>8.00964710347787</v>
      </c>
      <c r="BK13" s="144" t="n">
        <f aca="false">900*Peak_Time_Eve*(BJ13/Total_Lanes-1+SQRT((BJ13/Total_Lanes-1)^2+8*(BJ13/Total_Lanes)/(Peak_Time_Eve*$K46*Total_Lanes)))</f>
        <v>1.09879870957148</v>
      </c>
      <c r="BL13" s="145" t="n">
        <f aca="false">Peak_Arrival_Manual/N46</f>
        <v>8.16496725643505</v>
      </c>
      <c r="BM13" s="146" t="n">
        <f aca="false">IF(BM$6&lt;Total_Lanes,900*Peak_Time_Eve*(($BL13/(Total_Lanes-BM$6))-1+SQRT((($BL13/(Total_Lanes-BM$6))-1)^2+8*($BL13/(Total_Lanes-BM$6))/(Peak_Time_Eve*$N46*(Total_Lanes-BM$6)))),"-")</f>
        <v>1.75154549455361</v>
      </c>
      <c r="BN13" s="146" t="n">
        <f aca="false">IF(BN$6&lt;Total_Lanes,900*Peak_Time_Eve*(($BL13/(Total_Lanes-BN$6))-1+SQRT((($BL13/(Total_Lanes-BN$6))-1)^2+8*($BL13/(Total_Lanes-BN$6))/(Peak_Time_Eve*$N46*(Total_Lanes-BN$6)))),"-")</f>
        <v>2.96893037379586</v>
      </c>
      <c r="BO13" s="146" t="n">
        <f aca="false">IF(BO$6&lt;Total_Lanes,900*Peak_Time_Eve*(($BL13/(Total_Lanes-BO$6))-1+SQRT((($BL13/(Total_Lanes-BO$6))-1)^2+8*($BL13/(Total_Lanes-BO$6))/(Peak_Time_Eve*$N46*(Total_Lanes-BO$6)))),"-")</f>
        <v>7.12972073383688</v>
      </c>
      <c r="BP13" s="146" t="n">
        <f aca="false">IF(BP$6&lt;Total_Lanes,900*Peak_Time_Eve*(($BL13/(Total_Lanes-BP$6))-1+SQRT((($BL13/(Total_Lanes-BP$6))-1)^2+8*($BL13/(Total_Lanes-BP$6))/(Peak_Time_Eve*$N46*(Total_Lanes-BP$6)))),"-")</f>
        <v>103.871201069806</v>
      </c>
      <c r="BQ13" s="146" t="n">
        <f aca="false">IF(BQ$6&lt;Total_Lanes,900*Peak_Time_Eve*(($BL13/(Total_Lanes-BQ$6))-1+SQRT((($BL13/(Total_Lanes-BQ$6))-1)^2+8*($BL13/(Total_Lanes-BQ$6))/(Peak_Time_Eve*$N46*(Total_Lanes-BQ$6)))),"-")</f>
        <v>605.763367062739</v>
      </c>
      <c r="BR13" s="146" t="n">
        <f aca="false">IF(BR$6&lt;Total_Lanes,900*Peak_Time_Eve*(($BL13/(Total_Lanes-BR$6))-1+SQRT((($BL13/(Total_Lanes-BR$6))-1)^2+8*($BL13/(Total_Lanes-BR$6))/(Peak_Time_Eve*$N46*(Total_Lanes-BR$6)))),"-")</f>
        <v>1303.17975098907</v>
      </c>
      <c r="BS13" s="146" t="n">
        <f aca="false">IF(BS$6&lt;Total_Lanes,900*Peak_Time_Eve*(($BL13/(Total_Lanes-BS$6))-1+SQRT((($BL13/(Total_Lanes-BS$6))-1)^2+8*($BL13/(Total_Lanes-BS$6))/(Peak_Time_Eve*$N46*(Total_Lanes-BS$6)))),"-")</f>
        <v>2282.22940783036</v>
      </c>
      <c r="BT13" s="146" t="n">
        <f aca="false">IF(BT$6&lt;Total_Lanes,900*Peak_Time_Eve*(($BL13/(Total_Lanes-BT$6))-1+SQRT((($BL13/(Total_Lanes-BT$6))-1)^2+8*($BL13/(Total_Lanes-BT$6))/(Peak_Time_Eve*$N46*(Total_Lanes-BT$6)))),"-")</f>
        <v>3751.75253854836</v>
      </c>
      <c r="BU13" s="146" t="n">
        <f aca="false">IF(BU$6&lt;Total_Lanes,900*Peak_Time_Eve*(($BL13/(Total_Lanes-BU$6))-1+SQRT((($BL13/(Total_Lanes-BU$6))-1)^2+8*($BL13/(Total_Lanes-BU$6))/(Peak_Time_Eve*$N46*(Total_Lanes-BU$6)))),"-")</f>
        <v>6201.49054898226</v>
      </c>
      <c r="BV13" s="146" t="n">
        <f aca="false">IF(BV$6&lt;Total_Lanes,900*Peak_Time_Eve*(($BL13/(Total_Lanes-BV$6))-1+SQRT((($BL13/(Total_Lanes-BV$6))-1)^2+8*($BL13/(Total_Lanes-BV$6))/(Peak_Time_Eve*$N46*(Total_Lanes-BV$6)))),"-")</f>
        <v>11101.3777292593</v>
      </c>
      <c r="BW13" s="146" t="n">
        <f aca="false">IF(BW$6&lt;Total_Lanes,900*Peak_Time_Eve*(($BL13/(Total_Lanes-BW$6))-1+SQRT((($BL13/(Total_Lanes-BW$6))-1)^2+8*($BL13/(Total_Lanes-BW$6))/(Peak_Time_Eve*$N46*(Total_Lanes-BW$6)))),"-")</f>
        <v>25801.5178171717</v>
      </c>
      <c r="BX13" s="136" t="str">
        <f aca="false">IF(BX$6&lt;Total_Lanes,900*Peak_Time_Eve*(($BL13/(Total_Lanes-BX$6))-1+SQRT((($BL13/(Total_Lanes-BX$6))-1)^2+8*($BL13/(Total_Lanes-BX$6))/(Peak_Time_Eve*$N46*(Total_Lanes-BX$6)))),"-")</f>
        <v>-</v>
      </c>
      <c r="BY13" s="136" t="str">
        <f aca="false">IF(BY$6&lt;Total_Lanes,900*Peak_Time_Eve*(($BL13/(Total_Lanes-BY$6))-1+SQRT((($BL13/(Total_Lanes-BY$6))-1)^2+8*($BL13/(Total_Lanes-BY$6))/(Peak_Time_Eve*$N46*(Total_Lanes-BY$6)))),"-")</f>
        <v>-</v>
      </c>
      <c r="BZ13" s="136" t="str">
        <f aca="false">IF(BZ$6&lt;Total_Lanes,900*Peak_Time_Eve*(($BL13/(Total_Lanes-BZ$6))-1+SQRT((($BL13/(Total_Lanes-BZ$6))-1)^2+8*($BL13/(Total_Lanes-BZ$6))/(Peak_Time_Eve*$N46*(Total_Lanes-BZ$6)))),"-")</f>
        <v>-</v>
      </c>
      <c r="CA13" s="136" t="str">
        <f aca="false">IF(CA$6&lt;Total_Lanes,900*Peak_Time_Eve*(($BL13/(Total_Lanes-CA$6))-1+SQRT((($BL13/(Total_Lanes-CA$6))-1)^2+8*($BL13/(Total_Lanes-CA$6))/(Peak_Time_Eve*$N46*(Total_Lanes-CA$6)))),"-")</f>
        <v>-</v>
      </c>
      <c r="CB13" s="136" t="str">
        <f aca="false">IF(CB$6&lt;Total_Lanes,900*Peak_Time_Eve*(($BL13/(Total_Lanes-CB$6))-1+SQRT((($BL13/(Total_Lanes-CB$6))-1)^2+8*($BL13/(Total_Lanes-CB$6))/(Peak_Time_Eve*$N46*(Total_Lanes-CB$6)))),"-")</f>
        <v>-</v>
      </c>
      <c r="CC13" s="136" t="str">
        <f aca="false">IF(CC$6&lt;Total_Lanes,900*Peak_Time_Eve*(($BL13/(Total_Lanes-CC$6))-1+SQRT((($BL13/(Total_Lanes-CC$6))-1)^2+8*($BL13/(Total_Lanes-CC$6))/(Peak_Time_Eve*$N46*(Total_Lanes-CC$6)))),"-")</f>
        <v>-</v>
      </c>
      <c r="CD13" s="136" t="str">
        <f aca="false">IF(CD$6&lt;Total_Lanes,900*Peak_Time_Eve*(($BL13/(Total_Lanes-CD$6))-1+SQRT((($BL13/(Total_Lanes-CD$6))-1)^2+8*($BL13/(Total_Lanes-CD$6))/(Peak_Time_Eve*$N46*(Total_Lanes-CD$6)))),"-")</f>
        <v>-</v>
      </c>
      <c r="CE13" s="136" t="str">
        <f aca="false">IF(CE$6&lt;Total_Lanes,900*Peak_Time_Eve*(($BL13/(Total_Lanes-CE$6))-1+SQRT((($BL13/(Total_Lanes-CE$6))-1)^2+8*($BL13/(Total_Lanes-CE$6))/(Peak_Time_Eve*$N46*(Total_Lanes-CE$6)))),"-")</f>
        <v>-</v>
      </c>
      <c r="CF13" s="136" t="str">
        <f aca="false">IF(CF$6&lt;Total_Lanes,900*Peak_Time_Eve*(($BL13/(Total_Lanes-CF$6))-1+SQRT((($BL13/(Total_Lanes-CF$6))-1)^2+8*($BL13/(Total_Lanes-CF$6))/(Peak_Time_Eve*$N46*(Total_Lanes-CF$6)))),"-")</f>
        <v>-</v>
      </c>
      <c r="CG13" s="147" t="str">
        <f aca="false">IF(CG$6&lt;Total_Lanes,900*Peak_Time_Eve*(($BL13/(Total_Lanes-CG$6))-1+SQRT((($BL13/(Total_Lanes-CG$6))-1)^2+8*($BL13/(Total_Lanes-CG$6))/(Peak_Time_Eve*$N46*(Total_Lanes-CG$6)))),"-")</f>
        <v>-</v>
      </c>
      <c r="CH13" s="160" t="n">
        <f aca="false">3600/N46</f>
        <v>6.7025</v>
      </c>
      <c r="CJ13" s="50" t="n">
        <v>6</v>
      </c>
      <c r="CK13" s="131" t="n">
        <f aca="false">$X13</f>
        <v>0.34881248351123</v>
      </c>
      <c r="CL13" s="57" t="n">
        <f aca="false">$AC13</f>
        <v>6734.63494016383</v>
      </c>
      <c r="CM13" s="135" t="n">
        <f aca="false">CL13*CK13</f>
        <v>2349.12473902005</v>
      </c>
      <c r="CN13" s="161" t="n">
        <f aca="false">CM13/O45</f>
        <v>1.5660831593467</v>
      </c>
      <c r="CO13" s="146" t="n">
        <f aca="false">IF(CO$6&lt;Total_Lanes,900*Peak_Time_Eve*(($CN13/CO$6-1)+SQRT(($CN13/CO$6-1)^2+8*($CN13/CO$6)/(Peak_Time_Eve*$O46*CO$6))),"-")</f>
        <v>2044.51754063754</v>
      </c>
      <c r="CP13" s="164" t="n">
        <f aca="false">IF(CP$6&lt;Total_Lanes,900*Peak_Time_Eve*(($CN13/CP$6-1)+SQRT(($CN13/CP$6-1)^2+8*($CN13/CP$6)/(Peak_Time_Eve*$O46*CP$6))),"-")</f>
        <v>4.3072604603865</v>
      </c>
      <c r="CQ13" s="164" t="n">
        <f aca="false">IF(CQ$6&lt;Total_Lanes,900*Peak_Time_Eve*(($CN13/CQ$6-1)+SQRT(($CN13/CQ$6-1)^2+8*($CN13/CQ$6)/(Peak_Time_Eve*$O46*CQ$6))),"-")</f>
        <v>0.873294013023751</v>
      </c>
      <c r="CR13" s="164" t="n">
        <f aca="false">IF(CR$6&lt;Total_Lanes,900*Peak_Time_Eve*(($CN13/CR$6-1)+SQRT(($CN13/CR$6-1)^2+8*($CN13/CR$6)/(Peak_Time_Eve*$O46*CR$6))),"-")</f>
        <v>0.385996896634566</v>
      </c>
      <c r="CS13" s="164" t="n">
        <f aca="false">IF(CS$6&lt;Total_Lanes,900*Peak_Time_Eve*(($CN13/CS$6-1)+SQRT(($CN13/CS$6-1)^2+8*($CN13/CS$6)/(Peak_Time_Eve*$O46*CS$6))),"-")</f>
        <v>0.218890964801766</v>
      </c>
      <c r="CT13" s="164" t="n">
        <f aca="false">IF(CT$6&lt;Total_Lanes,900*Peak_Time_Eve*(($CN13/CT$6-1)+SQRT(($CN13/CT$6-1)^2+8*($CN13/CT$6)/(Peak_Time_Eve*$O46*CT$6))),"-")</f>
        <v>0.141274638664535</v>
      </c>
      <c r="CU13" s="164" t="n">
        <f aca="false">IF(CU$6&lt;Total_Lanes,900*Peak_Time_Eve*(($CN13/CU$6-1)+SQRT(($CN13/CU$6-1)^2+8*($CN13/CU$6)/(Peak_Time_Eve*$O46*CU$6))),"-")</f>
        <v>0.0988097221437778</v>
      </c>
      <c r="CV13" s="164" t="n">
        <f aca="false">IF(CV$6&lt;Total_Lanes,900*Peak_Time_Eve*(($CN13/CV$6-1)+SQRT(($CN13/CV$6-1)^2+8*($CN13/CV$6)/(Peak_Time_Eve*$O46*CV$6))),"-")</f>
        <v>0.0730213197184693</v>
      </c>
      <c r="CW13" s="164" t="n">
        <f aca="false">IF(CW$6&lt;Total_Lanes,900*Peak_Time_Eve*(($CN13/CW$6-1)+SQRT(($CN13/CW$6-1)^2+8*($CN13/CW$6)/(Peak_Time_Eve*$O46*CW$6))),"-")</f>
        <v>0.0561768842955779</v>
      </c>
      <c r="CX13" s="164" t="n">
        <f aca="false">IF(CX$6&lt;Total_Lanes,900*Peak_Time_Eve*(($CN13/CX$6-1)+SQRT(($CN13/CX$6-1)^2+8*($CN13/CX$6)/(Peak_Time_Eve*$O46*CX$6))),"-")</f>
        <v>0.0445646368891328</v>
      </c>
      <c r="CY13" s="164" t="n">
        <f aca="false">IF(CY$6&lt;Total_Lanes,900*Peak_Time_Eve*(($CN13/CY$6-1)+SQRT(($CN13/CY$6-1)^2+8*($CN13/CY$6)/(Peak_Time_Eve*$O46*CY$6))),"-")</f>
        <v>0.0362189818478909</v>
      </c>
      <c r="CZ13" s="165" t="str">
        <f aca="false">IF(CZ$6&lt;Total_Lanes,900*Peak_Time_Eve*(($CN13/CZ$6-1)+SQRT(($CN13/CZ$6-1)^2+8*($CN13/CZ$6)/(Peak_Time_Eve*$O46*CZ$6))),"-")</f>
        <v>-</v>
      </c>
      <c r="DA13" s="165" t="str">
        <f aca="false">IF(DA$6&lt;Total_Lanes,900*Peak_Time_Eve*(($CN13/DA$6-1)+SQRT(($CN13/DA$6-1)^2+8*($CN13/DA$6)/(Peak_Time_Eve*$O46*DA$6))),"-")</f>
        <v>-</v>
      </c>
      <c r="DB13" s="165" t="str">
        <f aca="false">IF(DB$6&lt;Total_Lanes,900*Peak_Time_Eve*(($CN13/DB$6-1)+SQRT(($CN13/DB$6-1)^2+8*($CN13/DB$6)/(Peak_Time_Eve*$O46*DB$6))),"-")</f>
        <v>-</v>
      </c>
      <c r="DC13" s="165" t="str">
        <f aca="false">IF(DC$6&lt;Total_Lanes,900*Peak_Time_Eve*(($CN13/DC$6-1)+SQRT(($CN13/DC$6-1)^2+8*($CN13/DC$6)/(Peak_Time_Eve*$O46*DC$6))),"-")</f>
        <v>-</v>
      </c>
      <c r="DD13" s="165" t="str">
        <f aca="false">IF(DD$6&lt;Total_Lanes,900*Peak_Time_Eve*(($CN13/DD$6-1)+SQRT(($CN13/DD$6-1)^2+8*($CN13/DD$6)/(Peak_Time_Eve*$O46*DD$6))),"-")</f>
        <v>-</v>
      </c>
      <c r="DE13" s="165" t="str">
        <f aca="false">IF(DE$6&lt;Total_Lanes,900*Peak_Time_Eve*(($CN13/DE$6-1)+SQRT(($CN13/DE$6-1)^2+8*($CN13/DE$6)/(Peak_Time_Eve*$O46*DE$6))),"-")</f>
        <v>-</v>
      </c>
      <c r="DF13" s="165" t="str">
        <f aca="false">IF(DF$6&lt;Total_Lanes,900*Peak_Time_Eve*(($CN13/DF$6-1)+SQRT(($CN13/DF$6-1)^2+8*($CN13/DF$6)/(Peak_Time_Eve*$O46*DF$6))),"-")</f>
        <v>-</v>
      </c>
      <c r="DG13" s="165" t="str">
        <f aca="false">IF(DG$6&lt;Total_Lanes,900*Peak_Time_Eve*(($CN13/DG$6-1)+SQRT(($CN13/DG$6-1)^2+8*($CN13/DG$6)/(Peak_Time_Eve*$O46*DG$6))),"-")</f>
        <v>-</v>
      </c>
      <c r="DH13" s="165" t="str">
        <f aca="false">IF(DH$6&lt;Total_Lanes,900*Peak_Time_Eve*(($CN13/DH$6-1)+SQRT(($CN13/DH$6-1)^2+8*($CN13/DH$6)/(Peak_Time_Eve*$O46*DH$6))),"-")</f>
        <v>-</v>
      </c>
      <c r="DI13" s="166" t="str">
        <f aca="false">IF(DI$6&lt;Total_Lanes,900*Peak_Time_Eve*(($CN13/DI$6-1)+SQRT(($CN13/DI$6-1)^2+8*($CN13/DI$6)/(Peak_Time_Eve*$O46*DI$6))),"-")</f>
        <v>-</v>
      </c>
      <c r="DJ13" s="167" t="n">
        <f aca="false">3600/O46</f>
        <v>2.4</v>
      </c>
    </row>
    <row r="14" customFormat="false" ht="12.75" hidden="false" customHeight="false" outlineLevel="0" collapsed="false">
      <c r="H14" s="50" t="n">
        <v>7</v>
      </c>
      <c r="I14" s="124" t="n">
        <f aca="false">'Input-Detail'!E21</f>
        <v>22860512.45</v>
      </c>
      <c r="J14" s="131" t="n">
        <f aca="false">'Input-Detail'!F21</f>
        <v>0.39671513105108</v>
      </c>
      <c r="K14" s="57" t="n">
        <f aca="false">AC14</f>
        <v>6900.40743019113</v>
      </c>
      <c r="L14" s="135" t="n">
        <f aca="false">AD61</f>
        <v>11.382343685863</v>
      </c>
      <c r="M14" s="150" t="n">
        <f aca="false">AD14</f>
        <v>28.8351690017176</v>
      </c>
      <c r="N14" s="150" t="n">
        <f aca="false">SUM(L14:M14)</f>
        <v>40.2175126875806</v>
      </c>
      <c r="O14" s="154" t="n">
        <f aca="false">$S$34*N14</f>
        <v>10456.553298771</v>
      </c>
      <c r="P14" s="135" t="n">
        <f aca="false">BC61</f>
        <v>7.28349845294071</v>
      </c>
      <c r="Q14" s="150" t="n">
        <f aca="false">BC14</f>
        <v>28.3014374826976</v>
      </c>
      <c r="R14" s="150" t="n">
        <f aca="false">SUM(P14:Q14)</f>
        <v>35.5849359356383</v>
      </c>
      <c r="S14" s="155" t="n">
        <f aca="false">$S$34*R14</f>
        <v>9252.08334326596</v>
      </c>
      <c r="T14" s="1"/>
      <c r="U14" s="1"/>
      <c r="V14" s="50" t="n">
        <v>7</v>
      </c>
      <c r="W14" s="132" t="n">
        <f aca="false">W$7+(W$27-W$7)*$V14/20</f>
        <v>22860512.45</v>
      </c>
      <c r="X14" s="131" t="n">
        <f aca="false">J14</f>
        <v>0.39671513105108</v>
      </c>
      <c r="Y14" s="132" t="n">
        <f aca="false">'Input-Detail'!E21/Z14</f>
        <v>9857.72490027305</v>
      </c>
      <c r="Z14" s="156" t="n">
        <f aca="false">Z13</f>
        <v>2319.04548780488</v>
      </c>
      <c r="AA14" s="156" t="n">
        <f aca="false">AA13</f>
        <v>2</v>
      </c>
      <c r="AB14" s="157" t="n">
        <f aca="false">AB13</f>
        <v>0.7</v>
      </c>
      <c r="AC14" s="57" t="n">
        <f aca="false">Y14*AB14</f>
        <v>6900.40743019113</v>
      </c>
      <c r="AD14" s="135" t="n">
        <f aca="false">Peak_Time_Eve*$BH14*(3600/K47+BK14)/3600</f>
        <v>28.8351690017176</v>
      </c>
      <c r="AE14" s="136" t="n">
        <f aca="false">IF(AE$6&lt;Total_Lanes,($BI14*($CH14+BM14)+$CM14*CO14)*Peak_Time_Eve/3600,"-")</f>
        <v>4543.86759772687</v>
      </c>
      <c r="AF14" s="136" t="n">
        <f aca="false">IF(AF$6&lt;Total_Lanes,($BI14*($CH14+BN14)+$CM14*CP14)*Peak_Time_Eve/3600,"-")</f>
        <v>39.2989549701783</v>
      </c>
      <c r="AG14" s="136" t="n">
        <f aca="false">IF(AG$6&lt;Total_Lanes,($BI14*($CH14+BO14)+$CM14*CQ14)*Peak_Time_Eve/3600,"-")</f>
        <v>28.3014374826976</v>
      </c>
      <c r="AH14" s="136" t="n">
        <f aca="false">IF(AH$6&lt;Total_Lanes,($BI14*($CH14+BP14)+$CM14*CR14)*Peak_Time_Eve/3600,"-")</f>
        <v>70.8224459190912</v>
      </c>
      <c r="AI14" s="136" t="n">
        <f aca="false">IF(AI$6&lt;Total_Lanes,($BI14*($CH14+BQ14)+$CM14*CS14)*Peak_Time_Eve/3600,"-")</f>
        <v>959.650829292206</v>
      </c>
      <c r="AJ14" s="136" t="n">
        <f aca="false">IF(AJ$6&lt;Total_Lanes,($BI14*($CH14+BR14)+$CM14*CT14)*Peak_Time_Eve/3600,"-")</f>
        <v>2490.316770613</v>
      </c>
      <c r="AK14" s="136" t="n">
        <f aca="false">IF(AK$6&lt;Total_Lanes,($BI14*($CH14+BS14)+$CM14*CU14)*Peak_Time_Eve/3600,"-")</f>
        <v>4645.43654513268</v>
      </c>
      <c r="AL14" s="136" t="n">
        <f aca="false">IF(AL$6&lt;Total_Lanes,($BI14*($CH14+BT14)+$CM14*CV14)*Peak_Time_Eve/3600,"-")</f>
        <v>7881.39594876903</v>
      </c>
      <c r="AM14" s="136" t="n">
        <f aca="false">IF(AM$6&lt;Total_Lanes,($BI14*($CH14+BU14)+$CM14*CW14)*Peak_Time_Eve/3600,"-")</f>
        <v>13276.3119672991</v>
      </c>
      <c r="AN14" s="136" t="n">
        <f aca="false">IF(AN$6&lt;Total_Lanes,($BI14*($CH14+BV14)+$CM14*CX14)*Peak_Time_Eve/3600,"-")</f>
        <v>24067.3423428529</v>
      </c>
      <c r="AO14" s="136" t="n">
        <f aca="false">IF(AO$6&lt;Total_Lanes,($BI14*($CH14+BW14)+$CM14*CY14)*Peak_Time_Eve/3600,"-")</f>
        <v>56441.7737070287</v>
      </c>
      <c r="AP14" s="136" t="str">
        <f aca="false">IF(AP$6&lt;Total_Lanes,($BI14*($CH14+BX14)+$CM14*CZ14)*Peak_Time_Eve/3600,"-")</f>
        <v>-</v>
      </c>
      <c r="AQ14" s="136" t="str">
        <f aca="false">IF(AQ$6&lt;Total_Lanes,($BI14*($CH14+BY14)+$CM14*DA14)*Peak_Time_Eve/3600,"-")</f>
        <v>-</v>
      </c>
      <c r="AR14" s="136" t="str">
        <f aca="false">IF(AR$6&lt;Total_Lanes,($BI14*($CH14+BZ14)+$CM14*DB14)*Peak_Time_Eve/3600,"-")</f>
        <v>-</v>
      </c>
      <c r="AS14" s="136" t="str">
        <f aca="false">IF(AS$6&lt;Total_Lanes,($BI14*($CH14+CA14)+$CM14*DC14)*Peak_Time_Eve/3600,"-")</f>
        <v>-</v>
      </c>
      <c r="AT14" s="136" t="str">
        <f aca="false">IF(AT$6&lt;Total_Lanes,($BI14*($CH14+CB14)+$CM14*DD14)*Peak_Time_Eve/3600,"-")</f>
        <v>-</v>
      </c>
      <c r="AU14" s="136" t="str">
        <f aca="false">IF(AU$6&lt;Total_Lanes,($BI14*($CH14+CC14)+$CM14*DE14)*Peak_Time_Eve/3600,"-")</f>
        <v>-</v>
      </c>
      <c r="AV14" s="136" t="str">
        <f aca="false">IF(AV$6&lt;Total_Lanes,($BI14*($CH14+CD14)+$CM14*DF14)*Peak_Time_Eve/3600,"-")</f>
        <v>-</v>
      </c>
      <c r="AW14" s="136" t="str">
        <f aca="false">IF(AW$6&lt;Total_Lanes,($BI14*($CH14+CE14)+$CM14*DG14)*Peak_Time_Eve/3600,"-")</f>
        <v>-</v>
      </c>
      <c r="AX14" s="136" t="str">
        <f aca="false">IF(AX$6&lt;Total_Lanes,($BI14*($CH14+CF14)+$CM14*DH14)*Peak_Time_Eve/3600,"-")</f>
        <v>-</v>
      </c>
      <c r="AY14" s="137" t="str">
        <f aca="false">IF(AY$6&lt;Total_Lanes,($BI14*($CH14+CG14)+$CM14*DI14)*Peak_Time_Eve/3600,"-")</f>
        <v>-</v>
      </c>
      <c r="AZ14" s="158" t="n">
        <f aca="false">SUMIF(AE14:AY14,BA14,$AE$6:$AY$6)</f>
        <v>3</v>
      </c>
      <c r="BA14" s="159" t="n">
        <f aca="false">MIN(AE14:AY14)</f>
        <v>28.3014374826976</v>
      </c>
      <c r="BB14" s="158" t="n">
        <f aca="false">Price!X14</f>
        <v>3</v>
      </c>
      <c r="BC14" s="159" t="n">
        <f aca="false">SUMIF($AE$6:$AY$6,$BB14,$AE14:$AY14)</f>
        <v>28.3014374826976</v>
      </c>
      <c r="BF14" s="50" t="n">
        <v>7</v>
      </c>
      <c r="BG14" s="131" t="n">
        <f aca="false">$X14</f>
        <v>0.39671513105108</v>
      </c>
      <c r="BH14" s="141" t="n">
        <f aca="false">$AC14</f>
        <v>6900.40743019113</v>
      </c>
      <c r="BI14" s="58" t="n">
        <f aca="false">BH14*(1-BG14)</f>
        <v>4162.91139221701</v>
      </c>
      <c r="BJ14" s="143" t="n">
        <f aca="false">Peak_Arrival_Manual/K47</f>
        <v>7.60309511217412</v>
      </c>
      <c r="BK14" s="144" t="n">
        <f aca="false">900*Peak_Time_Eve*(BJ14/Total_Lanes-1+SQRT((BJ14/Total_Lanes-1)^2+8*(BJ14/Total_Lanes)/(Peak_Time_Eve*$K47*Total_Lanes)))</f>
        <v>0.946773855845207</v>
      </c>
      <c r="BL14" s="145" t="n">
        <f aca="false">Peak_Arrival_Manual/N47</f>
        <v>7.77510429817198</v>
      </c>
      <c r="BM14" s="146" t="n">
        <f aca="false">IF(BM$6&lt;Total_Lanes,900*Peak_Time_Eve*(($BL14/(Total_Lanes-BM$6))-1+SQRT((($BL14/(Total_Lanes-BM$6))-1)^2+8*($BL14/(Total_Lanes-BM$6))/(Peak_Time_Eve*$N47*(Total_Lanes-BM$6)))),"-")</f>
        <v>1.4716491223705</v>
      </c>
      <c r="BN14" s="146" t="n">
        <f aca="false">IF(BN$6&lt;Total_Lanes,900*Peak_Time_Eve*(($BL14/(Total_Lanes-BN$6))-1+SQRT((($BL14/(Total_Lanes-BN$6))-1)^2+8*($BL14/(Total_Lanes-BN$6))/(Peak_Time_Eve*$N47*(Total_Lanes-BN$6)))),"-")</f>
        <v>2.3428239868588</v>
      </c>
      <c r="BO14" s="146" t="n">
        <f aca="false">IF(BO$6&lt;Total_Lanes,900*Peak_Time_Eve*(($BL14/(Total_Lanes-BO$6))-1+SQRT((($BL14/(Total_Lanes-BO$6))-1)^2+8*($BL14/(Total_Lanes-BO$6))/(Peak_Time_Eve*$N47*(Total_Lanes-BO$6)))),"-")</f>
        <v>4.69712912893039</v>
      </c>
      <c r="BP14" s="146" t="n">
        <f aca="false">IF(BP$6&lt;Total_Lanes,900*Peak_Time_Eve*(($BL14/(Total_Lanes-BP$6))-1+SQRT((($BL14/(Total_Lanes-BP$6))-1)^2+8*($BL14/(Total_Lanes-BP$6))/(Peak_Time_Eve*$N47*(Total_Lanes-BP$6)))),"-")</f>
        <v>23.5681685762012</v>
      </c>
      <c r="BQ14" s="146" t="n">
        <f aca="false">IF(BQ$6&lt;Total_Lanes,900*Peak_Time_Eve*(($BL14/(Total_Lanes-BQ$6))-1+SQRT((($BL14/(Total_Lanes-BQ$6))-1)^2+8*($BL14/(Total_Lanes-BQ$6))/(Peak_Time_Eve*$N47*(Total_Lanes-BQ$6)))),"-")</f>
        <v>408.037971464044</v>
      </c>
      <c r="BR14" s="146" t="n">
        <f aca="false">IF(BR$6&lt;Total_Lanes,900*Peak_Time_Eve*(($BL14/(Total_Lanes-BR$6))-1+SQRT((($BL14/(Total_Lanes-BR$6))-1)^2+8*($BL14/(Total_Lanes-BR$6))/(Peak_Time_Eve*$N47*(Total_Lanes-BR$6)))),"-")</f>
        <v>1069.94859471582</v>
      </c>
      <c r="BS14" s="146" t="n">
        <f aca="false">IF(BS$6&lt;Total_Lanes,900*Peak_Time_Eve*(($BL14/(Total_Lanes-BS$6))-1+SQRT((($BL14/(Total_Lanes-BS$6))-1)^2+8*($BL14/(Total_Lanes-BS$6))/(Peak_Time_Eve*$N47*(Total_Lanes-BS$6)))),"-")</f>
        <v>2001.83564889701</v>
      </c>
      <c r="BT14" s="146" t="n">
        <f aca="false">IF(BT$6&lt;Total_Lanes,900*Peak_Time_Eve*(($BL14/(Total_Lanes-BT$6))-1+SQRT((($BL14/(Total_Lanes-BT$6))-1)^2+8*($BL14/(Total_Lanes-BT$6))/(Peak_Time_Eve*$N47*(Total_Lanes-BT$6)))),"-")</f>
        <v>3401.05236198885</v>
      </c>
      <c r="BU14" s="146" t="n">
        <f aca="false">IF(BU$6&lt;Total_Lanes,900*Peak_Time_Eve*(($BL14/(Total_Lanes-BU$6))-1+SQRT((($BL14/(Total_Lanes-BU$6))-1)^2+8*($BL14/(Total_Lanes-BU$6))/(Peak_Time_Eve*$N47*(Total_Lanes-BU$6)))),"-")</f>
        <v>5733.7721710441</v>
      </c>
      <c r="BV14" s="146" t="n">
        <f aca="false">IF(BV$6&lt;Total_Lanes,900*Peak_Time_Eve*(($BL14/(Total_Lanes-BV$6))-1+SQRT((($BL14/(Total_Lanes-BV$6))-1)^2+8*($BL14/(Total_Lanes-BV$6))/(Peak_Time_Eve*$N47*(Total_Lanes-BV$6)))),"-")</f>
        <v>10399.7119073973</v>
      </c>
      <c r="BW14" s="146" t="n">
        <f aca="false">IF(BW$6&lt;Total_Lanes,900*Peak_Time_Eve*(($BL14/(Total_Lanes-BW$6))-1+SQRT((($BL14/(Total_Lanes-BW$6))-1)^2+8*($BL14/(Total_Lanes-BW$6))/(Peak_Time_Eve*$N47*(Total_Lanes-BW$6)))),"-")</f>
        <v>24398.0892040115</v>
      </c>
      <c r="BX14" s="136" t="str">
        <f aca="false">IF(BX$6&lt;Total_Lanes,900*Peak_Time_Eve*(($BL14/(Total_Lanes-BX$6))-1+SQRT((($BL14/(Total_Lanes-BX$6))-1)^2+8*($BL14/(Total_Lanes-BX$6))/(Peak_Time_Eve*$N47*(Total_Lanes-BX$6)))),"-")</f>
        <v>-</v>
      </c>
      <c r="BY14" s="136" t="str">
        <f aca="false">IF(BY$6&lt;Total_Lanes,900*Peak_Time_Eve*(($BL14/(Total_Lanes-BY$6))-1+SQRT((($BL14/(Total_Lanes-BY$6))-1)^2+8*($BL14/(Total_Lanes-BY$6))/(Peak_Time_Eve*$N47*(Total_Lanes-BY$6)))),"-")</f>
        <v>-</v>
      </c>
      <c r="BZ14" s="136" t="str">
        <f aca="false">IF(BZ$6&lt;Total_Lanes,900*Peak_Time_Eve*(($BL14/(Total_Lanes-BZ$6))-1+SQRT((($BL14/(Total_Lanes-BZ$6))-1)^2+8*($BL14/(Total_Lanes-BZ$6))/(Peak_Time_Eve*$N47*(Total_Lanes-BZ$6)))),"-")</f>
        <v>-</v>
      </c>
      <c r="CA14" s="136" t="str">
        <f aca="false">IF(CA$6&lt;Total_Lanes,900*Peak_Time_Eve*(($BL14/(Total_Lanes-CA$6))-1+SQRT((($BL14/(Total_Lanes-CA$6))-1)^2+8*($BL14/(Total_Lanes-CA$6))/(Peak_Time_Eve*$N47*(Total_Lanes-CA$6)))),"-")</f>
        <v>-</v>
      </c>
      <c r="CB14" s="136" t="str">
        <f aca="false">IF(CB$6&lt;Total_Lanes,900*Peak_Time_Eve*(($BL14/(Total_Lanes-CB$6))-1+SQRT((($BL14/(Total_Lanes-CB$6))-1)^2+8*($BL14/(Total_Lanes-CB$6))/(Peak_Time_Eve*$N47*(Total_Lanes-CB$6)))),"-")</f>
        <v>-</v>
      </c>
      <c r="CC14" s="136" t="str">
        <f aca="false">IF(CC$6&lt;Total_Lanes,900*Peak_Time_Eve*(($BL14/(Total_Lanes-CC$6))-1+SQRT((($BL14/(Total_Lanes-CC$6))-1)^2+8*($BL14/(Total_Lanes-CC$6))/(Peak_Time_Eve*$N47*(Total_Lanes-CC$6)))),"-")</f>
        <v>-</v>
      </c>
      <c r="CD14" s="136" t="str">
        <f aca="false">IF(CD$6&lt;Total_Lanes,900*Peak_Time_Eve*(($BL14/(Total_Lanes-CD$6))-1+SQRT((($BL14/(Total_Lanes-CD$6))-1)^2+8*($BL14/(Total_Lanes-CD$6))/(Peak_Time_Eve*$N47*(Total_Lanes-CD$6)))),"-")</f>
        <v>-</v>
      </c>
      <c r="CE14" s="136" t="str">
        <f aca="false">IF(CE$6&lt;Total_Lanes,900*Peak_Time_Eve*(($BL14/(Total_Lanes-CE$6))-1+SQRT((($BL14/(Total_Lanes-CE$6))-1)^2+8*($BL14/(Total_Lanes-CE$6))/(Peak_Time_Eve*$N47*(Total_Lanes-CE$6)))),"-")</f>
        <v>-</v>
      </c>
      <c r="CF14" s="136" t="str">
        <f aca="false">IF(CF$6&lt;Total_Lanes,900*Peak_Time_Eve*(($BL14/(Total_Lanes-CF$6))-1+SQRT((($BL14/(Total_Lanes-CF$6))-1)^2+8*($BL14/(Total_Lanes-CF$6))/(Peak_Time_Eve*$N47*(Total_Lanes-CF$6)))),"-")</f>
        <v>-</v>
      </c>
      <c r="CG14" s="147" t="str">
        <f aca="false">IF(CG$6&lt;Total_Lanes,900*Peak_Time_Eve*(($BL14/(Total_Lanes-CG$6))-1+SQRT((($BL14/(Total_Lanes-CG$6))-1)^2+8*($BL14/(Total_Lanes-CG$6))/(Peak_Time_Eve*$N47*(Total_Lanes-CG$6)))),"-")</f>
        <v>-</v>
      </c>
      <c r="CH14" s="160" t="n">
        <f aca="false">3600/N47</f>
        <v>6.72375</v>
      </c>
      <c r="CJ14" s="50" t="n">
        <v>7</v>
      </c>
      <c r="CK14" s="131" t="n">
        <f aca="false">$X14</f>
        <v>0.39671513105108</v>
      </c>
      <c r="CL14" s="57" t="n">
        <f aca="false">$AC14</f>
        <v>6900.40743019113</v>
      </c>
      <c r="CM14" s="135" t="n">
        <f aca="false">CL14*CK14</f>
        <v>2737.49603797412</v>
      </c>
      <c r="CN14" s="161" t="n">
        <f aca="false">CM14/O46</f>
        <v>1.82499735864941</v>
      </c>
      <c r="CO14" s="146" t="n">
        <f aca="false">IF(CO$6&lt;Total_Lanes,900*Peak_Time_Eve*(($CN14/CO$6-1)+SQRT(($CN14/CO$6-1)^2+8*($CN14/CO$6)/(Peak_Time_Eve*$O47*CO$6))),"-")</f>
        <v>2975.29013469026</v>
      </c>
      <c r="CP14" s="164" t="n">
        <f aca="false">IF(CP$6&lt;Total_Lanes,900*Peak_Time_Eve*(($CN14/CP$6-1)+SQRT(($CN14/CP$6-1)^2+8*($CN14/CP$6)/(Peak_Time_Eve*$O47*CP$6))),"-")</f>
        <v>12.0529032189817</v>
      </c>
      <c r="CQ14" s="164" t="n">
        <f aca="false">IF(CQ$6&lt;Total_Lanes,900*Peak_Time_Eve*(($CN14/CQ$6-1)+SQRT(($CN14/CQ$6-1)^2+8*($CN14/CQ$6)/(Peak_Time_Eve*$O47*CQ$6))),"-")</f>
        <v>1.2414555443203</v>
      </c>
      <c r="CR14" s="164" t="n">
        <f aca="false">IF(CR$6&lt;Total_Lanes,900*Peak_Time_Eve*(($CN14/CR$6-1)+SQRT(($CN14/CR$6-1)^2+8*($CN14/CR$6)/(Peak_Time_Eve*$O47*CR$6))),"-")</f>
        <v>0.503317521659663</v>
      </c>
      <c r="CS14" s="164" t="n">
        <f aca="false">IF(CS$6&lt;Total_Lanes,900*Peak_Time_Eve*(($CN14/CS$6-1)+SQRT(($CN14/CS$6-1)^2+8*($CN14/CS$6)/(Peak_Time_Eve*$O47*CS$6))),"-")</f>
        <v>0.275871591150256</v>
      </c>
      <c r="CT14" s="164" t="n">
        <f aca="false">IF(CT$6&lt;Total_Lanes,900*Peak_Time_Eve*(($CN14/CT$6-1)+SQRT(($CN14/CT$6-1)^2+8*($CN14/CT$6)/(Peak_Time_Eve*$O47*CT$6))),"-")</f>
        <v>0.17483773283764</v>
      </c>
      <c r="CU14" s="164" t="n">
        <f aca="false">IF(CU$6&lt;Total_Lanes,900*Peak_Time_Eve*(($CN14/CU$6-1)+SQRT(($CN14/CU$6-1)^2+8*($CN14/CU$6)/(Peak_Time_Eve*$O47*CU$6))),"-")</f>
        <v>0.120905243809699</v>
      </c>
      <c r="CV14" s="164" t="n">
        <f aca="false">IF(CV$6&lt;Total_Lanes,900*Peak_Time_Eve*(($CN14/CV$6-1)+SQRT(($CN14/CV$6-1)^2+8*($CN14/CV$6)/(Peak_Time_Eve*$O47*CV$6))),"-")</f>
        <v>0.0886609724755294</v>
      </c>
      <c r="CW14" s="164" t="n">
        <f aca="false">IF(CW$6&lt;Total_Lanes,900*Peak_Time_Eve*(($CN14/CW$6-1)+SQRT(($CN14/CW$6-1)^2+8*($CN14/CW$6)/(Peak_Time_Eve*$O47*CW$6))),"-")</f>
        <v>0.0678263807816437</v>
      </c>
      <c r="CX14" s="164" t="n">
        <f aca="false">IF(CX$6&lt;Total_Lanes,900*Peak_Time_Eve*(($CN14/CX$6-1)+SQRT(($CN14/CX$6-1)^2+8*($CN14/CX$6)/(Peak_Time_Eve*$O47*CX$6))),"-")</f>
        <v>0.0535769114361706</v>
      </c>
      <c r="CY14" s="164" t="n">
        <f aca="false">IF(CY$6&lt;Total_Lanes,900*Peak_Time_Eve*(($CN14/CY$6-1)+SQRT(($CN14/CY$6-1)^2+8*($CN14/CY$6)/(Peak_Time_Eve*$O47*CY$6))),"-")</f>
        <v>0.0433978607632168</v>
      </c>
      <c r="CZ14" s="165" t="str">
        <f aca="false">IF(CZ$6&lt;Total_Lanes,900*Peak_Time_Eve*(($CN14/CZ$6-1)+SQRT(($CN14/CZ$6-1)^2+8*($CN14/CZ$6)/(Peak_Time_Eve*$O47*CZ$6))),"-")</f>
        <v>-</v>
      </c>
      <c r="DA14" s="165" t="str">
        <f aca="false">IF(DA$6&lt;Total_Lanes,900*Peak_Time_Eve*(($CN14/DA$6-1)+SQRT(($CN14/DA$6-1)^2+8*($CN14/DA$6)/(Peak_Time_Eve*$O47*DA$6))),"-")</f>
        <v>-</v>
      </c>
      <c r="DB14" s="165" t="str">
        <f aca="false">IF(DB$6&lt;Total_Lanes,900*Peak_Time_Eve*(($CN14/DB$6-1)+SQRT(($CN14/DB$6-1)^2+8*($CN14/DB$6)/(Peak_Time_Eve*$O47*DB$6))),"-")</f>
        <v>-</v>
      </c>
      <c r="DC14" s="165" t="str">
        <f aca="false">IF(DC$6&lt;Total_Lanes,900*Peak_Time_Eve*(($CN14/DC$6-1)+SQRT(($CN14/DC$6-1)^2+8*($CN14/DC$6)/(Peak_Time_Eve*$O47*DC$6))),"-")</f>
        <v>-</v>
      </c>
      <c r="DD14" s="165" t="str">
        <f aca="false">IF(DD$6&lt;Total_Lanes,900*Peak_Time_Eve*(($CN14/DD$6-1)+SQRT(($CN14/DD$6-1)^2+8*($CN14/DD$6)/(Peak_Time_Eve*$O47*DD$6))),"-")</f>
        <v>-</v>
      </c>
      <c r="DE14" s="165" t="str">
        <f aca="false">IF(DE$6&lt;Total_Lanes,900*Peak_Time_Eve*(($CN14/DE$6-1)+SQRT(($CN14/DE$6-1)^2+8*($CN14/DE$6)/(Peak_Time_Eve*$O47*DE$6))),"-")</f>
        <v>-</v>
      </c>
      <c r="DF14" s="165" t="str">
        <f aca="false">IF(DF$6&lt;Total_Lanes,900*Peak_Time_Eve*(($CN14/DF$6-1)+SQRT(($CN14/DF$6-1)^2+8*($CN14/DF$6)/(Peak_Time_Eve*$O47*DF$6))),"-")</f>
        <v>-</v>
      </c>
      <c r="DG14" s="165" t="str">
        <f aca="false">IF(DG$6&lt;Total_Lanes,900*Peak_Time_Eve*(($CN14/DG$6-1)+SQRT(($CN14/DG$6-1)^2+8*($CN14/DG$6)/(Peak_Time_Eve*$O47*DG$6))),"-")</f>
        <v>-</v>
      </c>
      <c r="DH14" s="165" t="str">
        <f aca="false">IF(DH$6&lt;Total_Lanes,900*Peak_Time_Eve*(($CN14/DH$6-1)+SQRT(($CN14/DH$6-1)^2+8*($CN14/DH$6)/(Peak_Time_Eve*$O47*DH$6))),"-")</f>
        <v>-</v>
      </c>
      <c r="DI14" s="166" t="str">
        <f aca="false">IF(DI$6&lt;Total_Lanes,900*Peak_Time_Eve*(($CN14/DI$6-1)+SQRT(($CN14/DI$6-1)^2+8*($CN14/DI$6)/(Peak_Time_Eve*$O47*DI$6))),"-")</f>
        <v>-</v>
      </c>
      <c r="DJ14" s="167" t="n">
        <f aca="false">3600/O47</f>
        <v>2.4</v>
      </c>
    </row>
    <row r="15" customFormat="false" ht="12.75" hidden="false" customHeight="false" outlineLevel="0" collapsed="false">
      <c r="H15" s="50" t="n">
        <v>8</v>
      </c>
      <c r="I15" s="124" t="n">
        <f aca="false">'Input-Detail'!E22</f>
        <v>23409703.8</v>
      </c>
      <c r="J15" s="131" t="n">
        <f aca="false">'Input-Detail'!F22</f>
        <v>0.443037513897103</v>
      </c>
      <c r="K15" s="57" t="n">
        <f aca="false">AC15</f>
        <v>7066.17992021844</v>
      </c>
      <c r="L15" s="135" t="n">
        <f aca="false">AD62</f>
        <v>11.6663006517768</v>
      </c>
      <c r="M15" s="150" t="n">
        <f aca="false">AD15</f>
        <v>29.0222768113856</v>
      </c>
      <c r="N15" s="150" t="n">
        <f aca="false">SUM(L15:M15)</f>
        <v>40.6885774631624</v>
      </c>
      <c r="O15" s="154" t="n">
        <f aca="false">$S$34*N15</f>
        <v>10579.0301404222</v>
      </c>
      <c r="P15" s="135" t="n">
        <f aca="false">BC62</f>
        <v>6.95362269821078</v>
      </c>
      <c r="Q15" s="150" t="n">
        <f aca="false">BC15</f>
        <v>25.3146045188798</v>
      </c>
      <c r="R15" s="150" t="n">
        <f aca="false">SUM(P15:Q15)</f>
        <v>32.2682272170906</v>
      </c>
      <c r="S15" s="155" t="n">
        <f aca="false">$S$34*R15</f>
        <v>8389.73907644356</v>
      </c>
      <c r="T15" s="1"/>
      <c r="U15" s="1"/>
      <c r="V15" s="50" t="n">
        <v>8</v>
      </c>
      <c r="W15" s="132" t="n">
        <f aca="false">W$7+(W$27-W$7)*$V15/20</f>
        <v>23409703.8</v>
      </c>
      <c r="X15" s="131" t="n">
        <f aca="false">J15</f>
        <v>0.443037513897103</v>
      </c>
      <c r="Y15" s="132" t="n">
        <f aca="false">'Input-Detail'!E22/Z15</f>
        <v>10094.5427431692</v>
      </c>
      <c r="Z15" s="156" t="n">
        <f aca="false">Z14</f>
        <v>2319.04548780488</v>
      </c>
      <c r="AA15" s="156" t="n">
        <f aca="false">AA14</f>
        <v>2</v>
      </c>
      <c r="AB15" s="157" t="n">
        <f aca="false">AB14</f>
        <v>0.7</v>
      </c>
      <c r="AC15" s="57" t="n">
        <f aca="false">Y15*AB15</f>
        <v>7066.17992021844</v>
      </c>
      <c r="AD15" s="135" t="n">
        <f aca="false">Peak_Time_Eve*$BH15*(3600/K48+BK15)/3600</f>
        <v>29.0222768113856</v>
      </c>
      <c r="AE15" s="136" t="n">
        <f aca="false">IF(AE$6&lt;Total_Lanes,($BI15*($CH15+BM15)+$CM15*CO15)*Peak_Time_Eve/3600,"-")</f>
        <v>6831.7079882888</v>
      </c>
      <c r="AF15" s="136" t="n">
        <f aca="false">IF(AF$6&lt;Total_Lanes,($BI15*($CH15+BN15)+$CM15*CP15)*Peak_Time_Eve/3600,"-")</f>
        <v>334.603782668215</v>
      </c>
      <c r="AG15" s="136" t="n">
        <f aca="false">IF(AG$6&lt;Total_Lanes,($BI15*($CH15+BO15)+$CM15*CQ15)*Peak_Time_Eve/3600,"-")</f>
        <v>25.3146045188798</v>
      </c>
      <c r="AH15" s="136" t="n">
        <f aca="false">IF(AH$6&lt;Total_Lanes,($BI15*($CH15+BP15)+$CM15*CR15)*Peak_Time_Eve/3600,"-")</f>
        <v>36.8770865633146</v>
      </c>
      <c r="AI15" s="136" t="n">
        <f aca="false">IF(AI$6&lt;Total_Lanes,($BI15*($CH15+BQ15)+$CM15*CS15)*Peak_Time_Eve/3600,"-")</f>
        <v>473.750291280907</v>
      </c>
      <c r="AJ15" s="136" t="n">
        <f aca="false">IF(AJ$6&lt;Total_Lanes,($BI15*($CH15+BR15)+$CM15*CT15)*Peak_Time_Eve/3600,"-")</f>
        <v>1830.42929042269</v>
      </c>
      <c r="AK15" s="136" t="n">
        <f aca="false">IF(AK$6&lt;Total_Lanes,($BI15*($CH15+BS15)+$CM15*CU15)*Peak_Time_Eve/3600,"-")</f>
        <v>3761.03508636844</v>
      </c>
      <c r="AL15" s="136" t="n">
        <f aca="false">IF(AL$6&lt;Total_Lanes,($BI15*($CH15+BT15)+$CM15*CV15)*Peak_Time_Eve/3600,"-")</f>
        <v>6661.8966181969</v>
      </c>
      <c r="AM15" s="136" t="n">
        <f aca="false">IF(AM$6&lt;Total_Lanes,($BI15*($CH15+BU15)+$CM15*CW15)*Peak_Time_Eve/3600,"-")</f>
        <v>11498.7894099442</v>
      </c>
      <c r="AN15" s="136" t="n">
        <f aca="false">IF(AN$6&lt;Total_Lanes,($BI15*($CH15+BV15)+$CM15*CX15)*Peak_Time_Eve/3600,"-")</f>
        <v>21173.9983044163</v>
      </c>
      <c r="AO15" s="136" t="n">
        <f aca="false">IF(AO$6&lt;Total_Lanes,($BI15*($CH15+BW15)+$CM15*CY15)*Peak_Time_Eve/3600,"-")</f>
        <v>50201.1409449731</v>
      </c>
      <c r="AP15" s="136" t="str">
        <f aca="false">IF(AP$6&lt;Total_Lanes,($BI15*($CH15+BX15)+$CM15*CZ15)*Peak_Time_Eve/3600,"-")</f>
        <v>-</v>
      </c>
      <c r="AQ15" s="136" t="str">
        <f aca="false">IF(AQ$6&lt;Total_Lanes,($BI15*($CH15+BY15)+$CM15*DA15)*Peak_Time_Eve/3600,"-")</f>
        <v>-</v>
      </c>
      <c r="AR15" s="136" t="str">
        <f aca="false">IF(AR$6&lt;Total_Lanes,($BI15*($CH15+BZ15)+$CM15*DB15)*Peak_Time_Eve/3600,"-")</f>
        <v>-</v>
      </c>
      <c r="AS15" s="136" t="str">
        <f aca="false">IF(AS$6&lt;Total_Lanes,($BI15*($CH15+CA15)+$CM15*DC15)*Peak_Time_Eve/3600,"-")</f>
        <v>-</v>
      </c>
      <c r="AT15" s="136" t="str">
        <f aca="false">IF(AT$6&lt;Total_Lanes,($BI15*($CH15+CB15)+$CM15*DD15)*Peak_Time_Eve/3600,"-")</f>
        <v>-</v>
      </c>
      <c r="AU15" s="136" t="str">
        <f aca="false">IF(AU$6&lt;Total_Lanes,($BI15*($CH15+CC15)+$CM15*DE15)*Peak_Time_Eve/3600,"-")</f>
        <v>-</v>
      </c>
      <c r="AV15" s="136" t="str">
        <f aca="false">IF(AV$6&lt;Total_Lanes,($BI15*($CH15+CD15)+$CM15*DF15)*Peak_Time_Eve/3600,"-")</f>
        <v>-</v>
      </c>
      <c r="AW15" s="136" t="str">
        <f aca="false">IF(AW$6&lt;Total_Lanes,($BI15*($CH15+CE15)+$CM15*DG15)*Peak_Time_Eve/3600,"-")</f>
        <v>-</v>
      </c>
      <c r="AX15" s="136" t="str">
        <f aca="false">IF(AX$6&lt;Total_Lanes,($BI15*($CH15+CF15)+$CM15*DH15)*Peak_Time_Eve/3600,"-")</f>
        <v>-</v>
      </c>
      <c r="AY15" s="137" t="str">
        <f aca="false">IF(AY$6&lt;Total_Lanes,($BI15*($CH15+CG15)+$CM15*DI15)*Peak_Time_Eve/3600,"-")</f>
        <v>-</v>
      </c>
      <c r="AZ15" s="158" t="n">
        <f aca="false">SUMIF(AE15:AY15,BA15,$AE$6:$AY$6)</f>
        <v>3</v>
      </c>
      <c r="BA15" s="159" t="n">
        <f aca="false">MIN(AE15:AY15)</f>
        <v>25.3146045188798</v>
      </c>
      <c r="BB15" s="158" t="n">
        <f aca="false">Price!X15</f>
        <v>3</v>
      </c>
      <c r="BC15" s="159" t="n">
        <f aca="false">SUMIF($AE$6:$AY$6,$BB15,$AE15:$AY15)</f>
        <v>25.3146045188798</v>
      </c>
      <c r="BF15" s="50" t="n">
        <v>8</v>
      </c>
      <c r="BG15" s="131" t="n">
        <f aca="false">$X15</f>
        <v>0.443037513897103</v>
      </c>
      <c r="BH15" s="141" t="n">
        <f aca="false">$AC15</f>
        <v>7066.17992021844</v>
      </c>
      <c r="BI15" s="58" t="n">
        <f aca="false">BH15*(1-BG15)</f>
        <v>3935.59713561523</v>
      </c>
      <c r="BJ15" s="143" t="n">
        <f aca="false">Peak_Arrival_Manual/K48</f>
        <v>7.1879308796306</v>
      </c>
      <c r="BK15" s="144" t="n">
        <f aca="false">900*Peak_Time_Eve*(BJ15/Total_Lanes-1+SQRT((BJ15/Total_Lanes-1)^2+8*(BJ15/Total_Lanes)/(Peak_Time_Eve*$K48*Total_Lanes)))</f>
        <v>0.817975957351391</v>
      </c>
      <c r="BL15" s="145" t="n">
        <f aca="false">Peak_Arrival_Manual/N48</f>
        <v>7.37377852214576</v>
      </c>
      <c r="BM15" s="146" t="n">
        <f aca="false">IF(BM$6&lt;Total_Lanes,900*Peak_Time_Eve*(($BL15/(Total_Lanes-BM$6))-1+SQRT((($BL15/(Total_Lanes-BM$6))-1)^2+8*($BL15/(Total_Lanes-BM$6))/(Peak_Time_Eve*$N48*(Total_Lanes-BM$6)))),"-")</f>
        <v>1.24557377278335</v>
      </c>
      <c r="BN15" s="146" t="n">
        <f aca="false">IF(BN$6&lt;Total_Lanes,900*Peak_Time_Eve*(($BL15/(Total_Lanes-BN$6))-1+SQRT((($BL15/(Total_Lanes-BN$6))-1)^2+8*($BL15/(Total_Lanes-BN$6))/(Peak_Time_Eve*$N48*(Total_Lanes-BN$6)))),"-")</f>
        <v>1.89005025939863</v>
      </c>
      <c r="BO15" s="146" t="n">
        <f aca="false">IF(BO$6&lt;Total_Lanes,900*Peak_Time_Eve*(($BL15/(Total_Lanes-BO$6))-1+SQRT((($BL15/(Total_Lanes-BO$6))-1)^2+8*($BL15/(Total_Lanes-BO$6))/(Peak_Time_Eve*$N48*(Total_Lanes-BO$6)))),"-")</f>
        <v>3.38063765937956</v>
      </c>
      <c r="BP15" s="146" t="n">
        <f aca="false">IF(BP$6&lt;Total_Lanes,900*Peak_Time_Eve*(($BL15/(Total_Lanes-BP$6))-1+SQRT((($BL15/(Total_Lanes-BP$6))-1)^2+8*($BL15/(Total_Lanes-BP$6))/(Peak_Time_Eve*$N48*(Total_Lanes-BP$6)))),"-")</f>
        <v>9.60073379666078</v>
      </c>
      <c r="BQ15" s="146" t="n">
        <f aca="false">IF(BQ$6&lt;Total_Lanes,900*Peak_Time_Eve*(($BL15/(Total_Lanes-BQ$6))-1+SQRT((($BL15/(Total_Lanes-BQ$6))-1)^2+8*($BL15/(Total_Lanes-BQ$6))/(Peak_Time_Eve*$N48*(Total_Lanes-BQ$6)))),"-")</f>
        <v>209.657756024143</v>
      </c>
      <c r="BR15" s="146" t="n">
        <f aca="false">IF(BR$6&lt;Total_Lanes,900*Peak_Time_Eve*(($BL15/(Total_Lanes-BR$6))-1+SQRT((($BL15/(Total_Lanes-BR$6))-1)^2+8*($BL15/(Total_Lanes-BR$6))/(Peak_Time_Eve*$N48*(Total_Lanes-BR$6)))),"-")</f>
        <v>830.257559931027</v>
      </c>
      <c r="BS15" s="146" t="n">
        <f aca="false">IF(BS$6&lt;Total_Lanes,900*Peak_Time_Eve*(($BL15/(Total_Lanes-BS$6))-1+SQRT((($BL15/(Total_Lanes-BS$6))-1)^2+8*($BL15/(Total_Lanes-BS$6))/(Peak_Time_Eve*$N48*(Total_Lanes-BS$6)))),"-")</f>
        <v>1713.30077313115</v>
      </c>
      <c r="BT15" s="146" t="n">
        <f aca="false">IF(BT$6&lt;Total_Lanes,900*Peak_Time_Eve*(($BL15/(Total_Lanes-BT$6))-1+SQRT((($BL15/(Total_Lanes-BT$6))-1)^2+8*($BL15/(Total_Lanes-BT$6))/(Peak_Time_Eve*$N48*(Total_Lanes-BT$6)))),"-")</f>
        <v>3040.08169950072</v>
      </c>
      <c r="BU15" s="146" t="n">
        <f aca="false">IF(BU$6&lt;Total_Lanes,900*Peak_Time_Eve*(($BL15/(Total_Lanes-BU$6))-1+SQRT((($BL15/(Total_Lanes-BU$6))-1)^2+8*($BL15/(Total_Lanes-BU$6))/(Peak_Time_Eve*$N48*(Total_Lanes-BU$6)))),"-")</f>
        <v>5252.32197122609</v>
      </c>
      <c r="BV15" s="146" t="n">
        <f aca="false">IF(BV$6&lt;Total_Lanes,900*Peak_Time_Eve*(($BL15/(Total_Lanes-BV$6))-1+SQRT((($BL15/(Total_Lanes-BV$6))-1)^2+8*($BL15/(Total_Lanes-BV$6))/(Peak_Time_Eve*$N48*(Total_Lanes-BV$6)))),"-")</f>
        <v>9677.42679696557</v>
      </c>
      <c r="BW15" s="146" t="n">
        <f aca="false">IF(BW$6&lt;Total_Lanes,900*Peak_Time_Eve*(($BL15/(Total_Lanes-BW$6))-1+SQRT((($BL15/(Total_Lanes-BW$6))-1)^2+8*($BL15/(Total_Lanes-BW$6))/(Peak_Time_Eve*$N48*(Total_Lanes-BW$6)))),"-")</f>
        <v>22953.4032698146</v>
      </c>
      <c r="BX15" s="136" t="str">
        <f aca="false">IF(BX$6&lt;Total_Lanes,900*Peak_Time_Eve*(($BL15/(Total_Lanes-BX$6))-1+SQRT((($BL15/(Total_Lanes-BX$6))-1)^2+8*($BL15/(Total_Lanes-BX$6))/(Peak_Time_Eve*$N48*(Total_Lanes-BX$6)))),"-")</f>
        <v>-</v>
      </c>
      <c r="BY15" s="136" t="str">
        <f aca="false">IF(BY$6&lt;Total_Lanes,900*Peak_Time_Eve*(($BL15/(Total_Lanes-BY$6))-1+SQRT((($BL15/(Total_Lanes-BY$6))-1)^2+8*($BL15/(Total_Lanes-BY$6))/(Peak_Time_Eve*$N48*(Total_Lanes-BY$6)))),"-")</f>
        <v>-</v>
      </c>
      <c r="BZ15" s="136" t="str">
        <f aca="false">IF(BZ$6&lt;Total_Lanes,900*Peak_Time_Eve*(($BL15/(Total_Lanes-BZ$6))-1+SQRT((($BL15/(Total_Lanes-BZ$6))-1)^2+8*($BL15/(Total_Lanes-BZ$6))/(Peak_Time_Eve*$N48*(Total_Lanes-BZ$6)))),"-")</f>
        <v>-</v>
      </c>
      <c r="CA15" s="136" t="str">
        <f aca="false">IF(CA$6&lt;Total_Lanes,900*Peak_Time_Eve*(($BL15/(Total_Lanes-CA$6))-1+SQRT((($BL15/(Total_Lanes-CA$6))-1)^2+8*($BL15/(Total_Lanes-CA$6))/(Peak_Time_Eve*$N48*(Total_Lanes-CA$6)))),"-")</f>
        <v>-</v>
      </c>
      <c r="CB15" s="136" t="str">
        <f aca="false">IF(CB$6&lt;Total_Lanes,900*Peak_Time_Eve*(($BL15/(Total_Lanes-CB$6))-1+SQRT((($BL15/(Total_Lanes-CB$6))-1)^2+8*($BL15/(Total_Lanes-CB$6))/(Peak_Time_Eve*$N48*(Total_Lanes-CB$6)))),"-")</f>
        <v>-</v>
      </c>
      <c r="CC15" s="136" t="str">
        <f aca="false">IF(CC$6&lt;Total_Lanes,900*Peak_Time_Eve*(($BL15/(Total_Lanes-CC$6))-1+SQRT((($BL15/(Total_Lanes-CC$6))-1)^2+8*($BL15/(Total_Lanes-CC$6))/(Peak_Time_Eve*$N48*(Total_Lanes-CC$6)))),"-")</f>
        <v>-</v>
      </c>
      <c r="CD15" s="136" t="str">
        <f aca="false">IF(CD$6&lt;Total_Lanes,900*Peak_Time_Eve*(($BL15/(Total_Lanes-CD$6))-1+SQRT((($BL15/(Total_Lanes-CD$6))-1)^2+8*($BL15/(Total_Lanes-CD$6))/(Peak_Time_Eve*$N48*(Total_Lanes-CD$6)))),"-")</f>
        <v>-</v>
      </c>
      <c r="CE15" s="136" t="str">
        <f aca="false">IF(CE$6&lt;Total_Lanes,900*Peak_Time_Eve*(($BL15/(Total_Lanes-CE$6))-1+SQRT((($BL15/(Total_Lanes-CE$6))-1)^2+8*($BL15/(Total_Lanes-CE$6))/(Peak_Time_Eve*$N48*(Total_Lanes-CE$6)))),"-")</f>
        <v>-</v>
      </c>
      <c r="CF15" s="136" t="str">
        <f aca="false">IF(CF$6&lt;Total_Lanes,900*Peak_Time_Eve*(($BL15/(Total_Lanes-CF$6))-1+SQRT((($BL15/(Total_Lanes-CF$6))-1)^2+8*($BL15/(Total_Lanes-CF$6))/(Peak_Time_Eve*$N48*(Total_Lanes-CF$6)))),"-")</f>
        <v>-</v>
      </c>
      <c r="CG15" s="147" t="str">
        <f aca="false">IF(CG$6&lt;Total_Lanes,900*Peak_Time_Eve*(($BL15/(Total_Lanes-CG$6))-1+SQRT((($BL15/(Total_Lanes-CG$6))-1)^2+8*($BL15/(Total_Lanes-CG$6))/(Peak_Time_Eve*$N48*(Total_Lanes-CG$6)))),"-")</f>
        <v>-</v>
      </c>
      <c r="CH15" s="160" t="n">
        <f aca="false">3600/N48</f>
        <v>6.745</v>
      </c>
      <c r="CJ15" s="50" t="n">
        <v>8</v>
      </c>
      <c r="CK15" s="131" t="n">
        <f aca="false">$X15</f>
        <v>0.443037513897103</v>
      </c>
      <c r="CL15" s="57" t="n">
        <f aca="false">$AC15</f>
        <v>7066.17992021844</v>
      </c>
      <c r="CM15" s="135" t="n">
        <f aca="false">CL15*CK15</f>
        <v>3130.58278460321</v>
      </c>
      <c r="CN15" s="161" t="n">
        <f aca="false">CM15/O47</f>
        <v>2.08705518973547</v>
      </c>
      <c r="CO15" s="146" t="n">
        <f aca="false">IF(CO$6&lt;Total_Lanes,900*Peak_Time_Eve*(($CN15/CO$6-1)+SQRT(($CN15/CO$6-1)^2+8*($CN15/CO$6)/(Peak_Time_Eve*$O48*CO$6))),"-")</f>
        <v>3918.0010699581</v>
      </c>
      <c r="CP15" s="146" t="n">
        <f aca="false">IF(CP$6&lt;Total_Lanes,900*Peak_Time_Eve*(($CN15/CP$6-1)+SQRT(($CN15/CP$6-1)^2+8*($CN15/CP$6)/(Peak_Time_Eve*$O48*CP$6))),"-")</f>
        <v>181.532567204747</v>
      </c>
      <c r="CQ15" s="164" t="n">
        <f aca="false">IF(CQ$6&lt;Total_Lanes,900*Peak_Time_Eve*(($CN15/CQ$6-1)+SQRT(($CN15/CQ$6-1)^2+8*($CN15/CQ$6)/(Peak_Time_Eve*$O48*CQ$6))),"-")</f>
        <v>1.82581262299256</v>
      </c>
      <c r="CR15" s="164" t="n">
        <f aca="false">IF(CR$6&lt;Total_Lanes,900*Peak_Time_Eve*(($CN15/CR$6-1)+SQRT(($CN15/CR$6-1)^2+8*($CN15/CR$6)/(Peak_Time_Eve*$O48*CR$6))),"-")</f>
        <v>0.654361454478736</v>
      </c>
      <c r="CS15" s="164" t="n">
        <f aca="false">IF(CS$6&lt;Total_Lanes,900*Peak_Time_Eve*(($CN15/CS$6-1)+SQRT(($CN15/CS$6-1)^2+8*($CN15/CS$6)/(Peak_Time_Eve*$O48*CS$6))),"-")</f>
        <v>0.34385212972663</v>
      </c>
      <c r="CT15" s="164" t="n">
        <f aca="false">IF(CT$6&lt;Total_Lanes,900*Peak_Time_Eve*(($CN15/CT$6-1)+SQRT(($CN15/CT$6-1)^2+8*($CN15/CT$6)/(Peak_Time_Eve*$O48*CT$6))),"-")</f>
        <v>0.213329414879371</v>
      </c>
      <c r="CU15" s="164" t="n">
        <f aca="false">IF(CU$6&lt;Total_Lanes,900*Peak_Time_Eve*(($CN15/CU$6-1)+SQRT(($CN15/CU$6-1)^2+8*($CN15/CU$6)/(Peak_Time_Eve*$O48*CU$6))),"-")</f>
        <v>0.14563984808027</v>
      </c>
      <c r="CV15" s="164" t="n">
        <f aca="false">IF(CV$6&lt;Total_Lanes,900*Peak_Time_Eve*(($CN15/CV$6-1)+SQRT(($CN15/CV$6-1)^2+8*($CN15/CV$6)/(Peak_Time_Eve*$O48*CV$6))),"-")</f>
        <v>0.105884912224186</v>
      </c>
      <c r="CW15" s="164" t="n">
        <f aca="false">IF(CW$6&lt;Total_Lanes,900*Peak_Time_Eve*(($CN15/CW$6-1)+SQRT(($CN15/CW$6-1)^2+8*($CN15/CW$6)/(Peak_Time_Eve*$O48*CW$6))),"-")</f>
        <v>0.0805057559300604</v>
      </c>
      <c r="CX15" s="164" t="n">
        <f aca="false">IF(CX$6&lt;Total_Lanes,900*Peak_Time_Eve*(($CN15/CX$6-1)+SQRT(($CN15/CX$6-1)^2+8*($CN15/CX$6)/(Peak_Time_Eve*$O48*CX$6))),"-")</f>
        <v>0.0632990786136878</v>
      </c>
      <c r="CY15" s="164" t="n">
        <f aca="false">IF(CY$6&lt;Total_Lanes,900*Peak_Time_Eve*(($CN15/CY$6-1)+SQRT(($CN15/CY$6-1)^2+8*($CN15/CY$6)/(Peak_Time_Eve*$O48*CY$6))),"-")</f>
        <v>0.0510885605724099</v>
      </c>
      <c r="CZ15" s="165" t="str">
        <f aca="false">IF(CZ$6&lt;Total_Lanes,900*Peak_Time_Eve*(($CN15/CZ$6-1)+SQRT(($CN15/CZ$6-1)^2+8*($CN15/CZ$6)/(Peak_Time_Eve*$O48*CZ$6))),"-")</f>
        <v>-</v>
      </c>
      <c r="DA15" s="165" t="str">
        <f aca="false">IF(DA$6&lt;Total_Lanes,900*Peak_Time_Eve*(($CN15/DA$6-1)+SQRT(($CN15/DA$6-1)^2+8*($CN15/DA$6)/(Peak_Time_Eve*$O48*DA$6))),"-")</f>
        <v>-</v>
      </c>
      <c r="DB15" s="165" t="str">
        <f aca="false">IF(DB$6&lt;Total_Lanes,900*Peak_Time_Eve*(($CN15/DB$6-1)+SQRT(($CN15/DB$6-1)^2+8*($CN15/DB$6)/(Peak_Time_Eve*$O48*DB$6))),"-")</f>
        <v>-</v>
      </c>
      <c r="DC15" s="165" t="str">
        <f aca="false">IF(DC$6&lt;Total_Lanes,900*Peak_Time_Eve*(($CN15/DC$6-1)+SQRT(($CN15/DC$6-1)^2+8*($CN15/DC$6)/(Peak_Time_Eve*$O48*DC$6))),"-")</f>
        <v>-</v>
      </c>
      <c r="DD15" s="165" t="str">
        <f aca="false">IF(DD$6&lt;Total_Lanes,900*Peak_Time_Eve*(($CN15/DD$6-1)+SQRT(($CN15/DD$6-1)^2+8*($CN15/DD$6)/(Peak_Time_Eve*$O48*DD$6))),"-")</f>
        <v>-</v>
      </c>
      <c r="DE15" s="165" t="str">
        <f aca="false">IF(DE$6&lt;Total_Lanes,900*Peak_Time_Eve*(($CN15/DE$6-1)+SQRT(($CN15/DE$6-1)^2+8*($CN15/DE$6)/(Peak_Time_Eve*$O48*DE$6))),"-")</f>
        <v>-</v>
      </c>
      <c r="DF15" s="165" t="str">
        <f aca="false">IF(DF$6&lt;Total_Lanes,900*Peak_Time_Eve*(($CN15/DF$6-1)+SQRT(($CN15/DF$6-1)^2+8*($CN15/DF$6)/(Peak_Time_Eve*$O48*DF$6))),"-")</f>
        <v>-</v>
      </c>
      <c r="DG15" s="165" t="str">
        <f aca="false">IF(DG$6&lt;Total_Lanes,900*Peak_Time_Eve*(($CN15/DG$6-1)+SQRT(($CN15/DG$6-1)^2+8*($CN15/DG$6)/(Peak_Time_Eve*$O48*DG$6))),"-")</f>
        <v>-</v>
      </c>
      <c r="DH15" s="165" t="str">
        <f aca="false">IF(DH$6&lt;Total_Lanes,900*Peak_Time_Eve*(($CN15/DH$6-1)+SQRT(($CN15/DH$6-1)^2+8*($CN15/DH$6)/(Peak_Time_Eve*$O48*DH$6))),"-")</f>
        <v>-</v>
      </c>
      <c r="DI15" s="166" t="str">
        <f aca="false">IF(DI$6&lt;Total_Lanes,900*Peak_Time_Eve*(($CN15/DI$6-1)+SQRT(($CN15/DI$6-1)^2+8*($CN15/DI$6)/(Peak_Time_Eve*$O48*DI$6))),"-")</f>
        <v>-</v>
      </c>
      <c r="DJ15" s="167" t="n">
        <f aca="false">3600/O48</f>
        <v>2.4</v>
      </c>
    </row>
    <row r="16" customFormat="false" ht="12.75" hidden="false" customHeight="false" outlineLevel="0" collapsed="false">
      <c r="H16" s="50" t="n">
        <v>9</v>
      </c>
      <c r="I16" s="124" t="n">
        <f aca="false">'Input-Detail'!E23</f>
        <v>23958895.15</v>
      </c>
      <c r="J16" s="131" t="n">
        <f aca="false">'Input-Detail'!F23</f>
        <v>0.488152689932575</v>
      </c>
      <c r="K16" s="57" t="n">
        <f aca="false">AC16</f>
        <v>7231.95241024574</v>
      </c>
      <c r="L16" s="135" t="n">
        <f aca="false">AD63</f>
        <v>11.9510517362566</v>
      </c>
      <c r="M16" s="150" t="n">
        <f aca="false">AD16</f>
        <v>29.2560406280971</v>
      </c>
      <c r="N16" s="150" t="n">
        <f aca="false">SUM(L16:M16)</f>
        <v>41.2070923643537</v>
      </c>
      <c r="O16" s="154" t="n">
        <f aca="false">$S$34*N16</f>
        <v>10713.844014732</v>
      </c>
      <c r="P16" s="135" t="n">
        <f aca="false">BC63</f>
        <v>6.57626267869598</v>
      </c>
      <c r="Q16" s="150" t="n">
        <f aca="false">BC16</f>
        <v>27.0650802585982</v>
      </c>
      <c r="R16" s="150" t="n">
        <f aca="false">SUM(P16:Q16)</f>
        <v>33.6413429372942</v>
      </c>
      <c r="S16" s="155" t="n">
        <f aca="false">$S$34*R16</f>
        <v>8746.74916369649</v>
      </c>
      <c r="T16" s="1"/>
      <c r="U16" s="1"/>
      <c r="V16" s="50" t="n">
        <v>9</v>
      </c>
      <c r="W16" s="132" t="n">
        <f aca="false">W$7+(W$27-W$7)*$V16/20</f>
        <v>23958895.15</v>
      </c>
      <c r="X16" s="131" t="n">
        <f aca="false">J16</f>
        <v>0.488152689932575</v>
      </c>
      <c r="Y16" s="132" t="n">
        <f aca="false">'Input-Detail'!E23/Z16</f>
        <v>10331.3605860653</v>
      </c>
      <c r="Z16" s="156" t="n">
        <f aca="false">Z15</f>
        <v>2319.04548780488</v>
      </c>
      <c r="AA16" s="156" t="n">
        <f aca="false">AA15</f>
        <v>2</v>
      </c>
      <c r="AB16" s="157" t="n">
        <f aca="false">AB15</f>
        <v>0.7</v>
      </c>
      <c r="AC16" s="57" t="n">
        <f aca="false">Y16*AB16</f>
        <v>7231.95241024574</v>
      </c>
      <c r="AD16" s="135" t="n">
        <f aca="false">Peak_Time_Eve*$BH16*(3600/K49+BK16)/3600</f>
        <v>29.2560406280971</v>
      </c>
      <c r="AE16" s="136" t="n">
        <f aca="false">IF(AE$6&lt;Total_Lanes,($BI16*($CH16+BM16)+$CM16*CO16)*Peak_Time_Eve/3600,"-")</f>
        <v>9581.00290455119</v>
      </c>
      <c r="AF16" s="136" t="n">
        <f aca="false">IF(AF$6&lt;Total_Lanes,($BI16*($CH16+BN16)+$CM16*CP16)*Peak_Time_Eve/3600,"-")</f>
        <v>1280.63852763884</v>
      </c>
      <c r="AG16" s="136" t="n">
        <f aca="false">IF(AG$6&lt;Total_Lanes,($BI16*($CH16+BO16)+$CM16*CQ16)*Peak_Time_Eve/3600,"-")</f>
        <v>24.8549631586598</v>
      </c>
      <c r="AH16" s="136" t="n">
        <f aca="false">IF(AH$6&lt;Total_Lanes,($BI16*($CH16+BP16)+$CM16*CR16)*Peak_Time_Eve/3600,"-")</f>
        <v>27.0650802585982</v>
      </c>
      <c r="AI16" s="136" t="n">
        <f aca="false">IF(AI$6&lt;Total_Lanes,($BI16*($CH16+BQ16)+$CM16*CS16)*Peak_Time_Eve/3600,"-")</f>
        <v>115.207301453208</v>
      </c>
      <c r="AJ16" s="136" t="n">
        <f aca="false">IF(AJ$6&lt;Total_Lanes,($BI16*($CH16+BR16)+$CM16*CT16)*Peak_Time_Eve/3600,"-")</f>
        <v>1212.25516690035</v>
      </c>
      <c r="AK16" s="136" t="n">
        <f aca="false">IF(AK$6&lt;Total_Lanes,($BI16*($CH16+BS16)+$CM16*CU16)*Peak_Time_Eve/3600,"-")</f>
        <v>2922.2324996069</v>
      </c>
      <c r="AL16" s="136" t="n">
        <f aca="false">IF(AL$6&lt;Total_Lanes,($BI16*($CH16+BT16)+$CM16*CV16)*Peak_Time_Eve/3600,"-")</f>
        <v>5495.80774399333</v>
      </c>
      <c r="AM16" s="136" t="n">
        <f aca="false">IF(AM$6&lt;Total_Lanes,($BI16*($CH16+BU16)+$CM16*CW16)*Peak_Time_Eve/3600,"-")</f>
        <v>9787.9860251474</v>
      </c>
      <c r="AN16" s="136" t="n">
        <f aca="false">IF(AN$6&lt;Total_Lanes,($BI16*($CH16+BV16)+$CM16*CX16)*Peak_Time_Eve/3600,"-")</f>
        <v>18374.0818262722</v>
      </c>
      <c r="AO16" s="136" t="n">
        <f aca="false">IF(AO$6&lt;Total_Lanes,($BI16*($CH16+BW16)+$CM16*CY16)*Peak_Time_Eve/3600,"-")</f>
        <v>44134.1128652237</v>
      </c>
      <c r="AP16" s="136" t="str">
        <f aca="false">IF(AP$6&lt;Total_Lanes,($BI16*($CH16+BX16)+$CM16*CZ16)*Peak_Time_Eve/3600,"-")</f>
        <v>-</v>
      </c>
      <c r="AQ16" s="136" t="str">
        <f aca="false">IF(AQ$6&lt;Total_Lanes,($BI16*($CH16+BY16)+$CM16*DA16)*Peak_Time_Eve/3600,"-")</f>
        <v>-</v>
      </c>
      <c r="AR16" s="136" t="str">
        <f aca="false">IF(AR$6&lt;Total_Lanes,($BI16*($CH16+BZ16)+$CM16*DB16)*Peak_Time_Eve/3600,"-")</f>
        <v>-</v>
      </c>
      <c r="AS16" s="136" t="str">
        <f aca="false">IF(AS$6&lt;Total_Lanes,($BI16*($CH16+CA16)+$CM16*DC16)*Peak_Time_Eve/3600,"-")</f>
        <v>-</v>
      </c>
      <c r="AT16" s="136" t="str">
        <f aca="false">IF(AT$6&lt;Total_Lanes,($BI16*($CH16+CB16)+$CM16*DD16)*Peak_Time_Eve/3600,"-")</f>
        <v>-</v>
      </c>
      <c r="AU16" s="136" t="str">
        <f aca="false">IF(AU$6&lt;Total_Lanes,($BI16*($CH16+CC16)+$CM16*DE16)*Peak_Time_Eve/3600,"-")</f>
        <v>-</v>
      </c>
      <c r="AV16" s="136" t="str">
        <f aca="false">IF(AV$6&lt;Total_Lanes,($BI16*($CH16+CD16)+$CM16*DF16)*Peak_Time_Eve/3600,"-")</f>
        <v>-</v>
      </c>
      <c r="AW16" s="136" t="str">
        <f aca="false">IF(AW$6&lt;Total_Lanes,($BI16*($CH16+CE16)+$CM16*DG16)*Peak_Time_Eve/3600,"-")</f>
        <v>-</v>
      </c>
      <c r="AX16" s="136" t="str">
        <f aca="false">IF(AX$6&lt;Total_Lanes,($BI16*($CH16+CF16)+$CM16*DH16)*Peak_Time_Eve/3600,"-")</f>
        <v>-</v>
      </c>
      <c r="AY16" s="137" t="str">
        <f aca="false">IF(AY$6&lt;Total_Lanes,($BI16*($CH16+CG16)+$CM16*DI16)*Peak_Time_Eve/3600,"-")</f>
        <v>-</v>
      </c>
      <c r="AZ16" s="158" t="n">
        <f aca="false">SUMIF(AE16:AY16,BA16,$AE$6:$AY$6)</f>
        <v>3</v>
      </c>
      <c r="BA16" s="159" t="n">
        <f aca="false">MIN(AE16:AY16)</f>
        <v>24.8549631586598</v>
      </c>
      <c r="BB16" s="158" t="n">
        <f aca="false">Price!X16</f>
        <v>4</v>
      </c>
      <c r="BC16" s="159" t="n">
        <f aca="false">SUMIF($AE$6:$AY$6,$BB16,$AE16:$AY16)</f>
        <v>27.0650802585982</v>
      </c>
      <c r="BF16" s="50" t="n">
        <v>9</v>
      </c>
      <c r="BG16" s="131" t="n">
        <f aca="false">$X16</f>
        <v>0.488152689932575</v>
      </c>
      <c r="BH16" s="141" t="n">
        <f aca="false">$AC16</f>
        <v>7231.95241024574</v>
      </c>
      <c r="BI16" s="58" t="n">
        <f aca="false">BH16*(1-BG16)</f>
        <v>3701.65538771991</v>
      </c>
      <c r="BJ16" s="143" t="n">
        <f aca="false">Peak_Arrival_Manual/K49</f>
        <v>6.76066227062734</v>
      </c>
      <c r="BK16" s="144" t="n">
        <f aca="false">900*Peak_Time_Eve*(BJ16/Total_Lanes-1+SQRT((BJ16/Total_Lanes-1)^2+8*(BJ16/Total_Lanes)/(Peak_Time_Eve*$K49*Total_Lanes)))</f>
        <v>0.706695196993901</v>
      </c>
      <c r="BL16" s="145" t="n">
        <f aca="false">Peak_Arrival_Manual/N49</f>
        <v>6.95731271309996</v>
      </c>
      <c r="BM16" s="146" t="n">
        <f aca="false">IF(BM$6&lt;Total_Lanes,900*Peak_Time_Eve*(($BL16/(Total_Lanes-BM$6))-1+SQRT((($BL16/(Total_Lanes-BM$6))-1)^2+8*($BL16/(Total_Lanes-BM$6))/(Peak_Time_Eve*$N49*(Total_Lanes-BM$6)))),"-")</f>
        <v>1.05774179627204</v>
      </c>
      <c r="BN16" s="146" t="n">
        <f aca="false">IF(BN$6&lt;Total_Lanes,900*Peak_Time_Eve*(($BL16/(Total_Lanes-BN$6))-1+SQRT((($BL16/(Total_Lanes-BN$6))-1)^2+8*($BL16/(Total_Lanes-BN$6))/(Peak_Time_Eve*$N49*(Total_Lanes-BN$6)))),"-")</f>
        <v>1.54497025214315</v>
      </c>
      <c r="BO16" s="146" t="n">
        <f aca="false">IF(BO$6&lt;Total_Lanes,900*Peak_Time_Eve*(($BL16/(Total_Lanes-BO$6))-1+SQRT((($BL16/(Total_Lanes-BO$6))-1)^2+8*($BL16/(Total_Lanes-BO$6))/(Peak_Time_Eve*$N49*(Total_Lanes-BO$6)))),"-")</f>
        <v>2.55264542265036</v>
      </c>
      <c r="BP16" s="146" t="n">
        <f aca="false">IF(BP$6&lt;Total_Lanes,900*Peak_Time_Eve*(($BL16/(Total_Lanes-BP$6))-1+SQRT((($BL16/(Total_Lanes-BP$6))-1)^2+8*($BL16/(Total_Lanes-BP$6))/(Peak_Time_Eve*$N49*(Total_Lanes-BP$6)))),"-")</f>
        <v>5.57716864488472</v>
      </c>
      <c r="BQ16" s="146" t="n">
        <f aca="false">IF(BQ$6&lt;Total_Lanes,900*Peak_Time_Eve*(($BL16/(Total_Lanes-BQ$6))-1+SQRT((($BL16/(Total_Lanes-BQ$6))-1)^2+8*($BL16/(Total_Lanes-BQ$6))/(Peak_Time_Eve*$N49*(Total_Lanes-BQ$6)))),"-")</f>
        <v>48.8484641338766</v>
      </c>
      <c r="BR16" s="146" t="n">
        <f aca="false">IF(BR$6&lt;Total_Lanes,900*Peak_Time_Eve*(($BL16/(Total_Lanes-BR$6))-1+SQRT((($BL16/(Total_Lanes-BR$6))-1)^2+8*($BL16/(Total_Lanes-BR$6))/(Peak_Time_Eve*$N49*(Total_Lanes-BR$6)))),"-")</f>
        <v>582.469580755091</v>
      </c>
      <c r="BS16" s="146" t="n">
        <f aca="false">IF(BS$6&lt;Total_Lanes,900*Peak_Time_Eve*(($BL16/(Total_Lanes-BS$6))-1+SQRT((($BL16/(Total_Lanes-BS$6))-1)^2+8*($BL16/(Total_Lanes-BS$6))/(Peak_Time_Eve*$N49*(Total_Lanes-BS$6)))),"-")</f>
        <v>1414.05900435897</v>
      </c>
      <c r="BT16" s="146" t="n">
        <f aca="false">IF(BT$6&lt;Total_Lanes,900*Peak_Time_Eve*(($BL16/(Total_Lanes-BT$6))-1+SQRT((($BL16/(Total_Lanes-BT$6))-1)^2+8*($BL16/(Total_Lanes-BT$6))/(Peak_Time_Eve*$N49*(Total_Lanes-BT$6)))),"-")</f>
        <v>2665.55504435355</v>
      </c>
      <c r="BU16" s="146" t="n">
        <f aca="false">IF(BU$6&lt;Total_Lanes,900*Peak_Time_Eve*(($BL16/(Total_Lanes-BU$6))-1+SQRT((($BL16/(Total_Lanes-BU$6))-1)^2+8*($BL16/(Total_Lanes-BU$6))/(Peak_Time_Eve*$N49*(Total_Lanes-BU$6)))),"-")</f>
        <v>4752.73717622172</v>
      </c>
      <c r="BV16" s="146" t="n">
        <f aca="false">IF(BV$6&lt;Total_Lanes,900*Peak_Time_Eve*(($BL16/(Total_Lanes-BV$6))-1+SQRT((($BL16/(Total_Lanes-BV$6))-1)^2+8*($BL16/(Total_Lanes-BV$6))/(Peak_Time_Eve*$N49*(Total_Lanes-BV$6)))),"-")</f>
        <v>8927.90838763205</v>
      </c>
      <c r="BW16" s="146" t="n">
        <f aca="false">IF(BW$6&lt;Total_Lanes,900*Peak_Time_Eve*(($BL16/(Total_Lanes-BW$6))-1+SQRT((($BL16/(Total_Lanes-BW$6))-1)^2+8*($BL16/(Total_Lanes-BW$6))/(Peak_Time_Eve*$N49*(Total_Lanes-BW$6)))),"-")</f>
        <v>21454.2248967037</v>
      </c>
      <c r="BX16" s="136" t="str">
        <f aca="false">IF(BX$6&lt;Total_Lanes,900*Peak_Time_Eve*(($BL16/(Total_Lanes-BX$6))-1+SQRT((($BL16/(Total_Lanes-BX$6))-1)^2+8*($BL16/(Total_Lanes-BX$6))/(Peak_Time_Eve*$N49*(Total_Lanes-BX$6)))),"-")</f>
        <v>-</v>
      </c>
      <c r="BY16" s="136" t="str">
        <f aca="false">IF(BY$6&lt;Total_Lanes,900*Peak_Time_Eve*(($BL16/(Total_Lanes-BY$6))-1+SQRT((($BL16/(Total_Lanes-BY$6))-1)^2+8*($BL16/(Total_Lanes-BY$6))/(Peak_Time_Eve*$N49*(Total_Lanes-BY$6)))),"-")</f>
        <v>-</v>
      </c>
      <c r="BZ16" s="136" t="str">
        <f aca="false">IF(BZ$6&lt;Total_Lanes,900*Peak_Time_Eve*(($BL16/(Total_Lanes-BZ$6))-1+SQRT((($BL16/(Total_Lanes-BZ$6))-1)^2+8*($BL16/(Total_Lanes-BZ$6))/(Peak_Time_Eve*$N49*(Total_Lanes-BZ$6)))),"-")</f>
        <v>-</v>
      </c>
      <c r="CA16" s="136" t="str">
        <f aca="false">IF(CA$6&lt;Total_Lanes,900*Peak_Time_Eve*(($BL16/(Total_Lanes-CA$6))-1+SQRT((($BL16/(Total_Lanes-CA$6))-1)^2+8*($BL16/(Total_Lanes-CA$6))/(Peak_Time_Eve*$N49*(Total_Lanes-CA$6)))),"-")</f>
        <v>-</v>
      </c>
      <c r="CB16" s="136" t="str">
        <f aca="false">IF(CB$6&lt;Total_Lanes,900*Peak_Time_Eve*(($BL16/(Total_Lanes-CB$6))-1+SQRT((($BL16/(Total_Lanes-CB$6))-1)^2+8*($BL16/(Total_Lanes-CB$6))/(Peak_Time_Eve*$N49*(Total_Lanes-CB$6)))),"-")</f>
        <v>-</v>
      </c>
      <c r="CC16" s="136" t="str">
        <f aca="false">IF(CC$6&lt;Total_Lanes,900*Peak_Time_Eve*(($BL16/(Total_Lanes-CC$6))-1+SQRT((($BL16/(Total_Lanes-CC$6))-1)^2+8*($BL16/(Total_Lanes-CC$6))/(Peak_Time_Eve*$N49*(Total_Lanes-CC$6)))),"-")</f>
        <v>-</v>
      </c>
      <c r="CD16" s="136" t="str">
        <f aca="false">IF(CD$6&lt;Total_Lanes,900*Peak_Time_Eve*(($BL16/(Total_Lanes-CD$6))-1+SQRT((($BL16/(Total_Lanes-CD$6))-1)^2+8*($BL16/(Total_Lanes-CD$6))/(Peak_Time_Eve*$N49*(Total_Lanes-CD$6)))),"-")</f>
        <v>-</v>
      </c>
      <c r="CE16" s="136" t="str">
        <f aca="false">IF(CE$6&lt;Total_Lanes,900*Peak_Time_Eve*(($BL16/(Total_Lanes-CE$6))-1+SQRT((($BL16/(Total_Lanes-CE$6))-1)^2+8*($BL16/(Total_Lanes-CE$6))/(Peak_Time_Eve*$N49*(Total_Lanes-CE$6)))),"-")</f>
        <v>-</v>
      </c>
      <c r="CF16" s="136" t="str">
        <f aca="false">IF(CF$6&lt;Total_Lanes,900*Peak_Time_Eve*(($BL16/(Total_Lanes-CF$6))-1+SQRT((($BL16/(Total_Lanes-CF$6))-1)^2+8*($BL16/(Total_Lanes-CF$6))/(Peak_Time_Eve*$N49*(Total_Lanes-CF$6)))),"-")</f>
        <v>-</v>
      </c>
      <c r="CG16" s="147" t="str">
        <f aca="false">IF(CG$6&lt;Total_Lanes,900*Peak_Time_Eve*(($BL16/(Total_Lanes-CG$6))-1+SQRT((($BL16/(Total_Lanes-CG$6))-1)^2+8*($BL16/(Total_Lanes-CG$6))/(Peak_Time_Eve*$N49*(Total_Lanes-CG$6)))),"-")</f>
        <v>-</v>
      </c>
      <c r="CH16" s="160" t="n">
        <f aca="false">3600/N49</f>
        <v>6.76625</v>
      </c>
      <c r="CJ16" s="50" t="n">
        <v>9</v>
      </c>
      <c r="CK16" s="131" t="n">
        <f aca="false">$X16</f>
        <v>0.488152689932575</v>
      </c>
      <c r="CL16" s="57" t="n">
        <f aca="false">$AC16</f>
        <v>7231.95241024574</v>
      </c>
      <c r="CM16" s="135" t="n">
        <f aca="false">CL16*CK16</f>
        <v>3530.29702252583</v>
      </c>
      <c r="CN16" s="161" t="n">
        <f aca="false">CM16/O48</f>
        <v>2.35353134835055</v>
      </c>
      <c r="CO16" s="146" t="n">
        <f aca="false">IF(CO$6&lt;Total_Lanes,900*Peak_Time_Eve*(($CN16/CO$6-1)+SQRT(($CN16/CO$6-1)^2+8*($CN16/CO$6)/(Peak_Time_Eve*$O49*CO$6))),"-")</f>
        <v>4876.88242574213</v>
      </c>
      <c r="CP16" s="146" t="n">
        <f aca="false">IF(CP$6&lt;Total_Lanes,900*Peak_Time_Eve*(($CN16/CP$6-1)+SQRT(($CN16/CP$6-1)^2+8*($CN16/CP$6)/(Peak_Time_Eve*$O49*CP$6))),"-")</f>
        <v>644.247229627657</v>
      </c>
      <c r="CQ16" s="164" t="n">
        <f aca="false">IF(CQ$6&lt;Total_Lanes,900*Peak_Time_Eve*(($CN16/CQ$6-1)+SQRT(($CN16/CQ$6-1)^2+8*($CN16/CQ$6)/(Peak_Time_Eve*$O49*CQ$6))),"-")</f>
        <v>2.90162390625323</v>
      </c>
      <c r="CR16" s="164" t="n">
        <f aca="false">IF(CR$6&lt;Total_Lanes,900*Peak_Time_Eve*(($CN16/CR$6-1)+SQRT(($CN16/CR$6-1)^2+8*($CN16/CR$6)/(Peak_Time_Eve*$O49*CR$6))),"-")</f>
        <v>0.857169330639429</v>
      </c>
      <c r="CS16" s="164" t="n">
        <f aca="false">IF(CS$6&lt;Total_Lanes,900*Peak_Time_Eve*(($CN16/CS$6-1)+SQRT(($CN16/CS$6-1)^2+8*($CN16/CS$6)/(Peak_Time_Eve*$O49*CS$6))),"-")</f>
        <v>0.426773270349345</v>
      </c>
      <c r="CT16" s="164" t="n">
        <f aca="false">IF(CT$6&lt;Total_Lanes,900*Peak_Time_Eve*(($CN16/CT$6-1)+SQRT(($CN16/CT$6-1)^2+8*($CN16/CT$6)/(Peak_Time_Eve*$O49*CT$6))),"-")</f>
        <v>0.258140565117837</v>
      </c>
      <c r="CU16" s="164" t="n">
        <f aca="false">IF(CU$6&lt;Total_Lanes,900*Peak_Time_Eve*(($CN16/CU$6-1)+SQRT(($CN16/CU$6-1)^2+8*($CN16/CU$6)/(Peak_Time_Eve*$O49*CU$6))),"-")</f>
        <v>0.173651531899166</v>
      </c>
      <c r="CV16" s="164" t="n">
        <f aca="false">IF(CV$6&lt;Total_Lanes,900*Peak_Time_Eve*(($CN16/CV$6-1)+SQRT(($CN16/CV$6-1)^2+8*($CN16/CV$6)/(Peak_Time_Eve*$O49*CV$6))),"-")</f>
        <v>0.125038268088717</v>
      </c>
      <c r="CW16" s="164" t="n">
        <f aca="false">IF(CW$6&lt;Total_Lanes,900*Peak_Time_Eve*(($CN16/CW$6-1)+SQRT(($CN16/CW$6-1)^2+8*($CN16/CW$6)/(Peak_Time_Eve*$O49*CW$6))),"-")</f>
        <v>0.0944239870416919</v>
      </c>
      <c r="CX16" s="164" t="n">
        <f aca="false">IF(CX$6&lt;Total_Lanes,900*Peak_Time_Eve*(($CN16/CX$6-1)+SQRT(($CN16/CX$6-1)^2+8*($CN16/CX$6)/(Peak_Time_Eve*$O49*CX$6))),"-")</f>
        <v>0.0738683949782049</v>
      </c>
      <c r="CY16" s="164" t="n">
        <f aca="false">IF(CY$6&lt;Total_Lanes,900*Peak_Time_Eve*(($CN16/CY$6-1)+SQRT(($CN16/CY$6-1)^2+8*($CN16/CY$6)/(Peak_Time_Eve*$O49*CY$6))),"-")</f>
        <v>0.059386900372127</v>
      </c>
      <c r="CZ16" s="165" t="str">
        <f aca="false">IF(CZ$6&lt;Total_Lanes,900*Peak_Time_Eve*(($CN16/CZ$6-1)+SQRT(($CN16/CZ$6-1)^2+8*($CN16/CZ$6)/(Peak_Time_Eve*$O49*CZ$6))),"-")</f>
        <v>-</v>
      </c>
      <c r="DA16" s="165" t="str">
        <f aca="false">IF(DA$6&lt;Total_Lanes,900*Peak_Time_Eve*(($CN16/DA$6-1)+SQRT(($CN16/DA$6-1)^2+8*($CN16/DA$6)/(Peak_Time_Eve*$O49*DA$6))),"-")</f>
        <v>-</v>
      </c>
      <c r="DB16" s="165" t="str">
        <f aca="false">IF(DB$6&lt;Total_Lanes,900*Peak_Time_Eve*(($CN16/DB$6-1)+SQRT(($CN16/DB$6-1)^2+8*($CN16/DB$6)/(Peak_Time_Eve*$O49*DB$6))),"-")</f>
        <v>-</v>
      </c>
      <c r="DC16" s="165" t="str">
        <f aca="false">IF(DC$6&lt;Total_Lanes,900*Peak_Time_Eve*(($CN16/DC$6-1)+SQRT(($CN16/DC$6-1)^2+8*($CN16/DC$6)/(Peak_Time_Eve*$O49*DC$6))),"-")</f>
        <v>-</v>
      </c>
      <c r="DD16" s="165" t="str">
        <f aca="false">IF(DD$6&lt;Total_Lanes,900*Peak_Time_Eve*(($CN16/DD$6-1)+SQRT(($CN16/DD$6-1)^2+8*($CN16/DD$6)/(Peak_Time_Eve*$O49*DD$6))),"-")</f>
        <v>-</v>
      </c>
      <c r="DE16" s="165" t="str">
        <f aca="false">IF(DE$6&lt;Total_Lanes,900*Peak_Time_Eve*(($CN16/DE$6-1)+SQRT(($CN16/DE$6-1)^2+8*($CN16/DE$6)/(Peak_Time_Eve*$O49*DE$6))),"-")</f>
        <v>-</v>
      </c>
      <c r="DF16" s="165" t="str">
        <f aca="false">IF(DF$6&lt;Total_Lanes,900*Peak_Time_Eve*(($CN16/DF$6-1)+SQRT(($CN16/DF$6-1)^2+8*($CN16/DF$6)/(Peak_Time_Eve*$O49*DF$6))),"-")</f>
        <v>-</v>
      </c>
      <c r="DG16" s="165" t="str">
        <f aca="false">IF(DG$6&lt;Total_Lanes,900*Peak_Time_Eve*(($CN16/DG$6-1)+SQRT(($CN16/DG$6-1)^2+8*($CN16/DG$6)/(Peak_Time_Eve*$O49*DG$6))),"-")</f>
        <v>-</v>
      </c>
      <c r="DH16" s="165" t="str">
        <f aca="false">IF(DH$6&lt;Total_Lanes,900*Peak_Time_Eve*(($CN16/DH$6-1)+SQRT(($CN16/DH$6-1)^2+8*($CN16/DH$6)/(Peak_Time_Eve*$O49*DH$6))),"-")</f>
        <v>-</v>
      </c>
      <c r="DI16" s="166" t="str">
        <f aca="false">IF(DI$6&lt;Total_Lanes,900*Peak_Time_Eve*(($CN16/DI$6-1)+SQRT(($CN16/DI$6-1)^2+8*($CN16/DI$6)/(Peak_Time_Eve*$O49*DI$6))),"-")</f>
        <v>-</v>
      </c>
      <c r="DJ16" s="167" t="n">
        <f aca="false">3600/O49</f>
        <v>2.4</v>
      </c>
    </row>
    <row r="17" customFormat="false" ht="12.75" hidden="false" customHeight="false" outlineLevel="0" collapsed="false">
      <c r="H17" s="50" t="n">
        <v>10</v>
      </c>
      <c r="I17" s="124" t="n">
        <f aca="false">'Input-Detail'!E24</f>
        <v>24508086.5</v>
      </c>
      <c r="J17" s="131" t="n">
        <f aca="false">'Input-Detail'!F24</f>
        <v>0.531731128248894</v>
      </c>
      <c r="K17" s="57" t="n">
        <f aca="false">AC17</f>
        <v>7397.72490027305</v>
      </c>
      <c r="L17" s="135" t="n">
        <f aca="false">AD64</f>
        <v>12.2369622729448</v>
      </c>
      <c r="M17" s="150" t="n">
        <f aca="false">AD17</f>
        <v>29.5326622475906</v>
      </c>
      <c r="N17" s="150" t="n">
        <f aca="false">SUM(L17:M17)</f>
        <v>41.7696245205354</v>
      </c>
      <c r="O17" s="154" t="n">
        <f aca="false">$S$34*N17</f>
        <v>10860.1023753392</v>
      </c>
      <c r="P17" s="135" t="n">
        <f aca="false">BC64</f>
        <v>6.19439478287074</v>
      </c>
      <c r="Q17" s="150" t="n">
        <f aca="false">BC17</f>
        <v>22.7766449237775</v>
      </c>
      <c r="R17" s="150" t="n">
        <f aca="false">SUM(P17:Q17)</f>
        <v>28.9710397066482</v>
      </c>
      <c r="S17" s="155" t="n">
        <f aca="false">$S$34*R17</f>
        <v>7532.47032372854</v>
      </c>
      <c r="T17" s="1"/>
      <c r="U17" s="1"/>
      <c r="V17" s="50" t="n">
        <v>10</v>
      </c>
      <c r="W17" s="132" t="n">
        <f aca="false">W$7+(W$27-W$7)*$V17/20</f>
        <v>24508086.5</v>
      </c>
      <c r="X17" s="131" t="n">
        <f aca="false">J17</f>
        <v>0.531731128248894</v>
      </c>
      <c r="Y17" s="132" t="n">
        <f aca="false">'Input-Detail'!E24/Z17</f>
        <v>10568.1784289615</v>
      </c>
      <c r="Z17" s="156" t="n">
        <f aca="false">Z16</f>
        <v>2319.04548780488</v>
      </c>
      <c r="AA17" s="156" t="n">
        <f aca="false">AA16</f>
        <v>2</v>
      </c>
      <c r="AB17" s="157" t="n">
        <f aca="false">AB16</f>
        <v>0.7</v>
      </c>
      <c r="AC17" s="57" t="n">
        <f aca="false">Y17*AB17</f>
        <v>7397.72490027305</v>
      </c>
      <c r="AD17" s="135" t="n">
        <f aca="false">Peak_Time_Eve*$BH17*(3600/K50+BK17)/3600</f>
        <v>29.5326622475906</v>
      </c>
      <c r="AE17" s="136" t="n">
        <f aca="false">IF(AE$6&lt;Total_Lanes,($BI17*($CH17+BM17)+$CM17*CO17)*Peak_Time_Eve/3600,"-")</f>
        <v>12787.0195635433</v>
      </c>
      <c r="AF17" s="136" t="n">
        <f aca="false">IF(AF$6&lt;Total_Lanes,($BI17*($CH17+BN17)+$CM17*CP17)*Peak_Time_Eve/3600,"-")</f>
        <v>2474.79406118145</v>
      </c>
      <c r="AG17" s="136" t="n">
        <f aca="false">IF(AG$6&lt;Total_Lanes,($BI17*($CH17+BO17)+$CM17*CQ17)*Peak_Time_Eve/3600,"-")</f>
        <v>28.8910917170164</v>
      </c>
      <c r="AH17" s="136" t="n">
        <f aca="false">IF(AH$6&lt;Total_Lanes,($BI17*($CH17+BP17)+$CM17*CR17)*Peak_Time_Eve/3600,"-")</f>
        <v>22.7766449237775</v>
      </c>
      <c r="AI17" s="136" t="n">
        <f aca="false">IF(AI$6&lt;Total_Lanes,($BI17*($CH17+BQ17)+$CM17*CS17)*Peak_Time_Eve/3600,"-")</f>
        <v>38.9099262539549</v>
      </c>
      <c r="AJ17" s="136" t="n">
        <f aca="false">IF(AJ$6&lt;Total_Lanes,($BI17*($CH17+BR17)+$CM17*CT17)*Peak_Time_Eve/3600,"-")</f>
        <v>652.945030378935</v>
      </c>
      <c r="AK17" s="136" t="n">
        <f aca="false">IF(AK$6&lt;Total_Lanes,($BI17*($CH17+BS17)+$CM17*CU17)*Peak_Time_Eve/3600,"-")</f>
        <v>2146.46628359814</v>
      </c>
      <c r="AL17" s="136" t="n">
        <f aca="false">IF(AL$6&lt;Total_Lanes,($BI17*($CH17+BT17)+$CM17*CV17)*Peak_Time_Eve/3600,"-")</f>
        <v>4406.1917856817</v>
      </c>
      <c r="AM17" s="136" t="n">
        <f aca="false">IF(AM$6&lt;Total_Lanes,($BI17*($CH17+BU17)+$CM17*CW17)*Peak_Time_Eve/3600,"-")</f>
        <v>8176.62983753597</v>
      </c>
      <c r="AN17" s="136" t="n">
        <f aca="false">IF(AN$6&lt;Total_Lanes,($BI17*($CH17+BV17)+$CM17*CX17)*Peak_Time_Eve/3600,"-")</f>
        <v>15719.7051230494</v>
      </c>
      <c r="AO17" s="136" t="n">
        <f aca="false">IF(AO$6&lt;Total_Lanes,($BI17*($CH17+BW17)+$CM17*CY17)*Peak_Time_Eve/3600,"-")</f>
        <v>38350.9737590395</v>
      </c>
      <c r="AP17" s="136" t="str">
        <f aca="false">IF(AP$6&lt;Total_Lanes,($BI17*($CH17+BX17)+$CM17*CZ17)*Peak_Time_Eve/3600,"-")</f>
        <v>-</v>
      </c>
      <c r="AQ17" s="136" t="str">
        <f aca="false">IF(AQ$6&lt;Total_Lanes,($BI17*($CH17+BY17)+$CM17*DA17)*Peak_Time_Eve/3600,"-")</f>
        <v>-</v>
      </c>
      <c r="AR17" s="136" t="str">
        <f aca="false">IF(AR$6&lt;Total_Lanes,($BI17*($CH17+BZ17)+$CM17*DB17)*Peak_Time_Eve/3600,"-")</f>
        <v>-</v>
      </c>
      <c r="AS17" s="136" t="str">
        <f aca="false">IF(AS$6&lt;Total_Lanes,($BI17*($CH17+CA17)+$CM17*DC17)*Peak_Time_Eve/3600,"-")</f>
        <v>-</v>
      </c>
      <c r="AT17" s="136" t="str">
        <f aca="false">IF(AT$6&lt;Total_Lanes,($BI17*($CH17+CB17)+$CM17*DD17)*Peak_Time_Eve/3600,"-")</f>
        <v>-</v>
      </c>
      <c r="AU17" s="136" t="str">
        <f aca="false">IF(AU$6&lt;Total_Lanes,($BI17*($CH17+CC17)+$CM17*DE17)*Peak_Time_Eve/3600,"-")</f>
        <v>-</v>
      </c>
      <c r="AV17" s="136" t="str">
        <f aca="false">IF(AV$6&lt;Total_Lanes,($BI17*($CH17+CD17)+$CM17*DF17)*Peak_Time_Eve/3600,"-")</f>
        <v>-</v>
      </c>
      <c r="AW17" s="136" t="str">
        <f aca="false">IF(AW$6&lt;Total_Lanes,($BI17*($CH17+CE17)+$CM17*DG17)*Peak_Time_Eve/3600,"-")</f>
        <v>-</v>
      </c>
      <c r="AX17" s="136" t="str">
        <f aca="false">IF(AX$6&lt;Total_Lanes,($BI17*($CH17+CF17)+$CM17*DH17)*Peak_Time_Eve/3600,"-")</f>
        <v>-</v>
      </c>
      <c r="AY17" s="137" t="str">
        <f aca="false">IF(AY$6&lt;Total_Lanes,($BI17*($CH17+CG17)+$CM17*DI17)*Peak_Time_Eve/3600,"-")</f>
        <v>-</v>
      </c>
      <c r="AZ17" s="158" t="n">
        <f aca="false">SUMIF(AE17:AY17,BA17,$AE$6:$AY$6)</f>
        <v>4</v>
      </c>
      <c r="BA17" s="159" t="n">
        <f aca="false">MIN(AE17:AY17)</f>
        <v>22.7766449237775</v>
      </c>
      <c r="BB17" s="158" t="n">
        <f aca="false">Price!X17</f>
        <v>4</v>
      </c>
      <c r="BC17" s="159" t="n">
        <f aca="false">SUMIF($AE$6:$AY$6,$BB17,$AE17:$AY17)</f>
        <v>22.7766449237775</v>
      </c>
      <c r="BF17" s="50" t="n">
        <v>10</v>
      </c>
      <c r="BG17" s="131" t="n">
        <f aca="false">$X17</f>
        <v>0.531731128248894</v>
      </c>
      <c r="BH17" s="141" t="n">
        <f aca="false">$AC17</f>
        <v>7397.72490027305</v>
      </c>
      <c r="BI17" s="58" t="n">
        <f aca="false">BH17*(1-BG17)</f>
        <v>3464.12429257592</v>
      </c>
      <c r="BJ17" s="143" t="n">
        <f aca="false">Peak_Arrival_Manual/K50</f>
        <v>6.32683811769075</v>
      </c>
      <c r="BK17" s="144" t="n">
        <f aca="false">900*Peak_Time_Eve*(BJ17/Total_Lanes-1+SQRT((BJ17/Total_Lanes-1)^2+8*(BJ17/Total_Lanes)/(Peak_Time_Eve*$K50*Total_Lanes)))</f>
        <v>0.610829800686563</v>
      </c>
      <c r="BL17" s="145" t="n">
        <f aca="false">Peak_Arrival_Manual/N50</f>
        <v>6.53131767662752</v>
      </c>
      <c r="BM17" s="146" t="n">
        <f aca="false">IF(BM$6&lt;Total_Lanes,900*Peak_Time_Eve*(($BL17/(Total_Lanes-BM$6))-1+SQRT((($BL17/(Total_Lanes-BM$6))-1)^2+8*($BL17/(Total_Lanes-BM$6))/(Peak_Time_Eve*$N50*(Total_Lanes-BM$6)))),"-")</f>
        <v>0.901303207582749</v>
      </c>
      <c r="BN17" s="146" t="n">
        <f aca="false">IF(BN$6&lt;Total_Lanes,900*Peak_Time_Eve*(($BL17/(Total_Lanes-BN$6))-1+SQRT((($BL17/(Total_Lanes-BN$6))-1)^2+8*($BL17/(Total_Lanes-BN$6))/(Peak_Time_Eve*$N50*(Total_Lanes-BN$6)))),"-")</f>
        <v>1.2767395526346</v>
      </c>
      <c r="BO17" s="146" t="n">
        <f aca="false">IF(BO$6&lt;Total_Lanes,900*Peak_Time_Eve*(($BL17/(Total_Lanes-BO$6))-1+SQRT((($BL17/(Total_Lanes-BO$6))-1)^2+8*($BL17/(Total_Lanes-BO$6))/(Peak_Time_Eve*$N50*(Total_Lanes-BO$6)))),"-")</f>
        <v>1.99126037396155</v>
      </c>
      <c r="BP17" s="146" t="n">
        <f aca="false">IF(BP$6&lt;Total_Lanes,900*Peak_Time_Eve*(($BL17/(Total_Lanes-BP$6))-1+SQRT((($BL17/(Total_Lanes-BP$6))-1)^2+8*($BL17/(Total_Lanes-BP$6))/(Peak_Time_Eve*$N50*(Total_Lanes-BP$6)))),"-")</f>
        <v>3.75175455182142</v>
      </c>
      <c r="BQ17" s="146" t="n">
        <f aca="false">IF(BQ$6&lt;Total_Lanes,900*Peak_Time_Eve*(($BL17/(Total_Lanes-BQ$6))-1+SQRT((($BL17/(Total_Lanes-BQ$6))-1)^2+8*($BL17/(Total_Lanes-BQ$6))/(Peak_Time_Eve*$N50*(Total_Lanes-BQ$6)))),"-")</f>
        <v>12.8295727971714</v>
      </c>
      <c r="BR17" s="146" t="n">
        <f aca="false">IF(BR$6&lt;Total_Lanes,900*Peak_Time_Eve*(($BL17/(Total_Lanes-BR$6))-1+SQRT((($BL17/(Total_Lanes-BR$6))-1)^2+8*($BL17/(Total_Lanes-BR$6))/(Peak_Time_Eve*$N50*(Total_Lanes-BR$6)))),"-")</f>
        <v>332.137870086611</v>
      </c>
      <c r="BS17" s="146" t="n">
        <f aca="false">IF(BS$6&lt;Total_Lanes,900*Peak_Time_Eve*(($BL17/(Total_Lanes-BS$6))-1+SQRT((($BL17/(Total_Lanes-BS$6))-1)^2+8*($BL17/(Total_Lanes-BS$6))/(Peak_Time_Eve*$N50*(Total_Lanes-BS$6)))),"-")</f>
        <v>1108.30859399207</v>
      </c>
      <c r="BT17" s="146" t="n">
        <f aca="false">IF(BT$6&lt;Total_Lanes,900*Peak_Time_Eve*(($BL17/(Total_Lanes-BT$6))-1+SQRT((($BL17/(Total_Lanes-BT$6))-1)^2+8*($BL17/(Total_Lanes-BT$6))/(Peak_Time_Eve*$N50*(Total_Lanes-BT$6)))),"-")</f>
        <v>2282.55581162541</v>
      </c>
      <c r="BU17" s="146" t="n">
        <f aca="false">IF(BU$6&lt;Total_Lanes,900*Peak_Time_Eve*(($BL17/(Total_Lanes-BU$6))-1+SQRT((($BL17/(Total_Lanes-BU$6))-1)^2+8*($BL17/(Total_Lanes-BU$6))/(Peak_Time_Eve*$N50*(Total_Lanes-BU$6)))),"-")</f>
        <v>4241.76167489535</v>
      </c>
      <c r="BV17" s="146" t="n">
        <f aca="false">IF(BV$6&lt;Total_Lanes,900*Peak_Time_Eve*(($BL17/(Total_Lanes-BV$6))-1+SQRT((($BL17/(Total_Lanes-BV$6))-1)^2+8*($BL17/(Total_Lanes-BV$6))/(Peak_Time_Eve*$N50*(Total_Lanes-BV$6)))),"-")</f>
        <v>8161.26054640846</v>
      </c>
      <c r="BW17" s="146" t="n">
        <f aca="false">IF(BW$6&lt;Total_Lanes,900*Peak_Time_Eve*(($BL17/(Total_Lanes-BW$6))-1+SQRT((($BL17/(Total_Lanes-BW$6))-1)^2+8*($BL17/(Total_Lanes-BW$6))/(Peak_Time_Eve*$N50*(Total_Lanes-BW$6)))),"-")</f>
        <v>19920.7550163162</v>
      </c>
      <c r="BX17" s="136" t="str">
        <f aca="false">IF(BX$6&lt;Total_Lanes,900*Peak_Time_Eve*(($BL17/(Total_Lanes-BX$6))-1+SQRT((($BL17/(Total_Lanes-BX$6))-1)^2+8*($BL17/(Total_Lanes-BX$6))/(Peak_Time_Eve*$N50*(Total_Lanes-BX$6)))),"-")</f>
        <v>-</v>
      </c>
      <c r="BY17" s="136" t="str">
        <f aca="false">IF(BY$6&lt;Total_Lanes,900*Peak_Time_Eve*(($BL17/(Total_Lanes-BY$6))-1+SQRT((($BL17/(Total_Lanes-BY$6))-1)^2+8*($BL17/(Total_Lanes-BY$6))/(Peak_Time_Eve*$N50*(Total_Lanes-BY$6)))),"-")</f>
        <v>-</v>
      </c>
      <c r="BZ17" s="136" t="str">
        <f aca="false">IF(BZ$6&lt;Total_Lanes,900*Peak_Time_Eve*(($BL17/(Total_Lanes-BZ$6))-1+SQRT((($BL17/(Total_Lanes-BZ$6))-1)^2+8*($BL17/(Total_Lanes-BZ$6))/(Peak_Time_Eve*$N50*(Total_Lanes-BZ$6)))),"-")</f>
        <v>-</v>
      </c>
      <c r="CA17" s="136" t="str">
        <f aca="false">IF(CA$6&lt;Total_Lanes,900*Peak_Time_Eve*(($BL17/(Total_Lanes-CA$6))-1+SQRT((($BL17/(Total_Lanes-CA$6))-1)^2+8*($BL17/(Total_Lanes-CA$6))/(Peak_Time_Eve*$N50*(Total_Lanes-CA$6)))),"-")</f>
        <v>-</v>
      </c>
      <c r="CB17" s="136" t="str">
        <f aca="false">IF(CB$6&lt;Total_Lanes,900*Peak_Time_Eve*(($BL17/(Total_Lanes-CB$6))-1+SQRT((($BL17/(Total_Lanes-CB$6))-1)^2+8*($BL17/(Total_Lanes-CB$6))/(Peak_Time_Eve*$N50*(Total_Lanes-CB$6)))),"-")</f>
        <v>-</v>
      </c>
      <c r="CC17" s="136" t="str">
        <f aca="false">IF(CC$6&lt;Total_Lanes,900*Peak_Time_Eve*(($BL17/(Total_Lanes-CC$6))-1+SQRT((($BL17/(Total_Lanes-CC$6))-1)^2+8*($BL17/(Total_Lanes-CC$6))/(Peak_Time_Eve*$N50*(Total_Lanes-CC$6)))),"-")</f>
        <v>-</v>
      </c>
      <c r="CD17" s="136" t="str">
        <f aca="false">IF(CD$6&lt;Total_Lanes,900*Peak_Time_Eve*(($BL17/(Total_Lanes-CD$6))-1+SQRT((($BL17/(Total_Lanes-CD$6))-1)^2+8*($BL17/(Total_Lanes-CD$6))/(Peak_Time_Eve*$N50*(Total_Lanes-CD$6)))),"-")</f>
        <v>-</v>
      </c>
      <c r="CE17" s="136" t="str">
        <f aca="false">IF(CE$6&lt;Total_Lanes,900*Peak_Time_Eve*(($BL17/(Total_Lanes-CE$6))-1+SQRT((($BL17/(Total_Lanes-CE$6))-1)^2+8*($BL17/(Total_Lanes-CE$6))/(Peak_Time_Eve*$N50*(Total_Lanes-CE$6)))),"-")</f>
        <v>-</v>
      </c>
      <c r="CF17" s="136" t="str">
        <f aca="false">IF(CF$6&lt;Total_Lanes,900*Peak_Time_Eve*(($BL17/(Total_Lanes-CF$6))-1+SQRT((($BL17/(Total_Lanes-CF$6))-1)^2+8*($BL17/(Total_Lanes-CF$6))/(Peak_Time_Eve*$N50*(Total_Lanes-CF$6)))),"-")</f>
        <v>-</v>
      </c>
      <c r="CG17" s="147" t="str">
        <f aca="false">IF(CG$6&lt;Total_Lanes,900*Peak_Time_Eve*(($BL17/(Total_Lanes-CG$6))-1+SQRT((($BL17/(Total_Lanes-CG$6))-1)^2+8*($BL17/(Total_Lanes-CG$6))/(Peak_Time_Eve*$N50*(Total_Lanes-CG$6)))),"-")</f>
        <v>-</v>
      </c>
      <c r="CH17" s="160" t="n">
        <f aca="false">3600/N50</f>
        <v>6.7875</v>
      </c>
      <c r="CJ17" s="50" t="n">
        <v>10</v>
      </c>
      <c r="CK17" s="131" t="n">
        <f aca="false">$X17</f>
        <v>0.531731128248894</v>
      </c>
      <c r="CL17" s="57" t="n">
        <f aca="false">$AC17</f>
        <v>7397.72490027305</v>
      </c>
      <c r="CM17" s="135" t="n">
        <f aca="false">CL17*CK17</f>
        <v>3933.60060769712</v>
      </c>
      <c r="CN17" s="161" t="n">
        <f aca="false">CM17/O49</f>
        <v>2.62240040513141</v>
      </c>
      <c r="CO17" s="146" t="n">
        <f aca="false">IF(CO$6&lt;Total_Lanes,900*Peak_Time_Eve*(($CN17/CO$6-1)+SQRT(($CN17/CO$6-1)^2+8*($CN17/CO$6)/(Peak_Time_Eve*$O50*CO$6))),"-")</f>
        <v>5844.51817488022</v>
      </c>
      <c r="CP17" s="146" t="n">
        <f aca="false">IF(CP$6&lt;Total_Lanes,900*Peak_Time_Eve*(($CN17/CP$6-1)+SQRT(($CN17/CP$6-1)^2+8*($CN17/CP$6)/(Peak_Time_Eve*$O50*CP$6))),"-")</f>
        <v>1125.35415347689</v>
      </c>
      <c r="CQ17" s="164" t="n">
        <f aca="false">IF(CQ$6&lt;Total_Lanes,900*Peak_Time_Eve*(($CN17/CQ$6-1)+SQRT(($CN17/CQ$6-1)^2+8*($CN17/CQ$6)/(Peak_Time_Eve*$O50*CQ$6))),"-")</f>
        <v>5.48943580551456</v>
      </c>
      <c r="CR17" s="164" t="n">
        <f aca="false">IF(CR$6&lt;Total_Lanes,900*Peak_Time_Eve*(($CN17/CR$6-1)+SQRT(($CN17/CR$6-1)^2+8*($CN17/CR$6)/(Peak_Time_Eve*$O50*CR$6))),"-")</f>
        <v>1.14111054777911</v>
      </c>
      <c r="CS17" s="164" t="n">
        <f aca="false">IF(CS$6&lt;Total_Lanes,900*Peak_Time_Eve*(($CN17/CS$6-1)+SQRT(($CN17/CS$6-1)^2+8*($CN17/CS$6)/(Peak_Time_Eve*$O50*CS$6))),"-")</f>
        <v>0.529257806990724</v>
      </c>
      <c r="CT17" s="164" t="n">
        <f aca="false">IF(CT$6&lt;Total_Lanes,900*Peak_Time_Eve*(($CN17/CT$6-1)+SQRT(($CN17/CT$6-1)^2+8*($CN17/CT$6)/(Peak_Time_Eve*$O50*CT$6))),"-")</f>
        <v>0.310516220781953</v>
      </c>
      <c r="CU17" s="164" t="n">
        <f aca="false">IF(CU$6&lt;Total_Lanes,900*Peak_Time_Eve*(($CN17/CU$6-1)+SQRT(($CN17/CU$6-1)^2+8*($CN17/CU$6)/(Peak_Time_Eve*$O50*CU$6))),"-")</f>
        <v>0.205369787825704</v>
      </c>
      <c r="CV17" s="164" t="n">
        <f aca="false">IF(CV$6&lt;Total_Lanes,900*Peak_Time_Eve*(($CN17/CV$6-1)+SQRT(($CN17/CV$6-1)^2+8*($CN17/CV$6)/(Peak_Time_Eve*$O50*CV$6))),"-")</f>
        <v>0.146286935722939</v>
      </c>
      <c r="CW17" s="164" t="n">
        <f aca="false">IF(CW$6&lt;Total_Lanes,900*Peak_Time_Eve*(($CN17/CW$6-1)+SQRT(($CN17/CW$6-1)^2+8*($CN17/CW$6)/(Peak_Time_Eve*$O50*CW$6))),"-")</f>
        <v>0.109645754460019</v>
      </c>
      <c r="CX17" s="164" t="n">
        <f aca="false">IF(CX$6&lt;Total_Lanes,900*Peak_Time_Eve*(($CN17/CX$6-1)+SQRT(($CN17/CX$6-1)^2+8*($CN17/CX$6)/(Peak_Time_Eve*$O50*CX$6))),"-")</f>
        <v>0.0853063214915295</v>
      </c>
      <c r="CY17" s="164" t="n">
        <f aca="false">IF(CY$6&lt;Total_Lanes,900*Peak_Time_Eve*(($CN17/CY$6-1)+SQRT(($CN17/CY$6-1)^2+8*($CN17/CY$6)/(Peak_Time_Eve*$O50*CY$6))),"-")</f>
        <v>0.0682947221677166</v>
      </c>
      <c r="CZ17" s="165" t="str">
        <f aca="false">IF(CZ$6&lt;Total_Lanes,900*Peak_Time_Eve*(($CN17/CZ$6-1)+SQRT(($CN17/CZ$6-1)^2+8*($CN17/CZ$6)/(Peak_Time_Eve*$O50*CZ$6))),"-")</f>
        <v>-</v>
      </c>
      <c r="DA17" s="165" t="str">
        <f aca="false">IF(DA$6&lt;Total_Lanes,900*Peak_Time_Eve*(($CN17/DA$6-1)+SQRT(($CN17/DA$6-1)^2+8*($CN17/DA$6)/(Peak_Time_Eve*$O50*DA$6))),"-")</f>
        <v>-</v>
      </c>
      <c r="DB17" s="165" t="str">
        <f aca="false">IF(DB$6&lt;Total_Lanes,900*Peak_Time_Eve*(($CN17/DB$6-1)+SQRT(($CN17/DB$6-1)^2+8*($CN17/DB$6)/(Peak_Time_Eve*$O50*DB$6))),"-")</f>
        <v>-</v>
      </c>
      <c r="DC17" s="165" t="str">
        <f aca="false">IF(DC$6&lt;Total_Lanes,900*Peak_Time_Eve*(($CN17/DC$6-1)+SQRT(($CN17/DC$6-1)^2+8*($CN17/DC$6)/(Peak_Time_Eve*$O50*DC$6))),"-")</f>
        <v>-</v>
      </c>
      <c r="DD17" s="165" t="str">
        <f aca="false">IF(DD$6&lt;Total_Lanes,900*Peak_Time_Eve*(($CN17/DD$6-1)+SQRT(($CN17/DD$6-1)^2+8*($CN17/DD$6)/(Peak_Time_Eve*$O50*DD$6))),"-")</f>
        <v>-</v>
      </c>
      <c r="DE17" s="165" t="str">
        <f aca="false">IF(DE$6&lt;Total_Lanes,900*Peak_Time_Eve*(($CN17/DE$6-1)+SQRT(($CN17/DE$6-1)^2+8*($CN17/DE$6)/(Peak_Time_Eve*$O50*DE$6))),"-")</f>
        <v>-</v>
      </c>
      <c r="DF17" s="165" t="str">
        <f aca="false">IF(DF$6&lt;Total_Lanes,900*Peak_Time_Eve*(($CN17/DF$6-1)+SQRT(($CN17/DF$6-1)^2+8*($CN17/DF$6)/(Peak_Time_Eve*$O50*DF$6))),"-")</f>
        <v>-</v>
      </c>
      <c r="DG17" s="165" t="str">
        <f aca="false">IF(DG$6&lt;Total_Lanes,900*Peak_Time_Eve*(($CN17/DG$6-1)+SQRT(($CN17/DG$6-1)^2+8*($CN17/DG$6)/(Peak_Time_Eve*$O50*DG$6))),"-")</f>
        <v>-</v>
      </c>
      <c r="DH17" s="165" t="str">
        <f aca="false">IF(DH$6&lt;Total_Lanes,900*Peak_Time_Eve*(($CN17/DH$6-1)+SQRT(($CN17/DH$6-1)^2+8*($CN17/DH$6)/(Peak_Time_Eve*$O50*DH$6))),"-")</f>
        <v>-</v>
      </c>
      <c r="DI17" s="166" t="str">
        <f aca="false">IF(DI$6&lt;Total_Lanes,900*Peak_Time_Eve*(($CN17/DI$6-1)+SQRT(($CN17/DI$6-1)^2+8*($CN17/DI$6)/(Peak_Time_Eve*$O50*DI$6))),"-")</f>
        <v>-</v>
      </c>
      <c r="DJ17" s="167" t="n">
        <f aca="false">3600/O50</f>
        <v>2.4</v>
      </c>
    </row>
    <row r="18" customFormat="false" ht="12.75" hidden="false" customHeight="false" outlineLevel="0" collapsed="false">
      <c r="H18" s="50" t="n">
        <v>11</v>
      </c>
      <c r="I18" s="124" t="n">
        <f aca="false">'Input-Detail'!E25</f>
        <v>25057277.85</v>
      </c>
      <c r="J18" s="131" t="n">
        <f aca="false">'Input-Detail'!F25</f>
        <v>0.57370976448128</v>
      </c>
      <c r="K18" s="57" t="n">
        <f aca="false">AC18</f>
        <v>7563.49739030035</v>
      </c>
      <c r="L18" s="135" t="n">
        <f aca="false">AD65</f>
        <v>12.5241881154119</v>
      </c>
      <c r="M18" s="150" t="n">
        <f aca="false">AD18</f>
        <v>29.845609820131</v>
      </c>
      <c r="N18" s="150" t="n">
        <f aca="false">SUM(L18:M18)</f>
        <v>42.3697979355429</v>
      </c>
      <c r="O18" s="154" t="n">
        <f aca="false">$S$34*N18</f>
        <v>11016.1474632411</v>
      </c>
      <c r="P18" s="135" t="n">
        <f aca="false">BC65</f>
        <v>5.82227492897565</v>
      </c>
      <c r="Q18" s="150" t="n">
        <f aca="false">BC18</f>
        <v>20.8420057258737</v>
      </c>
      <c r="R18" s="150" t="n">
        <f aca="false">SUM(P18:Q18)</f>
        <v>26.6642806548494</v>
      </c>
      <c r="S18" s="155" t="n">
        <f aca="false">$S$34*R18</f>
        <v>6932.71297026084</v>
      </c>
      <c r="T18" s="1"/>
      <c r="U18" s="1"/>
      <c r="V18" s="50" t="n">
        <v>11</v>
      </c>
      <c r="W18" s="132" t="n">
        <f aca="false">W$7+(W$27-W$7)*$V18/20</f>
        <v>25057277.85</v>
      </c>
      <c r="X18" s="131" t="n">
        <f aca="false">J18</f>
        <v>0.57370976448128</v>
      </c>
      <c r="Y18" s="132" t="n">
        <f aca="false">'Input-Detail'!E25/Z18</f>
        <v>10804.9962718576</v>
      </c>
      <c r="Z18" s="156" t="n">
        <f aca="false">Z17</f>
        <v>2319.04548780488</v>
      </c>
      <c r="AA18" s="156" t="n">
        <f aca="false">AA17</f>
        <v>2</v>
      </c>
      <c r="AB18" s="157" t="n">
        <f aca="false">AB17</f>
        <v>0.7</v>
      </c>
      <c r="AC18" s="57" t="n">
        <f aca="false">Y18*AB18</f>
        <v>7563.49739030035</v>
      </c>
      <c r="AD18" s="135" t="n">
        <f aca="false">Peak_Time_Eve*$BH18*(3600/K51+BK18)/3600</f>
        <v>29.845609820131</v>
      </c>
      <c r="AE18" s="136" t="n">
        <f aca="false">IF(AE$6&lt;Total_Lanes,($BI18*($CH18+BM18)+$CM18*CO18)*Peak_Time_Eve/3600,"-")</f>
        <v>16449.3884776085</v>
      </c>
      <c r="AF18" s="136" t="n">
        <f aca="false">IF(AF$6&lt;Total_Lanes,($BI18*($CH18+BN18)+$CM18*CP18)*Peak_Time_Eve/3600,"-")</f>
        <v>3897.68692876161</v>
      </c>
      <c r="AG18" s="136" t="n">
        <f aca="false">IF(AG$6&lt;Total_Lanes,($BI18*($CH18+BO18)+$CM18*CQ18)*Peak_Time_Eve/3600,"-")</f>
        <v>60.4485362396362</v>
      </c>
      <c r="AH18" s="136" t="n">
        <f aca="false">IF(AH$6&lt;Total_Lanes,($BI18*($CH18+BP18)+$CM18*CR18)*Peak_Time_Eve/3600,"-")</f>
        <v>20.8420057258737</v>
      </c>
      <c r="AI18" s="136" t="n">
        <f aca="false">IF(AI$6&lt;Total_Lanes,($BI18*($CH18+BQ18)+$CM18*CS18)*Peak_Time_Eve/3600,"-")</f>
        <v>25.4016876584203</v>
      </c>
      <c r="AJ18" s="136" t="n">
        <f aca="false">IF(AJ$6&lt;Total_Lanes,($BI18*($CH18+BR18)+$CM18*CT18)*Peak_Time_Eve/3600,"-")</f>
        <v>192.683003607292</v>
      </c>
      <c r="AK18" s="136" t="n">
        <f aca="false">IF(AK$6&lt;Total_Lanes,($BI18*($CH18+BS18)+$CM18*CU18)*Peak_Time_Eve/3600,"-")</f>
        <v>1442.3854392897</v>
      </c>
      <c r="AL18" s="136" t="n">
        <f aca="false">IF(AL$6&lt;Total_Lanes,($BI18*($CH18+BT18)+$CM18*CV18)*Peak_Time_Eve/3600,"-")</f>
        <v>3403.80262898254</v>
      </c>
      <c r="AM18" s="136" t="n">
        <f aca="false">IF(AM$6&lt;Total_Lanes,($BI18*($CH18+BU18)+$CM18*CW18)*Peak_Time_Eve/3600,"-")</f>
        <v>6679.80038413523</v>
      </c>
      <c r="AN18" s="136" t="n">
        <f aca="false">IF(AN$6&lt;Total_Lanes,($BI18*($CH18+BV18)+$CM18*CX18)*Peak_Time_Eve/3600,"-")</f>
        <v>13234.7055393005</v>
      </c>
      <c r="AO18" s="136" t="n">
        <f aca="false">IF(AO$6&lt;Total_Lanes,($BI18*($CH18+BW18)+$CM18*CY18)*Peak_Time_Eve/3600,"-")</f>
        <v>32901.8679418538</v>
      </c>
      <c r="AP18" s="136" t="str">
        <f aca="false">IF(AP$6&lt;Total_Lanes,($BI18*($CH18+BX18)+$CM18*CZ18)*Peak_Time_Eve/3600,"-")</f>
        <v>-</v>
      </c>
      <c r="AQ18" s="136" t="str">
        <f aca="false">IF(AQ$6&lt;Total_Lanes,($BI18*($CH18+BY18)+$CM18*DA18)*Peak_Time_Eve/3600,"-")</f>
        <v>-</v>
      </c>
      <c r="AR18" s="136" t="str">
        <f aca="false">IF(AR$6&lt;Total_Lanes,($BI18*($CH18+BZ18)+$CM18*DB18)*Peak_Time_Eve/3600,"-")</f>
        <v>-</v>
      </c>
      <c r="AS18" s="136" t="str">
        <f aca="false">IF(AS$6&lt;Total_Lanes,($BI18*($CH18+CA18)+$CM18*DC18)*Peak_Time_Eve/3600,"-")</f>
        <v>-</v>
      </c>
      <c r="AT18" s="136" t="str">
        <f aca="false">IF(AT$6&lt;Total_Lanes,($BI18*($CH18+CB18)+$CM18*DD18)*Peak_Time_Eve/3600,"-")</f>
        <v>-</v>
      </c>
      <c r="AU18" s="136" t="str">
        <f aca="false">IF(AU$6&lt;Total_Lanes,($BI18*($CH18+CC18)+$CM18*DE18)*Peak_Time_Eve/3600,"-")</f>
        <v>-</v>
      </c>
      <c r="AV18" s="136" t="str">
        <f aca="false">IF(AV$6&lt;Total_Lanes,($BI18*($CH18+CD18)+$CM18*DF18)*Peak_Time_Eve/3600,"-")</f>
        <v>-</v>
      </c>
      <c r="AW18" s="136" t="str">
        <f aca="false">IF(AW$6&lt;Total_Lanes,($BI18*($CH18+CE18)+$CM18*DG18)*Peak_Time_Eve/3600,"-")</f>
        <v>-</v>
      </c>
      <c r="AX18" s="136" t="str">
        <f aca="false">IF(AX$6&lt;Total_Lanes,($BI18*($CH18+CF18)+$CM18*DH18)*Peak_Time_Eve/3600,"-")</f>
        <v>-</v>
      </c>
      <c r="AY18" s="137" t="str">
        <f aca="false">IF(AY$6&lt;Total_Lanes,($BI18*($CH18+CG18)+$CM18*DI18)*Peak_Time_Eve/3600,"-")</f>
        <v>-</v>
      </c>
      <c r="AZ18" s="158" t="n">
        <f aca="false">SUMIF(AE18:AY18,BA18,$AE$6:$AY$6)</f>
        <v>4</v>
      </c>
      <c r="BA18" s="159" t="n">
        <f aca="false">MIN(AE18:AY18)</f>
        <v>20.8420057258737</v>
      </c>
      <c r="BB18" s="158" t="n">
        <f aca="false">Price!X18</f>
        <v>4</v>
      </c>
      <c r="BC18" s="159" t="n">
        <f aca="false">SUMIF($AE$6:$AY$6,$BB18,$AE18:$AY18)</f>
        <v>20.8420057258737</v>
      </c>
      <c r="BF18" s="50" t="n">
        <v>11</v>
      </c>
      <c r="BG18" s="131" t="n">
        <f aca="false">$X18</f>
        <v>0.57370976448128</v>
      </c>
      <c r="BH18" s="141" t="n">
        <f aca="false">$AC18</f>
        <v>7563.49739030035</v>
      </c>
      <c r="BI18" s="58" t="n">
        <f aca="false">BH18*(1-BG18)</f>
        <v>3224.24508385636</v>
      </c>
      <c r="BJ18" s="143" t="n">
        <f aca="false">Peak_Arrival_Manual/K51</f>
        <v>5.88872539620988</v>
      </c>
      <c r="BK18" s="144" t="n">
        <f aca="false">900*Peak_Time_Eve*(BJ18/Total_Lanes-1+SQRT((BJ18/Total_Lanes-1)^2+8*(BJ18/Total_Lanes)/(Peak_Time_Eve*$K51*Total_Lanes)))</f>
        <v>0.527811689355584</v>
      </c>
      <c r="BL18" s="145" t="n">
        <f aca="false">Peak_Arrival_Manual/N51</f>
        <v>6.09807742075194</v>
      </c>
      <c r="BM18" s="146" t="n">
        <f aca="false">IF(BM$6&lt;Total_Lanes,900*Peak_Time_Eve*(($BL18/(Total_Lanes-BM$6))-1+SQRT((($BL18/(Total_Lanes-BM$6))-1)^2+8*($BL18/(Total_Lanes-BM$6))/(Peak_Time_Eve*$N51*(Total_Lanes-BM$6)))),"-")</f>
        <v>0.76964931222383</v>
      </c>
      <c r="BN18" s="146" t="n">
        <f aca="false">IF(BN$6&lt;Total_Lanes,900*Peak_Time_Eve*(($BL18/(Total_Lanes-BN$6))-1+SQRT((($BL18/(Total_Lanes-BN$6))-1)^2+8*($BL18/(Total_Lanes-BN$6))/(Peak_Time_Eve*$N51*(Total_Lanes-BN$6)))),"-")</f>
        <v>1.06329324705641</v>
      </c>
      <c r="BO18" s="146" t="n">
        <f aca="false">IF(BO$6&lt;Total_Lanes,900*Peak_Time_Eve*(($BL18/(Total_Lanes-BO$6))-1+SQRT((($BL18/(Total_Lanes-BO$6))-1)^2+8*($BL18/(Total_Lanes-BO$6))/(Peak_Time_Eve*$N51*(Total_Lanes-BO$6)))),"-")</f>
        <v>1.58759020180683</v>
      </c>
      <c r="BP18" s="146" t="n">
        <f aca="false">IF(BP$6&lt;Total_Lanes,900*Peak_Time_Eve*(($BL18/(Total_Lanes-BP$6))-1+SQRT((($BL18/(Total_Lanes-BP$6))-1)^2+8*($BL18/(Total_Lanes-BP$6))/(Peak_Time_Eve*$N51*(Total_Lanes-BP$6)))),"-")</f>
        <v>2.72019084279255</v>
      </c>
      <c r="BQ18" s="146" t="n">
        <f aca="false">IF(BQ$6&lt;Total_Lanes,900*Peak_Time_Eve*(($BL18/(Total_Lanes-BQ$6))-1+SQRT((($BL18/(Total_Lanes-BQ$6))-1)^2+8*($BL18/(Total_Lanes-BQ$6))/(Peak_Time_Eve*$N51*(Total_Lanes-BQ$6)))),"-")</f>
        <v>6.48578440824383</v>
      </c>
      <c r="BR18" s="146" t="n">
        <f aca="false">IF(BR$6&lt;Total_Lanes,900*Peak_Time_Eve*(($BL18/(Total_Lanes-BR$6))-1+SQRT((($BL18/(Total_Lanes-BR$6))-1)^2+8*($BL18/(Total_Lanes-BR$6))/(Peak_Time_Eve*$N51*(Total_Lanes-BR$6)))),"-")</f>
        <v>100.259337816888</v>
      </c>
      <c r="BS18" s="146" t="n">
        <f aca="false">IF(BS$6&lt;Total_Lanes,900*Peak_Time_Eve*(($BL18/(Total_Lanes-BS$6))-1+SQRT((($BL18/(Total_Lanes-BS$6))-1)^2+8*($BL18/(Total_Lanes-BS$6))/(Peak_Time_Eve*$N51*(Total_Lanes-BS$6)))),"-")</f>
        <v>798.107119526901</v>
      </c>
      <c r="BT18" s="146" t="n">
        <f aca="false">IF(BT$6&lt;Total_Lanes,900*Peak_Time_Eve*(($BL18/(Total_Lanes-BT$6))-1+SQRT((($BL18/(Total_Lanes-BT$6))-1)^2+8*($BL18/(Total_Lanes-BT$6))/(Peak_Time_Eve*$N51*(Total_Lanes-BT$6)))),"-")</f>
        <v>1893.20420397731</v>
      </c>
      <c r="BU18" s="146" t="n">
        <f aca="false">IF(BU$6&lt;Total_Lanes,900*Peak_Time_Eve*(($BL18/(Total_Lanes-BU$6))-1+SQRT((($BL18/(Total_Lanes-BU$6))-1)^2+8*($BL18/(Total_Lanes-BU$6))/(Peak_Time_Eve*$N51*(Total_Lanes-BU$6)))),"-")</f>
        <v>3722.15486697778</v>
      </c>
      <c r="BV18" s="146" t="n">
        <f aca="false">IF(BV$6&lt;Total_Lanes,900*Peak_Time_Eve*(($BL18/(Total_Lanes-BV$6))-1+SQRT((($BL18/(Total_Lanes-BV$6))-1)^2+8*($BL18/(Total_Lanes-BV$6))/(Peak_Time_Eve*$N51*(Total_Lanes-BV$6)))),"-")</f>
        <v>7381.60170799944</v>
      </c>
      <c r="BW18" s="146" t="n">
        <f aca="false">IF(BW$6&lt;Total_Lanes,900*Peak_Time_Eve*(($BL18/(Total_Lanes-BW$6))-1+SQRT((($BL18/(Total_Lanes-BW$6))-1)^2+8*($BL18/(Total_Lanes-BW$6))/(Peak_Time_Eve*$N51*(Total_Lanes-BW$6)))),"-")</f>
        <v>18361.2194063131</v>
      </c>
      <c r="BX18" s="136" t="str">
        <f aca="false">IF(BX$6&lt;Total_Lanes,900*Peak_Time_Eve*(($BL18/(Total_Lanes-BX$6))-1+SQRT((($BL18/(Total_Lanes-BX$6))-1)^2+8*($BL18/(Total_Lanes-BX$6))/(Peak_Time_Eve*$N51*(Total_Lanes-BX$6)))),"-")</f>
        <v>-</v>
      </c>
      <c r="BY18" s="136" t="str">
        <f aca="false">IF(BY$6&lt;Total_Lanes,900*Peak_Time_Eve*(($BL18/(Total_Lanes-BY$6))-1+SQRT((($BL18/(Total_Lanes-BY$6))-1)^2+8*($BL18/(Total_Lanes-BY$6))/(Peak_Time_Eve*$N51*(Total_Lanes-BY$6)))),"-")</f>
        <v>-</v>
      </c>
      <c r="BZ18" s="136" t="str">
        <f aca="false">IF(BZ$6&lt;Total_Lanes,900*Peak_Time_Eve*(($BL18/(Total_Lanes-BZ$6))-1+SQRT((($BL18/(Total_Lanes-BZ$6))-1)^2+8*($BL18/(Total_Lanes-BZ$6))/(Peak_Time_Eve*$N51*(Total_Lanes-BZ$6)))),"-")</f>
        <v>-</v>
      </c>
      <c r="CA18" s="136" t="str">
        <f aca="false">IF(CA$6&lt;Total_Lanes,900*Peak_Time_Eve*(($BL18/(Total_Lanes-CA$6))-1+SQRT((($BL18/(Total_Lanes-CA$6))-1)^2+8*($BL18/(Total_Lanes-CA$6))/(Peak_Time_Eve*$N51*(Total_Lanes-CA$6)))),"-")</f>
        <v>-</v>
      </c>
      <c r="CB18" s="136" t="str">
        <f aca="false">IF(CB$6&lt;Total_Lanes,900*Peak_Time_Eve*(($BL18/(Total_Lanes-CB$6))-1+SQRT((($BL18/(Total_Lanes-CB$6))-1)^2+8*($BL18/(Total_Lanes-CB$6))/(Peak_Time_Eve*$N51*(Total_Lanes-CB$6)))),"-")</f>
        <v>-</v>
      </c>
      <c r="CC18" s="136" t="str">
        <f aca="false">IF(CC$6&lt;Total_Lanes,900*Peak_Time_Eve*(($BL18/(Total_Lanes-CC$6))-1+SQRT((($BL18/(Total_Lanes-CC$6))-1)^2+8*($BL18/(Total_Lanes-CC$6))/(Peak_Time_Eve*$N51*(Total_Lanes-CC$6)))),"-")</f>
        <v>-</v>
      </c>
      <c r="CD18" s="136" t="str">
        <f aca="false">IF(CD$6&lt;Total_Lanes,900*Peak_Time_Eve*(($BL18/(Total_Lanes-CD$6))-1+SQRT((($BL18/(Total_Lanes-CD$6))-1)^2+8*($BL18/(Total_Lanes-CD$6))/(Peak_Time_Eve*$N51*(Total_Lanes-CD$6)))),"-")</f>
        <v>-</v>
      </c>
      <c r="CE18" s="136" t="str">
        <f aca="false">IF(CE$6&lt;Total_Lanes,900*Peak_Time_Eve*(($BL18/(Total_Lanes-CE$6))-1+SQRT((($BL18/(Total_Lanes-CE$6))-1)^2+8*($BL18/(Total_Lanes-CE$6))/(Peak_Time_Eve*$N51*(Total_Lanes-CE$6)))),"-")</f>
        <v>-</v>
      </c>
      <c r="CF18" s="136" t="str">
        <f aca="false">IF(CF$6&lt;Total_Lanes,900*Peak_Time_Eve*(($BL18/(Total_Lanes-CF$6))-1+SQRT((($BL18/(Total_Lanes-CF$6))-1)^2+8*($BL18/(Total_Lanes-CF$6))/(Peak_Time_Eve*$N51*(Total_Lanes-CF$6)))),"-")</f>
        <v>-</v>
      </c>
      <c r="CG18" s="147" t="str">
        <f aca="false">IF(CG$6&lt;Total_Lanes,900*Peak_Time_Eve*(($BL18/(Total_Lanes-CG$6))-1+SQRT((($BL18/(Total_Lanes-CG$6))-1)^2+8*($BL18/(Total_Lanes-CG$6))/(Peak_Time_Eve*$N51*(Total_Lanes-CG$6)))),"-")</f>
        <v>-</v>
      </c>
      <c r="CH18" s="160" t="n">
        <f aca="false">3600/N51</f>
        <v>6.80875</v>
      </c>
      <c r="CJ18" s="50" t="n">
        <v>11</v>
      </c>
      <c r="CK18" s="131" t="n">
        <f aca="false">$X18</f>
        <v>0.57370976448128</v>
      </c>
      <c r="CL18" s="57" t="n">
        <f aca="false">$AC18</f>
        <v>7563.49739030035</v>
      </c>
      <c r="CM18" s="135" t="n">
        <f aca="false">CL18*CK18</f>
        <v>4339.25230644399</v>
      </c>
      <c r="CN18" s="161" t="n">
        <f aca="false">CM18/O50</f>
        <v>2.89283487096266</v>
      </c>
      <c r="CO18" s="146" t="n">
        <f aca="false">IF(CO$6&lt;Total_Lanes,900*Peak_Time_Eve*(($CN18/CO$6-1)+SQRT(($CN18/CO$6-1)^2+8*($CN18/CO$6)/(Peak_Time_Eve*$O51*CO$6))),"-")</f>
        <v>6817.87150266302</v>
      </c>
      <c r="CP18" s="146" t="n">
        <f aca="false">IF(CP$6&lt;Total_Lanes,900*Peak_Time_Eve*(($CN18/CP$6-1)+SQRT(($CN18/CP$6-1)^2+8*($CN18/CP$6)/(Peak_Time_Eve*$O51*CP$6))),"-")</f>
        <v>1610.98147361713</v>
      </c>
      <c r="CQ18" s="146" t="n">
        <f aca="false">IF(CQ$6&lt;Total_Lanes,900*Peak_Time_Eve*(($CN18/CQ$6-1)+SQRT(($CN18/CQ$6-1)^2+8*($CN18/CQ$6)/(Peak_Time_Eve*$O51*CQ$6))),"-")</f>
        <v>18.8363111524773</v>
      </c>
      <c r="CR18" s="164" t="n">
        <f aca="false">IF(CR$6&lt;Total_Lanes,900*Peak_Time_Eve*(($CN18/CR$6-1)+SQRT(($CN18/CR$6-1)^2+8*($CN18/CR$6)/(Peak_Time_Eve*$O51*CR$6))),"-")</f>
        <v>1.56523962198611</v>
      </c>
      <c r="CS18" s="164" t="n">
        <f aca="false">IF(CS$6&lt;Total_Lanes,900*Peak_Time_Eve*(($CN18/CS$6-1)+SQRT(($CN18/CS$6-1)^2+8*($CN18/CS$6)/(Peak_Time_Eve*$O51*CS$6))),"-")</f>
        <v>0.658685039579876</v>
      </c>
      <c r="CT18" s="164" t="n">
        <f aca="false">IF(CT$6&lt;Total_Lanes,900*Peak_Time_Eve*(($CN18/CT$6-1)+SQRT(($CN18/CT$6-1)^2+8*($CN18/CT$6)/(Peak_Time_Eve*$O51*CT$6))),"-")</f>
        <v>0.372333894764076</v>
      </c>
      <c r="CU18" s="164" t="n">
        <f aca="false">IF(CU$6&lt;Total_Lanes,900*Peak_Time_Eve*(($CN18/CU$6-1)+SQRT(($CN18/CU$6-1)^2+8*($CN18/CU$6)/(Peak_Time_Eve*$O51*CU$6))),"-")</f>
        <v>0.241459912306619</v>
      </c>
      <c r="CV18" s="164" t="n">
        <f aca="false">IF(CV$6&lt;Total_Lanes,900*Peak_Time_Eve*(($CN18/CV$6-1)+SQRT(($CN18/CV$6-1)^2+8*($CN18/CV$6)/(Peak_Time_Eve*$O51*CV$6))),"-")</f>
        <v>0.169915458184966</v>
      </c>
      <c r="CW18" s="164" t="n">
        <f aca="false">IF(CW$6&lt;Total_Lanes,900*Peak_Time_Eve*(($CN18/CW$6-1)+SQRT(($CN18/CW$6-1)^2+8*($CN18/CW$6)/(Peak_Time_Eve*$O51*CW$6))),"-")</f>
        <v>0.126307825610028</v>
      </c>
      <c r="CX18" s="164" t="n">
        <f aca="false">IF(CX$6&lt;Total_Lanes,900*Peak_Time_Eve*(($CN18/CX$6-1)+SQRT(($CN18/CX$6-1)^2+8*($CN18/CX$6)/(Peak_Time_Eve*$O51*CX$6))),"-")</f>
        <v>0.097683654537617</v>
      </c>
      <c r="CY18" s="164" t="n">
        <f aca="false">IF(CY$6&lt;Total_Lanes,900*Peak_Time_Eve*(($CN18/CY$6-1)+SQRT(($CN18/CY$6-1)^2+8*($CN18/CY$6)/(Peak_Time_Eve*$O51*CY$6))),"-")</f>
        <v>0.0778503266032349</v>
      </c>
      <c r="CZ18" s="165" t="str">
        <f aca="false">IF(CZ$6&lt;Total_Lanes,900*Peak_Time_Eve*(($CN18/CZ$6-1)+SQRT(($CN18/CZ$6-1)^2+8*($CN18/CZ$6)/(Peak_Time_Eve*$O51*CZ$6))),"-")</f>
        <v>-</v>
      </c>
      <c r="DA18" s="165" t="str">
        <f aca="false">IF(DA$6&lt;Total_Lanes,900*Peak_Time_Eve*(($CN18/DA$6-1)+SQRT(($CN18/DA$6-1)^2+8*($CN18/DA$6)/(Peak_Time_Eve*$O51*DA$6))),"-")</f>
        <v>-</v>
      </c>
      <c r="DB18" s="165" t="str">
        <f aca="false">IF(DB$6&lt;Total_Lanes,900*Peak_Time_Eve*(($CN18/DB$6-1)+SQRT(($CN18/DB$6-1)^2+8*($CN18/DB$6)/(Peak_Time_Eve*$O51*DB$6))),"-")</f>
        <v>-</v>
      </c>
      <c r="DC18" s="165" t="str">
        <f aca="false">IF(DC$6&lt;Total_Lanes,900*Peak_Time_Eve*(($CN18/DC$6-1)+SQRT(($CN18/DC$6-1)^2+8*($CN18/DC$6)/(Peak_Time_Eve*$O51*DC$6))),"-")</f>
        <v>-</v>
      </c>
      <c r="DD18" s="165" t="str">
        <f aca="false">IF(DD$6&lt;Total_Lanes,900*Peak_Time_Eve*(($CN18/DD$6-1)+SQRT(($CN18/DD$6-1)^2+8*($CN18/DD$6)/(Peak_Time_Eve*$O51*DD$6))),"-")</f>
        <v>-</v>
      </c>
      <c r="DE18" s="165" t="str">
        <f aca="false">IF(DE$6&lt;Total_Lanes,900*Peak_Time_Eve*(($CN18/DE$6-1)+SQRT(($CN18/DE$6-1)^2+8*($CN18/DE$6)/(Peak_Time_Eve*$O51*DE$6))),"-")</f>
        <v>-</v>
      </c>
      <c r="DF18" s="165" t="str">
        <f aca="false">IF(DF$6&lt;Total_Lanes,900*Peak_Time_Eve*(($CN18/DF$6-1)+SQRT(($CN18/DF$6-1)^2+8*($CN18/DF$6)/(Peak_Time_Eve*$O51*DF$6))),"-")</f>
        <v>-</v>
      </c>
      <c r="DG18" s="165" t="str">
        <f aca="false">IF(DG$6&lt;Total_Lanes,900*Peak_Time_Eve*(($CN18/DG$6-1)+SQRT(($CN18/DG$6-1)^2+8*($CN18/DG$6)/(Peak_Time_Eve*$O51*DG$6))),"-")</f>
        <v>-</v>
      </c>
      <c r="DH18" s="165" t="str">
        <f aca="false">IF(DH$6&lt;Total_Lanes,900*Peak_Time_Eve*(($CN18/DH$6-1)+SQRT(($CN18/DH$6-1)^2+8*($CN18/DH$6)/(Peak_Time_Eve*$O51*DH$6))),"-")</f>
        <v>-</v>
      </c>
      <c r="DI18" s="166" t="str">
        <f aca="false">IF(DI$6&lt;Total_Lanes,900*Peak_Time_Eve*(($CN18/DI$6-1)+SQRT(($CN18/DI$6-1)^2+8*($CN18/DI$6)/(Peak_Time_Eve*$O51*DI$6))),"-")</f>
        <v>-</v>
      </c>
      <c r="DJ18" s="167" t="n">
        <f aca="false">3600/O51</f>
        <v>2.4</v>
      </c>
    </row>
    <row r="19" customFormat="false" ht="12.75" hidden="false" customHeight="false" outlineLevel="0" collapsed="false">
      <c r="H19" s="50" t="n">
        <v>12</v>
      </c>
      <c r="I19" s="124" t="n">
        <f aca="false">'Input-Detail'!E26</f>
        <v>25606469.2</v>
      </c>
      <c r="J19" s="131" t="n">
        <f aca="false">'Input-Detail'!F26</f>
        <v>0.614080811078137</v>
      </c>
      <c r="K19" s="57" t="n">
        <f aca="false">AC19</f>
        <v>7729.26988032766</v>
      </c>
      <c r="L19" s="135" t="n">
        <f aca="false">AD66</f>
        <v>12.8128355933179</v>
      </c>
      <c r="M19" s="150" t="n">
        <f aca="false">AD19</f>
        <v>30.1891149196157</v>
      </c>
      <c r="N19" s="150" t="n">
        <f aca="false">SUM(L19:M19)</f>
        <v>43.0019505129336</v>
      </c>
      <c r="O19" s="154" t="n">
        <f aca="false">$S$34*N19</f>
        <v>11180.5071333627</v>
      </c>
      <c r="P19" s="135" t="n">
        <f aca="false">BC66</f>
        <v>5.41989339197747</v>
      </c>
      <c r="Q19" s="150" t="n">
        <f aca="false">BC19</f>
        <v>20.2828271437952</v>
      </c>
      <c r="R19" s="150" t="n">
        <f aca="false">SUM(P19:Q19)</f>
        <v>25.7027205357727</v>
      </c>
      <c r="S19" s="155" t="n">
        <f aca="false">$S$34*R19</f>
        <v>6682.7073393009</v>
      </c>
      <c r="T19" s="1"/>
      <c r="U19" s="1"/>
      <c r="V19" s="50" t="n">
        <v>12</v>
      </c>
      <c r="W19" s="132" t="n">
        <f aca="false">W$7+(W$27-W$7)*$V19/20</f>
        <v>25606469.2</v>
      </c>
      <c r="X19" s="131" t="n">
        <f aca="false">J19</f>
        <v>0.614080811078137</v>
      </c>
      <c r="Y19" s="132" t="n">
        <f aca="false">'Input-Detail'!E26/Z19</f>
        <v>11041.8141147538</v>
      </c>
      <c r="Z19" s="156" t="n">
        <f aca="false">Z18</f>
        <v>2319.04548780488</v>
      </c>
      <c r="AA19" s="156" t="n">
        <f aca="false">AA18</f>
        <v>2</v>
      </c>
      <c r="AB19" s="157" t="n">
        <f aca="false">AB18</f>
        <v>0.7</v>
      </c>
      <c r="AC19" s="57" t="n">
        <f aca="false">Y19*AB19</f>
        <v>7729.26988032766</v>
      </c>
      <c r="AD19" s="135" t="n">
        <f aca="false">Peak_Time_Eve*$BH19*(3600/K52+BK19)/3600</f>
        <v>30.1891149196157</v>
      </c>
      <c r="AE19" s="136" t="n">
        <f aca="false">IF(AE$6&lt;Total_Lanes,($BI19*($CH19+BM19)+$CM19*CO19)*Peak_Time_Eve/3600,"-")</f>
        <v>20566.5680419925</v>
      </c>
      <c r="AF19" s="136" t="n">
        <f aca="false">IF(AF$6&lt;Total_Lanes,($BI19*($CH19+BN19)+$CM19*CP19)*Peak_Time_Eve/3600,"-")</f>
        <v>5547.43902517726</v>
      </c>
      <c r="AG19" s="136" t="n">
        <f aca="false">IF(AG$6&lt;Total_Lanes,($BI19*($CH19+BO19)+$CM19*CQ19)*Peak_Time_Eve/3600,"-")</f>
        <v>571.097969638946</v>
      </c>
      <c r="AH19" s="136" t="n">
        <f aca="false">IF(AH$6&lt;Total_Lanes,($BI19*($CH19+BP19)+$CM19*CR19)*Peak_Time_Eve/3600,"-")</f>
        <v>20.7043601675401</v>
      </c>
      <c r="AI19" s="136" t="n">
        <f aca="false">IF(AI$6&lt;Total_Lanes,($BI19*($CH19+BQ19)+$CM19*CS19)*Peak_Time_Eve/3600,"-")</f>
        <v>20.2828271437952</v>
      </c>
      <c r="AJ19" s="136" t="n">
        <f aca="false">IF(AJ$6&lt;Total_Lanes,($BI19*($CH19+BR19)+$CM19*CT19)*Peak_Time_Eve/3600,"-")</f>
        <v>41.3587436134876</v>
      </c>
      <c r="AK19" s="136" t="n">
        <f aca="false">IF(AK$6&lt;Total_Lanes,($BI19*($CH19+BS19)+$CM19*CU19)*Peak_Time_Eve/3600,"-")</f>
        <v>817.533458112824</v>
      </c>
      <c r="AL19" s="136" t="n">
        <f aca="false">IF(AL$6&lt;Total_Lanes,($BI19*($CH19+BT19)+$CM19*CV19)*Peak_Time_Eve/3600,"-")</f>
        <v>2496.00299344551</v>
      </c>
      <c r="AM19" s="136" t="n">
        <f aca="false">IF(AM$6&lt;Total_Lanes,($BI19*($CH19+BU19)+$CM19*CW19)*Peak_Time_Eve/3600,"-")</f>
        <v>5307.70313645981</v>
      </c>
      <c r="AN19" s="136" t="n">
        <f aca="false">IF(AN$6&lt;Total_Lanes,($BI19*($CH19+BV19)+$CM19*CX19)*Peak_Time_Eve/3600,"-")</f>
        <v>10935.2100103334</v>
      </c>
      <c r="AO19" s="136" t="n">
        <f aca="false">IF(AO$6&lt;Total_Lanes,($BI19*($CH19+BW19)+$CM19*CY19)*Peak_Time_Eve/3600,"-")</f>
        <v>27820.7454467439</v>
      </c>
      <c r="AP19" s="136" t="str">
        <f aca="false">IF(AP$6&lt;Total_Lanes,($BI19*($CH19+BX19)+$CM19*CZ19)*Peak_Time_Eve/3600,"-")</f>
        <v>-</v>
      </c>
      <c r="AQ19" s="136" t="str">
        <f aca="false">IF(AQ$6&lt;Total_Lanes,($BI19*($CH19+BY19)+$CM19*DA19)*Peak_Time_Eve/3600,"-")</f>
        <v>-</v>
      </c>
      <c r="AR19" s="136" t="str">
        <f aca="false">IF(AR$6&lt;Total_Lanes,($BI19*($CH19+BZ19)+$CM19*DB19)*Peak_Time_Eve/3600,"-")</f>
        <v>-</v>
      </c>
      <c r="AS19" s="136" t="str">
        <f aca="false">IF(AS$6&lt;Total_Lanes,($BI19*($CH19+CA19)+$CM19*DC19)*Peak_Time_Eve/3600,"-")</f>
        <v>-</v>
      </c>
      <c r="AT19" s="136" t="str">
        <f aca="false">IF(AT$6&lt;Total_Lanes,($BI19*($CH19+CB19)+$CM19*DD19)*Peak_Time_Eve/3600,"-")</f>
        <v>-</v>
      </c>
      <c r="AU19" s="136" t="str">
        <f aca="false">IF(AU$6&lt;Total_Lanes,($BI19*($CH19+CC19)+$CM19*DE19)*Peak_Time_Eve/3600,"-")</f>
        <v>-</v>
      </c>
      <c r="AV19" s="136" t="str">
        <f aca="false">IF(AV$6&lt;Total_Lanes,($BI19*($CH19+CD19)+$CM19*DF19)*Peak_Time_Eve/3600,"-")</f>
        <v>-</v>
      </c>
      <c r="AW19" s="136" t="str">
        <f aca="false">IF(AW$6&lt;Total_Lanes,($BI19*($CH19+CE19)+$CM19*DG19)*Peak_Time_Eve/3600,"-")</f>
        <v>-</v>
      </c>
      <c r="AX19" s="136" t="str">
        <f aca="false">IF(AX$6&lt;Total_Lanes,($BI19*($CH19+CF19)+$CM19*DH19)*Peak_Time_Eve/3600,"-")</f>
        <v>-</v>
      </c>
      <c r="AY19" s="137" t="str">
        <f aca="false">IF(AY$6&lt;Total_Lanes,($BI19*($CH19+CG19)+$CM19*DI19)*Peak_Time_Eve/3600,"-")</f>
        <v>-</v>
      </c>
      <c r="AZ19" s="158" t="n">
        <f aca="false">SUMIF(AE19:AY19,BA19,$AE$6:$AY$6)</f>
        <v>5</v>
      </c>
      <c r="BA19" s="159" t="n">
        <f aca="false">MIN(AE19:AY19)</f>
        <v>20.2828271437952</v>
      </c>
      <c r="BB19" s="158" t="n">
        <f aca="false">Price!X19</f>
        <v>5</v>
      </c>
      <c r="BC19" s="159" t="n">
        <f aca="false">SUMIF($AE$6:$AY$6,$BB19,$AE19:$AY19)</f>
        <v>20.2828271437952</v>
      </c>
      <c r="BF19" s="50" t="n">
        <v>12</v>
      </c>
      <c r="BG19" s="131" t="n">
        <f aca="false">$X19</f>
        <v>0.614080811078137</v>
      </c>
      <c r="BH19" s="141" t="n">
        <f aca="false">$AC19</f>
        <v>7729.26988032766</v>
      </c>
      <c r="BI19" s="58" t="n">
        <f aca="false">BH19*(1-BG19)</f>
        <v>2982.87356317423</v>
      </c>
      <c r="BJ19" s="143" t="n">
        <f aca="false">Peak_Arrival_Manual/K52</f>
        <v>5.44788713274182</v>
      </c>
      <c r="BK19" s="144" t="n">
        <f aca="false">900*Peak_Time_Eve*(BJ19/Total_Lanes-1+SQRT((BJ19/Total_Lanes-1)^2+8*(BJ19/Total_Lanes)/(Peak_Time_Eve*$K52*Total_Lanes)))</f>
        <v>0.455470884916842</v>
      </c>
      <c r="BL19" s="145" t="n">
        <f aca="false">Peak_Arrival_Manual/N52</f>
        <v>5.65917401013333</v>
      </c>
      <c r="BM19" s="146" t="n">
        <f aca="false">IF(BM$6&lt;Total_Lanes,900*Peak_Time_Eve*(($BL19/(Total_Lanes-BM$6))-1+SQRT((($BL19/(Total_Lanes-BM$6))-1)^2+8*($BL19/(Total_Lanes-BM$6))/(Peak_Time_Eve*$N52*(Total_Lanes-BM$6)))),"-")</f>
        <v>0.657671860157016</v>
      </c>
      <c r="BN19" s="146" t="n">
        <f aca="false">IF(BN$6&lt;Total_Lanes,900*Peak_Time_Eve*(($BL19/(Total_Lanes-BN$6))-1+SQRT((($BL19/(Total_Lanes-BN$6))-1)^2+8*($BL19/(Total_Lanes-BN$6))/(Peak_Time_Eve*$N52*(Total_Lanes-BN$6)))),"-")</f>
        <v>0.889926466467172</v>
      </c>
      <c r="BO19" s="146" t="n">
        <f aca="false">IF(BO$6&lt;Total_Lanes,900*Peak_Time_Eve*(($BL19/(Total_Lanes-BO$6))-1+SQRT((($BL19/(Total_Lanes-BO$6))-1)^2+8*($BL19/(Total_Lanes-BO$6))/(Peak_Time_Eve*$N52*(Total_Lanes-BO$6)))),"-")</f>
        <v>1.28428144492359</v>
      </c>
      <c r="BP19" s="146" t="n">
        <f aca="false">IF(BP$6&lt;Total_Lanes,900*Peak_Time_Eve*(($BL19/(Total_Lanes-BP$6))-1+SQRT((($BL19/(Total_Lanes-BP$6))-1)^2+8*($BL19/(Total_Lanes-BP$6))/(Peak_Time_Eve*$N52*(Total_Lanes-BP$6)))),"-")</f>
        <v>2.05999491477017</v>
      </c>
      <c r="BQ19" s="146" t="n">
        <f aca="false">IF(BQ$6&lt;Total_Lanes,900*Peak_Time_Eve*(($BL19/(Total_Lanes-BQ$6))-1+SQRT((($BL19/(Total_Lanes-BQ$6))-1)^2+8*($BL19/(Total_Lanes-BQ$6))/(Peak_Time_Eve*$N52*(Total_Lanes-BQ$6)))),"-")</f>
        <v>4.09385613385974</v>
      </c>
      <c r="BR19" s="146" t="n">
        <f aca="false">IF(BR$6&lt;Total_Lanes,900*Peak_Time_Eve*(($BL19/(Total_Lanes-BR$6))-1+SQRT((($BL19/(Total_Lanes-BR$6))-1)^2+8*($BL19/(Total_Lanes-BR$6))/(Peak_Time_Eve*$N52*(Total_Lanes-BR$6)))),"-")</f>
        <v>17.4176860837517</v>
      </c>
      <c r="BS19" s="146" t="n">
        <f aca="false">IF(BS$6&lt;Total_Lanes,900*Peak_Time_Eve*(($BL19/(Total_Lanes-BS$6))-1+SQRT((($BL19/(Total_Lanes-BS$6))-1)^2+8*($BL19/(Total_Lanes-BS$6))/(Peak_Time_Eve*$N52*(Total_Lanes-BS$6)))),"-")</f>
        <v>486.056448653623</v>
      </c>
      <c r="BT19" s="146" t="n">
        <f aca="false">IF(BT$6&lt;Total_Lanes,900*Peak_Time_Eve*(($BL19/(Total_Lanes-BT$6))-1+SQRT((($BL19/(Total_Lanes-BT$6))-1)^2+8*($BL19/(Total_Lanes-BT$6))/(Peak_Time_Eve*$N52*(Total_Lanes-BT$6)))),"-")</f>
        <v>1499.0580759209</v>
      </c>
      <c r="BU19" s="146" t="n">
        <f aca="false">IF(BU$6&lt;Total_Lanes,900*Peak_Time_Eve*(($BL19/(Total_Lanes-BU$6))-1+SQRT((($BL19/(Total_Lanes-BU$6))-1)^2+8*($BL19/(Total_Lanes-BU$6))/(Peak_Time_Eve*$N52*(Total_Lanes-BU$6)))),"-")</f>
        <v>3195.84661111503</v>
      </c>
      <c r="BV19" s="146" t="n">
        <f aca="false">IF(BV$6&lt;Total_Lanes,900*Peak_Time_Eve*(($BL19/(Total_Lanes-BV$6))-1+SQRT((($BL19/(Total_Lanes-BV$6))-1)^2+8*($BL19/(Total_Lanes-BV$6))/(Peak_Time_Eve*$N52*(Total_Lanes-BV$6)))),"-")</f>
        <v>6591.7905313577</v>
      </c>
      <c r="BW19" s="146" t="n">
        <f aca="false">IF(BW$6&lt;Total_Lanes,900*Peak_Time_Eve*(($BL19/(Total_Lanes-BW$6))-1+SQRT((($BL19/(Total_Lanes-BW$6))-1)^2+8*($BL19/(Total_Lanes-BW$6))/(Peak_Time_Eve*$N52*(Total_Lanes-BW$6)))),"-")</f>
        <v>16781.3182624489</v>
      </c>
      <c r="BX19" s="136" t="str">
        <f aca="false">IF(BX$6&lt;Total_Lanes,900*Peak_Time_Eve*(($BL19/(Total_Lanes-BX$6))-1+SQRT((($BL19/(Total_Lanes-BX$6))-1)^2+8*($BL19/(Total_Lanes-BX$6))/(Peak_Time_Eve*$N52*(Total_Lanes-BX$6)))),"-")</f>
        <v>-</v>
      </c>
      <c r="BY19" s="136" t="str">
        <f aca="false">IF(BY$6&lt;Total_Lanes,900*Peak_Time_Eve*(($BL19/(Total_Lanes-BY$6))-1+SQRT((($BL19/(Total_Lanes-BY$6))-1)^2+8*($BL19/(Total_Lanes-BY$6))/(Peak_Time_Eve*$N52*(Total_Lanes-BY$6)))),"-")</f>
        <v>-</v>
      </c>
      <c r="BZ19" s="136" t="str">
        <f aca="false">IF(BZ$6&lt;Total_Lanes,900*Peak_Time_Eve*(($BL19/(Total_Lanes-BZ$6))-1+SQRT((($BL19/(Total_Lanes-BZ$6))-1)^2+8*($BL19/(Total_Lanes-BZ$6))/(Peak_Time_Eve*$N52*(Total_Lanes-BZ$6)))),"-")</f>
        <v>-</v>
      </c>
      <c r="CA19" s="136" t="str">
        <f aca="false">IF(CA$6&lt;Total_Lanes,900*Peak_Time_Eve*(($BL19/(Total_Lanes-CA$6))-1+SQRT((($BL19/(Total_Lanes-CA$6))-1)^2+8*($BL19/(Total_Lanes-CA$6))/(Peak_Time_Eve*$N52*(Total_Lanes-CA$6)))),"-")</f>
        <v>-</v>
      </c>
      <c r="CB19" s="136" t="str">
        <f aca="false">IF(CB$6&lt;Total_Lanes,900*Peak_Time_Eve*(($BL19/(Total_Lanes-CB$6))-1+SQRT((($BL19/(Total_Lanes-CB$6))-1)^2+8*($BL19/(Total_Lanes-CB$6))/(Peak_Time_Eve*$N52*(Total_Lanes-CB$6)))),"-")</f>
        <v>-</v>
      </c>
      <c r="CC19" s="136" t="str">
        <f aca="false">IF(CC$6&lt;Total_Lanes,900*Peak_Time_Eve*(($BL19/(Total_Lanes-CC$6))-1+SQRT((($BL19/(Total_Lanes-CC$6))-1)^2+8*($BL19/(Total_Lanes-CC$6))/(Peak_Time_Eve*$N52*(Total_Lanes-CC$6)))),"-")</f>
        <v>-</v>
      </c>
      <c r="CD19" s="136" t="str">
        <f aca="false">IF(CD$6&lt;Total_Lanes,900*Peak_Time_Eve*(($BL19/(Total_Lanes-CD$6))-1+SQRT((($BL19/(Total_Lanes-CD$6))-1)^2+8*($BL19/(Total_Lanes-CD$6))/(Peak_Time_Eve*$N52*(Total_Lanes-CD$6)))),"-")</f>
        <v>-</v>
      </c>
      <c r="CE19" s="136" t="str">
        <f aca="false">IF(CE$6&lt;Total_Lanes,900*Peak_Time_Eve*(($BL19/(Total_Lanes-CE$6))-1+SQRT((($BL19/(Total_Lanes-CE$6))-1)^2+8*($BL19/(Total_Lanes-CE$6))/(Peak_Time_Eve*$N52*(Total_Lanes-CE$6)))),"-")</f>
        <v>-</v>
      </c>
      <c r="CF19" s="136" t="str">
        <f aca="false">IF(CF$6&lt;Total_Lanes,900*Peak_Time_Eve*(($BL19/(Total_Lanes-CF$6))-1+SQRT((($BL19/(Total_Lanes-CF$6))-1)^2+8*($BL19/(Total_Lanes-CF$6))/(Peak_Time_Eve*$N52*(Total_Lanes-CF$6)))),"-")</f>
        <v>-</v>
      </c>
      <c r="CG19" s="147" t="str">
        <f aca="false">IF(CG$6&lt;Total_Lanes,900*Peak_Time_Eve*(($BL19/(Total_Lanes-CG$6))-1+SQRT((($BL19/(Total_Lanes-CG$6))-1)^2+8*($BL19/(Total_Lanes-CG$6))/(Peak_Time_Eve*$N52*(Total_Lanes-CG$6)))),"-")</f>
        <v>-</v>
      </c>
      <c r="CH19" s="160" t="n">
        <f aca="false">3600/N52</f>
        <v>6.83</v>
      </c>
      <c r="CJ19" s="50" t="n">
        <v>12</v>
      </c>
      <c r="CK19" s="131" t="n">
        <f aca="false">$X19</f>
        <v>0.614080811078137</v>
      </c>
      <c r="CL19" s="57" t="n">
        <f aca="false">$AC19</f>
        <v>7729.26988032766</v>
      </c>
      <c r="CM19" s="135" t="n">
        <f aca="false">CL19*CK19</f>
        <v>4746.39631715342</v>
      </c>
      <c r="CN19" s="161" t="n">
        <f aca="false">CM19/O51</f>
        <v>3.16426421143562</v>
      </c>
      <c r="CO19" s="146" t="n">
        <f aca="false">IF(CO$6&lt;Total_Lanes,900*Peak_Time_Eve*(($CN19/CO$6-1)+SQRT(($CN19/CO$6-1)^2+8*($CN19/CO$6)/(Peak_Time_Eve*$O52*CO$6))),"-")</f>
        <v>7794.85850421646</v>
      </c>
      <c r="CP19" s="146" t="n">
        <f aca="false">IF(CP$6&lt;Total_Lanes,900*Peak_Time_Eve*(($CN19/CP$6-1)+SQRT(($CN19/CP$6-1)^2+8*($CN19/CP$6)/(Peak_Time_Eve*$O52*CP$6))),"-")</f>
        <v>2098.9319085616</v>
      </c>
      <c r="CQ19" s="146" t="n">
        <f aca="false">IF(CQ$6&lt;Total_Lanes,900*Peak_Time_Eve*(($CN19/CQ$6-1)+SQRT(($CN19/CQ$6-1)^2+8*($CN19/CQ$6)/(Peak_Time_Eve*$O52*CQ$6))),"-")</f>
        <v>211.48096422464</v>
      </c>
      <c r="CR19" s="164" t="n">
        <f aca="false">IF(CR$6&lt;Total_Lanes,900*Peak_Time_Eve*(($CN19/CR$6-1)+SQRT(($CN19/CR$6-1)^2+8*($CN19/CR$6)/(Peak_Time_Eve*$O52*CR$6))),"-")</f>
        <v>2.26490094278477</v>
      </c>
      <c r="CS19" s="164" t="n">
        <f aca="false">IF(CS$6&lt;Total_Lanes,900*Peak_Time_Eve*(($CN19/CS$6-1)+SQRT(($CN19/CS$6-1)^2+8*($CN19/CS$6)/(Peak_Time_Eve*$O52*CS$6))),"-")</f>
        <v>0.826860406712993</v>
      </c>
      <c r="CT19" s="164" t="n">
        <f aca="false">IF(CT$6&lt;Total_Lanes,900*Peak_Time_Eve*(($CN19/CT$6-1)+SQRT(($CN19/CT$6-1)^2+8*($CN19/CT$6)/(Peak_Time_Eve*$O52*CT$6))),"-")</f>
        <v>0.446224161529163</v>
      </c>
      <c r="CU19" s="164" t="n">
        <f aca="false">IF(CU$6&lt;Total_Lanes,900*Peak_Time_Eve*(($CN19/CU$6-1)+SQRT(($CN19/CU$6-1)^2+8*($CN19/CU$6)/(Peak_Time_Eve*$O52*CU$6))),"-")</f>
        <v>0.282797132322798</v>
      </c>
      <c r="CV19" s="164" t="n">
        <f aca="false">IF(CV$6&lt;Total_Lanes,900*Peak_Time_Eve*(($CN19/CV$6-1)+SQRT(($CN19/CV$6-1)^2+8*($CN19/CV$6)/(Peak_Time_Eve*$O52*CV$6))),"-")</f>
        <v>0.196287325355993</v>
      </c>
      <c r="CW19" s="164" t="n">
        <f aca="false">IF(CW$6&lt;Total_Lanes,900*Peak_Time_Eve*(($CN19/CW$6-1)+SQRT(($CN19/CW$6-1)^2+8*($CN19/CW$6)/(Peak_Time_Eve*$O52*CW$6))),"-")</f>
        <v>0.144583572537038</v>
      </c>
      <c r="CX19" s="164" t="n">
        <f aca="false">IF(CX$6&lt;Total_Lanes,900*Peak_Time_Eve*(($CN19/CX$6-1)+SQRT(($CN19/CX$6-1)^2+8*($CN19/CX$6)/(Peak_Time_Eve*$O52*CX$6))),"-")</f>
        <v>0.111091059259261</v>
      </c>
      <c r="CY19" s="164" t="n">
        <f aca="false">IF(CY$6&lt;Total_Lanes,900*Peak_Time_Eve*(($CN19/CY$6-1)+SQRT(($CN19/CY$6-1)^2+8*($CN19/CY$6)/(Peak_Time_Eve*$O52*CY$6))),"-")</f>
        <v>0.0881041958531226</v>
      </c>
      <c r="CZ19" s="165" t="str">
        <f aca="false">IF(CZ$6&lt;Total_Lanes,900*Peak_Time_Eve*(($CN19/CZ$6-1)+SQRT(($CN19/CZ$6-1)^2+8*($CN19/CZ$6)/(Peak_Time_Eve*$O52*CZ$6))),"-")</f>
        <v>-</v>
      </c>
      <c r="DA19" s="165" t="str">
        <f aca="false">IF(DA$6&lt;Total_Lanes,900*Peak_Time_Eve*(($CN19/DA$6-1)+SQRT(($CN19/DA$6-1)^2+8*($CN19/DA$6)/(Peak_Time_Eve*$O52*DA$6))),"-")</f>
        <v>-</v>
      </c>
      <c r="DB19" s="165" t="str">
        <f aca="false">IF(DB$6&lt;Total_Lanes,900*Peak_Time_Eve*(($CN19/DB$6-1)+SQRT(($CN19/DB$6-1)^2+8*($CN19/DB$6)/(Peak_Time_Eve*$O52*DB$6))),"-")</f>
        <v>-</v>
      </c>
      <c r="DC19" s="165" t="str">
        <f aca="false">IF(DC$6&lt;Total_Lanes,900*Peak_Time_Eve*(($CN19/DC$6-1)+SQRT(($CN19/DC$6-1)^2+8*($CN19/DC$6)/(Peak_Time_Eve*$O52*DC$6))),"-")</f>
        <v>-</v>
      </c>
      <c r="DD19" s="165" t="str">
        <f aca="false">IF(DD$6&lt;Total_Lanes,900*Peak_Time_Eve*(($CN19/DD$6-1)+SQRT(($CN19/DD$6-1)^2+8*($CN19/DD$6)/(Peak_Time_Eve*$O52*DD$6))),"-")</f>
        <v>-</v>
      </c>
      <c r="DE19" s="165" t="str">
        <f aca="false">IF(DE$6&lt;Total_Lanes,900*Peak_Time_Eve*(($CN19/DE$6-1)+SQRT(($CN19/DE$6-1)^2+8*($CN19/DE$6)/(Peak_Time_Eve*$O52*DE$6))),"-")</f>
        <v>-</v>
      </c>
      <c r="DF19" s="165" t="str">
        <f aca="false">IF(DF$6&lt;Total_Lanes,900*Peak_Time_Eve*(($CN19/DF$6-1)+SQRT(($CN19/DF$6-1)^2+8*($CN19/DF$6)/(Peak_Time_Eve*$O52*DF$6))),"-")</f>
        <v>-</v>
      </c>
      <c r="DG19" s="165" t="str">
        <f aca="false">IF(DG$6&lt;Total_Lanes,900*Peak_Time_Eve*(($CN19/DG$6-1)+SQRT(($CN19/DG$6-1)^2+8*($CN19/DG$6)/(Peak_Time_Eve*$O52*DG$6))),"-")</f>
        <v>-</v>
      </c>
      <c r="DH19" s="165" t="str">
        <f aca="false">IF(DH$6&lt;Total_Lanes,900*Peak_Time_Eve*(($CN19/DH$6-1)+SQRT(($CN19/DH$6-1)^2+8*($CN19/DH$6)/(Peak_Time_Eve*$O52*DH$6))),"-")</f>
        <v>-</v>
      </c>
      <c r="DI19" s="166" t="str">
        <f aca="false">IF(DI$6&lt;Total_Lanes,900*Peak_Time_Eve*(($CN19/DI$6-1)+SQRT(($CN19/DI$6-1)^2+8*($CN19/DI$6)/(Peak_Time_Eve*$O52*DI$6))),"-")</f>
        <v>-</v>
      </c>
      <c r="DJ19" s="167" t="n">
        <f aca="false">3600/O52</f>
        <v>2.4</v>
      </c>
    </row>
    <row r="20" customFormat="false" ht="12.75" hidden="false" customHeight="false" outlineLevel="0" collapsed="false">
      <c r="H20" s="50" t="n">
        <v>13</v>
      </c>
      <c r="I20" s="124" t="n">
        <f aca="false">'Input-Detail'!E27</f>
        <v>26155660.55</v>
      </c>
      <c r="J20" s="131" t="n">
        <f aca="false">'Input-Detail'!F27</f>
        <v>0.652377141057342</v>
      </c>
      <c r="K20" s="57" t="n">
        <f aca="false">AC20</f>
        <v>7895.04237035496</v>
      </c>
      <c r="L20" s="135" t="n">
        <f aca="false">AD67</f>
        <v>13.1033656544877</v>
      </c>
      <c r="M20" s="150" t="n">
        <f aca="false">AD20</f>
        <v>30.5624908783789</v>
      </c>
      <c r="N20" s="150" t="n">
        <f aca="false">SUM(L20:M20)</f>
        <v>43.6658565328666</v>
      </c>
      <c r="O20" s="154" t="n">
        <f aca="false">$S$34*N20</f>
        <v>11353.1226985453</v>
      </c>
      <c r="P20" s="135" t="n">
        <f aca="false">BC67</f>
        <v>5.02305674375754</v>
      </c>
      <c r="Q20" s="150" t="n">
        <f aca="false">BC20</f>
        <v>17.8273589086696</v>
      </c>
      <c r="R20" s="150" t="n">
        <f aca="false">SUM(P20:Q20)</f>
        <v>22.8504156524271</v>
      </c>
      <c r="S20" s="155" t="n">
        <f aca="false">$S$34*R20</f>
        <v>5941.10806963105</v>
      </c>
      <c r="T20" s="1"/>
      <c r="U20" s="1"/>
      <c r="V20" s="50" t="n">
        <v>13</v>
      </c>
      <c r="W20" s="132" t="n">
        <f aca="false">W$7+(W$27-W$7)*$V20/20</f>
        <v>26155660.55</v>
      </c>
      <c r="X20" s="131" t="n">
        <f aca="false">J20</f>
        <v>0.652377141057342</v>
      </c>
      <c r="Y20" s="132" t="n">
        <f aca="false">'Input-Detail'!E27/Z20</f>
        <v>11278.6319576499</v>
      </c>
      <c r="Z20" s="156" t="n">
        <f aca="false">Z19</f>
        <v>2319.04548780488</v>
      </c>
      <c r="AA20" s="156" t="n">
        <f aca="false">AA19</f>
        <v>2</v>
      </c>
      <c r="AB20" s="157" t="n">
        <f aca="false">AB19</f>
        <v>0.7</v>
      </c>
      <c r="AC20" s="57" t="n">
        <f aca="false">Y20*AB20</f>
        <v>7895.04237035496</v>
      </c>
      <c r="AD20" s="135" t="n">
        <f aca="false">Peak_Time_Eve*$BH20*(3600/K53+BK20)/3600</f>
        <v>30.5624908783789</v>
      </c>
      <c r="AE20" s="136" t="n">
        <f aca="false">IF(AE$6&lt;Total_Lanes,($BI20*($CH20+BM20)+$CM20*CO20)*Peak_Time_Eve/3600,"-")</f>
        <v>25090.7204521862</v>
      </c>
      <c r="AF20" s="136" t="n">
        <f aca="false">IF(AF$6&lt;Total_Lanes,($BI20*($CH20+BN20)+$CM20*CP20)*Peak_Time_Eve/3600,"-")</f>
        <v>7404.12253024876</v>
      </c>
      <c r="AG20" s="136" t="n">
        <f aca="false">IF(AG$6&lt;Total_Lanes,($BI20*($CH20+BO20)+$CM20*CQ20)*Peak_Time_Eve/3600,"-")</f>
        <v>1519.14183247987</v>
      </c>
      <c r="AH20" s="136" t="n">
        <f aca="false">IF(AH$6&lt;Total_Lanes,($BI20*($CH20+BP20)+$CM20*CR20)*Peak_Time_Eve/3600,"-")</f>
        <v>23.2357654878693</v>
      </c>
      <c r="AI20" s="136" t="n">
        <f aca="false">IF(AI$6&lt;Total_Lanes,($BI20*($CH20+BQ20)+$CM20*CS20)*Peak_Time_Eve/3600,"-")</f>
        <v>17.8273589086696</v>
      </c>
      <c r="AJ20" s="136" t="n">
        <f aca="false">IF(AJ$6&lt;Total_Lanes,($BI20*($CH20+BR20)+$CM20*CT20)*Peak_Time_Eve/3600,"-")</f>
        <v>23.4958307407772</v>
      </c>
      <c r="AK20" s="136" t="n">
        <f aca="false">IF(AK$6&lt;Total_Lanes,($BI20*($CH20+BS20)+$CM20*CU20)*Peak_Time_Eve/3600,"-")</f>
        <v>298.113996842675</v>
      </c>
      <c r="AL20" s="136" t="n">
        <f aca="false">IF(AL$6&lt;Total_Lanes,($BI20*($CH20+BT20)+$CM20*CV20)*Peak_Time_Eve/3600,"-")</f>
        <v>1700.59715004532</v>
      </c>
      <c r="AM20" s="136" t="n">
        <f aca="false">IF(AM$6&lt;Total_Lanes,($BI20*($CH20+BU20)+$CM20*CW20)*Peak_Time_Eve/3600,"-")</f>
        <v>4086.64817744581</v>
      </c>
      <c r="AN20" s="136" t="n">
        <f aca="false">IF(AN$6&lt;Total_Lanes,($BI20*($CH20+BV20)+$CM20*CX20)*Peak_Time_Eve/3600,"-")</f>
        <v>8865.10861218106</v>
      </c>
      <c r="AO20" s="136" t="n">
        <f aca="false">IF(AO$6&lt;Total_Lanes,($BI20*($CH20+BW20)+$CM20*CY20)*Peak_Time_Eve/3600,"-")</f>
        <v>23204.3309916524</v>
      </c>
      <c r="AP20" s="136" t="str">
        <f aca="false">IF(AP$6&lt;Total_Lanes,($BI20*($CH20+BX20)+$CM20*CZ20)*Peak_Time_Eve/3600,"-")</f>
        <v>-</v>
      </c>
      <c r="AQ20" s="136" t="str">
        <f aca="false">IF(AQ$6&lt;Total_Lanes,($BI20*($CH20+BY20)+$CM20*DA20)*Peak_Time_Eve/3600,"-")</f>
        <v>-</v>
      </c>
      <c r="AR20" s="136" t="str">
        <f aca="false">IF(AR$6&lt;Total_Lanes,($BI20*($CH20+BZ20)+$CM20*DB20)*Peak_Time_Eve/3600,"-")</f>
        <v>-</v>
      </c>
      <c r="AS20" s="136" t="str">
        <f aca="false">IF(AS$6&lt;Total_Lanes,($BI20*($CH20+CA20)+$CM20*DC20)*Peak_Time_Eve/3600,"-")</f>
        <v>-</v>
      </c>
      <c r="AT20" s="136" t="str">
        <f aca="false">IF(AT$6&lt;Total_Lanes,($BI20*($CH20+CB20)+$CM20*DD20)*Peak_Time_Eve/3600,"-")</f>
        <v>-</v>
      </c>
      <c r="AU20" s="136" t="str">
        <f aca="false">IF(AU$6&lt;Total_Lanes,($BI20*($CH20+CC20)+$CM20*DE20)*Peak_Time_Eve/3600,"-")</f>
        <v>-</v>
      </c>
      <c r="AV20" s="136" t="str">
        <f aca="false">IF(AV$6&lt;Total_Lanes,($BI20*($CH20+CD20)+$CM20*DF20)*Peak_Time_Eve/3600,"-")</f>
        <v>-</v>
      </c>
      <c r="AW20" s="136" t="str">
        <f aca="false">IF(AW$6&lt;Total_Lanes,($BI20*($CH20+CE20)+$CM20*DG20)*Peak_Time_Eve/3600,"-")</f>
        <v>-</v>
      </c>
      <c r="AX20" s="136" t="str">
        <f aca="false">IF(AX$6&lt;Total_Lanes,($BI20*($CH20+CF20)+$CM20*DH20)*Peak_Time_Eve/3600,"-")</f>
        <v>-</v>
      </c>
      <c r="AY20" s="137" t="str">
        <f aca="false">IF(AY$6&lt;Total_Lanes,($BI20*($CH20+CG20)+$CM20*DI20)*Peak_Time_Eve/3600,"-")</f>
        <v>-</v>
      </c>
      <c r="AZ20" s="158" t="n">
        <f aca="false">SUMIF(AE20:AY20,BA20,$AE$6:$AY$6)</f>
        <v>5</v>
      </c>
      <c r="BA20" s="159" t="n">
        <f aca="false">MIN(AE20:AY20)</f>
        <v>17.8273589086696</v>
      </c>
      <c r="BB20" s="158" t="n">
        <f aca="false">Price!X20</f>
        <v>5</v>
      </c>
      <c r="BC20" s="159" t="n">
        <f aca="false">SUMIF($AE$6:$AY$6,$BB20,$AE20:$AY20)</f>
        <v>17.8273589086696</v>
      </c>
      <c r="BF20" s="50" t="n">
        <v>13</v>
      </c>
      <c r="BG20" s="131" t="n">
        <f aca="false">$X20</f>
        <v>0.652377141057342</v>
      </c>
      <c r="BH20" s="141" t="n">
        <f aca="false">$AC20</f>
        <v>7895.04237035496</v>
      </c>
      <c r="BI20" s="58" t="n">
        <f aca="false">BH20*(1-BG20)</f>
        <v>2744.49720025621</v>
      </c>
      <c r="BJ20" s="143" t="n">
        <f aca="false">Peak_Arrival_Manual/K53</f>
        <v>5.01251919213461</v>
      </c>
      <c r="BK20" s="144" t="n">
        <f aca="false">900*Peak_Time_Eve*(BJ20/Total_Lanes-1+SQRT((BJ20/Total_Lanes-1)^2+8*(BJ20/Total_Lanes)/(Peak_Time_Eve*$K53*Total_Lanes)))</f>
        <v>0.392978257804932</v>
      </c>
      <c r="BL20" s="145" t="n">
        <f aca="false">Peak_Arrival_Manual/N53</f>
        <v>5.2231212342376</v>
      </c>
      <c r="BM20" s="146" t="n">
        <f aca="false">IF(BM$6&lt;Total_Lanes,900*Peak_Time_Eve*(($BL20/(Total_Lanes-BM$6))-1+SQRT((($BL20/(Total_Lanes-BM$6))-1)^2+8*($BL20/(Total_Lanes-BM$6))/(Peak_Time_Eve*$N53*(Total_Lanes-BM$6)))),"-")</f>
        <v>0.562969260575086</v>
      </c>
      <c r="BN20" s="146" t="n">
        <f aca="false">IF(BN$6&lt;Total_Lanes,900*Peak_Time_Eve*(($BL20/(Total_Lanes-BN$6))-1+SQRT((($BL20/(Total_Lanes-BN$6))-1)^2+8*($BL20/(Total_Lanes-BN$6))/(Peak_Time_Eve*$N53*(Total_Lanes-BN$6)))),"-")</f>
        <v>0.748801382922126</v>
      </c>
      <c r="BO20" s="146" t="n">
        <f aca="false">IF(BO$6&lt;Total_Lanes,900*Peak_Time_Eve*(($BL20/(Total_Lanes-BO$6))-1+SQRT((($BL20/(Total_Lanes-BO$6))-1)^2+8*($BL20/(Total_Lanes-BO$6))/(Peak_Time_Eve*$N53*(Total_Lanes-BO$6)))),"-")</f>
        <v>1.05201528711247</v>
      </c>
      <c r="BP20" s="146" t="n">
        <f aca="false">IF(BP$6&lt;Total_Lanes,900*Peak_Time_Eve*(($BL20/(Total_Lanes-BP$6))-1+SQRT((($BL20/(Total_Lanes-BP$6))-1)^2+8*($BL20/(Total_Lanes-BP$6))/(Peak_Time_Eve*$N53*(Total_Lanes-BP$6)))),"-")</f>
        <v>1.60877107515497</v>
      </c>
      <c r="BQ20" s="146" t="n">
        <f aca="false">IF(BQ$6&lt;Total_Lanes,900*Peak_Time_Eve*(($BL20/(Total_Lanes-BQ$6))-1+SQRT((($BL20/(Total_Lanes-BQ$6))-1)^2+8*($BL20/(Total_Lanes-BQ$6))/(Peak_Time_Eve*$N53*(Total_Lanes-BQ$6)))),"-")</f>
        <v>2.86802669292238</v>
      </c>
      <c r="BR20" s="146" t="n">
        <f aca="false">IF(BR$6&lt;Total_Lanes,900*Peak_Time_Eve*(($BL20/(Total_Lanes-BR$6))-1+SQRT((($BL20/(Total_Lanes-BR$6))-1)^2+8*($BL20/(Total_Lanes-BR$6))/(Peak_Time_Eve*$N53*(Total_Lanes-BR$6)))),"-")</f>
        <v>7.55462900891808</v>
      </c>
      <c r="BS20" s="146" t="n">
        <f aca="false">IF(BS$6&lt;Total_Lanes,900*Peak_Time_Eve*(($BL20/(Total_Lanes-BS$6))-1+SQRT((($BL20/(Total_Lanes-BS$6))-1)^2+8*($BL20/(Total_Lanes-BS$6))/(Peak_Time_Eve*$N53*(Total_Lanes-BS$6)))),"-")</f>
        <v>188.049754368598</v>
      </c>
      <c r="BT20" s="146" t="n">
        <f aca="false">IF(BT$6&lt;Total_Lanes,900*Peak_Time_Eve*(($BL20/(Total_Lanes-BT$6))-1+SQRT((($BL20/(Total_Lanes-BT$6))-1)^2+8*($BL20/(Total_Lanes-BT$6))/(Peak_Time_Eve*$N53*(Total_Lanes-BT$6)))),"-")</f>
        <v>1108.07540744942</v>
      </c>
      <c r="BU20" s="146" t="n">
        <f aca="false">IF(BU$6&lt;Total_Lanes,900*Peak_Time_Eve*(($BL20/(Total_Lanes-BU$6))-1+SQRT((($BL20/(Total_Lanes-BU$6))-1)^2+8*($BL20/(Total_Lanes-BU$6))/(Peak_Time_Eve*$N53*(Total_Lanes-BU$6)))),"-")</f>
        <v>2673.10029839259</v>
      </c>
      <c r="BV20" s="146" t="n">
        <f aca="false">IF(BV$6&lt;Total_Lanes,900*Peak_Time_Eve*(($BL20/(Total_Lanes-BV$6))-1+SQRT((($BL20/(Total_Lanes-BV$6))-1)^2+8*($BL20/(Total_Lanes-BV$6))/(Peak_Time_Eve*$N53*(Total_Lanes-BV$6)))),"-")</f>
        <v>5807.16420195482</v>
      </c>
      <c r="BW20" s="146" t="n">
        <f aca="false">IF(BW$6&lt;Total_Lanes,900*Peak_Time_Eve*(($BL20/(Total_Lanes-BW$6))-1+SQRT((($BL20/(Total_Lanes-BW$6))-1)^2+8*($BL20/(Total_Lanes-BW$6))/(Peak_Time_Eve*$N53*(Total_Lanes-BW$6)))),"-")</f>
        <v>15211.7052947868</v>
      </c>
      <c r="BX20" s="136" t="str">
        <f aca="false">IF(BX$6&lt;Total_Lanes,900*Peak_Time_Eve*(($BL20/(Total_Lanes-BX$6))-1+SQRT((($BL20/(Total_Lanes-BX$6))-1)^2+8*($BL20/(Total_Lanes-BX$6))/(Peak_Time_Eve*$N53*(Total_Lanes-BX$6)))),"-")</f>
        <v>-</v>
      </c>
      <c r="BY20" s="136" t="str">
        <f aca="false">IF(BY$6&lt;Total_Lanes,900*Peak_Time_Eve*(($BL20/(Total_Lanes-BY$6))-1+SQRT((($BL20/(Total_Lanes-BY$6))-1)^2+8*($BL20/(Total_Lanes-BY$6))/(Peak_Time_Eve*$N53*(Total_Lanes-BY$6)))),"-")</f>
        <v>-</v>
      </c>
      <c r="BZ20" s="136" t="str">
        <f aca="false">IF(BZ$6&lt;Total_Lanes,900*Peak_Time_Eve*(($BL20/(Total_Lanes-BZ$6))-1+SQRT((($BL20/(Total_Lanes-BZ$6))-1)^2+8*($BL20/(Total_Lanes-BZ$6))/(Peak_Time_Eve*$N53*(Total_Lanes-BZ$6)))),"-")</f>
        <v>-</v>
      </c>
      <c r="CA20" s="136" t="str">
        <f aca="false">IF(CA$6&lt;Total_Lanes,900*Peak_Time_Eve*(($BL20/(Total_Lanes-CA$6))-1+SQRT((($BL20/(Total_Lanes-CA$6))-1)^2+8*($BL20/(Total_Lanes-CA$6))/(Peak_Time_Eve*$N53*(Total_Lanes-CA$6)))),"-")</f>
        <v>-</v>
      </c>
      <c r="CB20" s="136" t="str">
        <f aca="false">IF(CB$6&lt;Total_Lanes,900*Peak_Time_Eve*(($BL20/(Total_Lanes-CB$6))-1+SQRT((($BL20/(Total_Lanes-CB$6))-1)^2+8*($BL20/(Total_Lanes-CB$6))/(Peak_Time_Eve*$N53*(Total_Lanes-CB$6)))),"-")</f>
        <v>-</v>
      </c>
      <c r="CC20" s="136" t="str">
        <f aca="false">IF(CC$6&lt;Total_Lanes,900*Peak_Time_Eve*(($BL20/(Total_Lanes-CC$6))-1+SQRT((($BL20/(Total_Lanes-CC$6))-1)^2+8*($BL20/(Total_Lanes-CC$6))/(Peak_Time_Eve*$N53*(Total_Lanes-CC$6)))),"-")</f>
        <v>-</v>
      </c>
      <c r="CD20" s="136" t="str">
        <f aca="false">IF(CD$6&lt;Total_Lanes,900*Peak_Time_Eve*(($BL20/(Total_Lanes-CD$6))-1+SQRT((($BL20/(Total_Lanes-CD$6))-1)^2+8*($BL20/(Total_Lanes-CD$6))/(Peak_Time_Eve*$N53*(Total_Lanes-CD$6)))),"-")</f>
        <v>-</v>
      </c>
      <c r="CE20" s="136" t="str">
        <f aca="false">IF(CE$6&lt;Total_Lanes,900*Peak_Time_Eve*(($BL20/(Total_Lanes-CE$6))-1+SQRT((($BL20/(Total_Lanes-CE$6))-1)^2+8*($BL20/(Total_Lanes-CE$6))/(Peak_Time_Eve*$N53*(Total_Lanes-CE$6)))),"-")</f>
        <v>-</v>
      </c>
      <c r="CF20" s="136" t="str">
        <f aca="false">IF(CF$6&lt;Total_Lanes,900*Peak_Time_Eve*(($BL20/(Total_Lanes-CF$6))-1+SQRT((($BL20/(Total_Lanes-CF$6))-1)^2+8*($BL20/(Total_Lanes-CF$6))/(Peak_Time_Eve*$N53*(Total_Lanes-CF$6)))),"-")</f>
        <v>-</v>
      </c>
      <c r="CG20" s="147" t="str">
        <f aca="false">IF(CG$6&lt;Total_Lanes,900*Peak_Time_Eve*(($BL20/(Total_Lanes-CG$6))-1+SQRT((($BL20/(Total_Lanes-CG$6))-1)^2+8*($BL20/(Total_Lanes-CG$6))/(Peak_Time_Eve*$N53*(Total_Lanes-CG$6)))),"-")</f>
        <v>-</v>
      </c>
      <c r="CH20" s="160" t="n">
        <f aca="false">3600/N53</f>
        <v>6.85125</v>
      </c>
      <c r="CJ20" s="50" t="n">
        <v>13</v>
      </c>
      <c r="CK20" s="131" t="n">
        <f aca="false">$X20</f>
        <v>0.652377141057342</v>
      </c>
      <c r="CL20" s="57" t="n">
        <f aca="false">$AC20</f>
        <v>7895.04237035496</v>
      </c>
      <c r="CM20" s="135" t="n">
        <f aca="false">CL20*CK20</f>
        <v>5150.54517009875</v>
      </c>
      <c r="CN20" s="161" t="n">
        <f aca="false">CM20/O52</f>
        <v>3.43369678006583</v>
      </c>
      <c r="CO20" s="146" t="n">
        <f aca="false">IF(CO$6&lt;Total_Lanes,900*Peak_Time_Eve*(($CN20/CO$6-1)+SQRT(($CN20/CO$6-1)^2+8*($CN20/CO$6)/(Peak_Time_Eve*$O53*CO$6))),"-")</f>
        <v>8764.69325461073</v>
      </c>
      <c r="CP20" s="146" t="n">
        <f aca="false">IF(CP$6&lt;Total_Lanes,900*Peak_Time_Eve*(($CN20/CP$6-1)+SQRT(($CN20/CP$6-1)^2+8*($CN20/CP$6)/(Peak_Time_Eve*$O53*CP$6))),"-")</f>
        <v>2583.5250046842</v>
      </c>
      <c r="CQ20" s="146" t="n">
        <f aca="false">IF(CQ$6&lt;Total_Lanes,900*Peak_Time_Eve*(($CN20/CQ$6-1)+SQRT(($CN20/CQ$6-1)^2+8*($CN20/CQ$6)/(Peak_Time_Eve*$O53*CQ$6))),"-")</f>
        <v>526.694693361632</v>
      </c>
      <c r="CR20" s="164" t="n">
        <f aca="false">IF(CR$6&lt;Total_Lanes,900*Peak_Time_Eve*(($CN20/CR$6-1)+SQRT(($CN20/CR$6-1)^2+8*($CN20/CR$6)/(Peak_Time_Eve*$O53*CR$6))),"-")</f>
        <v>3.61240861089985</v>
      </c>
      <c r="CS20" s="164" t="n">
        <f aca="false">IF(CS$6&lt;Total_Lanes,900*Peak_Time_Eve*(($CN20/CS$6-1)+SQRT(($CN20/CS$6-1)^2+8*($CN20/CS$6)/(Peak_Time_Eve*$O53*CS$6))),"-")</f>
        <v>1.05129033617629</v>
      </c>
      <c r="CT20" s="164" t="n">
        <f aca="false">IF(CT$6&lt;Total_Lanes,900*Peak_Time_Eve*(($CN20/CT$6-1)+SQRT(($CN20/CT$6-1)^2+8*($CN20/CT$6)/(Peak_Time_Eve*$O53*CT$6))),"-")</f>
        <v>0.53501146678433</v>
      </c>
      <c r="CU20" s="164" t="n">
        <f aca="false">IF(CU$6&lt;Total_Lanes,900*Peak_Time_Eve*(($CN20/CU$6-1)+SQRT(($CN20/CU$6-1)^2+8*($CN20/CU$6)/(Peak_Time_Eve*$O53*CU$6))),"-")</f>
        <v>0.330049236329777</v>
      </c>
      <c r="CV20" s="164" t="n">
        <f aca="false">IF(CV$6&lt;Total_Lanes,900*Peak_Time_Eve*(($CN20/CV$6-1)+SQRT(($CN20/CV$6-1)^2+8*($CN20/CV$6)/(Peak_Time_Eve*$O53*CV$6))),"-")</f>
        <v>0.225564514485233</v>
      </c>
      <c r="CW20" s="164" t="n">
        <f aca="false">IF(CW$6&lt;Total_Lanes,900*Peak_Time_Eve*(($CN20/CW$6-1)+SQRT(($CN20/CW$6-1)^2+8*($CN20/CW$6)/(Peak_Time_Eve*$O53*CW$6))),"-")</f>
        <v>0.164487056943852</v>
      </c>
      <c r="CX20" s="164" t="n">
        <f aca="false">IF(CX$6&lt;Total_Lanes,900*Peak_Time_Eve*(($CN20/CX$6-1)+SQRT(($CN20/CX$6-1)^2+8*($CN20/CX$6)/(Peak_Time_Eve*$O53*CX$6))),"-")</f>
        <v>0.12549580058181</v>
      </c>
      <c r="CY20" s="164" t="n">
        <f aca="false">IF(CY$6&lt;Total_Lanes,900*Peak_Time_Eve*(($CN20/CY$6-1)+SQRT(($CN20/CY$6-1)^2+8*($CN20/CY$6)/(Peak_Time_Eve*$O53*CY$6))),"-")</f>
        <v>0.0990100754870937</v>
      </c>
      <c r="CZ20" s="165" t="str">
        <f aca="false">IF(CZ$6&lt;Total_Lanes,900*Peak_Time_Eve*(($CN20/CZ$6-1)+SQRT(($CN20/CZ$6-1)^2+8*($CN20/CZ$6)/(Peak_Time_Eve*$O53*CZ$6))),"-")</f>
        <v>-</v>
      </c>
      <c r="DA20" s="165" t="str">
        <f aca="false">IF(DA$6&lt;Total_Lanes,900*Peak_Time_Eve*(($CN20/DA$6-1)+SQRT(($CN20/DA$6-1)^2+8*($CN20/DA$6)/(Peak_Time_Eve*$O53*DA$6))),"-")</f>
        <v>-</v>
      </c>
      <c r="DB20" s="165" t="str">
        <f aca="false">IF(DB$6&lt;Total_Lanes,900*Peak_Time_Eve*(($CN20/DB$6-1)+SQRT(($CN20/DB$6-1)^2+8*($CN20/DB$6)/(Peak_Time_Eve*$O53*DB$6))),"-")</f>
        <v>-</v>
      </c>
      <c r="DC20" s="165" t="str">
        <f aca="false">IF(DC$6&lt;Total_Lanes,900*Peak_Time_Eve*(($CN20/DC$6-1)+SQRT(($CN20/DC$6-1)^2+8*($CN20/DC$6)/(Peak_Time_Eve*$O53*DC$6))),"-")</f>
        <v>-</v>
      </c>
      <c r="DD20" s="165" t="str">
        <f aca="false">IF(DD$6&lt;Total_Lanes,900*Peak_Time_Eve*(($CN20/DD$6-1)+SQRT(($CN20/DD$6-1)^2+8*($CN20/DD$6)/(Peak_Time_Eve*$O53*DD$6))),"-")</f>
        <v>-</v>
      </c>
      <c r="DE20" s="165" t="str">
        <f aca="false">IF(DE$6&lt;Total_Lanes,900*Peak_Time_Eve*(($CN20/DE$6-1)+SQRT(($CN20/DE$6-1)^2+8*($CN20/DE$6)/(Peak_Time_Eve*$O53*DE$6))),"-")</f>
        <v>-</v>
      </c>
      <c r="DF20" s="165" t="str">
        <f aca="false">IF(DF$6&lt;Total_Lanes,900*Peak_Time_Eve*(($CN20/DF$6-1)+SQRT(($CN20/DF$6-1)^2+8*($CN20/DF$6)/(Peak_Time_Eve*$O53*DF$6))),"-")</f>
        <v>-</v>
      </c>
      <c r="DG20" s="165" t="str">
        <f aca="false">IF(DG$6&lt;Total_Lanes,900*Peak_Time_Eve*(($CN20/DG$6-1)+SQRT(($CN20/DG$6-1)^2+8*($CN20/DG$6)/(Peak_Time_Eve*$O53*DG$6))),"-")</f>
        <v>-</v>
      </c>
      <c r="DH20" s="165" t="str">
        <f aca="false">IF(DH$6&lt;Total_Lanes,900*Peak_Time_Eve*(($CN20/DH$6-1)+SQRT(($CN20/DH$6-1)^2+8*($CN20/DH$6)/(Peak_Time_Eve*$O53*DH$6))),"-")</f>
        <v>-</v>
      </c>
      <c r="DI20" s="166" t="str">
        <f aca="false">IF(DI$6&lt;Total_Lanes,900*Peak_Time_Eve*(($CN20/DI$6-1)+SQRT(($CN20/DI$6-1)^2+8*($CN20/DI$6)/(Peak_Time_Eve*$O53*DI$6))),"-")</f>
        <v>-</v>
      </c>
      <c r="DJ20" s="167" t="n">
        <f aca="false">3600/O53</f>
        <v>2.4</v>
      </c>
    </row>
    <row r="21" customFormat="false" ht="12.75" hidden="false" customHeight="false" outlineLevel="0" collapsed="false">
      <c r="H21" s="50" t="n">
        <v>14</v>
      </c>
      <c r="I21" s="124" t="n">
        <f aca="false">'Input-Detail'!E28</f>
        <v>26704851.9</v>
      </c>
      <c r="J21" s="131" t="n">
        <f aca="false">'Input-Detail'!F28</f>
        <v>0.688560291874923</v>
      </c>
      <c r="K21" s="57" t="n">
        <f aca="false">AC21</f>
        <v>8060.81486038226</v>
      </c>
      <c r="L21" s="135" t="n">
        <f aca="false">AD68</f>
        <v>13.3959003145157</v>
      </c>
      <c r="M21" s="150" t="n">
        <f aca="false">AD21</f>
        <v>30.9613950996869</v>
      </c>
      <c r="N21" s="150" t="n">
        <f aca="false">SUM(L21:M21)</f>
        <v>44.3572954142026</v>
      </c>
      <c r="O21" s="154" t="n">
        <f aca="false">$S$34*N21</f>
        <v>11532.8968076927</v>
      </c>
      <c r="P21" s="135" t="n">
        <f aca="false">BC68</f>
        <v>4.65405270021587</v>
      </c>
      <c r="Q21" s="150" t="n">
        <f aca="false">BC21</f>
        <v>17.8700186820075</v>
      </c>
      <c r="R21" s="150" t="n">
        <f aca="false">SUM(P21:Q21)</f>
        <v>22.5240713822233</v>
      </c>
      <c r="S21" s="155" t="n">
        <f aca="false">$S$34*R21</f>
        <v>5856.25855937807</v>
      </c>
      <c r="T21" s="1"/>
      <c r="U21" s="1"/>
      <c r="V21" s="50" t="n">
        <v>14</v>
      </c>
      <c r="W21" s="132" t="n">
        <f aca="false">W$7+(W$27-W$7)*$V21/20</f>
        <v>26704851.9</v>
      </c>
      <c r="X21" s="131" t="n">
        <f aca="false">J21</f>
        <v>0.688560291874923</v>
      </c>
      <c r="Y21" s="132" t="n">
        <f aca="false">'Input-Detail'!E28/Z21</f>
        <v>11515.4498005461</v>
      </c>
      <c r="Z21" s="156" t="n">
        <f aca="false">Z20</f>
        <v>2319.04548780488</v>
      </c>
      <c r="AA21" s="156" t="n">
        <f aca="false">AA20</f>
        <v>2</v>
      </c>
      <c r="AB21" s="157" t="n">
        <f aca="false">AB20</f>
        <v>0.7</v>
      </c>
      <c r="AC21" s="57" t="n">
        <f aca="false">Y21*AB21</f>
        <v>8060.81486038226</v>
      </c>
      <c r="AD21" s="135" t="n">
        <f aca="false">Peak_Time_Eve*$BH21*(3600/K54+BK21)/3600</f>
        <v>30.9613950996869</v>
      </c>
      <c r="AE21" s="136" t="n">
        <f aca="false">IF(AE$6&lt;Total_Lanes,($BI21*($CH21+BM21)+$CM21*CO21)*Peak_Time_Eve/3600,"-")</f>
        <v>29994.9655725136</v>
      </c>
      <c r="AF21" s="136" t="n">
        <f aca="false">IF(AF$6&lt;Total_Lanes,($BI21*($CH21+BN21)+$CM21*CP21)*Peak_Time_Eve/3600,"-")</f>
        <v>9455.44095566183</v>
      </c>
      <c r="AG21" s="136" t="n">
        <f aca="false">IF(AG$6&lt;Total_Lanes,($BI21*($CH21+BO21)+$CM21*CQ21)*Peak_Time_Eve/3600,"-")</f>
        <v>2614.81530863976</v>
      </c>
      <c r="AH21" s="136" t="n">
        <f aca="false">IF(AH$6&lt;Total_Lanes,($BI21*($CH21+BP21)+$CM21*CR21)*Peak_Time_Eve/3600,"-")</f>
        <v>33.6166990320301</v>
      </c>
      <c r="AI21" s="136" t="n">
        <f aca="false">IF(AI$6&lt;Total_Lanes,($BI21*($CH21+BQ21)+$CM21*CS21)*Peak_Time_Eve/3600,"-")</f>
        <v>16.7598104859614</v>
      </c>
      <c r="AJ21" s="136" t="n">
        <f aca="false">IF(AJ$6&lt;Total_Lanes,($BI21*($CH21+BR21)+$CM21*CT21)*Peak_Time_Eve/3600,"-")</f>
        <v>17.8700186820075</v>
      </c>
      <c r="AK21" s="136" t="n">
        <f aca="false">IF(AK$6&lt;Total_Lanes,($BI21*($CH21+BS21)+$CM21*CU21)*Peak_Time_Eve/3600,"-")</f>
        <v>48.2950354115432</v>
      </c>
      <c r="AL21" s="136" t="n">
        <f aca="false">IF(AL$6&lt;Total_Lanes,($BI21*($CH21+BT21)+$CM21*CV21)*Peak_Time_Eve/3600,"-")</f>
        <v>1019.47762683777</v>
      </c>
      <c r="AM21" s="136" t="n">
        <f aca="false">IF(AM$6&lt;Total_Lanes,($BI21*($CH21+BU21)+$CM21*CW21)*Peak_Time_Eve/3600,"-")</f>
        <v>3018.73072654733</v>
      </c>
      <c r="AN21" s="136" t="n">
        <f aca="false">IF(AN$6&lt;Total_Lanes,($BI21*($CH21+BV21)+$CM21*CX21)*Peak_Time_Eve/3600,"-")</f>
        <v>7028.77316762543</v>
      </c>
      <c r="AO21" s="136" t="n">
        <f aca="false">IF(AO$6&lt;Total_Lanes,($BI21*($CH21+BW21)+$CM21*CY21)*Peak_Time_Eve/3600,"-")</f>
        <v>19064.0227655425</v>
      </c>
      <c r="AP21" s="136" t="str">
        <f aca="false">IF(AP$6&lt;Total_Lanes,($BI21*($CH21+BX21)+$CM21*CZ21)*Peak_Time_Eve/3600,"-")</f>
        <v>-</v>
      </c>
      <c r="AQ21" s="136" t="str">
        <f aca="false">IF(AQ$6&lt;Total_Lanes,($BI21*($CH21+BY21)+$CM21*DA21)*Peak_Time_Eve/3600,"-")</f>
        <v>-</v>
      </c>
      <c r="AR21" s="136" t="str">
        <f aca="false">IF(AR$6&lt;Total_Lanes,($BI21*($CH21+BZ21)+$CM21*DB21)*Peak_Time_Eve/3600,"-")</f>
        <v>-</v>
      </c>
      <c r="AS21" s="136" t="str">
        <f aca="false">IF(AS$6&lt;Total_Lanes,($BI21*($CH21+CA21)+$CM21*DC21)*Peak_Time_Eve/3600,"-")</f>
        <v>-</v>
      </c>
      <c r="AT21" s="136" t="str">
        <f aca="false">IF(AT$6&lt;Total_Lanes,($BI21*($CH21+CB21)+$CM21*DD21)*Peak_Time_Eve/3600,"-")</f>
        <v>-</v>
      </c>
      <c r="AU21" s="136" t="str">
        <f aca="false">IF(AU$6&lt;Total_Lanes,($BI21*($CH21+CC21)+$CM21*DE21)*Peak_Time_Eve/3600,"-")</f>
        <v>-</v>
      </c>
      <c r="AV21" s="136" t="str">
        <f aca="false">IF(AV$6&lt;Total_Lanes,($BI21*($CH21+CD21)+$CM21*DF21)*Peak_Time_Eve/3600,"-")</f>
        <v>-</v>
      </c>
      <c r="AW21" s="136" t="str">
        <f aca="false">IF(AW$6&lt;Total_Lanes,($BI21*($CH21+CE21)+$CM21*DG21)*Peak_Time_Eve/3600,"-")</f>
        <v>-</v>
      </c>
      <c r="AX21" s="136" t="str">
        <f aca="false">IF(AX$6&lt;Total_Lanes,($BI21*($CH21+CF21)+$CM21*DH21)*Peak_Time_Eve/3600,"-")</f>
        <v>-</v>
      </c>
      <c r="AY21" s="137" t="str">
        <f aca="false">IF(AY$6&lt;Total_Lanes,($BI21*($CH21+CG21)+$CM21*DI21)*Peak_Time_Eve/3600,"-")</f>
        <v>-</v>
      </c>
      <c r="AZ21" s="158" t="n">
        <f aca="false">SUMIF(AE21:AY21,BA21,$AE$6:$AY$6)</f>
        <v>5</v>
      </c>
      <c r="BA21" s="159" t="n">
        <f aca="false">MIN(AE21:AY21)</f>
        <v>16.7598104859614</v>
      </c>
      <c r="BB21" s="158" t="n">
        <f aca="false">Price!X21</f>
        <v>6</v>
      </c>
      <c r="BC21" s="159" t="n">
        <f aca="false">SUMIF($AE$6:$AY$6,$BB21,$AE21:$AY21)</f>
        <v>17.8700186820075</v>
      </c>
      <c r="BF21" s="50" t="n">
        <v>14</v>
      </c>
      <c r="BG21" s="131" t="n">
        <f aca="false">$X21</f>
        <v>0.688560291874923</v>
      </c>
      <c r="BH21" s="141" t="n">
        <f aca="false">$AC21</f>
        <v>8060.81486038226</v>
      </c>
      <c r="BI21" s="58" t="n">
        <f aca="false">BH21*(1-BG21)</f>
        <v>2510.45782736774</v>
      </c>
      <c r="BJ21" s="143" t="n">
        <f aca="false">Peak_Arrival_Manual/K54</f>
        <v>4.58507228192858</v>
      </c>
      <c r="BK21" s="144" t="n">
        <f aca="false">900*Peak_Time_Eve*(BJ21/Total_Lanes-1+SQRT((BJ21/Total_Lanes-1)^2+8*(BJ21/Total_Lanes)/(Peak_Time_Eve*$K54*Total_Lanes)))</f>
        <v>0.338756505355775</v>
      </c>
      <c r="BL21" s="145" t="n">
        <f aca="false">Peak_Arrival_Manual/N54</f>
        <v>4.79253372738466</v>
      </c>
      <c r="BM21" s="146" t="n">
        <f aca="false">IF(BM$6&lt;Total_Lanes,900*Peak_Time_Eve*(($BL21/(Total_Lanes-BM$6))-1+SQRT((($BL21/(Total_Lanes-BM$6))-1)^2+8*($BL21/(Total_Lanes-BM$6))/(Peak_Time_Eve*$N54*(Total_Lanes-BM$6)))),"-")</f>
        <v>0.48224728552162</v>
      </c>
      <c r="BN21" s="146" t="n">
        <f aca="false">IF(BN$6&lt;Total_Lanes,900*Peak_Time_Eve*(($BL21/(Total_Lanes-BN$6))-1+SQRT((($BL21/(Total_Lanes-BN$6))-1)^2+8*($BL21/(Total_Lanes-BN$6))/(Peak_Time_Eve*$N54*(Total_Lanes-BN$6)))),"-")</f>
        <v>0.632276456492242</v>
      </c>
      <c r="BO21" s="146" t="n">
        <f aca="false">IF(BO$6&lt;Total_Lanes,900*Peak_Time_Eve*(($BL21/(Total_Lanes-BO$6))-1+SQRT((($BL21/(Total_Lanes-BO$6))-1)^2+8*($BL21/(Total_Lanes-BO$6))/(Peak_Time_Eve*$N54*(Total_Lanes-BO$6)))),"-")</f>
        <v>0.869345673348143</v>
      </c>
      <c r="BP21" s="146" t="n">
        <f aca="false">IF(BP$6&lt;Total_Lanes,900*Peak_Time_Eve*(($BL21/(Total_Lanes-BP$6))-1+SQRT((($BL21/(Total_Lanes-BP$6))-1)^2+8*($BL21/(Total_Lanes-BP$6))/(Peak_Time_Eve*$N54*(Total_Lanes-BP$6)))),"-")</f>
        <v>1.28245499316245</v>
      </c>
      <c r="BQ21" s="146" t="n">
        <f aca="false">IF(BQ$6&lt;Total_Lanes,900*Peak_Time_Eve*(($BL21/(Total_Lanes-BQ$6))-1+SQRT((($BL21/(Total_Lanes-BQ$6))-1)^2+8*($BL21/(Total_Lanes-BQ$6))/(Peak_Time_Eve*$N54*(Total_Lanes-BQ$6)))),"-")</f>
        <v>2.12752509318418</v>
      </c>
      <c r="BR21" s="146" t="n">
        <f aca="false">IF(BR$6&lt;Total_Lanes,900*Peak_Time_Eve*(($BL21/(Total_Lanes-BR$6))-1+SQRT((($BL21/(Total_Lanes-BR$6))-1)^2+8*($BL21/(Total_Lanes-BR$6))/(Peak_Time_Eve*$N54*(Total_Lanes-BR$6)))),"-")</f>
        <v>4.51807758297262</v>
      </c>
      <c r="BS21" s="146" t="n">
        <f aca="false">IF(BS$6&lt;Total_Lanes,900*Peak_Time_Eve*(($BL21/(Total_Lanes-BS$6))-1+SQRT((($BL21/(Total_Lanes-BS$6))-1)^2+8*($BL21/(Total_Lanes-BS$6))/(Peak_Time_Eve*$N54*(Total_Lanes-BS$6)))),"-")</f>
        <v>26.9052480799984</v>
      </c>
      <c r="BT21" s="146" t="n">
        <f aca="false">IF(BT$6&lt;Total_Lanes,900*Peak_Time_Eve*(($BL21/(Total_Lanes-BT$6))-1+SQRT((($BL21/(Total_Lanes-BT$6))-1)^2+8*($BL21/(Total_Lanes-BT$6))/(Peak_Time_Eve*$N54*(Total_Lanes-BT$6)))),"-")</f>
        <v>723.522952730145</v>
      </c>
      <c r="BU21" s="146" t="n">
        <f aca="false">IF(BU$6&lt;Total_Lanes,900*Peak_Time_Eve*(($BL21/(Total_Lanes-BU$6))-1+SQRT((($BL21/(Total_Lanes-BU$6))-1)^2+8*($BL21/(Total_Lanes-BU$6))/(Peak_Time_Eve*$N54*(Total_Lanes-BU$6)))),"-")</f>
        <v>2157.14792384858</v>
      </c>
      <c r="BV21" s="146" t="n">
        <f aca="false">IF(BV$6&lt;Total_Lanes,900*Peak_Time_Eve*(($BL21/(Total_Lanes-BV$6))-1+SQRT((($BL21/(Total_Lanes-BV$6))-1)^2+8*($BL21/(Total_Lanes-BV$6))/(Peak_Time_Eve*$N54*(Total_Lanes-BV$6)))),"-")</f>
        <v>5032.45108333606</v>
      </c>
      <c r="BW21" s="146" t="n">
        <f aca="false">IF(BW$6&lt;Total_Lanes,900*Peak_Time_Eve*(($BL21/(Total_Lanes-BW$6))-1+SQRT((($BL21/(Total_Lanes-BW$6))-1)^2+8*($BL21/(Total_Lanes-BW$6))/(Peak_Time_Eve*$N54*(Total_Lanes-BW$6)))),"-")</f>
        <v>13661.8005144934</v>
      </c>
      <c r="BX21" s="136" t="str">
        <f aca="false">IF(BX$6&lt;Total_Lanes,900*Peak_Time_Eve*(($BL21/(Total_Lanes-BX$6))-1+SQRT((($BL21/(Total_Lanes-BX$6))-1)^2+8*($BL21/(Total_Lanes-BX$6))/(Peak_Time_Eve*$N54*(Total_Lanes-BX$6)))),"-")</f>
        <v>-</v>
      </c>
      <c r="BY21" s="136" t="str">
        <f aca="false">IF(BY$6&lt;Total_Lanes,900*Peak_Time_Eve*(($BL21/(Total_Lanes-BY$6))-1+SQRT((($BL21/(Total_Lanes-BY$6))-1)^2+8*($BL21/(Total_Lanes-BY$6))/(Peak_Time_Eve*$N54*(Total_Lanes-BY$6)))),"-")</f>
        <v>-</v>
      </c>
      <c r="BZ21" s="136" t="str">
        <f aca="false">IF(BZ$6&lt;Total_Lanes,900*Peak_Time_Eve*(($BL21/(Total_Lanes-BZ$6))-1+SQRT((($BL21/(Total_Lanes-BZ$6))-1)^2+8*($BL21/(Total_Lanes-BZ$6))/(Peak_Time_Eve*$N54*(Total_Lanes-BZ$6)))),"-")</f>
        <v>-</v>
      </c>
      <c r="CA21" s="136" t="str">
        <f aca="false">IF(CA$6&lt;Total_Lanes,900*Peak_Time_Eve*(($BL21/(Total_Lanes-CA$6))-1+SQRT((($BL21/(Total_Lanes-CA$6))-1)^2+8*($BL21/(Total_Lanes-CA$6))/(Peak_Time_Eve*$N54*(Total_Lanes-CA$6)))),"-")</f>
        <v>-</v>
      </c>
      <c r="CB21" s="136" t="str">
        <f aca="false">IF(CB$6&lt;Total_Lanes,900*Peak_Time_Eve*(($BL21/(Total_Lanes-CB$6))-1+SQRT((($BL21/(Total_Lanes-CB$6))-1)^2+8*($BL21/(Total_Lanes-CB$6))/(Peak_Time_Eve*$N54*(Total_Lanes-CB$6)))),"-")</f>
        <v>-</v>
      </c>
      <c r="CC21" s="136" t="str">
        <f aca="false">IF(CC$6&lt;Total_Lanes,900*Peak_Time_Eve*(($BL21/(Total_Lanes-CC$6))-1+SQRT((($BL21/(Total_Lanes-CC$6))-1)^2+8*($BL21/(Total_Lanes-CC$6))/(Peak_Time_Eve*$N54*(Total_Lanes-CC$6)))),"-")</f>
        <v>-</v>
      </c>
      <c r="CD21" s="136" t="str">
        <f aca="false">IF(CD$6&lt;Total_Lanes,900*Peak_Time_Eve*(($BL21/(Total_Lanes-CD$6))-1+SQRT((($BL21/(Total_Lanes-CD$6))-1)^2+8*($BL21/(Total_Lanes-CD$6))/(Peak_Time_Eve*$N54*(Total_Lanes-CD$6)))),"-")</f>
        <v>-</v>
      </c>
      <c r="CE21" s="136" t="str">
        <f aca="false">IF(CE$6&lt;Total_Lanes,900*Peak_Time_Eve*(($BL21/(Total_Lanes-CE$6))-1+SQRT((($BL21/(Total_Lanes-CE$6))-1)^2+8*($BL21/(Total_Lanes-CE$6))/(Peak_Time_Eve*$N54*(Total_Lanes-CE$6)))),"-")</f>
        <v>-</v>
      </c>
      <c r="CF21" s="136" t="str">
        <f aca="false">IF(CF$6&lt;Total_Lanes,900*Peak_Time_Eve*(($BL21/(Total_Lanes-CF$6))-1+SQRT((($BL21/(Total_Lanes-CF$6))-1)^2+8*($BL21/(Total_Lanes-CF$6))/(Peak_Time_Eve*$N54*(Total_Lanes-CF$6)))),"-")</f>
        <v>-</v>
      </c>
      <c r="CG21" s="147" t="str">
        <f aca="false">IF(CG$6&lt;Total_Lanes,900*Peak_Time_Eve*(($BL21/(Total_Lanes-CG$6))-1+SQRT((($BL21/(Total_Lanes-CG$6))-1)^2+8*($BL21/(Total_Lanes-CG$6))/(Peak_Time_Eve*$N54*(Total_Lanes-CG$6)))),"-")</f>
        <v>-</v>
      </c>
      <c r="CH21" s="160" t="n">
        <f aca="false">3600/N54</f>
        <v>6.8725</v>
      </c>
      <c r="CJ21" s="50" t="n">
        <v>14</v>
      </c>
      <c r="CK21" s="131" t="n">
        <f aca="false">$X21</f>
        <v>0.688560291874923</v>
      </c>
      <c r="CL21" s="57" t="n">
        <f aca="false">$AC21</f>
        <v>8060.81486038226</v>
      </c>
      <c r="CM21" s="135" t="n">
        <f aca="false">CL21*CK21</f>
        <v>5550.35703301452</v>
      </c>
      <c r="CN21" s="161" t="n">
        <f aca="false">CM21/O53</f>
        <v>3.70023802200968</v>
      </c>
      <c r="CO21" s="146" t="n">
        <f aca="false">IF(CO$6&lt;Total_Lanes,900*Peak_Time_Eve*(($CN21/CO$6-1)+SQRT(($CN21/CO$6-1)^2+8*($CN21/CO$6)/(Peak_Time_Eve*$O54*CO$6))),"-")</f>
        <v>9724.14457783439</v>
      </c>
      <c r="CP21" s="146" t="n">
        <f aca="false">IF(CP$6&lt;Total_Lanes,900*Peak_Time_Eve*(($CN21/CP$6-1)+SQRT(($CN21/CP$6-1)^2+8*($CN21/CP$6)/(Peak_Time_Eve*$O54*CP$6))),"-")</f>
        <v>3063.03778194244</v>
      </c>
      <c r="CQ21" s="146" t="n">
        <f aca="false">IF(CQ$6&lt;Total_Lanes,900*Peak_Time_Eve*(($CN21/CQ$6-1)+SQRT(($CN21/CQ$6-1)^2+8*($CN21/CQ$6)/(Peak_Time_Eve*$O54*CQ$6))),"-")</f>
        <v>844.491976030035</v>
      </c>
      <c r="CR21" s="164" t="n">
        <f aca="false">IF(CR$6&lt;Total_Lanes,900*Peak_Time_Eve*(($CN21/CR$6-1)+SQRT(($CN21/CR$6-1)^2+8*($CN21/CR$6)/(Peak_Time_Eve*$O54*CR$6))),"-")</f>
        <v>7.21347967798977</v>
      </c>
      <c r="CS21" s="164" t="n">
        <f aca="false">IF(CS$6&lt;Total_Lanes,900*Peak_Time_Eve*(($CN21/CS$6-1)+SQRT(($CN21/CS$6-1)^2+8*($CN21/CS$6)/(Peak_Time_Eve*$O54*CS$6))),"-")</f>
        <v>1.3645023893043</v>
      </c>
      <c r="CT21" s="164" t="n">
        <f aca="false">IF(CT$6&lt;Total_Lanes,900*Peak_Time_Eve*(($CN21/CT$6-1)+SQRT(($CN21/CT$6-1)^2+8*($CN21/CT$6)/(Peak_Time_Eve*$O54*CT$6))),"-")</f>
        <v>0.64328636067239</v>
      </c>
      <c r="CU21" s="164" t="n">
        <f aca="false">IF(CU$6&lt;Total_Lanes,900*Peak_Time_Eve*(($CN21/CU$6-1)+SQRT(($CN21/CU$6-1)^2+8*($CN21/CU$6)/(Peak_Time_Eve*$O54*CU$6))),"-")</f>
        <v>0.384380981223387</v>
      </c>
      <c r="CV21" s="164" t="n">
        <f aca="false">IF(CV$6&lt;Total_Lanes,900*Peak_Time_Eve*(($CN21/CV$6-1)+SQRT(($CN21/CV$6-1)^2+8*($CN21/CV$6)/(Peak_Time_Eve*$O54*CV$6))),"-")</f>
        <v>0.258135993644237</v>
      </c>
      <c r="CW21" s="164" t="n">
        <f aca="false">IF(CW$6&lt;Total_Lanes,900*Peak_Time_Eve*(($CN21/CW$6-1)+SQRT(($CN21/CW$6-1)^2+8*($CN21/CW$6)/(Peak_Time_Eve*$O54*CW$6))),"-")</f>
        <v>0.186167510436341</v>
      </c>
      <c r="CX21" s="164" t="n">
        <f aca="false">IF(CX$6&lt;Total_Lanes,900*Peak_Time_Eve*(($CN21/CX$6-1)+SQRT(($CN21/CX$6-1)^2+8*($CN21/CX$6)/(Peak_Time_Eve*$O54*CX$6))),"-")</f>
        <v>0.140958013377146</v>
      </c>
      <c r="CY21" s="164" t="n">
        <f aca="false">IF(CY$6&lt;Total_Lanes,900*Peak_Time_Eve*(($CN21/CY$6-1)+SQRT(($CN21/CY$6-1)^2+8*($CN21/CY$6)/(Peak_Time_Eve*$O54*CY$6))),"-")</f>
        <v>0.110590905740859</v>
      </c>
      <c r="CZ21" s="165" t="str">
        <f aca="false">IF(CZ$6&lt;Total_Lanes,900*Peak_Time_Eve*(($CN21/CZ$6-1)+SQRT(($CN21/CZ$6-1)^2+8*($CN21/CZ$6)/(Peak_Time_Eve*$O54*CZ$6))),"-")</f>
        <v>-</v>
      </c>
      <c r="DA21" s="165" t="str">
        <f aca="false">IF(DA$6&lt;Total_Lanes,900*Peak_Time_Eve*(($CN21/DA$6-1)+SQRT(($CN21/DA$6-1)^2+8*($CN21/DA$6)/(Peak_Time_Eve*$O54*DA$6))),"-")</f>
        <v>-</v>
      </c>
      <c r="DB21" s="165" t="str">
        <f aca="false">IF(DB$6&lt;Total_Lanes,900*Peak_Time_Eve*(($CN21/DB$6-1)+SQRT(($CN21/DB$6-1)^2+8*($CN21/DB$6)/(Peak_Time_Eve*$O54*DB$6))),"-")</f>
        <v>-</v>
      </c>
      <c r="DC21" s="165" t="str">
        <f aca="false">IF(DC$6&lt;Total_Lanes,900*Peak_Time_Eve*(($CN21/DC$6-1)+SQRT(($CN21/DC$6-1)^2+8*($CN21/DC$6)/(Peak_Time_Eve*$O54*DC$6))),"-")</f>
        <v>-</v>
      </c>
      <c r="DD21" s="165" t="str">
        <f aca="false">IF(DD$6&lt;Total_Lanes,900*Peak_Time_Eve*(($CN21/DD$6-1)+SQRT(($CN21/DD$6-1)^2+8*($CN21/DD$6)/(Peak_Time_Eve*$O54*DD$6))),"-")</f>
        <v>-</v>
      </c>
      <c r="DE21" s="165" t="str">
        <f aca="false">IF(DE$6&lt;Total_Lanes,900*Peak_Time_Eve*(($CN21/DE$6-1)+SQRT(($CN21/DE$6-1)^2+8*($CN21/DE$6)/(Peak_Time_Eve*$O54*DE$6))),"-")</f>
        <v>-</v>
      </c>
      <c r="DF21" s="165" t="str">
        <f aca="false">IF(DF$6&lt;Total_Lanes,900*Peak_Time_Eve*(($CN21/DF$6-1)+SQRT(($CN21/DF$6-1)^2+8*($CN21/DF$6)/(Peak_Time_Eve*$O54*DF$6))),"-")</f>
        <v>-</v>
      </c>
      <c r="DG21" s="165" t="str">
        <f aca="false">IF(DG$6&lt;Total_Lanes,900*Peak_Time_Eve*(($CN21/DG$6-1)+SQRT(($CN21/DG$6-1)^2+8*($CN21/DG$6)/(Peak_Time_Eve*$O54*DG$6))),"-")</f>
        <v>-</v>
      </c>
      <c r="DH21" s="165" t="str">
        <f aca="false">IF(DH$6&lt;Total_Lanes,900*Peak_Time_Eve*(($CN21/DH$6-1)+SQRT(($CN21/DH$6-1)^2+8*($CN21/DH$6)/(Peak_Time_Eve*$O54*DH$6))),"-")</f>
        <v>-</v>
      </c>
      <c r="DI21" s="166" t="str">
        <f aca="false">IF(DI$6&lt;Total_Lanes,900*Peak_Time_Eve*(($CN21/DI$6-1)+SQRT(($CN21/DI$6-1)^2+8*($CN21/DI$6)/(Peak_Time_Eve*$O54*DI$6))),"-")</f>
        <v>-</v>
      </c>
      <c r="DJ21" s="167" t="n">
        <f aca="false">3600/O54</f>
        <v>2.4</v>
      </c>
    </row>
    <row r="22" customFormat="false" ht="12.75" hidden="false" customHeight="false" outlineLevel="0" collapsed="false">
      <c r="H22" s="50" t="n">
        <v>15</v>
      </c>
      <c r="I22" s="124" t="n">
        <f aca="false">'Input-Detail'!E29</f>
        <v>27254043.25</v>
      </c>
      <c r="J22" s="131" t="n">
        <f aca="false">'Input-Detail'!F29</f>
        <v>0.72219473716396</v>
      </c>
      <c r="K22" s="57" t="n">
        <f aca="false">AC22</f>
        <v>8226.58735040957</v>
      </c>
      <c r="L22" s="135" t="n">
        <f aca="false">AD69</f>
        <v>13.6908727502698</v>
      </c>
      <c r="M22" s="150" t="n">
        <f aca="false">AD22</f>
        <v>31.3853275191913</v>
      </c>
      <c r="N22" s="150" t="n">
        <f aca="false">SUM(L22:M22)</f>
        <v>45.0762002694611</v>
      </c>
      <c r="O22" s="154" t="n">
        <f aca="false">$S$34*N22</f>
        <v>11719.8120700599</v>
      </c>
      <c r="P22" s="135" t="n">
        <f aca="false">BC69</f>
        <v>4.25863966927356</v>
      </c>
      <c r="Q22" s="150" t="n">
        <f aca="false">BC22</f>
        <v>15.2350884439543</v>
      </c>
      <c r="R22" s="150" t="n">
        <f aca="false">SUM(P22:Q22)</f>
        <v>19.4937281132279</v>
      </c>
      <c r="S22" s="155" t="n">
        <f aca="false">$S$34*R22</f>
        <v>5068.36930943926</v>
      </c>
      <c r="T22" s="1"/>
      <c r="U22" s="1"/>
      <c r="V22" s="50" t="n">
        <v>15</v>
      </c>
      <c r="W22" s="132" t="n">
        <f aca="false">W$7+(W$27-W$7)*$V22/20</f>
        <v>27254043.25</v>
      </c>
      <c r="X22" s="131" t="n">
        <f aca="false">J22</f>
        <v>0.72219473716396</v>
      </c>
      <c r="Y22" s="132" t="n">
        <f aca="false">'Input-Detail'!E29/Z22</f>
        <v>11752.2676434422</v>
      </c>
      <c r="Z22" s="156" t="n">
        <f aca="false">Z21</f>
        <v>2319.04548780488</v>
      </c>
      <c r="AA22" s="156" t="n">
        <f aca="false">AA21</f>
        <v>2</v>
      </c>
      <c r="AB22" s="157" t="n">
        <f aca="false">AB21</f>
        <v>0.7</v>
      </c>
      <c r="AC22" s="57" t="n">
        <f aca="false">Y22*AB22</f>
        <v>8226.58735040957</v>
      </c>
      <c r="AD22" s="135" t="n">
        <f aca="false">Peak_Time_Eve*$BH22*(3600/K55+BK22)/3600</f>
        <v>31.3853275191913</v>
      </c>
      <c r="AE22" s="136" t="n">
        <f aca="false">IF(AE$6&lt;Total_Lanes,($BI22*($CH22+BM22)+$CM22*CO22)*Peak_Time_Eve/3600,"-")</f>
        <v>35201.2557287473</v>
      </c>
      <c r="AF22" s="136" t="n">
        <f aca="false">IF(AF$6&lt;Total_Lanes,($BI22*($CH22+BN22)+$CM22*CP22)*Peak_Time_Eve/3600,"-")</f>
        <v>11666.9226291217</v>
      </c>
      <c r="AG22" s="136" t="n">
        <f aca="false">IF(AG$6&lt;Total_Lanes,($BI22*($CH22+BO22)+$CM22*CQ22)*Peak_Time_Eve/3600,"-")</f>
        <v>3826.0576242044</v>
      </c>
      <c r="AH22" s="136" t="n">
        <f aca="false">IF(AH$6&lt;Total_Lanes,($BI22*($CH22+BP22)+$CM22*CR22)*Peak_Time_Eve/3600,"-")</f>
        <v>115.222926186882</v>
      </c>
      <c r="AI22" s="136" t="n">
        <f aca="false">IF(AI$6&lt;Total_Lanes,($BI22*($CH22+BQ22)+$CM22*CS22)*Peak_Time_Eve/3600,"-")</f>
        <v>16.8596654746855</v>
      </c>
      <c r="AJ22" s="136" t="n">
        <f aca="false">IF(AJ$6&lt;Total_Lanes,($BI22*($CH22+BR22)+$CM22*CT22)*Peak_Time_Eve/3600,"-")</f>
        <v>15.2350884439543</v>
      </c>
      <c r="AK22" s="136" t="n">
        <f aca="false">IF(AK$6&lt;Total_Lanes,($BI22*($CH22+BS22)+$CM22*CU22)*Peak_Time_Eve/3600,"-")</f>
        <v>22.2576378339997</v>
      </c>
      <c r="AL22" s="136" t="n">
        <f aca="false">IF(AL$6&lt;Total_Lanes,($BI22*($CH22+BT22)+$CM22*CV22)*Peak_Time_Eve/3600,"-")</f>
        <v>463.884509540327</v>
      </c>
      <c r="AM22" s="136" t="n">
        <f aca="false">IF(AM$6&lt;Total_Lanes,($BI22*($CH22+BU22)+$CM22*CW22)*Peak_Time_Eve/3600,"-")</f>
        <v>2115.69555603639</v>
      </c>
      <c r="AN22" s="136" t="n">
        <f aca="false">IF(AN$6&lt;Total_Lanes,($BI22*($CH22+BV22)+$CM22*CX22)*Peak_Time_Eve/3600,"-")</f>
        <v>5448.23147667389</v>
      </c>
      <c r="AO22" s="136" t="n">
        <f aca="false">IF(AO$6&lt;Total_Lanes,($BI22*($CH22+BW22)+$CM22*CY22)*Peak_Time_Eve/3600,"-")</f>
        <v>15453.0963275698</v>
      </c>
      <c r="AP22" s="136" t="str">
        <f aca="false">IF(AP$6&lt;Total_Lanes,($BI22*($CH22+BX22)+$CM22*CZ22)*Peak_Time_Eve/3600,"-")</f>
        <v>-</v>
      </c>
      <c r="AQ22" s="136" t="str">
        <f aca="false">IF(AQ$6&lt;Total_Lanes,($BI22*($CH22+BY22)+$CM22*DA22)*Peak_Time_Eve/3600,"-")</f>
        <v>-</v>
      </c>
      <c r="AR22" s="136" t="str">
        <f aca="false">IF(AR$6&lt;Total_Lanes,($BI22*($CH22+BZ22)+$CM22*DB22)*Peak_Time_Eve/3600,"-")</f>
        <v>-</v>
      </c>
      <c r="AS22" s="136" t="str">
        <f aca="false">IF(AS$6&lt;Total_Lanes,($BI22*($CH22+CA22)+$CM22*DC22)*Peak_Time_Eve/3600,"-")</f>
        <v>-</v>
      </c>
      <c r="AT22" s="136" t="str">
        <f aca="false">IF(AT$6&lt;Total_Lanes,($BI22*($CH22+CB22)+$CM22*DD22)*Peak_Time_Eve/3600,"-")</f>
        <v>-</v>
      </c>
      <c r="AU22" s="136" t="str">
        <f aca="false">IF(AU$6&lt;Total_Lanes,($BI22*($CH22+CC22)+$CM22*DE22)*Peak_Time_Eve/3600,"-")</f>
        <v>-</v>
      </c>
      <c r="AV22" s="136" t="str">
        <f aca="false">IF(AV$6&lt;Total_Lanes,($BI22*($CH22+CD22)+$CM22*DF22)*Peak_Time_Eve/3600,"-")</f>
        <v>-</v>
      </c>
      <c r="AW22" s="136" t="str">
        <f aca="false">IF(AW$6&lt;Total_Lanes,($BI22*($CH22+CE22)+$CM22*DG22)*Peak_Time_Eve/3600,"-")</f>
        <v>-</v>
      </c>
      <c r="AX22" s="136" t="str">
        <f aca="false">IF(AX$6&lt;Total_Lanes,($BI22*($CH22+CF22)+$CM22*DH22)*Peak_Time_Eve/3600,"-")</f>
        <v>-</v>
      </c>
      <c r="AY22" s="137" t="str">
        <f aca="false">IF(AY$6&lt;Total_Lanes,($BI22*($CH22+CG22)+$CM22*DI22)*Peak_Time_Eve/3600,"-")</f>
        <v>-</v>
      </c>
      <c r="AZ22" s="158" t="n">
        <f aca="false">SUMIF(AE22:AY22,BA22,$AE$6:$AY$6)</f>
        <v>6</v>
      </c>
      <c r="BA22" s="159" t="n">
        <f aca="false">MIN(AE22:AY22)</f>
        <v>15.2350884439543</v>
      </c>
      <c r="BB22" s="158" t="n">
        <f aca="false">Price!X22</f>
        <v>6</v>
      </c>
      <c r="BC22" s="159" t="n">
        <f aca="false">SUMIF($AE$6:$AY$6,$BB22,$AE22:$AY22)</f>
        <v>15.2350884439543</v>
      </c>
      <c r="BF22" s="50" t="n">
        <v>15</v>
      </c>
      <c r="BG22" s="131" t="n">
        <f aca="false">$X22</f>
        <v>0.72219473716396</v>
      </c>
      <c r="BH22" s="141" t="n">
        <f aca="false">$AC22</f>
        <v>8226.58735040957</v>
      </c>
      <c r="BI22" s="58" t="n">
        <f aca="false">BH22*(1-BG22)</f>
        <v>2285.38926112417</v>
      </c>
      <c r="BJ22" s="143" t="n">
        <f aca="false">Peak_Arrival_Manual/K55</f>
        <v>4.17400955330317</v>
      </c>
      <c r="BK22" s="144" t="n">
        <f aca="false">900*Peak_Time_Eve*(BJ22/Total_Lanes-1+SQRT((BJ22/Total_Lanes-1)^2+8*(BJ22/Total_Lanes)/(Peak_Time_Eve*$K55*Total_Lanes)))</f>
        <v>0.292196217363672</v>
      </c>
      <c r="BL22" s="145" t="n">
        <f aca="false">Peak_Arrival_Manual/N55</f>
        <v>4.37636172746521</v>
      </c>
      <c r="BM22" s="146" t="n">
        <f aca="false">IF(BM$6&lt;Total_Lanes,900*Peak_Time_Eve*(($BL22/(Total_Lanes-BM$6))-1+SQRT((($BL22/(Total_Lanes-BM$6))-1)^2+8*($BL22/(Total_Lanes-BM$6))/(Peak_Time_Eve*$N55*(Total_Lanes-BM$6)))),"-")</f>
        <v>0.413996352692458</v>
      </c>
      <c r="BN22" s="146" t="n">
        <f aca="false">IF(BN$6&lt;Total_Lanes,900*Peak_Time_Eve*(($BL22/(Total_Lanes-BN$6))-1+SQRT((($BL22/(Total_Lanes-BN$6))-1)^2+8*($BL22/(Total_Lanes-BN$6))/(Peak_Time_Eve*$N55*(Total_Lanes-BN$6)))),"-")</f>
        <v>0.536335229384566</v>
      </c>
      <c r="BO22" s="146" t="n">
        <f aca="false">IF(BO$6&lt;Total_Lanes,900*Peak_Time_Eve*(($BL22/(Total_Lanes-BO$6))-1+SQRT((($BL22/(Total_Lanes-BO$6))-1)^2+8*($BL22/(Total_Lanes-BO$6))/(Peak_Time_Eve*$N55*(Total_Lanes-BO$6)))),"-")</f>
        <v>0.724723315366149</v>
      </c>
      <c r="BP22" s="146" t="n">
        <f aca="false">IF(BP$6&lt;Total_Lanes,900*Peak_Time_Eve*(($BL22/(Total_Lanes-BP$6))-1+SQRT((($BL22/(Total_Lanes-BP$6))-1)^2+8*($BL22/(Total_Lanes-BP$6))/(Peak_Time_Eve*$N55*(Total_Lanes-BP$6)))),"-")</f>
        <v>1.04005666581566</v>
      </c>
      <c r="BQ22" s="146" t="n">
        <f aca="false">IF(BQ$6&lt;Total_Lanes,900*Peak_Time_Eve*(($BL22/(Total_Lanes-BQ$6))-1+SQRT((($BL22/(Total_Lanes-BQ$6))-1)^2+8*($BL22/(Total_Lanes-BQ$6))/(Peak_Time_Eve*$N55*(Total_Lanes-BQ$6)))),"-")</f>
        <v>1.6407369774783</v>
      </c>
      <c r="BR22" s="146" t="n">
        <f aca="false">IF(BR$6&lt;Total_Lanes,900*Peak_Time_Eve*(($BL22/(Total_Lanes-BR$6))-1+SQRT((($BL22/(Total_Lanes-BR$6))-1)^2+8*($BL22/(Total_Lanes-BR$6))/(Peak_Time_Eve*$N55*(Total_Lanes-BR$6)))),"-")</f>
        <v>3.08712443270308</v>
      </c>
      <c r="BS22" s="146" t="n">
        <f aca="false">IF(BS$6&lt;Total_Lanes,900*Peak_Time_Eve*(($BL22/(Total_Lanes-BS$6))-1+SQRT((($BL22/(Total_Lanes-BS$6))-1)^2+8*($BL22/(Total_Lanes-BS$6))/(Peak_Time_Eve*$N55*(Total_Lanes-BS$6)))),"-")</f>
        <v>9.47538114974514</v>
      </c>
      <c r="BT22" s="146" t="n">
        <f aca="false">IF(BT$6&lt;Total_Lanes,900*Peak_Time_Eve*(($BL22/(Total_Lanes-BT$6))-1+SQRT((($BL22/(Total_Lanes-BT$6))-1)^2+8*($BL22/(Total_Lanes-BT$6))/(Peak_Time_Eve*$N55*(Total_Lanes-BT$6)))),"-")</f>
        <v>357.702623589719</v>
      </c>
      <c r="BU22" s="146" t="n">
        <f aca="false">IF(BU$6&lt;Total_Lanes,900*Peak_Time_Eve*(($BL22/(Total_Lanes-BU$6))-1+SQRT((($BL22/(Total_Lanes-BU$6))-1)^2+8*($BL22/(Total_Lanes-BU$6))/(Peak_Time_Eve*$N55*(Total_Lanes-BU$6)))),"-")</f>
        <v>1658.90862520311</v>
      </c>
      <c r="BV22" s="146" t="n">
        <f aca="false">IF(BV$6&lt;Total_Lanes,900*Peak_Time_Eve*(($BL22/(Total_Lanes-BV$6))-1+SQRT((($BL22/(Total_Lanes-BV$6))-1)^2+8*($BL22/(Total_Lanes-BV$6))/(Peak_Time_Eve*$N55*(Total_Lanes-BV$6)))),"-")</f>
        <v>4283.78956022053</v>
      </c>
      <c r="BW22" s="146" t="n">
        <f aca="false">IF(BW$6&lt;Total_Lanes,900*Peak_Time_Eve*(($BL22/(Total_Lanes-BW$6))-1+SQRT((($BL22/(Total_Lanes-BW$6))-1)^2+8*($BL22/(Total_Lanes-BW$6))/(Peak_Time_Eve*$N55*(Total_Lanes-BW$6)))),"-")</f>
        <v>12163.8311784746</v>
      </c>
      <c r="BX22" s="136" t="str">
        <f aca="false">IF(BX$6&lt;Total_Lanes,900*Peak_Time_Eve*(($BL22/(Total_Lanes-BX$6))-1+SQRT((($BL22/(Total_Lanes-BX$6))-1)^2+8*($BL22/(Total_Lanes-BX$6))/(Peak_Time_Eve*$N55*(Total_Lanes-BX$6)))),"-")</f>
        <v>-</v>
      </c>
      <c r="BY22" s="136" t="str">
        <f aca="false">IF(BY$6&lt;Total_Lanes,900*Peak_Time_Eve*(($BL22/(Total_Lanes-BY$6))-1+SQRT((($BL22/(Total_Lanes-BY$6))-1)^2+8*($BL22/(Total_Lanes-BY$6))/(Peak_Time_Eve*$N55*(Total_Lanes-BY$6)))),"-")</f>
        <v>-</v>
      </c>
      <c r="BZ22" s="136" t="str">
        <f aca="false">IF(BZ$6&lt;Total_Lanes,900*Peak_Time_Eve*(($BL22/(Total_Lanes-BZ$6))-1+SQRT((($BL22/(Total_Lanes-BZ$6))-1)^2+8*($BL22/(Total_Lanes-BZ$6))/(Peak_Time_Eve*$N55*(Total_Lanes-BZ$6)))),"-")</f>
        <v>-</v>
      </c>
      <c r="CA22" s="136" t="str">
        <f aca="false">IF(CA$6&lt;Total_Lanes,900*Peak_Time_Eve*(($BL22/(Total_Lanes-CA$6))-1+SQRT((($BL22/(Total_Lanes-CA$6))-1)^2+8*($BL22/(Total_Lanes-CA$6))/(Peak_Time_Eve*$N55*(Total_Lanes-CA$6)))),"-")</f>
        <v>-</v>
      </c>
      <c r="CB22" s="136" t="str">
        <f aca="false">IF(CB$6&lt;Total_Lanes,900*Peak_Time_Eve*(($BL22/(Total_Lanes-CB$6))-1+SQRT((($BL22/(Total_Lanes-CB$6))-1)^2+8*($BL22/(Total_Lanes-CB$6))/(Peak_Time_Eve*$N55*(Total_Lanes-CB$6)))),"-")</f>
        <v>-</v>
      </c>
      <c r="CC22" s="136" t="str">
        <f aca="false">IF(CC$6&lt;Total_Lanes,900*Peak_Time_Eve*(($BL22/(Total_Lanes-CC$6))-1+SQRT((($BL22/(Total_Lanes-CC$6))-1)^2+8*($BL22/(Total_Lanes-CC$6))/(Peak_Time_Eve*$N55*(Total_Lanes-CC$6)))),"-")</f>
        <v>-</v>
      </c>
      <c r="CD22" s="136" t="str">
        <f aca="false">IF(CD$6&lt;Total_Lanes,900*Peak_Time_Eve*(($BL22/(Total_Lanes-CD$6))-1+SQRT((($BL22/(Total_Lanes-CD$6))-1)^2+8*($BL22/(Total_Lanes-CD$6))/(Peak_Time_Eve*$N55*(Total_Lanes-CD$6)))),"-")</f>
        <v>-</v>
      </c>
      <c r="CE22" s="136" t="str">
        <f aca="false">IF(CE$6&lt;Total_Lanes,900*Peak_Time_Eve*(($BL22/(Total_Lanes-CE$6))-1+SQRT((($BL22/(Total_Lanes-CE$6))-1)^2+8*($BL22/(Total_Lanes-CE$6))/(Peak_Time_Eve*$N55*(Total_Lanes-CE$6)))),"-")</f>
        <v>-</v>
      </c>
      <c r="CF22" s="136" t="str">
        <f aca="false">IF(CF$6&lt;Total_Lanes,900*Peak_Time_Eve*(($BL22/(Total_Lanes-CF$6))-1+SQRT((($BL22/(Total_Lanes-CF$6))-1)^2+8*($BL22/(Total_Lanes-CF$6))/(Peak_Time_Eve*$N55*(Total_Lanes-CF$6)))),"-")</f>
        <v>-</v>
      </c>
      <c r="CG22" s="147" t="str">
        <f aca="false">IF(CG$6&lt;Total_Lanes,900*Peak_Time_Eve*(($BL22/(Total_Lanes-CG$6))-1+SQRT((($BL22/(Total_Lanes-CG$6))-1)^2+8*($BL22/(Total_Lanes-CG$6))/(Peak_Time_Eve*$N55*(Total_Lanes-CG$6)))),"-")</f>
        <v>-</v>
      </c>
      <c r="CH22" s="160" t="n">
        <f aca="false">3600/N55</f>
        <v>6.89375</v>
      </c>
      <c r="CJ22" s="50" t="n">
        <v>15</v>
      </c>
      <c r="CK22" s="131" t="n">
        <f aca="false">$X22</f>
        <v>0.72219473716396</v>
      </c>
      <c r="CL22" s="57" t="n">
        <f aca="false">$AC22</f>
        <v>8226.58735040957</v>
      </c>
      <c r="CM22" s="135" t="n">
        <f aca="false">CL22*CK22</f>
        <v>5941.1980892854</v>
      </c>
      <c r="CN22" s="161" t="n">
        <f aca="false">CM22/O54</f>
        <v>3.96079872619027</v>
      </c>
      <c r="CO22" s="146" t="n">
        <f aca="false">IF(CO$6&lt;Total_Lanes,900*Peak_Time_Eve*(($CN22/CO$6-1)+SQRT(($CN22/CO$6-1)^2+8*($CN22/CO$6)/(Peak_Time_Eve*$O55*CO$6))),"-")</f>
        <v>10662.0850398757</v>
      </c>
      <c r="CP22" s="146" t="n">
        <f aca="false">IF(CP$6&lt;Total_Lanes,900*Peak_Time_Eve*(($CN22/CP$6-1)+SQRT(($CN22/CP$6-1)^2+8*($CN22/CP$6)/(Peak_Time_Eve*$O55*CP$6))),"-")</f>
        <v>3531.8600356499</v>
      </c>
      <c r="CQ22" s="146" t="n">
        <f aca="false">IF(CQ$6&lt;Total_Lanes,900*Peak_Time_Eve*(($CN22/CQ$6-1)+SQRT(($CN22/CQ$6-1)^2+8*($CN22/CQ$6)/(Peak_Time_Eve*$O55*CQ$6))),"-")</f>
        <v>1156.24701335166</v>
      </c>
      <c r="CR22" s="146" t="n">
        <f aca="false">IF(CR$6&lt;Total_Lanes,900*Peak_Time_Eve*(($CN22/CR$6-1)+SQRT(($CN22/CR$6-1)^2+8*($CN22/CR$6)/(Peak_Time_Eve*$O55*CR$6))),"-")</f>
        <v>31.8571149687524</v>
      </c>
      <c r="CS22" s="164" t="n">
        <f aca="false">IF(CS$6&lt;Total_Lanes,900*Peak_Time_Eve*(($CN22/CS$6-1)+SQRT(($CN22/CS$6-1)^2+8*($CN22/CS$6)/(Peak_Time_Eve*$O55*CS$6))),"-")</f>
        <v>1.82501455160284</v>
      </c>
      <c r="CT22" s="164" t="n">
        <f aca="false">IF(CT$6&lt;Total_Lanes,900*Peak_Time_Eve*(($CN22/CT$6-1)+SQRT(($CN22/CT$6-1)^2+8*($CN22/CT$6)/(Peak_Time_Eve*$O55*CT$6))),"-")</f>
        <v>0.776438671908386</v>
      </c>
      <c r="CU22" s="164" t="n">
        <f aca="false">IF(CU$6&lt;Total_Lanes,900*Peak_Time_Eve*(($CN22/CU$6-1)+SQRT(($CN22/CU$6-1)^2+8*($CN22/CU$6)/(Peak_Time_Eve*$O55*CU$6))),"-")</f>
        <v>0.446696359514576</v>
      </c>
      <c r="CV22" s="164" t="n">
        <f aca="false">IF(CV$6&lt;Total_Lanes,900*Peak_Time_Eve*(($CN22/CV$6-1)+SQRT(($CN22/CV$6-1)^2+8*($CN22/CV$6)/(Peak_Time_Eve*$O55*CV$6))),"-")</f>
        <v>0.294129281597155</v>
      </c>
      <c r="CW22" s="164" t="n">
        <f aca="false">IF(CW$6&lt;Total_Lanes,900*Peak_Time_Eve*(($CN22/CW$6-1)+SQRT(($CN22/CW$6-1)^2+8*($CN22/CW$6)/(Peak_Time_Eve*$O55*CW$6))),"-")</f>
        <v>0.209577496402469</v>
      </c>
      <c r="CX22" s="164" t="n">
        <f aca="false">IF(CX$6&lt;Total_Lanes,900*Peak_Time_Eve*(($CN22/CX$6-1)+SQRT(($CN22/CX$6-1)^2+8*($CN22/CX$6)/(Peak_Time_Eve*$O55*CX$6))),"-")</f>
        <v>0.15739215159023</v>
      </c>
      <c r="CY22" s="164" t="n">
        <f aca="false">IF(CY$6&lt;Total_Lanes,900*Peak_Time_Eve*(($CN22/CY$6-1)+SQRT(($CN22/CY$6-1)^2+8*($CN22/CY$6)/(Peak_Time_Eve*$O55*CY$6))),"-")</f>
        <v>0.122759413615792</v>
      </c>
      <c r="CZ22" s="165" t="str">
        <f aca="false">IF(CZ$6&lt;Total_Lanes,900*Peak_Time_Eve*(($CN22/CZ$6-1)+SQRT(($CN22/CZ$6-1)^2+8*($CN22/CZ$6)/(Peak_Time_Eve*$O55*CZ$6))),"-")</f>
        <v>-</v>
      </c>
      <c r="DA22" s="165" t="str">
        <f aca="false">IF(DA$6&lt;Total_Lanes,900*Peak_Time_Eve*(($CN22/DA$6-1)+SQRT(($CN22/DA$6-1)^2+8*($CN22/DA$6)/(Peak_Time_Eve*$O55*DA$6))),"-")</f>
        <v>-</v>
      </c>
      <c r="DB22" s="165" t="str">
        <f aca="false">IF(DB$6&lt;Total_Lanes,900*Peak_Time_Eve*(($CN22/DB$6-1)+SQRT(($CN22/DB$6-1)^2+8*($CN22/DB$6)/(Peak_Time_Eve*$O55*DB$6))),"-")</f>
        <v>-</v>
      </c>
      <c r="DC22" s="165" t="str">
        <f aca="false">IF(DC$6&lt;Total_Lanes,900*Peak_Time_Eve*(($CN22/DC$6-1)+SQRT(($CN22/DC$6-1)^2+8*($CN22/DC$6)/(Peak_Time_Eve*$O55*DC$6))),"-")</f>
        <v>-</v>
      </c>
      <c r="DD22" s="165" t="str">
        <f aca="false">IF(DD$6&lt;Total_Lanes,900*Peak_Time_Eve*(($CN22/DD$6-1)+SQRT(($CN22/DD$6-1)^2+8*($CN22/DD$6)/(Peak_Time_Eve*$O55*DD$6))),"-")</f>
        <v>-</v>
      </c>
      <c r="DE22" s="165" t="str">
        <f aca="false">IF(DE$6&lt;Total_Lanes,900*Peak_Time_Eve*(($CN22/DE$6-1)+SQRT(($CN22/DE$6-1)^2+8*($CN22/DE$6)/(Peak_Time_Eve*$O55*DE$6))),"-")</f>
        <v>-</v>
      </c>
      <c r="DF22" s="165" t="str">
        <f aca="false">IF(DF$6&lt;Total_Lanes,900*Peak_Time_Eve*(($CN22/DF$6-1)+SQRT(($CN22/DF$6-1)^2+8*($CN22/DF$6)/(Peak_Time_Eve*$O55*DF$6))),"-")</f>
        <v>-</v>
      </c>
      <c r="DG22" s="165" t="str">
        <f aca="false">IF(DG$6&lt;Total_Lanes,900*Peak_Time_Eve*(($CN22/DG$6-1)+SQRT(($CN22/DG$6-1)^2+8*($CN22/DG$6)/(Peak_Time_Eve*$O55*DG$6))),"-")</f>
        <v>-</v>
      </c>
      <c r="DH22" s="165" t="str">
        <f aca="false">IF(DH$6&lt;Total_Lanes,900*Peak_Time_Eve*(($CN22/DH$6-1)+SQRT(($CN22/DH$6-1)^2+8*($CN22/DH$6)/(Peak_Time_Eve*$O55*DH$6))),"-")</f>
        <v>-</v>
      </c>
      <c r="DI22" s="166" t="str">
        <f aca="false">IF(DI$6&lt;Total_Lanes,900*Peak_Time_Eve*(($CN22/DI$6-1)+SQRT(($CN22/DI$6-1)^2+8*($CN22/DI$6)/(Peak_Time_Eve*$O55*DI$6))),"-")</f>
        <v>-</v>
      </c>
      <c r="DJ22" s="167" t="n">
        <f aca="false">3600/O55</f>
        <v>2.4</v>
      </c>
    </row>
    <row r="23" customFormat="false" ht="12.75" hidden="false" customHeight="false" outlineLevel="0" collapsed="false">
      <c r="H23" s="50" t="n">
        <v>16</v>
      </c>
      <c r="I23" s="124" t="n">
        <f aca="false">'Input-Detail'!E30</f>
        <v>27803234.6</v>
      </c>
      <c r="J23" s="131" t="n">
        <f aca="false">'Input-Detail'!F30</f>
        <v>0.753205951403196</v>
      </c>
      <c r="K23" s="57" t="n">
        <f aca="false">AC23</f>
        <v>8392.35984043687</v>
      </c>
      <c r="L23" s="135" t="n">
        <f aca="false">AD70</f>
        <v>13.9884325078358</v>
      </c>
      <c r="M23" s="150" t="n">
        <f aca="false">AD23</f>
        <v>31.8313223932879</v>
      </c>
      <c r="N23" s="150" t="n">
        <f aca="false">SUM(L23:M23)</f>
        <v>45.8197549011237</v>
      </c>
      <c r="O23" s="154" t="n">
        <f aca="false">$S$34*N23</f>
        <v>11913.1362742922</v>
      </c>
      <c r="P23" s="135" t="n">
        <f aca="false">BC70</f>
        <v>3.89486949929617</v>
      </c>
      <c r="Q23" s="150" t="n">
        <f aca="false">BC23</f>
        <v>13.8734426106603</v>
      </c>
      <c r="R23" s="150" t="n">
        <f aca="false">SUM(P23:Q23)</f>
        <v>17.7683121099565</v>
      </c>
      <c r="S23" s="155" t="n">
        <f aca="false">$S$34*R23</f>
        <v>4619.76114858869</v>
      </c>
      <c r="T23" s="1"/>
      <c r="U23" s="1"/>
      <c r="V23" s="50" t="n">
        <v>16</v>
      </c>
      <c r="W23" s="132" t="n">
        <f aca="false">W$7+(W$27-W$7)*$V23/20</f>
        <v>27803234.6</v>
      </c>
      <c r="X23" s="131" t="n">
        <f aca="false">J23</f>
        <v>0.753205951403196</v>
      </c>
      <c r="Y23" s="132" t="n">
        <f aca="false">'Input-Detail'!E30/Z23</f>
        <v>11989.0854863384</v>
      </c>
      <c r="Z23" s="156" t="n">
        <f aca="false">Z22</f>
        <v>2319.04548780488</v>
      </c>
      <c r="AA23" s="156" t="n">
        <f aca="false">AA22</f>
        <v>2</v>
      </c>
      <c r="AB23" s="157" t="n">
        <f aca="false">AB22</f>
        <v>0.7</v>
      </c>
      <c r="AC23" s="57" t="n">
        <f aca="false">Y23*AB23</f>
        <v>8392.35984043687</v>
      </c>
      <c r="AD23" s="135" t="n">
        <f aca="false">Peak_Time_Eve*$BH23*(3600/K56+BK23)/3600</f>
        <v>31.8313223932879</v>
      </c>
      <c r="AE23" s="136" t="n">
        <f aca="false">IF(AE$6&lt;Total_Lanes,($BI23*($CH23+BM23)+$CM23*CO23)*Peak_Time_Eve/3600,"-")</f>
        <v>40653.4075241491</v>
      </c>
      <c r="AF23" s="136" t="n">
        <f aca="false">IF(AF$6&lt;Total_Lanes,($BI23*($CH23+BN23)+$CM23*CP23)*Peak_Time_Eve/3600,"-")</f>
        <v>14012.3198521621</v>
      </c>
      <c r="AG23" s="136" t="n">
        <f aca="false">IF(AG$6&lt;Total_Lanes,($BI23*($CH23+BO23)+$CM23*CQ23)*Peak_Time_Eve/3600,"-")</f>
        <v>5134.82042344254</v>
      </c>
      <c r="AH23" s="136" t="n">
        <f aca="false">IF(AH$6&lt;Total_Lanes,($BI23*($CH23+BP23)+$CM23*CR23)*Peak_Time_Eve/3600,"-")</f>
        <v>724.874793634214</v>
      </c>
      <c r="AI23" s="136" t="n">
        <f aca="false">IF(AI$6&lt;Total_Lanes,($BI23*($CH23+BQ23)+$CM23*CS23)*Peak_Time_Eve/3600,"-")</f>
        <v>18.4503169101306</v>
      </c>
      <c r="AJ23" s="136" t="n">
        <f aca="false">IF(AJ$6&lt;Total_Lanes,($BI23*($CH23+BR23)+$CM23*CT23)*Peak_Time_Eve/3600,"-")</f>
        <v>13.8734426106603</v>
      </c>
      <c r="AK23" s="136" t="n">
        <f aca="false">IF(AK$6&lt;Total_Lanes,($BI23*($CH23+BS23)+$CM23*CU23)*Peak_Time_Eve/3600,"-")</f>
        <v>15.9299289137436</v>
      </c>
      <c r="AL23" s="136" t="n">
        <f aca="false">IF(AL$6&lt;Total_Lanes,($BI23*($CH23+BT23)+$CM23*CV23)*Peak_Time_Eve/3600,"-")</f>
        <v>89.1622410275413</v>
      </c>
      <c r="AM23" s="136" t="n">
        <f aca="false">IF(AM$6&lt;Total_Lanes,($BI23*($CH23+BU23)+$CM23*CW23)*Peak_Time_Eve/3600,"-")</f>
        <v>1370.4460694192</v>
      </c>
      <c r="AN23" s="136" t="n">
        <f aca="false">IF(AN$6&lt;Total_Lanes,($BI23*($CH23+BV23)+$CM23*CX23)*Peak_Time_Eve/3600,"-")</f>
        <v>4114.18695208975</v>
      </c>
      <c r="AO23" s="136" t="n">
        <f aca="false">IF(AO$6&lt;Total_Lanes,($BI23*($CH23+BW23)+$CM23*CY23)*Peak_Time_Eve/3600,"-")</f>
        <v>12356.6840002813</v>
      </c>
      <c r="AP23" s="136" t="str">
        <f aca="false">IF(AP$6&lt;Total_Lanes,($BI23*($CH23+BX23)+$CM23*CZ23)*Peak_Time_Eve/3600,"-")</f>
        <v>-</v>
      </c>
      <c r="AQ23" s="136" t="str">
        <f aca="false">IF(AQ$6&lt;Total_Lanes,($BI23*($CH23+BY23)+$CM23*DA23)*Peak_Time_Eve/3600,"-")</f>
        <v>-</v>
      </c>
      <c r="AR23" s="136" t="str">
        <f aca="false">IF(AR$6&lt;Total_Lanes,($BI23*($CH23+BZ23)+$CM23*DB23)*Peak_Time_Eve/3600,"-")</f>
        <v>-</v>
      </c>
      <c r="AS23" s="136" t="str">
        <f aca="false">IF(AS$6&lt;Total_Lanes,($BI23*($CH23+CA23)+$CM23*DC23)*Peak_Time_Eve/3600,"-")</f>
        <v>-</v>
      </c>
      <c r="AT23" s="136" t="str">
        <f aca="false">IF(AT$6&lt;Total_Lanes,($BI23*($CH23+CB23)+$CM23*DD23)*Peak_Time_Eve/3600,"-")</f>
        <v>-</v>
      </c>
      <c r="AU23" s="136" t="str">
        <f aca="false">IF(AU$6&lt;Total_Lanes,($BI23*($CH23+CC23)+$CM23*DE23)*Peak_Time_Eve/3600,"-")</f>
        <v>-</v>
      </c>
      <c r="AV23" s="136" t="str">
        <f aca="false">IF(AV$6&lt;Total_Lanes,($BI23*($CH23+CD23)+$CM23*DF23)*Peak_Time_Eve/3600,"-")</f>
        <v>-</v>
      </c>
      <c r="AW23" s="136" t="str">
        <f aca="false">IF(AW$6&lt;Total_Lanes,($BI23*($CH23+CE23)+$CM23*DG23)*Peak_Time_Eve/3600,"-")</f>
        <v>-</v>
      </c>
      <c r="AX23" s="136" t="str">
        <f aca="false">IF(AX$6&lt;Total_Lanes,($BI23*($CH23+CF23)+$CM23*DH23)*Peak_Time_Eve/3600,"-")</f>
        <v>-</v>
      </c>
      <c r="AY23" s="137" t="str">
        <f aca="false">IF(AY$6&lt;Total_Lanes,($BI23*($CH23+CG23)+$CM23*DI23)*Peak_Time_Eve/3600,"-")</f>
        <v>-</v>
      </c>
      <c r="AZ23" s="158" t="n">
        <f aca="false">SUMIF(AE23:AY23,BA23,$AE$6:$AY$6)</f>
        <v>6</v>
      </c>
      <c r="BA23" s="159" t="n">
        <f aca="false">MIN(AE23:AY23)</f>
        <v>13.8734426106603</v>
      </c>
      <c r="BB23" s="158" t="n">
        <f aca="false">Price!X23</f>
        <v>6</v>
      </c>
      <c r="BC23" s="159" t="n">
        <f aca="false">SUMIF($AE$6:$AY$6,$BB23,$AE23:$AY23)</f>
        <v>13.8734426106603</v>
      </c>
      <c r="BF23" s="50" t="n">
        <v>16</v>
      </c>
      <c r="BG23" s="131" t="n">
        <f aca="false">$X23</f>
        <v>0.753205951403196</v>
      </c>
      <c r="BH23" s="141" t="n">
        <f aca="false">$AC23</f>
        <v>8392.35984043687</v>
      </c>
      <c r="BI23" s="58" t="n">
        <f aca="false">BH23*(1-BG23)</f>
        <v>2071.18446230264</v>
      </c>
      <c r="BJ23" s="143" t="n">
        <f aca="false">Peak_Arrival_Manual/K56</f>
        <v>3.78278828878885</v>
      </c>
      <c r="BK23" s="144" t="n">
        <f aca="false">900*Peak_Time_Eve*(BJ23/Total_Lanes-1+SQRT((BJ23/Total_Lanes-1)^2+8*(BJ23/Total_Lanes)/(Peak_Time_Eve*$K56*Total_Lanes)))</f>
        <v>0.252207292977036</v>
      </c>
      <c r="BL23" s="145" t="n">
        <f aca="false">Peak_Arrival_Manual/N56</f>
        <v>3.97840015467299</v>
      </c>
      <c r="BM23" s="146" t="n">
        <f aca="false">IF(BM$6&lt;Total_Lanes,900*Peak_Time_Eve*(($BL23/(Total_Lanes-BM$6))-1+SQRT((($BL23/(Total_Lanes-BM$6))-1)^2+8*($BL23/(Total_Lanes-BM$6))/(Peak_Time_Eve*$N56*(Total_Lanes-BM$6)))),"-")</f>
        <v>0.356126742727247</v>
      </c>
      <c r="BN23" s="146" t="n">
        <f aca="false">IF(BN$6&lt;Total_Lanes,900*Peak_Time_Eve*(($BL23/(Total_Lanes-BN$6))-1+SQRT((($BL23/(Total_Lanes-BN$6))-1)^2+8*($BL23/(Total_Lanes-BN$6))/(Peak_Time_Eve*$N56*(Total_Lanes-BN$6)))),"-")</f>
        <v>0.456769666888812</v>
      </c>
      <c r="BO23" s="146" t="n">
        <f aca="false">IF(BO$6&lt;Total_Lanes,900*Peak_Time_Eve*(($BL23/(Total_Lanes-BO$6))-1+SQRT((($BL23/(Total_Lanes-BO$6))-1)^2+8*($BL23/(Total_Lanes-BO$6))/(Peak_Time_Eve*$N56*(Total_Lanes-BO$6)))),"-")</f>
        <v>0.608533488087892</v>
      </c>
      <c r="BP23" s="146" t="n">
        <f aca="false">IF(BP$6&lt;Total_Lanes,900*Peak_Time_Eve*(($BL23/(Total_Lanes-BP$6))-1+SQRT((($BL23/(Total_Lanes-BP$6))-1)^2+8*($BL23/(Total_Lanes-BP$6))/(Peak_Time_Eve*$N56*(Total_Lanes-BP$6)))),"-")</f>
        <v>0.854686308360342</v>
      </c>
      <c r="BQ23" s="146" t="n">
        <f aca="false">IF(BQ$6&lt;Total_Lanes,900*Peak_Time_Eve*(($BL23/(Total_Lanes-BQ$6))-1+SQRT((($BL23/(Total_Lanes-BQ$6))-1)^2+8*($BL23/(Total_Lanes-BQ$6))/(Peak_Time_Eve*$N56*(Total_Lanes-BQ$6)))),"-")</f>
        <v>1.29957877581859</v>
      </c>
      <c r="BR23" s="146" t="n">
        <f aca="false">IF(BR$6&lt;Total_Lanes,900*Peak_Time_Eve*(($BL23/(Total_Lanes-BR$6))-1+SQRT((($BL23/(Total_Lanes-BR$6))-1)^2+8*($BL23/(Total_Lanes-BR$6))/(Peak_Time_Eve*$N56*(Total_Lanes-BR$6)))),"-")</f>
        <v>2.26383308338222</v>
      </c>
      <c r="BS23" s="146" t="n">
        <f aca="false">IF(BS$6&lt;Total_Lanes,900*Peak_Time_Eve*(($BL23/(Total_Lanes-BS$6))-1+SQRT((($BL23/(Total_Lanes-BS$6))-1)^2+8*($BL23/(Total_Lanes-BS$6))/(Peak_Time_Eve*$N56*(Total_Lanes-BS$6)))),"-")</f>
        <v>5.34692680760761</v>
      </c>
      <c r="BT23" s="146" t="n">
        <f aca="false">IF(BT$6&lt;Total_Lanes,900*Peak_Time_Eve*(($BL23/(Total_Lanes-BT$6))-1+SQRT((($BL23/(Total_Lanes-BT$6))-1)^2+8*($BL23/(Total_Lanes-BT$6))/(Peak_Time_Eve*$N56*(Total_Lanes-BT$6)))),"-")</f>
        <v>69.5540904897513</v>
      </c>
      <c r="BU23" s="146" t="n">
        <f aca="false">IF(BU$6&lt;Total_Lanes,900*Peak_Time_Eve*(($BL23/(Total_Lanes-BU$6))-1+SQRT((($BL23/(Total_Lanes-BU$6))-1)^2+8*($BL23/(Total_Lanes-BU$6))/(Peak_Time_Eve*$N56*(Total_Lanes-BU$6)))),"-")</f>
        <v>1183.37919548524</v>
      </c>
      <c r="BV23" s="146" t="n">
        <f aca="false">IF(BV$6&lt;Total_Lanes,900*Peak_Time_Eve*(($BL23/(Total_Lanes-BV$6))-1+SQRT((($BL23/(Total_Lanes-BV$6))-1)^2+8*($BL23/(Total_Lanes-BV$6))/(Peak_Time_Eve*$N56*(Total_Lanes-BV$6)))),"-")</f>
        <v>3568.05950499322</v>
      </c>
      <c r="BW23" s="146" t="n">
        <f aca="false">IF(BW$6&lt;Total_Lanes,900*Peak_Time_Eve*(($BL23/(Total_Lanes-BW$6))-1+SQRT((($BL23/(Total_Lanes-BW$6))-1)^2+8*($BL23/(Total_Lanes-BW$6))/(Peak_Time_Eve*$N56*(Total_Lanes-BW$6)))),"-")</f>
        <v>10731.4693297342</v>
      </c>
      <c r="BX23" s="136" t="str">
        <f aca="false">IF(BX$6&lt;Total_Lanes,900*Peak_Time_Eve*(($BL23/(Total_Lanes-BX$6))-1+SQRT((($BL23/(Total_Lanes-BX$6))-1)^2+8*($BL23/(Total_Lanes-BX$6))/(Peak_Time_Eve*$N56*(Total_Lanes-BX$6)))),"-")</f>
        <v>-</v>
      </c>
      <c r="BY23" s="136" t="str">
        <f aca="false">IF(BY$6&lt;Total_Lanes,900*Peak_Time_Eve*(($BL23/(Total_Lanes-BY$6))-1+SQRT((($BL23/(Total_Lanes-BY$6))-1)^2+8*($BL23/(Total_Lanes-BY$6))/(Peak_Time_Eve*$N56*(Total_Lanes-BY$6)))),"-")</f>
        <v>-</v>
      </c>
      <c r="BZ23" s="136" t="str">
        <f aca="false">IF(BZ$6&lt;Total_Lanes,900*Peak_Time_Eve*(($BL23/(Total_Lanes-BZ$6))-1+SQRT((($BL23/(Total_Lanes-BZ$6))-1)^2+8*($BL23/(Total_Lanes-BZ$6))/(Peak_Time_Eve*$N56*(Total_Lanes-BZ$6)))),"-")</f>
        <v>-</v>
      </c>
      <c r="CA23" s="136" t="str">
        <f aca="false">IF(CA$6&lt;Total_Lanes,900*Peak_Time_Eve*(($BL23/(Total_Lanes-CA$6))-1+SQRT((($BL23/(Total_Lanes-CA$6))-1)^2+8*($BL23/(Total_Lanes-CA$6))/(Peak_Time_Eve*$N56*(Total_Lanes-CA$6)))),"-")</f>
        <v>-</v>
      </c>
      <c r="CB23" s="136" t="str">
        <f aca="false">IF(CB$6&lt;Total_Lanes,900*Peak_Time_Eve*(($BL23/(Total_Lanes-CB$6))-1+SQRT((($BL23/(Total_Lanes-CB$6))-1)^2+8*($BL23/(Total_Lanes-CB$6))/(Peak_Time_Eve*$N56*(Total_Lanes-CB$6)))),"-")</f>
        <v>-</v>
      </c>
      <c r="CC23" s="136" t="str">
        <f aca="false">IF(CC$6&lt;Total_Lanes,900*Peak_Time_Eve*(($BL23/(Total_Lanes-CC$6))-1+SQRT((($BL23/(Total_Lanes-CC$6))-1)^2+8*($BL23/(Total_Lanes-CC$6))/(Peak_Time_Eve*$N56*(Total_Lanes-CC$6)))),"-")</f>
        <v>-</v>
      </c>
      <c r="CD23" s="136" t="str">
        <f aca="false">IF(CD$6&lt;Total_Lanes,900*Peak_Time_Eve*(($BL23/(Total_Lanes-CD$6))-1+SQRT((($BL23/(Total_Lanes-CD$6))-1)^2+8*($BL23/(Total_Lanes-CD$6))/(Peak_Time_Eve*$N56*(Total_Lanes-CD$6)))),"-")</f>
        <v>-</v>
      </c>
      <c r="CE23" s="136" t="str">
        <f aca="false">IF(CE$6&lt;Total_Lanes,900*Peak_Time_Eve*(($BL23/(Total_Lanes-CE$6))-1+SQRT((($BL23/(Total_Lanes-CE$6))-1)^2+8*($BL23/(Total_Lanes-CE$6))/(Peak_Time_Eve*$N56*(Total_Lanes-CE$6)))),"-")</f>
        <v>-</v>
      </c>
      <c r="CF23" s="136" t="str">
        <f aca="false">IF(CF$6&lt;Total_Lanes,900*Peak_Time_Eve*(($BL23/(Total_Lanes-CF$6))-1+SQRT((($BL23/(Total_Lanes-CF$6))-1)^2+8*($BL23/(Total_Lanes-CF$6))/(Peak_Time_Eve*$N56*(Total_Lanes-CF$6)))),"-")</f>
        <v>-</v>
      </c>
      <c r="CG23" s="147" t="str">
        <f aca="false">IF(CG$6&lt;Total_Lanes,900*Peak_Time_Eve*(($BL23/(Total_Lanes-CG$6))-1+SQRT((($BL23/(Total_Lanes-CG$6))-1)^2+8*($BL23/(Total_Lanes-CG$6))/(Peak_Time_Eve*$N56*(Total_Lanes-CG$6)))),"-")</f>
        <v>-</v>
      </c>
      <c r="CH23" s="160" t="n">
        <f aca="false">3600/N56</f>
        <v>6.915</v>
      </c>
      <c r="CJ23" s="50" t="n">
        <v>16</v>
      </c>
      <c r="CK23" s="131" t="n">
        <f aca="false">$X23</f>
        <v>0.753205951403196</v>
      </c>
      <c r="CL23" s="57" t="n">
        <f aca="false">$AC23</f>
        <v>8392.35984043687</v>
      </c>
      <c r="CM23" s="135" t="n">
        <f aca="false">CL23*CK23</f>
        <v>6321.17537813423</v>
      </c>
      <c r="CN23" s="161" t="n">
        <f aca="false">CM23/O55</f>
        <v>4.21411691875615</v>
      </c>
      <c r="CO23" s="146" t="n">
        <f aca="false">IF(CO$6&lt;Total_Lanes,900*Peak_Time_Eve*(($CN23/CO$6-1)+SQRT(($CN23/CO$6-1)^2+8*($CN23/CO$6)/(Peak_Time_Eve*$O56*CO$6))),"-")</f>
        <v>11573.9667581142</v>
      </c>
      <c r="CP23" s="146" t="n">
        <f aca="false">IF(CP$6&lt;Total_Lanes,900*Peak_Time_Eve*(($CN23/CP$6-1)+SQRT(($CN23/CP$6-1)^2+8*($CN23/CP$6)/(Peak_Time_Eve*$O56*CP$6))),"-")</f>
        <v>3987.69309997188</v>
      </c>
      <c r="CQ23" s="146" t="n">
        <f aca="false">IF(CQ$6&lt;Total_Lanes,900*Peak_Time_Eve*(($CN23/CQ$6-1)+SQRT(($CN23/CQ$6-1)^2+8*($CN23/CQ$6)/(Peak_Time_Eve*$O56*CQ$6))),"-")</f>
        <v>1459.71177582767</v>
      </c>
      <c r="CR23" s="146" t="n">
        <f aca="false">IF(CR$6&lt;Total_Lanes,900*Peak_Time_Eve*(($CN23/CR$6-1)+SQRT(($CN23/CR$6-1)^2+8*($CN23/CR$6)/(Peak_Time_Eve*$O56*CR$6))),"-")</f>
        <v>203.867492656582</v>
      </c>
      <c r="CS23" s="164" t="n">
        <f aca="false">IF(CS$6&lt;Total_Lanes,900*Peak_Time_Eve*(($CN23/CS$6-1)+SQRT(($CN23/CS$6-1)^2+8*($CN23/CS$6)/(Peak_Time_Eve*$O56*CS$6))),"-")</f>
        <v>2.56228652813921</v>
      </c>
      <c r="CT23" s="164" t="n">
        <f aca="false">IF(CT$6&lt;Total_Lanes,900*Peak_Time_Eve*(($CN23/CT$6-1)+SQRT(($CN23/CT$6-1)^2+8*($CN23/CT$6)/(Peak_Time_Eve*$O56*CT$6))),"-")</f>
        <v>0.94304300675444</v>
      </c>
      <c r="CU23" s="164" t="n">
        <f aca="false">IF(CU$6&lt;Total_Lanes,900*Peak_Time_Eve*(($CN23/CU$6-1)+SQRT(($CN23/CU$6-1)^2+8*($CN23/CU$6)/(Peak_Time_Eve*$O56*CU$6))),"-")</f>
        <v>0.518441518687407</v>
      </c>
      <c r="CV23" s="164" t="n">
        <f aca="false">IF(CV$6&lt;Total_Lanes,900*Peak_Time_Eve*(($CN23/CV$6-1)+SQRT(($CN23/CV$6-1)^2+8*($CN23/CV$6)/(Peak_Time_Eve*$O56*CV$6))),"-")</f>
        <v>0.333868569457341</v>
      </c>
      <c r="CW23" s="164" t="n">
        <f aca="false">IF(CW$6&lt;Total_Lanes,900*Peak_Time_Eve*(($CN23/CW$6-1)+SQRT(($CN23/CW$6-1)^2+8*($CN23/CW$6)/(Peak_Time_Eve*$O56*CW$6))),"-")</f>
        <v>0.234779389548234</v>
      </c>
      <c r="CX23" s="164" t="n">
        <f aca="false">IF(CX$6&lt;Total_Lanes,900*Peak_Time_Eve*(($CN23/CX$6-1)+SQRT(($CN23/CX$6-1)^2+8*($CN23/CX$6)/(Peak_Time_Eve*$O56*CX$6))),"-")</f>
        <v>0.174788045800156</v>
      </c>
      <c r="CY23" s="164" t="n">
        <f aca="false">IF(CY$6&lt;Total_Lanes,900*Peak_Time_Eve*(($CN23/CY$6-1)+SQRT(($CN23/CY$6-1)^2+8*($CN23/CY$6)/(Peak_Time_Eve*$O56*CY$6))),"-")</f>
        <v>0.135485329137164</v>
      </c>
      <c r="CZ23" s="165" t="str">
        <f aca="false">IF(CZ$6&lt;Total_Lanes,900*Peak_Time_Eve*(($CN23/CZ$6-1)+SQRT(($CN23/CZ$6-1)^2+8*($CN23/CZ$6)/(Peak_Time_Eve*$O56*CZ$6))),"-")</f>
        <v>-</v>
      </c>
      <c r="DA23" s="165" t="str">
        <f aca="false">IF(DA$6&lt;Total_Lanes,900*Peak_Time_Eve*(($CN23/DA$6-1)+SQRT(($CN23/DA$6-1)^2+8*($CN23/DA$6)/(Peak_Time_Eve*$O56*DA$6))),"-")</f>
        <v>-</v>
      </c>
      <c r="DB23" s="165" t="str">
        <f aca="false">IF(DB$6&lt;Total_Lanes,900*Peak_Time_Eve*(($CN23/DB$6-1)+SQRT(($CN23/DB$6-1)^2+8*($CN23/DB$6)/(Peak_Time_Eve*$O56*DB$6))),"-")</f>
        <v>-</v>
      </c>
      <c r="DC23" s="165" t="str">
        <f aca="false">IF(DC$6&lt;Total_Lanes,900*Peak_Time_Eve*(($CN23/DC$6-1)+SQRT(($CN23/DC$6-1)^2+8*($CN23/DC$6)/(Peak_Time_Eve*$O56*DC$6))),"-")</f>
        <v>-</v>
      </c>
      <c r="DD23" s="165" t="str">
        <f aca="false">IF(DD$6&lt;Total_Lanes,900*Peak_Time_Eve*(($CN23/DD$6-1)+SQRT(($CN23/DD$6-1)^2+8*($CN23/DD$6)/(Peak_Time_Eve*$O56*DD$6))),"-")</f>
        <v>-</v>
      </c>
      <c r="DE23" s="165" t="str">
        <f aca="false">IF(DE$6&lt;Total_Lanes,900*Peak_Time_Eve*(($CN23/DE$6-1)+SQRT(($CN23/DE$6-1)^2+8*($CN23/DE$6)/(Peak_Time_Eve*$O56*DE$6))),"-")</f>
        <v>-</v>
      </c>
      <c r="DF23" s="165" t="str">
        <f aca="false">IF(DF$6&lt;Total_Lanes,900*Peak_Time_Eve*(($CN23/DF$6-1)+SQRT(($CN23/DF$6-1)^2+8*($CN23/DF$6)/(Peak_Time_Eve*$O56*DF$6))),"-")</f>
        <v>-</v>
      </c>
      <c r="DG23" s="165" t="str">
        <f aca="false">IF(DG$6&lt;Total_Lanes,900*Peak_Time_Eve*(($CN23/DG$6-1)+SQRT(($CN23/DG$6-1)^2+8*($CN23/DG$6)/(Peak_Time_Eve*$O56*DG$6))),"-")</f>
        <v>-</v>
      </c>
      <c r="DH23" s="165" t="str">
        <f aca="false">IF(DH$6&lt;Total_Lanes,900*Peak_Time_Eve*(($CN23/DH$6-1)+SQRT(($CN23/DH$6-1)^2+8*($CN23/DH$6)/(Peak_Time_Eve*$O56*DH$6))),"-")</f>
        <v>-</v>
      </c>
      <c r="DI23" s="166" t="str">
        <f aca="false">IF(DI$6&lt;Total_Lanes,900*Peak_Time_Eve*(($CN23/DI$6-1)+SQRT(($CN23/DI$6-1)^2+8*($CN23/DI$6)/(Peak_Time_Eve*$O56*DI$6))),"-")</f>
        <v>-</v>
      </c>
      <c r="DJ23" s="167" t="n">
        <f aca="false">3600/O56</f>
        <v>2.4</v>
      </c>
    </row>
    <row r="24" customFormat="false" ht="12.75" hidden="false" customHeight="false" outlineLevel="0" collapsed="false">
      <c r="H24" s="50" t="n">
        <v>17</v>
      </c>
      <c r="I24" s="124" t="n">
        <f aca="false">'Input-Detail'!E31</f>
        <v>28352425.95</v>
      </c>
      <c r="J24" s="131" t="n">
        <f aca="false">'Input-Detail'!F31</f>
        <v>0.781651485932894</v>
      </c>
      <c r="K24" s="57" t="n">
        <f aca="false">AC24</f>
        <v>8558.13233046418</v>
      </c>
      <c r="L24" s="135" t="n">
        <f aca="false">AD71</f>
        <v>14.288624080715</v>
      </c>
      <c r="M24" s="150" t="n">
        <f aca="false">AD24</f>
        <v>32.296240415022</v>
      </c>
      <c r="N24" s="150" t="n">
        <f aca="false">SUM(L24:M24)</f>
        <v>46.5848644957369</v>
      </c>
      <c r="O24" s="154" t="n">
        <f aca="false">$S$34*N24</f>
        <v>12112.0647688916</v>
      </c>
      <c r="P24" s="135" t="n">
        <f aca="false">BC71</f>
        <v>3.56658157709466</v>
      </c>
      <c r="Q24" s="150" t="n">
        <f aca="false">BC24</f>
        <v>13.1283895547597</v>
      </c>
      <c r="R24" s="150" t="n">
        <f aca="false">SUM(P24:Q24)</f>
        <v>16.6949711318544</v>
      </c>
      <c r="S24" s="155" t="n">
        <f aca="false">$S$34*R24</f>
        <v>4340.69249428214</v>
      </c>
      <c r="T24" s="1"/>
      <c r="U24" s="1"/>
      <c r="V24" s="50" t="n">
        <v>17</v>
      </c>
      <c r="W24" s="132" t="n">
        <f aca="false">W$7+(W$27-W$7)*$V24/20</f>
        <v>28352425.95</v>
      </c>
      <c r="X24" s="131" t="n">
        <f aca="false">J24</f>
        <v>0.781651485932894</v>
      </c>
      <c r="Y24" s="132" t="n">
        <f aca="false">'Input-Detail'!E31/Z24</f>
        <v>12225.9033292345</v>
      </c>
      <c r="Z24" s="156" t="n">
        <f aca="false">Z23</f>
        <v>2319.04548780488</v>
      </c>
      <c r="AA24" s="156" t="n">
        <f aca="false">AA23</f>
        <v>2</v>
      </c>
      <c r="AB24" s="157" t="n">
        <f aca="false">AB23</f>
        <v>0.7</v>
      </c>
      <c r="AC24" s="57" t="n">
        <f aca="false">Y24*AB24</f>
        <v>8558.13233046418</v>
      </c>
      <c r="AD24" s="135" t="n">
        <f aca="false">Peak_Time_Eve*$BH24*(3600/K57+BK24)/3600</f>
        <v>32.296240415022</v>
      </c>
      <c r="AE24" s="136" t="n">
        <f aca="false">IF(AE$6&lt;Total_Lanes,($BI24*($CH24+BM24)+$CM24*CO24)*Peak_Time_Eve/3600,"-")</f>
        <v>46305.5275445082</v>
      </c>
      <c r="AF24" s="136" t="n">
        <f aca="false">IF(AF$6&lt;Total_Lanes,($BI24*($CH24+BN24)+$CM24*CP24)*Peak_Time_Eve/3600,"-")</f>
        <v>16469.4677933708</v>
      </c>
      <c r="AG24" s="136" t="n">
        <f aca="false">IF(AG$6&lt;Total_Lanes,($BI24*($CH24+BO24)+$CM24*CQ24)*Peak_Time_Eve/3600,"-")</f>
        <v>6526.34064465302</v>
      </c>
      <c r="AH24" s="136" t="n">
        <f aca="false">IF(AH$6&lt;Total_Lanes,($BI24*($CH24+BP24)+$CM24*CR24)*Peak_Time_Eve/3600,"-")</f>
        <v>1566.6884629375</v>
      </c>
      <c r="AI24" s="136" t="n">
        <f aca="false">IF(AI$6&lt;Total_Lanes,($BI24*($CH24+BQ24)+$CM24*CS24)*Peak_Time_Eve/3600,"-")</f>
        <v>22.865376767801</v>
      </c>
      <c r="AJ24" s="136" t="n">
        <f aca="false">IF(AJ$6&lt;Total_Lanes,($BI24*($CH24+BR24)+$CM24*CT24)*Peak_Time_Eve/3600,"-")</f>
        <v>13.2978719122548</v>
      </c>
      <c r="AK24" s="136" t="n">
        <f aca="false">IF(AK$6&lt;Total_Lanes,($BI24*($CH24+BS24)+$CM24*CU24)*Peak_Time_Eve/3600,"-")</f>
        <v>13.1283895547597</v>
      </c>
      <c r="AL24" s="136" t="n">
        <f aca="false">IF(AL$6&lt;Total_Lanes,($BI24*($CH24+BT24)+$CM24*CV24)*Peak_Time_Eve/3600,"-")</f>
        <v>24.175630299281</v>
      </c>
      <c r="AM24" s="136" t="n">
        <f aca="false">IF(AM$6&lt;Total_Lanes,($BI24*($CH24+BU24)+$CM24*CW24)*Peak_Time_Eve/3600,"-")</f>
        <v>770.268750742666</v>
      </c>
      <c r="AN24" s="136" t="n">
        <f aca="false">IF(AN$6&lt;Total_Lanes,($BI24*($CH24+BV24)+$CM24*CX24)*Peak_Time_Eve/3600,"-")</f>
        <v>3006.60406105191</v>
      </c>
      <c r="AO24" s="136" t="n">
        <f aca="false">IF(AO$6&lt;Total_Lanes,($BI24*($CH24+BW24)+$CM24*CY24)*Peak_Time_Eve/3600,"-")</f>
        <v>9736.23916457187</v>
      </c>
      <c r="AP24" s="136" t="str">
        <f aca="false">IF(AP$6&lt;Total_Lanes,($BI24*($CH24+BX24)+$CM24*CZ24)*Peak_Time_Eve/3600,"-")</f>
        <v>-</v>
      </c>
      <c r="AQ24" s="136" t="str">
        <f aca="false">IF(AQ$6&lt;Total_Lanes,($BI24*($CH24+BY24)+$CM24*DA24)*Peak_Time_Eve/3600,"-")</f>
        <v>-</v>
      </c>
      <c r="AR24" s="136" t="str">
        <f aca="false">IF(AR$6&lt;Total_Lanes,($BI24*($CH24+BZ24)+$CM24*DB24)*Peak_Time_Eve/3600,"-")</f>
        <v>-</v>
      </c>
      <c r="AS24" s="136" t="str">
        <f aca="false">IF(AS$6&lt;Total_Lanes,($BI24*($CH24+CA24)+$CM24*DC24)*Peak_Time_Eve/3600,"-")</f>
        <v>-</v>
      </c>
      <c r="AT24" s="136" t="str">
        <f aca="false">IF(AT$6&lt;Total_Lanes,($BI24*($CH24+CB24)+$CM24*DD24)*Peak_Time_Eve/3600,"-")</f>
        <v>-</v>
      </c>
      <c r="AU24" s="136" t="str">
        <f aca="false">IF(AU$6&lt;Total_Lanes,($BI24*($CH24+CC24)+$CM24*DE24)*Peak_Time_Eve/3600,"-")</f>
        <v>-</v>
      </c>
      <c r="AV24" s="136" t="str">
        <f aca="false">IF(AV$6&lt;Total_Lanes,($BI24*($CH24+CD24)+$CM24*DF24)*Peak_Time_Eve/3600,"-")</f>
        <v>-</v>
      </c>
      <c r="AW24" s="136" t="str">
        <f aca="false">IF(AW$6&lt;Total_Lanes,($BI24*($CH24+CE24)+$CM24*DG24)*Peak_Time_Eve/3600,"-")</f>
        <v>-</v>
      </c>
      <c r="AX24" s="136" t="str">
        <f aca="false">IF(AX$6&lt;Total_Lanes,($BI24*($CH24+CF24)+$CM24*DH24)*Peak_Time_Eve/3600,"-")</f>
        <v>-</v>
      </c>
      <c r="AY24" s="137" t="str">
        <f aca="false">IF(AY$6&lt;Total_Lanes,($BI24*($CH24+CG24)+$CM24*DI24)*Peak_Time_Eve/3600,"-")</f>
        <v>-</v>
      </c>
      <c r="AZ24" s="158" t="n">
        <f aca="false">SUMIF(AE24:AY24,BA24,$AE$6:$AY$6)</f>
        <v>7</v>
      </c>
      <c r="BA24" s="159" t="n">
        <f aca="false">MIN(AE24:AY24)</f>
        <v>13.1283895547597</v>
      </c>
      <c r="BB24" s="158" t="n">
        <f aca="false">Price!X24</f>
        <v>7</v>
      </c>
      <c r="BC24" s="159" t="n">
        <f aca="false">SUMIF($AE$6:$AY$6,$BB24,$AE24:$AY24)</f>
        <v>13.1283895547597</v>
      </c>
      <c r="BF24" s="50" t="n">
        <v>17</v>
      </c>
      <c r="BG24" s="131" t="n">
        <f aca="false">$X24</f>
        <v>0.781651485932894</v>
      </c>
      <c r="BH24" s="141" t="n">
        <f aca="false">$AC24</f>
        <v>8558.13233046418</v>
      </c>
      <c r="BI24" s="58" t="n">
        <f aca="false">BH24*(1-BG24)</f>
        <v>1868.65547754652</v>
      </c>
      <c r="BJ24" s="143" t="n">
        <f aca="false">Peak_Arrival_Manual/K57</f>
        <v>3.41289160135232</v>
      </c>
      <c r="BK24" s="144" t="n">
        <f aca="false">900*Peak_Time_Eve*(BJ24/Total_Lanes-1+SQRT((BJ24/Total_Lanes-1)^2+8*(BJ24/Total_Lanes)/(Peak_Time_Eve*$K57*Total_Lanes)))</f>
        <v>0.217747588174588</v>
      </c>
      <c r="BL24" s="145" t="n">
        <f aca="false">Peak_Arrival_Manual/N57</f>
        <v>3.60040598781445</v>
      </c>
      <c r="BM24" s="146" t="n">
        <f aca="false">IF(BM$6&lt;Total_Lanes,900*Peak_Time_Eve*(($BL24/(Total_Lanes-BM$6))-1+SQRT((($BL24/(Total_Lanes-BM$6))-1)^2+8*($BL24/(Total_Lanes-BM$6))/(Peak_Time_Eve*$N57*(Total_Lanes-BM$6)))),"-")</f>
        <v>0.306775465227838</v>
      </c>
      <c r="BN24" s="146" t="n">
        <f aca="false">IF(BN$6&lt;Total_Lanes,900*Peak_Time_Eve*(($BL24/(Total_Lanes-BN$6))-1+SQRT((($BL24/(Total_Lanes-BN$6))-1)^2+8*($BL24/(Total_Lanes-BN$6))/(Peak_Time_Eve*$N57*(Total_Lanes-BN$6)))),"-")</f>
        <v>0.390166741389053</v>
      </c>
      <c r="BO24" s="146" t="n">
        <f aca="false">IF(BO$6&lt;Total_Lanes,900*Peak_Time_Eve*(($BL24/(Total_Lanes-BO$6))-1+SQRT((($BL24/(Total_Lanes-BO$6))-1)^2+8*($BL24/(Total_Lanes-BO$6))/(Peak_Time_Eve*$N57*(Total_Lanes-BO$6)))),"-")</f>
        <v>0.513770662305135</v>
      </c>
      <c r="BP24" s="146" t="n">
        <f aca="false">IF(BP$6&lt;Total_Lanes,900*Peak_Time_Eve*(($BL24/(Total_Lanes-BP$6))-1+SQRT((($BL24/(Total_Lanes-BP$6))-1)^2+8*($BL24/(Total_Lanes-BP$6))/(Peak_Time_Eve*$N57*(Total_Lanes-BP$6)))),"-")</f>
        <v>0.709280570504078</v>
      </c>
      <c r="BQ24" s="146" t="n">
        <f aca="false">IF(BQ$6&lt;Total_Lanes,900*Peak_Time_Eve*(($BL24/(Total_Lanes-BQ$6))-1+SQRT((($BL24/(Total_Lanes-BQ$6))-1)^2+8*($BL24/(Total_Lanes-BQ$6))/(Peak_Time_Eve*$N57*(Total_Lanes-BQ$6)))),"-")</f>
        <v>1.04879515915829</v>
      </c>
      <c r="BR24" s="146" t="n">
        <f aca="false">IF(BR$6&lt;Total_Lanes,900*Peak_Time_Eve*(($BL24/(Total_Lanes-BR$6))-1+SQRT((($BL24/(Total_Lanes-BR$6))-1)^2+8*($BL24/(Total_Lanes-BR$6))/(Peak_Time_Eve*$N57*(Total_Lanes-BR$6)))),"-")</f>
        <v>1.73246679052849</v>
      </c>
      <c r="BS24" s="146" t="n">
        <f aca="false">IF(BS$6&lt;Total_Lanes,900*Peak_Time_Eve*(($BL24/(Total_Lanes-BS$6))-1+SQRT((($BL24/(Total_Lanes-BS$6))-1)^2+8*($BL24/(Total_Lanes-BS$6))/(Peak_Time_Eve*$N57*(Total_Lanes-BS$6)))),"-")</f>
        <v>3.55610231518034</v>
      </c>
      <c r="BT24" s="146" t="n">
        <f aca="false">IF(BT$6&lt;Total_Lanes,900*Peak_Time_Eve*(($BL24/(Total_Lanes-BT$6))-1+SQRT((($BL24/(Total_Lanes-BT$6))-1)^2+8*($BL24/(Total_Lanes-BT$6))/(Peak_Time_Eve*$N57*(Total_Lanes-BT$6)))),"-")</f>
        <v>14.9986575656466</v>
      </c>
      <c r="BU24" s="146" t="n">
        <f aca="false">IF(BU$6&lt;Total_Lanes,900*Peak_Time_Eve*(($BL24/(Total_Lanes-BU$6))-1+SQRT((($BL24/(Total_Lanes-BU$6))-1)^2+8*($BL24/(Total_Lanes-BU$6))/(Peak_Time_Eve*$N57*(Total_Lanes-BU$6)))),"-")</f>
        <v>734.094863231422</v>
      </c>
      <c r="BV24" s="146" t="n">
        <f aca="false">IF(BV$6&lt;Total_Lanes,900*Peak_Time_Eve*(($BL24/(Total_Lanes-BV$6))-1+SQRT((($BL24/(Total_Lanes-BV$6))-1)^2+8*($BL24/(Total_Lanes-BV$6))/(Peak_Time_Eve*$N57*(Total_Lanes-BV$6)))),"-")</f>
        <v>2888.51194182173</v>
      </c>
      <c r="BW24" s="146" t="n">
        <f aca="false">IF(BW$6&lt;Total_Lanes,900*Peak_Time_Eve*(($BL24/(Total_Lanes-BW$6))-1+SQRT((($BL24/(Total_Lanes-BW$6))-1)^2+8*($BL24/(Total_Lanes-BW$6))/(Peak_Time_Eve*$N57*(Total_Lanes-BW$6)))),"-")</f>
        <v>9371.05534620126</v>
      </c>
      <c r="BX24" s="136" t="str">
        <f aca="false">IF(BX$6&lt;Total_Lanes,900*Peak_Time_Eve*(($BL24/(Total_Lanes-BX$6))-1+SQRT((($BL24/(Total_Lanes-BX$6))-1)^2+8*($BL24/(Total_Lanes-BX$6))/(Peak_Time_Eve*$N57*(Total_Lanes-BX$6)))),"-")</f>
        <v>-</v>
      </c>
      <c r="BY24" s="136" t="str">
        <f aca="false">IF(BY$6&lt;Total_Lanes,900*Peak_Time_Eve*(($BL24/(Total_Lanes-BY$6))-1+SQRT((($BL24/(Total_Lanes-BY$6))-1)^2+8*($BL24/(Total_Lanes-BY$6))/(Peak_Time_Eve*$N57*(Total_Lanes-BY$6)))),"-")</f>
        <v>-</v>
      </c>
      <c r="BZ24" s="136" t="str">
        <f aca="false">IF(BZ$6&lt;Total_Lanes,900*Peak_Time_Eve*(($BL24/(Total_Lanes-BZ$6))-1+SQRT((($BL24/(Total_Lanes-BZ$6))-1)^2+8*($BL24/(Total_Lanes-BZ$6))/(Peak_Time_Eve*$N57*(Total_Lanes-BZ$6)))),"-")</f>
        <v>-</v>
      </c>
      <c r="CA24" s="136" t="str">
        <f aca="false">IF(CA$6&lt;Total_Lanes,900*Peak_Time_Eve*(($BL24/(Total_Lanes-CA$6))-1+SQRT((($BL24/(Total_Lanes-CA$6))-1)^2+8*($BL24/(Total_Lanes-CA$6))/(Peak_Time_Eve*$N57*(Total_Lanes-CA$6)))),"-")</f>
        <v>-</v>
      </c>
      <c r="CB24" s="136" t="str">
        <f aca="false">IF(CB$6&lt;Total_Lanes,900*Peak_Time_Eve*(($BL24/(Total_Lanes-CB$6))-1+SQRT((($BL24/(Total_Lanes-CB$6))-1)^2+8*($BL24/(Total_Lanes-CB$6))/(Peak_Time_Eve*$N57*(Total_Lanes-CB$6)))),"-")</f>
        <v>-</v>
      </c>
      <c r="CC24" s="136" t="str">
        <f aca="false">IF(CC$6&lt;Total_Lanes,900*Peak_Time_Eve*(($BL24/(Total_Lanes-CC$6))-1+SQRT((($BL24/(Total_Lanes-CC$6))-1)^2+8*($BL24/(Total_Lanes-CC$6))/(Peak_Time_Eve*$N57*(Total_Lanes-CC$6)))),"-")</f>
        <v>-</v>
      </c>
      <c r="CD24" s="136" t="str">
        <f aca="false">IF(CD$6&lt;Total_Lanes,900*Peak_Time_Eve*(($BL24/(Total_Lanes-CD$6))-1+SQRT((($BL24/(Total_Lanes-CD$6))-1)^2+8*($BL24/(Total_Lanes-CD$6))/(Peak_Time_Eve*$N57*(Total_Lanes-CD$6)))),"-")</f>
        <v>-</v>
      </c>
      <c r="CE24" s="136" t="str">
        <f aca="false">IF(CE$6&lt;Total_Lanes,900*Peak_Time_Eve*(($BL24/(Total_Lanes-CE$6))-1+SQRT((($BL24/(Total_Lanes-CE$6))-1)^2+8*($BL24/(Total_Lanes-CE$6))/(Peak_Time_Eve*$N57*(Total_Lanes-CE$6)))),"-")</f>
        <v>-</v>
      </c>
      <c r="CF24" s="136" t="str">
        <f aca="false">IF(CF$6&lt;Total_Lanes,900*Peak_Time_Eve*(($BL24/(Total_Lanes-CF$6))-1+SQRT((($BL24/(Total_Lanes-CF$6))-1)^2+8*($BL24/(Total_Lanes-CF$6))/(Peak_Time_Eve*$N57*(Total_Lanes-CF$6)))),"-")</f>
        <v>-</v>
      </c>
      <c r="CG24" s="147" t="str">
        <f aca="false">IF(CG$6&lt;Total_Lanes,900*Peak_Time_Eve*(($BL24/(Total_Lanes-CG$6))-1+SQRT((($BL24/(Total_Lanes-CG$6))-1)^2+8*($BL24/(Total_Lanes-CG$6))/(Peak_Time_Eve*$N57*(Total_Lanes-CG$6)))),"-")</f>
        <v>-</v>
      </c>
      <c r="CH24" s="160" t="n">
        <f aca="false">3600/N57</f>
        <v>6.93625</v>
      </c>
      <c r="CJ24" s="50" t="n">
        <v>17</v>
      </c>
      <c r="CK24" s="131" t="n">
        <f aca="false">$X24</f>
        <v>0.781651485932894</v>
      </c>
      <c r="CL24" s="57" t="n">
        <f aca="false">$AC24</f>
        <v>8558.13233046418</v>
      </c>
      <c r="CM24" s="135" t="n">
        <f aca="false">CL24*CK24</f>
        <v>6689.47685291766</v>
      </c>
      <c r="CN24" s="161" t="n">
        <f aca="false">CM24/O56</f>
        <v>4.45965123527844</v>
      </c>
      <c r="CO24" s="146" t="n">
        <f aca="false">IF(CO$6&lt;Total_Lanes,900*Peak_Time_Eve*(($CN24/CO$6-1)+SQRT(($CN24/CO$6-1)^2+8*($CN24/CO$6)/(Peak_Time_Eve*$O57*CO$6))),"-")</f>
        <v>12457.8373904616</v>
      </c>
      <c r="CP24" s="146" t="n">
        <f aca="false">IF(CP$6&lt;Total_Lanes,900*Peak_Time_Eve*(($CN24/CP$6-1)+SQRT(($CN24/CP$6-1)^2+8*($CN24/CP$6)/(Peak_Time_Eve*$O57*CP$6))),"-")</f>
        <v>4429.54690341277</v>
      </c>
      <c r="CQ24" s="146" t="n">
        <f aca="false">IF(CQ$6&lt;Total_Lanes,900*Peak_Time_Eve*(($CN24/CQ$6-1)+SQRT(($CN24/CQ$6-1)^2+8*($CN24/CQ$6)/(Peak_Time_Eve*$O57*CQ$6))),"-")</f>
        <v>1754.02230943356</v>
      </c>
      <c r="CR24" s="146" t="n">
        <f aca="false">IF(CR$6&lt;Total_Lanes,900*Peak_Time_Eve*(($CN24/CR$6-1)+SQRT(($CN24/CR$6-1)^2+8*($CN24/CR$6)/(Peak_Time_Eve*$O57*CR$6))),"-")</f>
        <v>419.427771767299</v>
      </c>
      <c r="CS24" s="146" t="n">
        <f aca="false">IF(CS$6&lt;Total_Lanes,900*Peak_Time_Eve*(($CN24/CS$6-1)+SQRT(($CN24/CS$6-1)^2+8*($CN24/CS$6)/(Peak_Time_Eve*$O57*CS$6))),"-")</f>
        <v>3.92203760978428</v>
      </c>
      <c r="CT24" s="164" t="n">
        <f aca="false">IF(CT$6&lt;Total_Lanes,900*Peak_Time_Eve*(($CN24/CT$6-1)+SQRT(($CN24/CT$6-1)^2+8*($CN24/CT$6)/(Peak_Time_Eve*$O57*CT$6))),"-")</f>
        <v>1.15664116914666</v>
      </c>
      <c r="CU24" s="164" t="n">
        <f aca="false">IF(CU$6&lt;Total_Lanes,900*Peak_Time_Eve*(($CN24/CU$6-1)+SQRT(($CN24/CU$6-1)^2+8*($CN24/CU$6)/(Peak_Time_Eve*$O57*CU$6))),"-")</f>
        <v>0.601617983131608</v>
      </c>
      <c r="CV24" s="164" t="n">
        <f aca="false">IF(CV$6&lt;Total_Lanes,900*Peak_Time_Eve*(($CN24/CV$6-1)+SQRT(($CN24/CV$6-1)^2+8*($CN24/CV$6)/(Peak_Time_Eve*$O57*CV$6))),"-")</f>
        <v>0.377809718495625</v>
      </c>
      <c r="CW24" s="164" t="n">
        <f aca="false">IF(CW$6&lt;Total_Lanes,900*Peak_Time_Eve*(($CN24/CW$6-1)+SQRT(($CN24/CW$6-1)^2+8*($CN24/CW$6)/(Peak_Time_Eve*$O57*CW$6))),"-")</f>
        <v>0.26188932304112</v>
      </c>
      <c r="CX24" s="164" t="n">
        <f aca="false">IF(CX$6&lt;Total_Lanes,900*Peak_Time_Eve*(($CN24/CX$6-1)+SQRT(($CN24/CX$6-1)^2+8*($CN24/CX$6)/(Peak_Time_Eve*$O57*CX$6))),"-")</f>
        <v>0.19316701769394</v>
      </c>
      <c r="CY24" s="164" t="n">
        <f aca="false">IF(CY$6&lt;Total_Lanes,900*Peak_Time_Eve*(($CN24/CY$6-1)+SQRT(($CN24/CY$6-1)^2+8*($CN24/CY$6)/(Peak_Time_Eve*$O57*CY$6))),"-")</f>
        <v>0.148760751338295</v>
      </c>
      <c r="CZ24" s="165" t="str">
        <f aca="false">IF(CZ$6&lt;Total_Lanes,900*Peak_Time_Eve*(($CN24/CZ$6-1)+SQRT(($CN24/CZ$6-1)^2+8*($CN24/CZ$6)/(Peak_Time_Eve*$O57*CZ$6))),"-")</f>
        <v>-</v>
      </c>
      <c r="DA24" s="165" t="str">
        <f aca="false">IF(DA$6&lt;Total_Lanes,900*Peak_Time_Eve*(($CN24/DA$6-1)+SQRT(($CN24/DA$6-1)^2+8*($CN24/DA$6)/(Peak_Time_Eve*$O57*DA$6))),"-")</f>
        <v>-</v>
      </c>
      <c r="DB24" s="165" t="str">
        <f aca="false">IF(DB$6&lt;Total_Lanes,900*Peak_Time_Eve*(($CN24/DB$6-1)+SQRT(($CN24/DB$6-1)^2+8*($CN24/DB$6)/(Peak_Time_Eve*$O57*DB$6))),"-")</f>
        <v>-</v>
      </c>
      <c r="DC24" s="165" t="str">
        <f aca="false">IF(DC$6&lt;Total_Lanes,900*Peak_Time_Eve*(($CN24/DC$6-1)+SQRT(($CN24/DC$6-1)^2+8*($CN24/DC$6)/(Peak_Time_Eve*$O57*DC$6))),"-")</f>
        <v>-</v>
      </c>
      <c r="DD24" s="165" t="str">
        <f aca="false">IF(DD$6&lt;Total_Lanes,900*Peak_Time_Eve*(($CN24/DD$6-1)+SQRT(($CN24/DD$6-1)^2+8*($CN24/DD$6)/(Peak_Time_Eve*$O57*DD$6))),"-")</f>
        <v>-</v>
      </c>
      <c r="DE24" s="165" t="str">
        <f aca="false">IF(DE$6&lt;Total_Lanes,900*Peak_Time_Eve*(($CN24/DE$6-1)+SQRT(($CN24/DE$6-1)^2+8*($CN24/DE$6)/(Peak_Time_Eve*$O57*DE$6))),"-")</f>
        <v>-</v>
      </c>
      <c r="DF24" s="165" t="str">
        <f aca="false">IF(DF$6&lt;Total_Lanes,900*Peak_Time_Eve*(($CN24/DF$6-1)+SQRT(($CN24/DF$6-1)^2+8*($CN24/DF$6)/(Peak_Time_Eve*$O57*DF$6))),"-")</f>
        <v>-</v>
      </c>
      <c r="DG24" s="165" t="str">
        <f aca="false">IF(DG$6&lt;Total_Lanes,900*Peak_Time_Eve*(($CN24/DG$6-1)+SQRT(($CN24/DG$6-1)^2+8*($CN24/DG$6)/(Peak_Time_Eve*$O57*DG$6))),"-")</f>
        <v>-</v>
      </c>
      <c r="DH24" s="165" t="str">
        <f aca="false">IF(DH$6&lt;Total_Lanes,900*Peak_Time_Eve*(($CN24/DH$6-1)+SQRT(($CN24/DH$6-1)^2+8*($CN24/DH$6)/(Peak_Time_Eve*$O57*DH$6))),"-")</f>
        <v>-</v>
      </c>
      <c r="DI24" s="166" t="str">
        <f aca="false">IF(DI$6&lt;Total_Lanes,900*Peak_Time_Eve*(($CN24/DI$6-1)+SQRT(($CN24/DI$6-1)^2+8*($CN24/DI$6)/(Peak_Time_Eve*$O57*DI$6))),"-")</f>
        <v>-</v>
      </c>
      <c r="DJ24" s="167" t="n">
        <f aca="false">3600/O57</f>
        <v>2.4</v>
      </c>
    </row>
    <row r="25" customFormat="false" ht="12.75" hidden="false" customHeight="false" outlineLevel="0" collapsed="false">
      <c r="H25" s="50" t="n">
        <v>18</v>
      </c>
      <c r="I25" s="124" t="n">
        <f aca="false">'Input-Detail'!E32</f>
        <v>28901617.3</v>
      </c>
      <c r="J25" s="131" t="n">
        <f aca="false">'Input-Detail'!F32</f>
        <v>0.807356047331459</v>
      </c>
      <c r="K25" s="57" t="n">
        <f aca="false">AC25</f>
        <v>8723.90482049148</v>
      </c>
      <c r="L25" s="135" t="n">
        <f aca="false">AD72</f>
        <v>14.5916819662348</v>
      </c>
      <c r="M25" s="150" t="n">
        <f aca="false">AD25</f>
        <v>32.7791338691376</v>
      </c>
      <c r="N25" s="150" t="n">
        <f aca="false">SUM(L25:M25)</f>
        <v>47.3708158353724</v>
      </c>
      <c r="O25" s="154" t="n">
        <f aca="false">$S$34*N25</f>
        <v>12316.4121171968</v>
      </c>
      <c r="P25" s="135" t="n">
        <f aca="false">BC72</f>
        <v>3.23075098226712</v>
      </c>
      <c r="Q25" s="150" t="n">
        <f aca="false">BC25</f>
        <v>11.6316568066085</v>
      </c>
      <c r="R25" s="150" t="n">
        <f aca="false">SUM(P25:Q25)</f>
        <v>14.8624077888756</v>
      </c>
      <c r="S25" s="155" t="n">
        <f aca="false">$S$34*R25</f>
        <v>3864.22602510766</v>
      </c>
      <c r="T25" s="1"/>
      <c r="U25" s="1"/>
      <c r="V25" s="50" t="n">
        <v>18</v>
      </c>
      <c r="W25" s="132" t="n">
        <f aca="false">W$7+(W$27-W$7)*$V25/20</f>
        <v>28901617.3</v>
      </c>
      <c r="X25" s="131" t="n">
        <f aca="false">J25</f>
        <v>0.807356047331459</v>
      </c>
      <c r="Y25" s="132" t="n">
        <f aca="false">'Input-Detail'!E32/Z25</f>
        <v>12462.7211721307</v>
      </c>
      <c r="Z25" s="156" t="n">
        <f aca="false">Z24</f>
        <v>2319.04548780488</v>
      </c>
      <c r="AA25" s="156" t="n">
        <f aca="false">AA24</f>
        <v>2</v>
      </c>
      <c r="AB25" s="157" t="n">
        <f aca="false">AB24</f>
        <v>0.7</v>
      </c>
      <c r="AC25" s="57" t="n">
        <f aca="false">Y25*AB25</f>
        <v>8723.90482049148</v>
      </c>
      <c r="AD25" s="135" t="n">
        <f aca="false">Peak_Time_Eve*$BH25*(3600/K58+BK25)/3600</f>
        <v>32.7791338691376</v>
      </c>
      <c r="AE25" s="136" t="n">
        <f aca="false">IF(AE$6&lt;Total_Lanes,($BI25*($CH25+BM25)+$CM25*CO25)*Peak_Time_Eve/3600,"-")</f>
        <v>52076.1277082302</v>
      </c>
      <c r="AF25" s="136" t="n">
        <f aca="false">IF(AF$6&lt;Total_Lanes,($BI25*($CH25+BN25)+$CM25*CP25)*Peak_Time_Eve/3600,"-")</f>
        <v>19000.4144750328</v>
      </c>
      <c r="AG25" s="136" t="n">
        <f aca="false">IF(AG$6&lt;Total_Lanes,($BI25*($CH25+BO25)+$CM25*CQ25)*Peak_Time_Eve/3600,"-")</f>
        <v>7976.9849936512</v>
      </c>
      <c r="AH25" s="136" t="n">
        <f aca="false">IF(AH$6&lt;Total_Lanes,($BI25*($CH25+BP25)+$CM25*CR25)*Peak_Time_Eve/3600,"-")</f>
        <v>2472.21709377859</v>
      </c>
      <c r="AI25" s="136" t="n">
        <f aca="false">IF(AI$6&lt;Total_Lanes,($BI25*($CH25+BQ25)+$CM25*CS25)*Peak_Time_Eve/3600,"-")</f>
        <v>35.3477503292386</v>
      </c>
      <c r="AJ25" s="136" t="n">
        <f aca="false">IF(AJ$6&lt;Total_Lanes,($BI25*($CH25+BR25)+$CM25*CT25)*Peak_Time_Eve/3600,"-")</f>
        <v>13.3964109138905</v>
      </c>
      <c r="AK25" s="136" t="n">
        <f aca="false">IF(AK$6&lt;Total_Lanes,($BI25*($CH25+BS25)+$CM25*CU25)*Peak_Time_Eve/3600,"-")</f>
        <v>11.6316568066085</v>
      </c>
      <c r="AL25" s="136" t="n">
        <f aca="false">IF(AL$6&lt;Total_Lanes,($BI25*($CH25+BT25)+$CM25*CV25)*Peak_Time_Eve/3600,"-")</f>
        <v>15.101800865132</v>
      </c>
      <c r="AM25" s="136" t="n">
        <f aca="false">IF(AM$6&lt;Total_Lanes,($BI25*($CH25+BU25)+$CM25*CW25)*Peak_Time_Eve/3600,"-")</f>
        <v>311.439946458728</v>
      </c>
      <c r="AN25" s="136" t="n">
        <f aca="false">IF(AN$6&lt;Total_Lanes,($BI25*($CH25+BV25)+$CM25*CX25)*Peak_Time_Eve/3600,"-")</f>
        <v>2113.15719096481</v>
      </c>
      <c r="AO25" s="136" t="n">
        <f aca="false">IF(AO$6&lt;Total_Lanes,($BI25*($CH25+BW25)+$CM25*CY25)*Peak_Time_Eve/3600,"-")</f>
        <v>7572.54219429147</v>
      </c>
      <c r="AP25" s="136" t="str">
        <f aca="false">IF(AP$6&lt;Total_Lanes,($BI25*($CH25+BX25)+$CM25*CZ25)*Peak_Time_Eve/3600,"-")</f>
        <v>-</v>
      </c>
      <c r="AQ25" s="136" t="str">
        <f aca="false">IF(AQ$6&lt;Total_Lanes,($BI25*($CH25+BY25)+$CM25*DA25)*Peak_Time_Eve/3600,"-")</f>
        <v>-</v>
      </c>
      <c r="AR25" s="136" t="str">
        <f aca="false">IF(AR$6&lt;Total_Lanes,($BI25*($CH25+BZ25)+$CM25*DB25)*Peak_Time_Eve/3600,"-")</f>
        <v>-</v>
      </c>
      <c r="AS25" s="136" t="str">
        <f aca="false">IF(AS$6&lt;Total_Lanes,($BI25*($CH25+CA25)+$CM25*DC25)*Peak_Time_Eve/3600,"-")</f>
        <v>-</v>
      </c>
      <c r="AT25" s="136" t="str">
        <f aca="false">IF(AT$6&lt;Total_Lanes,($BI25*($CH25+CB25)+$CM25*DD25)*Peak_Time_Eve/3600,"-")</f>
        <v>-</v>
      </c>
      <c r="AU25" s="136" t="str">
        <f aca="false">IF(AU$6&lt;Total_Lanes,($BI25*($CH25+CC25)+$CM25*DE25)*Peak_Time_Eve/3600,"-")</f>
        <v>-</v>
      </c>
      <c r="AV25" s="136" t="str">
        <f aca="false">IF(AV$6&lt;Total_Lanes,($BI25*($CH25+CD25)+$CM25*DF25)*Peak_Time_Eve/3600,"-")</f>
        <v>-</v>
      </c>
      <c r="AW25" s="136" t="str">
        <f aca="false">IF(AW$6&lt;Total_Lanes,($BI25*($CH25+CE25)+$CM25*DG25)*Peak_Time_Eve/3600,"-")</f>
        <v>-</v>
      </c>
      <c r="AX25" s="136" t="str">
        <f aca="false">IF(AX$6&lt;Total_Lanes,($BI25*($CH25+CF25)+$CM25*DH25)*Peak_Time_Eve/3600,"-")</f>
        <v>-</v>
      </c>
      <c r="AY25" s="137" t="str">
        <f aca="false">IF(AY$6&lt;Total_Lanes,($BI25*($CH25+CG25)+$CM25*DI25)*Peak_Time_Eve/3600,"-")</f>
        <v>-</v>
      </c>
      <c r="AZ25" s="158" t="n">
        <f aca="false">SUMIF(AE25:AY25,BA25,$AE$6:$AY$6)</f>
        <v>7</v>
      </c>
      <c r="BA25" s="159" t="n">
        <f aca="false">MIN(AE25:AY25)</f>
        <v>11.6316568066085</v>
      </c>
      <c r="BB25" s="158" t="n">
        <f aca="false">Price!X25</f>
        <v>7</v>
      </c>
      <c r="BC25" s="159" t="n">
        <f aca="false">SUMIF($AE$6:$AY$6,$BB25,$AE25:$AY25)</f>
        <v>11.6316568066085</v>
      </c>
      <c r="BF25" s="50" t="n">
        <v>18</v>
      </c>
      <c r="BG25" s="131" t="n">
        <f aca="false">$X25</f>
        <v>0.807356047331459</v>
      </c>
      <c r="BH25" s="141" t="n">
        <f aca="false">$AC25</f>
        <v>8723.90482049148</v>
      </c>
      <c r="BI25" s="58" t="n">
        <f aca="false">BH25*(1-BG25)</f>
        <v>1680.60750732362</v>
      </c>
      <c r="BJ25" s="143" t="n">
        <f aca="false">Peak_Arrival_Manual/K58</f>
        <v>3.06944287795911</v>
      </c>
      <c r="BK25" s="144" t="n">
        <f aca="false">900*Peak_Time_Eve*(BJ25/Total_Lanes-1+SQRT((BJ25/Total_Lanes-1)^2+8*(BJ25/Total_Lanes)/(Peak_Time_Eve*$K58*Total_Lanes)))</f>
        <v>0.188306360915069</v>
      </c>
      <c r="BL25" s="145" t="n">
        <f aca="false">Peak_Arrival_Manual/N58</f>
        <v>3.24800742561225</v>
      </c>
      <c r="BM25" s="146" t="n">
        <f aca="false">IF(BM$6&lt;Total_Lanes,900*Peak_Time_Eve*(($BL25/(Total_Lanes-BM$6))-1+SQRT((($BL25/(Total_Lanes-BM$6))-1)^2+8*($BL25/(Total_Lanes-BM$6))/(Peak_Time_Eve*$N58*(Total_Lanes-BM$6)))),"-")</f>
        <v>0.26498350292703</v>
      </c>
      <c r="BN25" s="146" t="n">
        <f aca="false">IF(BN$6&lt;Total_Lanes,900*Peak_Time_Eve*(($BL25/(Total_Lanes-BN$6))-1+SQRT((($BL25/(Total_Lanes-BN$6))-1)^2+8*($BL25/(Total_Lanes-BN$6))/(Peak_Time_Eve*$N58*(Total_Lanes-BN$6)))),"-")</f>
        <v>0.334640489321569</v>
      </c>
      <c r="BO25" s="146" t="n">
        <f aca="false">IF(BO$6&lt;Total_Lanes,900*Peak_Time_Eve*(($BL25/(Total_Lanes-BO$6))-1+SQRT((($BL25/(Total_Lanes-BO$6))-1)^2+8*($BL25/(Total_Lanes-BO$6))/(Peak_Time_Eve*$N58*(Total_Lanes-BO$6)))),"-")</f>
        <v>0.436442493147382</v>
      </c>
      <c r="BP25" s="146" t="n">
        <f aca="false">IF(BP$6&lt;Total_Lanes,900*Peak_Time_Eve*(($BL25/(Total_Lanes-BP$6))-1+SQRT((($BL25/(Total_Lanes-BP$6))-1)^2+8*($BL25/(Total_Lanes-BP$6))/(Peak_Time_Eve*$N58*(Total_Lanes-BP$6)))),"-")</f>
        <v>0.59427000795409</v>
      </c>
      <c r="BQ25" s="146" t="n">
        <f aca="false">IF(BQ$6&lt;Total_Lanes,900*Peak_Time_Eve*(($BL25/(Total_Lanes-BQ$6))-1+SQRT((($BL25/(Total_Lanes-BQ$6))-1)^2+8*($BL25/(Total_Lanes-BQ$6))/(Peak_Time_Eve*$N58*(Total_Lanes-BQ$6)))),"-")</f>
        <v>0.860036123373331</v>
      </c>
      <c r="BR25" s="146" t="n">
        <f aca="false">IF(BR$6&lt;Total_Lanes,900*Peak_Time_Eve*(($BL25/(Total_Lanes-BR$6))-1+SQRT((($BL25/(Total_Lanes-BR$6))-1)^2+8*($BL25/(Total_Lanes-BR$6))/(Peak_Time_Eve*$N58*(Total_Lanes-BR$6)))),"-")</f>
        <v>1.36745235763202</v>
      </c>
      <c r="BS25" s="146" t="n">
        <f aca="false">IF(BS$6&lt;Total_Lanes,900*Peak_Time_Eve*(($BL25/(Total_Lanes-BS$6))-1+SQRT((($BL25/(Total_Lanes-BS$6))-1)^2+8*($BL25/(Total_Lanes-BS$6))/(Peak_Time_Eve*$N58*(Total_Lanes-BS$6)))),"-")</f>
        <v>2.57443850680984</v>
      </c>
      <c r="BT25" s="146" t="n">
        <f aca="false">IF(BT$6&lt;Total_Lanes,900*Peak_Time_Eve*(($BL25/(Total_Lanes-BT$6))-1+SQRT((($BL25/(Total_Lanes-BT$6))-1)^2+8*($BL25/(Total_Lanes-BT$6))/(Peak_Time_Eve*$N58*(Total_Lanes-BT$6)))),"-")</f>
        <v>7.43111815866667</v>
      </c>
      <c r="BU25" s="146" t="n">
        <f aca="false">IF(BU$6&lt;Total_Lanes,900*Peak_Time_Eve*(($BL25/(Total_Lanes-BU$6))-1+SQRT((($BL25/(Total_Lanes-BU$6))-1)^2+8*($BL25/(Total_Lanes-BU$6))/(Peak_Time_Eve*$N58*(Total_Lanes-BU$6)))),"-")</f>
        <v>325.388629637445</v>
      </c>
      <c r="BV25" s="146" t="n">
        <f aca="false">IF(BV$6&lt;Total_Lanes,900*Peak_Time_Eve*(($BL25/(Total_Lanes-BV$6))-1+SQRT((($BL25/(Total_Lanes-BV$6))-1)^2+8*($BL25/(Total_Lanes-BV$6))/(Peak_Time_Eve*$N58*(Total_Lanes-BV$6)))),"-")</f>
        <v>2255.43080545251</v>
      </c>
      <c r="BW25" s="146" t="n">
        <f aca="false">IF(BW$6&lt;Total_Lanes,900*Peak_Time_Eve*(($BL25/(Total_Lanes-BW$6))-1+SQRT((($BL25/(Total_Lanes-BW$6))-1)^2+8*($BL25/(Total_Lanes-BW$6))/(Peak_Time_Eve*$N58*(Total_Lanes-BW$6)))),"-")</f>
        <v>8102.86673959946</v>
      </c>
      <c r="BX25" s="136" t="str">
        <f aca="false">IF(BX$6&lt;Total_Lanes,900*Peak_Time_Eve*(($BL25/(Total_Lanes-BX$6))-1+SQRT((($BL25/(Total_Lanes-BX$6))-1)^2+8*($BL25/(Total_Lanes-BX$6))/(Peak_Time_Eve*$N58*(Total_Lanes-BX$6)))),"-")</f>
        <v>-</v>
      </c>
      <c r="BY25" s="136" t="str">
        <f aca="false">IF(BY$6&lt;Total_Lanes,900*Peak_Time_Eve*(($BL25/(Total_Lanes-BY$6))-1+SQRT((($BL25/(Total_Lanes-BY$6))-1)^2+8*($BL25/(Total_Lanes-BY$6))/(Peak_Time_Eve*$N58*(Total_Lanes-BY$6)))),"-")</f>
        <v>-</v>
      </c>
      <c r="BZ25" s="136" t="str">
        <f aca="false">IF(BZ$6&lt;Total_Lanes,900*Peak_Time_Eve*(($BL25/(Total_Lanes-BZ$6))-1+SQRT((($BL25/(Total_Lanes-BZ$6))-1)^2+8*($BL25/(Total_Lanes-BZ$6))/(Peak_Time_Eve*$N58*(Total_Lanes-BZ$6)))),"-")</f>
        <v>-</v>
      </c>
      <c r="CA25" s="136" t="str">
        <f aca="false">IF(CA$6&lt;Total_Lanes,900*Peak_Time_Eve*(($BL25/(Total_Lanes-CA$6))-1+SQRT((($BL25/(Total_Lanes-CA$6))-1)^2+8*($BL25/(Total_Lanes-CA$6))/(Peak_Time_Eve*$N58*(Total_Lanes-CA$6)))),"-")</f>
        <v>-</v>
      </c>
      <c r="CB25" s="136" t="str">
        <f aca="false">IF(CB$6&lt;Total_Lanes,900*Peak_Time_Eve*(($BL25/(Total_Lanes-CB$6))-1+SQRT((($BL25/(Total_Lanes-CB$6))-1)^2+8*($BL25/(Total_Lanes-CB$6))/(Peak_Time_Eve*$N58*(Total_Lanes-CB$6)))),"-")</f>
        <v>-</v>
      </c>
      <c r="CC25" s="136" t="str">
        <f aca="false">IF(CC$6&lt;Total_Lanes,900*Peak_Time_Eve*(($BL25/(Total_Lanes-CC$6))-1+SQRT((($BL25/(Total_Lanes-CC$6))-1)^2+8*($BL25/(Total_Lanes-CC$6))/(Peak_Time_Eve*$N58*(Total_Lanes-CC$6)))),"-")</f>
        <v>-</v>
      </c>
      <c r="CD25" s="136" t="str">
        <f aca="false">IF(CD$6&lt;Total_Lanes,900*Peak_Time_Eve*(($BL25/(Total_Lanes-CD$6))-1+SQRT((($BL25/(Total_Lanes-CD$6))-1)^2+8*($BL25/(Total_Lanes-CD$6))/(Peak_Time_Eve*$N58*(Total_Lanes-CD$6)))),"-")</f>
        <v>-</v>
      </c>
      <c r="CE25" s="136" t="str">
        <f aca="false">IF(CE$6&lt;Total_Lanes,900*Peak_Time_Eve*(($BL25/(Total_Lanes-CE$6))-1+SQRT((($BL25/(Total_Lanes-CE$6))-1)^2+8*($BL25/(Total_Lanes-CE$6))/(Peak_Time_Eve*$N58*(Total_Lanes-CE$6)))),"-")</f>
        <v>-</v>
      </c>
      <c r="CF25" s="136" t="str">
        <f aca="false">IF(CF$6&lt;Total_Lanes,900*Peak_Time_Eve*(($BL25/(Total_Lanes-CF$6))-1+SQRT((($BL25/(Total_Lanes-CF$6))-1)^2+8*($BL25/(Total_Lanes-CF$6))/(Peak_Time_Eve*$N58*(Total_Lanes-CF$6)))),"-")</f>
        <v>-</v>
      </c>
      <c r="CG25" s="147" t="str">
        <f aca="false">IF(CG$6&lt;Total_Lanes,900*Peak_Time_Eve*(($BL25/(Total_Lanes-CG$6))-1+SQRT((($BL25/(Total_Lanes-CG$6))-1)^2+8*($BL25/(Total_Lanes-CG$6))/(Peak_Time_Eve*$N58*(Total_Lanes-CG$6)))),"-")</f>
        <v>-</v>
      </c>
      <c r="CH25" s="160" t="n">
        <f aca="false">3600/N58</f>
        <v>6.9575</v>
      </c>
      <c r="CJ25" s="50" t="n">
        <v>18</v>
      </c>
      <c r="CK25" s="131" t="n">
        <f aca="false">$X25</f>
        <v>0.807356047331459</v>
      </c>
      <c r="CL25" s="57" t="n">
        <f aca="false">$AC25</f>
        <v>8723.90482049148</v>
      </c>
      <c r="CM25" s="135" t="n">
        <f aca="false">CL25*CK25</f>
        <v>7043.29731316786</v>
      </c>
      <c r="CN25" s="161" t="n">
        <f aca="false">CM25/O57</f>
        <v>4.69553154211191</v>
      </c>
      <c r="CO25" s="146" t="n">
        <f aca="false">IF(CO$6&lt;Total_Lanes,900*Peak_Time_Eve*(($CN25/CO$6-1)+SQRT(($CN25/CO$6-1)^2+8*($CN25/CO$6)/(Peak_Time_Eve*$O58*CO$6))),"-")</f>
        <v>13306.9622859159</v>
      </c>
      <c r="CP25" s="146" t="n">
        <f aca="false">IF(CP$6&lt;Total_Lanes,900*Peak_Time_Eve*(($CN25/CP$6-1)+SQRT(($CN25/CP$6-1)^2+8*($CN25/CP$6)/(Peak_Time_Eve*$O58*CP$6))),"-")</f>
        <v>4854.0462384132</v>
      </c>
      <c r="CQ25" s="146" t="n">
        <f aca="false">IF(CQ$6&lt;Total_Lanes,900*Peak_Time_Eve*(($CN25/CQ$6-1)+SQRT(($CN25/CQ$6-1)^2+8*($CN25/CQ$6)/(Peak_Time_Eve*$O58*CQ$6))),"-")</f>
        <v>2036.85092868201</v>
      </c>
      <c r="CR25" s="146" t="n">
        <f aca="false">IF(CR$6&lt;Total_Lanes,900*Peak_Time_Eve*(($CN25/CR$6-1)+SQRT(($CN25/CR$6-1)^2+8*($CN25/CR$6)/(Peak_Time_Eve*$O58*CR$6))),"-")</f>
        <v>630.003109358556</v>
      </c>
      <c r="CS25" s="146" t="n">
        <f aca="false">IF(CS$6&lt;Total_Lanes,900*Peak_Time_Eve*(($CN25/CS$6-1)+SQRT(($CN25/CS$6-1)^2+8*($CN25/CS$6)/(Peak_Time_Eve*$O58*CS$6))),"-")</f>
        <v>7.16819671952861</v>
      </c>
      <c r="CT25" s="164" t="n">
        <f aca="false">IF(CT$6&lt;Total_Lanes,900*Peak_Time_Eve*(($CN25/CT$6-1)+SQRT(($CN25/CT$6-1)^2+8*($CN25/CT$6)/(Peak_Time_Eve*$O58*CT$6))),"-")</f>
        <v>1.43719081625737</v>
      </c>
      <c r="CU25" s="164" t="n">
        <f aca="false">IF(CU$6&lt;Total_Lanes,900*Peak_Time_Eve*(($CN25/CU$6-1)+SQRT(($CN25/CU$6-1)^2+8*($CN25/CU$6)/(Peak_Time_Eve*$O58*CU$6))),"-")</f>
        <v>0.698186462867323</v>
      </c>
      <c r="CV25" s="164" t="n">
        <f aca="false">IF(CV$6&lt;Total_Lanes,900*Peak_Time_Eve*(($CN25/CV$6-1)+SQRT(($CN25/CV$6-1)^2+8*($CN25/CV$6)/(Peak_Time_Eve*$O58*CV$6))),"-")</f>
        <v>0.426167138246136</v>
      </c>
      <c r="CW25" s="164" t="n">
        <f aca="false">IF(CW$6&lt;Total_Lanes,900*Peak_Time_Eve*(($CN25/CW$6-1)+SQRT(($CN25/CW$6-1)^2+8*($CN25/CW$6)/(Peak_Time_Eve*$O58*CW$6))),"-")</f>
        <v>0.290844335541585</v>
      </c>
      <c r="CX25" s="164" t="n">
        <f aca="false">IF(CX$6&lt;Total_Lanes,900*Peak_Time_Eve*(($CN25/CX$6-1)+SQRT(($CN25/CX$6-1)^2+8*($CN25/CX$6)/(Peak_Time_Eve*$O58*CX$6))),"-")</f>
        <v>0.212425096583524</v>
      </c>
      <c r="CY25" s="164" t="n">
        <f aca="false">IF(CY$6&lt;Total_Lanes,900*Peak_Time_Eve*(($CN25/CY$6-1)+SQRT(($CN25/CY$6-1)^2+8*($CN25/CY$6)/(Peak_Time_Eve*$O58*CY$6))),"-")</f>
        <v>0.16248775648966</v>
      </c>
      <c r="CZ25" s="165" t="str">
        <f aca="false">IF(CZ$6&lt;Total_Lanes,900*Peak_Time_Eve*(($CN25/CZ$6-1)+SQRT(($CN25/CZ$6-1)^2+8*($CN25/CZ$6)/(Peak_Time_Eve*$O58*CZ$6))),"-")</f>
        <v>-</v>
      </c>
      <c r="DA25" s="165" t="str">
        <f aca="false">IF(DA$6&lt;Total_Lanes,900*Peak_Time_Eve*(($CN25/DA$6-1)+SQRT(($CN25/DA$6-1)^2+8*($CN25/DA$6)/(Peak_Time_Eve*$O58*DA$6))),"-")</f>
        <v>-</v>
      </c>
      <c r="DB25" s="165" t="str">
        <f aca="false">IF(DB$6&lt;Total_Lanes,900*Peak_Time_Eve*(($CN25/DB$6-1)+SQRT(($CN25/DB$6-1)^2+8*($CN25/DB$6)/(Peak_Time_Eve*$O58*DB$6))),"-")</f>
        <v>-</v>
      </c>
      <c r="DC25" s="165" t="str">
        <f aca="false">IF(DC$6&lt;Total_Lanes,900*Peak_Time_Eve*(($CN25/DC$6-1)+SQRT(($CN25/DC$6-1)^2+8*($CN25/DC$6)/(Peak_Time_Eve*$O58*DC$6))),"-")</f>
        <v>-</v>
      </c>
      <c r="DD25" s="165" t="str">
        <f aca="false">IF(DD$6&lt;Total_Lanes,900*Peak_Time_Eve*(($CN25/DD$6-1)+SQRT(($CN25/DD$6-1)^2+8*($CN25/DD$6)/(Peak_Time_Eve*$O58*DD$6))),"-")</f>
        <v>-</v>
      </c>
      <c r="DE25" s="165" t="str">
        <f aca="false">IF(DE$6&lt;Total_Lanes,900*Peak_Time_Eve*(($CN25/DE$6-1)+SQRT(($CN25/DE$6-1)^2+8*($CN25/DE$6)/(Peak_Time_Eve*$O58*DE$6))),"-")</f>
        <v>-</v>
      </c>
      <c r="DF25" s="165" t="str">
        <f aca="false">IF(DF$6&lt;Total_Lanes,900*Peak_Time_Eve*(($CN25/DF$6-1)+SQRT(($CN25/DF$6-1)^2+8*($CN25/DF$6)/(Peak_Time_Eve*$O58*DF$6))),"-")</f>
        <v>-</v>
      </c>
      <c r="DG25" s="165" t="str">
        <f aca="false">IF(DG$6&lt;Total_Lanes,900*Peak_Time_Eve*(($CN25/DG$6-1)+SQRT(($CN25/DG$6-1)^2+8*($CN25/DG$6)/(Peak_Time_Eve*$O58*DG$6))),"-")</f>
        <v>-</v>
      </c>
      <c r="DH25" s="165" t="str">
        <f aca="false">IF(DH$6&lt;Total_Lanes,900*Peak_Time_Eve*(($CN25/DH$6-1)+SQRT(($CN25/DH$6-1)^2+8*($CN25/DH$6)/(Peak_Time_Eve*$O58*DH$6))),"-")</f>
        <v>-</v>
      </c>
      <c r="DI25" s="166" t="str">
        <f aca="false">IF(DI$6&lt;Total_Lanes,900*Peak_Time_Eve*(($CN25/DI$6-1)+SQRT(($CN25/DI$6-1)^2+8*($CN25/DI$6)/(Peak_Time_Eve*$O58*DI$6))),"-")</f>
        <v>-</v>
      </c>
      <c r="DJ25" s="167" t="n">
        <f aca="false">3600/O58</f>
        <v>2.4</v>
      </c>
    </row>
    <row r="26" customFormat="false" ht="12.75" hidden="false" customHeight="false" outlineLevel="0" collapsed="false">
      <c r="H26" s="50" t="n">
        <v>19</v>
      </c>
      <c r="I26" s="124" t="n">
        <f aca="false">'Input-Detail'!E33</f>
        <v>29450808.65</v>
      </c>
      <c r="J26" s="131" t="n">
        <f aca="false">'Input-Detail'!F33</f>
        <v>0.830563950021381</v>
      </c>
      <c r="K26" s="57" t="n">
        <f aca="false">AC26</f>
        <v>8889.67731051879</v>
      </c>
      <c r="L26" s="135" t="n">
        <f aca="false">AD73</f>
        <v>14.897503723643</v>
      </c>
      <c r="M26" s="150" t="n">
        <f aca="false">AD26</f>
        <v>33.2768216242367</v>
      </c>
      <c r="N26" s="150" t="n">
        <f aca="false">SUM(L26:M26)</f>
        <v>48.1743253478797</v>
      </c>
      <c r="O26" s="154" t="n">
        <f aca="false">$S$34*N26</f>
        <v>12525.3245904487</v>
      </c>
      <c r="P26" s="135" t="n">
        <f aca="false">BC73</f>
        <v>2.97640429399156</v>
      </c>
      <c r="Q26" s="150" t="n">
        <f aca="false">BC26</f>
        <v>11.7349753831498</v>
      </c>
      <c r="R26" s="150" t="n">
        <f aca="false">SUM(P26:Q26)</f>
        <v>14.7113796771414</v>
      </c>
      <c r="S26" s="155" t="n">
        <f aca="false">$S$34*R26</f>
        <v>3824.95871605676</v>
      </c>
      <c r="T26" s="1"/>
      <c r="U26" s="1"/>
      <c r="V26" s="50" t="n">
        <v>19</v>
      </c>
      <c r="W26" s="132" t="n">
        <f aca="false">W$7+(W$27-W$7)*$V26/20</f>
        <v>29450808.65</v>
      </c>
      <c r="X26" s="131" t="n">
        <f aca="false">J26</f>
        <v>0.830563950021381</v>
      </c>
      <c r="Y26" s="132" t="n">
        <f aca="false">'Input-Detail'!E33/Z26</f>
        <v>12699.5390150268</v>
      </c>
      <c r="Z26" s="156" t="n">
        <f aca="false">Z25</f>
        <v>2319.04548780488</v>
      </c>
      <c r="AA26" s="156" t="n">
        <f aca="false">AA25</f>
        <v>2</v>
      </c>
      <c r="AB26" s="157" t="n">
        <f aca="false">AB25</f>
        <v>0.7</v>
      </c>
      <c r="AC26" s="57" t="n">
        <f aca="false">Y26*AB26</f>
        <v>8889.67731051879</v>
      </c>
      <c r="AD26" s="135" t="n">
        <f aca="false">Peak_Time_Eve*$BH26*(3600/K59+BK26)/3600</f>
        <v>33.2768216242367</v>
      </c>
      <c r="AE26" s="136" t="n">
        <f aca="false">IF(AE$6&lt;Total_Lanes,($BI26*($CH26+BM26)+$CM26*CO26)*Peak_Time_Eve/3600,"-")</f>
        <v>57938.5157754898</v>
      </c>
      <c r="AF26" s="136" t="n">
        <f aca="false">IF(AF$6&lt;Total_Lanes,($BI26*($CH26+BN26)+$CM26*CP26)*Peak_Time_Eve/3600,"-")</f>
        <v>21590.9891419152</v>
      </c>
      <c r="AG26" s="136" t="n">
        <f aca="false">IF(AG$6&lt;Total_Lanes,($BI26*($CH26+BO26)+$CM26*CQ26)*Peak_Time_Eve/3600,"-")</f>
        <v>9476.66345880591</v>
      </c>
      <c r="AH26" s="136" t="n">
        <f aca="false">IF(AH$6&lt;Total_Lanes,($BI26*($CH26+BP26)+$CM26*CR26)*Peak_Time_Eve/3600,"-")</f>
        <v>3424.20894136904</v>
      </c>
      <c r="AI26" s="136" t="n">
        <f aca="false">IF(AI$6&lt;Total_Lanes,($BI26*($CH26+BQ26)+$CM26*CS26)*Peak_Time_Eve/3600,"-")</f>
        <v>96.1169328942845</v>
      </c>
      <c r="AJ26" s="136" t="n">
        <f aca="false">IF(AJ$6&lt;Total_Lanes,($BI26*($CH26+BR26)+$CM26*CT26)*Peak_Time_Eve/3600,"-")</f>
        <v>14.2348801638664</v>
      </c>
      <c r="AK26" s="136" t="n">
        <f aca="false">IF(AK$6&lt;Total_Lanes,($BI26*($CH26+BS26)+$CM26*CU26)*Peak_Time_Eve/3600,"-")</f>
        <v>10.8064460430225</v>
      </c>
      <c r="AL26" s="136" t="n">
        <f aca="false">IF(AL$6&lt;Total_Lanes,($BI26*($CH26+BT26)+$CM26*CV26)*Peak_Time_Eve/3600,"-")</f>
        <v>11.7349753831498</v>
      </c>
      <c r="AM26" s="136" t="n">
        <f aca="false">IF(AM$6&lt;Total_Lanes,($BI26*($CH26+BU26)+$CM26*CW26)*Peak_Time_Eve/3600,"-")</f>
        <v>52.5268876735614</v>
      </c>
      <c r="AN26" s="136" t="n">
        <f aca="false">IF(AN$6&lt;Total_Lanes,($BI26*($CH26+BV26)+$CM26*CX26)*Peak_Time_Eve/3600,"-")</f>
        <v>1401.57331902593</v>
      </c>
      <c r="AO26" s="136" t="n">
        <f aca="false">IF(AO$6&lt;Total_Lanes,($BI26*($CH26+BW26)+$CM26*CY26)*Peak_Time_Eve/3600,"-")</f>
        <v>5799.04064067946</v>
      </c>
      <c r="AP26" s="136" t="str">
        <f aca="false">IF(AP$6&lt;Total_Lanes,($BI26*($CH26+BX26)+$CM26*CZ26)*Peak_Time_Eve/3600,"-")</f>
        <v>-</v>
      </c>
      <c r="AQ26" s="136" t="str">
        <f aca="false">IF(AQ$6&lt;Total_Lanes,($BI26*($CH26+BY26)+$CM26*DA26)*Peak_Time_Eve/3600,"-")</f>
        <v>-</v>
      </c>
      <c r="AR26" s="136" t="str">
        <f aca="false">IF(AR$6&lt;Total_Lanes,($BI26*($CH26+BZ26)+$CM26*DB26)*Peak_Time_Eve/3600,"-")</f>
        <v>-</v>
      </c>
      <c r="AS26" s="136" t="str">
        <f aca="false">IF(AS$6&lt;Total_Lanes,($BI26*($CH26+CA26)+$CM26*DC26)*Peak_Time_Eve/3600,"-")</f>
        <v>-</v>
      </c>
      <c r="AT26" s="136" t="str">
        <f aca="false">IF(AT$6&lt;Total_Lanes,($BI26*($CH26+CB26)+$CM26*DD26)*Peak_Time_Eve/3600,"-")</f>
        <v>-</v>
      </c>
      <c r="AU26" s="136" t="str">
        <f aca="false">IF(AU$6&lt;Total_Lanes,($BI26*($CH26+CC26)+$CM26*DE26)*Peak_Time_Eve/3600,"-")</f>
        <v>-</v>
      </c>
      <c r="AV26" s="136" t="str">
        <f aca="false">IF(AV$6&lt;Total_Lanes,($BI26*($CH26+CD26)+$CM26*DF26)*Peak_Time_Eve/3600,"-")</f>
        <v>-</v>
      </c>
      <c r="AW26" s="136" t="str">
        <f aca="false">IF(AW$6&lt;Total_Lanes,($BI26*($CH26+CE26)+$CM26*DG26)*Peak_Time_Eve/3600,"-")</f>
        <v>-</v>
      </c>
      <c r="AX26" s="136" t="str">
        <f aca="false">IF(AX$6&lt;Total_Lanes,($BI26*($CH26+CF26)+$CM26*DH26)*Peak_Time_Eve/3600,"-")</f>
        <v>-</v>
      </c>
      <c r="AY26" s="137" t="str">
        <f aca="false">IF(AY$6&lt;Total_Lanes,($BI26*($CH26+CG26)+$CM26*DI26)*Peak_Time_Eve/3600,"-")</f>
        <v>-</v>
      </c>
      <c r="AZ26" s="158" t="n">
        <f aca="false">SUMIF(AE26:AY26,BA26,$AE$6:$AY$6)</f>
        <v>7</v>
      </c>
      <c r="BA26" s="159" t="n">
        <f aca="false">MIN(AE26:AY26)</f>
        <v>10.8064460430225</v>
      </c>
      <c r="BB26" s="158" t="n">
        <f aca="false">Price!X26</f>
        <v>8</v>
      </c>
      <c r="BC26" s="159" t="n">
        <f aca="false">SUMIF($AE$6:$AY$6,$BB26,$AE26:$AY26)</f>
        <v>11.7349753831498</v>
      </c>
      <c r="BF26" s="50" t="n">
        <v>19</v>
      </c>
      <c r="BG26" s="131" t="n">
        <f aca="false">$X26</f>
        <v>0.830563950021381</v>
      </c>
      <c r="BH26" s="141" t="n">
        <f aca="false">$AC26</f>
        <v>8889.67731051879</v>
      </c>
      <c r="BI26" s="58" t="n">
        <f aca="false">BH26*(1-BG26)</f>
        <v>1506.23180907886</v>
      </c>
      <c r="BJ26" s="143" t="n">
        <f aca="false">Peak_Arrival_Manual/K59</f>
        <v>2.75096504019264</v>
      </c>
      <c r="BK26" s="144" t="n">
        <f aca="false">900*Peak_Time_Eve*(BJ26/Total_Lanes-1+SQRT((BJ26/Total_Lanes-1)^2+8*(BJ26/Total_Lanes)/(Peak_Time_Eve*$K59*Total_Lanes)))</f>
        <v>0.162958739261643</v>
      </c>
      <c r="BL26" s="145" t="n">
        <f aca="false">Peak_Arrival_Manual/N59</f>
        <v>2.91989312155808</v>
      </c>
      <c r="BM26" s="146" t="n">
        <f aca="false">IF(BM$6&lt;Total_Lanes,900*Peak_Time_Eve*(($BL26/(Total_Lanes-BM$6))-1+SQRT((($BL26/(Total_Lanes-BM$6))-1)^2+8*($BL26/(Total_Lanes-BM$6))/(Peak_Time_Eve*$N59*(Total_Lanes-BM$6)))),"-")</f>
        <v>0.22924356725027</v>
      </c>
      <c r="BN26" s="146" t="n">
        <f aca="false">IF(BN$6&lt;Total_Lanes,900*Peak_Time_Eve*(($BL26/(Total_Lanes-BN$6))-1+SQRT((($BL26/(Total_Lanes-BN$6))-1)^2+8*($BL26/(Total_Lanes-BN$6))/(Peak_Time_Eve*$N59*(Total_Lanes-BN$6)))),"-")</f>
        <v>0.28777678136791</v>
      </c>
      <c r="BO26" s="146" t="n">
        <f aca="false">IF(BO$6&lt;Total_Lanes,900*Peak_Time_Eve*(($BL26/(Total_Lanes-BO$6))-1+SQRT((($BL26/(Total_Lanes-BO$6))-1)^2+8*($BL26/(Total_Lanes-BO$6))/(Peak_Time_Eve*$N59*(Total_Lanes-BO$6)))),"-")</f>
        <v>0.372326879829243</v>
      </c>
      <c r="BP26" s="146" t="n">
        <f aca="false">IF(BP$6&lt;Total_Lanes,900*Peak_Time_Eve*(($BL26/(Total_Lanes-BP$6))-1+SQRT((($BL26/(Total_Lanes-BP$6))-1)^2+8*($BL26/(Total_Lanes-BP$6))/(Peak_Time_Eve*$N59*(Total_Lanes-BP$6)))),"-")</f>
        <v>0.501287110037829</v>
      </c>
      <c r="BQ26" s="146" t="n">
        <f aca="false">IF(BQ$6&lt;Total_Lanes,900*Peak_Time_Eve*(($BL26/(Total_Lanes-BQ$6))-1+SQRT((($BL26/(Total_Lanes-BQ$6))-1)^2+8*($BL26/(Total_Lanes-BQ$6))/(Peak_Time_Eve*$N59*(Total_Lanes-BQ$6)))),"-")</f>
        <v>0.713226423668489</v>
      </c>
      <c r="BR26" s="146" t="n">
        <f aca="false">IF(BR$6&lt;Total_Lanes,900*Peak_Time_Eve*(($BL26/(Total_Lanes-BR$6))-1+SQRT((($BL26/(Total_Lanes-BR$6))-1)^2+8*($BL26/(Total_Lanes-BR$6))/(Peak_Time_Eve*$N59*(Total_Lanes-BR$6)))),"-")</f>
        <v>1.10196721565978</v>
      </c>
      <c r="BS26" s="146" t="n">
        <f aca="false">IF(BS$6&lt;Total_Lanes,900*Peak_Time_Eve*(($BL26/(Total_Lanes-BS$6))-1+SQRT((($BL26/(Total_Lanes-BS$6))-1)^2+8*($BL26/(Total_Lanes-BS$6))/(Peak_Time_Eve*$N59*(Total_Lanes-BS$6)))),"-")</f>
        <v>1.95668949498733</v>
      </c>
      <c r="BT26" s="146" t="n">
        <f aca="false">IF(BT$6&lt;Total_Lanes,900*Peak_Time_Eve*(($BL26/(Total_Lanes-BT$6))-1+SQRT((($BL26/(Total_Lanes-BT$6))-1)^2+8*($BL26/(Total_Lanes-BT$6))/(Peak_Time_Eve*$N59*(Total_Lanes-BT$6)))),"-")</f>
        <v>4.69381433502908</v>
      </c>
      <c r="BU26" s="146" t="n">
        <f aca="false">IF(BU$6&lt;Total_Lanes,900*Peak_Time_Eve*(($BL26/(Total_Lanes-BU$6))-1+SQRT((($BL26/(Total_Lanes-BU$6))-1)^2+8*($BL26/(Total_Lanes-BU$6))/(Peak_Time_Eve*$N59*(Total_Lanes-BU$6)))),"-")</f>
        <v>54.2151081654868</v>
      </c>
      <c r="BV26" s="146" t="n">
        <f aca="false">IF(BV$6&lt;Total_Lanes,900*Peak_Time_Eve*(($BL26/(Total_Lanes-BV$6))-1+SQRT((($BL26/(Total_Lanes-BV$6))-1)^2+8*($BL26/(Total_Lanes-BV$6))/(Peak_Time_Eve*$N59*(Total_Lanes-BV$6)))),"-")</f>
        <v>1666.81036041535</v>
      </c>
      <c r="BW26" s="146" t="n">
        <f aca="false">IF(BW$6&lt;Total_Lanes,900*Peak_Time_Eve*(($BL26/(Total_Lanes-BW$6))-1+SQRT((($BL26/(Total_Lanes-BW$6))-1)^2+8*($BL26/(Total_Lanes-BW$6))/(Peak_Time_Eve*$N59*(Total_Lanes-BW$6)))),"-")</f>
        <v>6922.21270664799</v>
      </c>
      <c r="BX26" s="136" t="str">
        <f aca="false">IF(BX$6&lt;Total_Lanes,900*Peak_Time_Eve*(($BL26/(Total_Lanes-BX$6))-1+SQRT((($BL26/(Total_Lanes-BX$6))-1)^2+8*($BL26/(Total_Lanes-BX$6))/(Peak_Time_Eve*$N59*(Total_Lanes-BX$6)))),"-")</f>
        <v>-</v>
      </c>
      <c r="BY26" s="136" t="str">
        <f aca="false">IF(BY$6&lt;Total_Lanes,900*Peak_Time_Eve*(($BL26/(Total_Lanes-BY$6))-1+SQRT((($BL26/(Total_Lanes-BY$6))-1)^2+8*($BL26/(Total_Lanes-BY$6))/(Peak_Time_Eve*$N59*(Total_Lanes-BY$6)))),"-")</f>
        <v>-</v>
      </c>
      <c r="BZ26" s="136" t="str">
        <f aca="false">IF(BZ$6&lt;Total_Lanes,900*Peak_Time_Eve*(($BL26/(Total_Lanes-BZ$6))-1+SQRT((($BL26/(Total_Lanes-BZ$6))-1)^2+8*($BL26/(Total_Lanes-BZ$6))/(Peak_Time_Eve*$N59*(Total_Lanes-BZ$6)))),"-")</f>
        <v>-</v>
      </c>
      <c r="CA26" s="136" t="str">
        <f aca="false">IF(CA$6&lt;Total_Lanes,900*Peak_Time_Eve*(($BL26/(Total_Lanes-CA$6))-1+SQRT((($BL26/(Total_Lanes-CA$6))-1)^2+8*($BL26/(Total_Lanes-CA$6))/(Peak_Time_Eve*$N59*(Total_Lanes-CA$6)))),"-")</f>
        <v>-</v>
      </c>
      <c r="CB26" s="136" t="str">
        <f aca="false">IF(CB$6&lt;Total_Lanes,900*Peak_Time_Eve*(($BL26/(Total_Lanes-CB$6))-1+SQRT((($BL26/(Total_Lanes-CB$6))-1)^2+8*($BL26/(Total_Lanes-CB$6))/(Peak_Time_Eve*$N59*(Total_Lanes-CB$6)))),"-")</f>
        <v>-</v>
      </c>
      <c r="CC26" s="136" t="str">
        <f aca="false">IF(CC$6&lt;Total_Lanes,900*Peak_Time_Eve*(($BL26/(Total_Lanes-CC$6))-1+SQRT((($BL26/(Total_Lanes-CC$6))-1)^2+8*($BL26/(Total_Lanes-CC$6))/(Peak_Time_Eve*$N59*(Total_Lanes-CC$6)))),"-")</f>
        <v>-</v>
      </c>
      <c r="CD26" s="136" t="str">
        <f aca="false">IF(CD$6&lt;Total_Lanes,900*Peak_Time_Eve*(($BL26/(Total_Lanes-CD$6))-1+SQRT((($BL26/(Total_Lanes-CD$6))-1)^2+8*($BL26/(Total_Lanes-CD$6))/(Peak_Time_Eve*$N59*(Total_Lanes-CD$6)))),"-")</f>
        <v>-</v>
      </c>
      <c r="CE26" s="136" t="str">
        <f aca="false">IF(CE$6&lt;Total_Lanes,900*Peak_Time_Eve*(($BL26/(Total_Lanes-CE$6))-1+SQRT((($BL26/(Total_Lanes-CE$6))-1)^2+8*($BL26/(Total_Lanes-CE$6))/(Peak_Time_Eve*$N59*(Total_Lanes-CE$6)))),"-")</f>
        <v>-</v>
      </c>
      <c r="CF26" s="136" t="str">
        <f aca="false">IF(CF$6&lt;Total_Lanes,900*Peak_Time_Eve*(($BL26/(Total_Lanes-CF$6))-1+SQRT((($BL26/(Total_Lanes-CF$6))-1)^2+8*($BL26/(Total_Lanes-CF$6))/(Peak_Time_Eve*$N59*(Total_Lanes-CF$6)))),"-")</f>
        <v>-</v>
      </c>
      <c r="CG26" s="147" t="str">
        <f aca="false">IF(CG$6&lt;Total_Lanes,900*Peak_Time_Eve*(($BL26/(Total_Lanes-CG$6))-1+SQRT((($BL26/(Total_Lanes-CG$6))-1)^2+8*($BL26/(Total_Lanes-CG$6))/(Peak_Time_Eve*$N59*(Total_Lanes-CG$6)))),"-")</f>
        <v>-</v>
      </c>
      <c r="CH26" s="160" t="n">
        <f aca="false">3600/N59</f>
        <v>6.97875</v>
      </c>
      <c r="CJ26" s="50" t="n">
        <v>19</v>
      </c>
      <c r="CK26" s="131" t="n">
        <f aca="false">$X26</f>
        <v>0.830563950021381</v>
      </c>
      <c r="CL26" s="57" t="n">
        <f aca="false">$AC26</f>
        <v>8889.67731051879</v>
      </c>
      <c r="CM26" s="135" t="n">
        <f aca="false">CL26*CK26</f>
        <v>7383.44550143993</v>
      </c>
      <c r="CN26" s="161" t="n">
        <f aca="false">CM26/O58</f>
        <v>4.92229700095995</v>
      </c>
      <c r="CO26" s="146" t="n">
        <f aca="false">IF(CO$6&lt;Total_Lanes,900*Peak_Time_Eve*(($CN26/CO$6-1)+SQRT(($CN26/CO$6-1)^2+8*($CN26/CO$6)/(Peak_Time_Eve*$O59*CO$6))),"-")</f>
        <v>14123.2804476385</v>
      </c>
      <c r="CP26" s="146" t="n">
        <f aca="false">IF(CP$6&lt;Total_Lanes,900*Peak_Time_Eve*(($CN26/CP$6-1)+SQRT(($CN26/CP$6-1)^2+8*($CN26/CP$6)/(Peak_Time_Eve*$O59*CP$6))),"-")</f>
        <v>5262.15509738517</v>
      </c>
      <c r="CQ26" s="146" t="n">
        <f aca="false">IF(CQ$6&lt;Total_Lanes,900*Peak_Time_Eve*(($CN26/CQ$6-1)+SQRT(($CN26/CQ$6-1)^2+8*($CN26/CQ$6)/(Peak_Time_Eve*$O59*CQ$6))),"-")</f>
        <v>2308.80309155106</v>
      </c>
      <c r="CR26" s="146" t="n">
        <f aca="false">IF(CR$6&lt;Total_Lanes,900*Peak_Time_Eve*(($CN26/CR$6-1)+SQRT(($CN26/CR$6-1)^2+8*($CN26/CR$6)/(Peak_Time_Eve*$O59*CR$6))),"-")</f>
        <v>833.257240598067</v>
      </c>
      <c r="CS26" s="146" t="n">
        <f aca="false">IF(CS$6&lt;Total_Lanes,900*Peak_Time_Eve*(($CN26/CS$6-1)+SQRT(($CN26/CS$6-1)^2+8*($CN26/CS$6)/(Peak_Time_Eve*$O59*CS$6))),"-")</f>
        <v>21.8630420735437</v>
      </c>
      <c r="CT26" s="164" t="n">
        <f aca="false">IF(CT$6&lt;Total_Lanes,900*Peak_Time_Eve*(($CN26/CT$6-1)+SQRT(($CN26/CT$6-1)^2+8*($CN26/CT$6)/(Peak_Time_Eve*$O59*CT$6))),"-")</f>
        <v>1.82182572918542</v>
      </c>
      <c r="CU26" s="164" t="n">
        <f aca="false">IF(CU$6&lt;Total_Lanes,900*Peak_Time_Eve*(($CN26/CU$6-1)+SQRT(($CN26/CU$6-1)^2+8*($CN26/CU$6)/(Peak_Time_Eve*$O59*CU$6))),"-")</f>
        <v>0.811648122928843</v>
      </c>
      <c r="CV26" s="164" t="n">
        <f aca="false">IF(CV$6&lt;Total_Lanes,900*Peak_Time_Eve*(($CN26/CV$6-1)+SQRT(($CN26/CV$6-1)^2+8*($CN26/CV$6)/(Peak_Time_Eve*$O59*CV$6))),"-")</f>
        <v>0.479636234064273</v>
      </c>
      <c r="CW26" s="164" t="n">
        <f aca="false">IF(CW$6&lt;Total_Lanes,900*Peak_Time_Eve*(($CN26/CW$6-1)+SQRT(($CN26/CW$6-1)^2+8*($CN26/CW$6)/(Peak_Time_Eve*$O59*CW$6))),"-")</f>
        <v>0.32183648173888</v>
      </c>
      <c r="CX26" s="164" t="n">
        <f aca="false">IF(CX$6&lt;Total_Lanes,900*Peak_Time_Eve*(($CN26/CX$6-1)+SQRT(($CN26/CX$6-1)^2+8*($CN26/CX$6)/(Peak_Time_Eve*$O59*CX$6))),"-")</f>
        <v>0.23262505952506</v>
      </c>
      <c r="CY26" s="164" t="n">
        <f aca="false">IF(CY$6&lt;Total_Lanes,900*Peak_Time_Eve*(($CN26/CY$6-1)+SQRT(($CN26/CY$6-1)^2+8*($CN26/CY$6)/(Peak_Time_Eve*$O59*CY$6))),"-")</f>
        <v>0.176688515150647</v>
      </c>
      <c r="CZ26" s="165" t="str">
        <f aca="false">IF(CZ$6&lt;Total_Lanes,900*Peak_Time_Eve*(($CN26/CZ$6-1)+SQRT(($CN26/CZ$6-1)^2+8*($CN26/CZ$6)/(Peak_Time_Eve*$O59*CZ$6))),"-")</f>
        <v>-</v>
      </c>
      <c r="DA26" s="165" t="str">
        <f aca="false">IF(DA$6&lt;Total_Lanes,900*Peak_Time_Eve*(($CN26/DA$6-1)+SQRT(($CN26/DA$6-1)^2+8*($CN26/DA$6)/(Peak_Time_Eve*$O59*DA$6))),"-")</f>
        <v>-</v>
      </c>
      <c r="DB26" s="165" t="str">
        <f aca="false">IF(DB$6&lt;Total_Lanes,900*Peak_Time_Eve*(($CN26/DB$6-1)+SQRT(($CN26/DB$6-1)^2+8*($CN26/DB$6)/(Peak_Time_Eve*$O59*DB$6))),"-")</f>
        <v>-</v>
      </c>
      <c r="DC26" s="165" t="str">
        <f aca="false">IF(DC$6&lt;Total_Lanes,900*Peak_Time_Eve*(($CN26/DC$6-1)+SQRT(($CN26/DC$6-1)^2+8*($CN26/DC$6)/(Peak_Time_Eve*$O59*DC$6))),"-")</f>
        <v>-</v>
      </c>
      <c r="DD26" s="165" t="str">
        <f aca="false">IF(DD$6&lt;Total_Lanes,900*Peak_Time_Eve*(($CN26/DD$6-1)+SQRT(($CN26/DD$6-1)^2+8*($CN26/DD$6)/(Peak_Time_Eve*$O59*DD$6))),"-")</f>
        <v>-</v>
      </c>
      <c r="DE26" s="165" t="str">
        <f aca="false">IF(DE$6&lt;Total_Lanes,900*Peak_Time_Eve*(($CN26/DE$6-1)+SQRT(($CN26/DE$6-1)^2+8*($CN26/DE$6)/(Peak_Time_Eve*$O59*DE$6))),"-")</f>
        <v>-</v>
      </c>
      <c r="DF26" s="165" t="str">
        <f aca="false">IF(DF$6&lt;Total_Lanes,900*Peak_Time_Eve*(($CN26/DF$6-1)+SQRT(($CN26/DF$6-1)^2+8*($CN26/DF$6)/(Peak_Time_Eve*$O59*DF$6))),"-")</f>
        <v>-</v>
      </c>
      <c r="DG26" s="165" t="str">
        <f aca="false">IF(DG$6&lt;Total_Lanes,900*Peak_Time_Eve*(($CN26/DG$6-1)+SQRT(($CN26/DG$6-1)^2+8*($CN26/DG$6)/(Peak_Time_Eve*$O59*DG$6))),"-")</f>
        <v>-</v>
      </c>
      <c r="DH26" s="165" t="str">
        <f aca="false">IF(DH$6&lt;Total_Lanes,900*Peak_Time_Eve*(($CN26/DH$6-1)+SQRT(($CN26/DH$6-1)^2+8*($CN26/DH$6)/(Peak_Time_Eve*$O59*DH$6))),"-")</f>
        <v>-</v>
      </c>
      <c r="DI26" s="166" t="str">
        <f aca="false">IF(DI$6&lt;Total_Lanes,900*Peak_Time_Eve*(($CN26/DI$6-1)+SQRT(($CN26/DI$6-1)^2+8*($CN26/DI$6)/(Peak_Time_Eve*$O59*DI$6))),"-")</f>
        <v>-</v>
      </c>
      <c r="DJ26" s="167" t="n">
        <f aca="false">3600/O59</f>
        <v>2.4</v>
      </c>
    </row>
    <row r="27" customFormat="false" ht="12.75" hidden="false" customHeight="false" outlineLevel="0" collapsed="false">
      <c r="B27" s="4"/>
      <c r="C27" s="4"/>
      <c r="D27" s="4"/>
      <c r="E27" s="4"/>
      <c r="H27" s="82" t="n">
        <v>20</v>
      </c>
      <c r="I27" s="168" t="n">
        <f aca="false">'Input-Detail'!E34</f>
        <v>30000000</v>
      </c>
      <c r="J27" s="644" t="n">
        <f aca="false">'Input-Detail'!F34</f>
        <v>0.85118550512719</v>
      </c>
      <c r="K27" s="89" t="n">
        <f aca="false">AC27</f>
        <v>9055.44980054609</v>
      </c>
      <c r="L27" s="90" t="n">
        <f aca="false">AD74</f>
        <v>15.2062619868251</v>
      </c>
      <c r="M27" s="170" t="n">
        <f aca="false">AD27</f>
        <v>33.7887360108147</v>
      </c>
      <c r="N27" s="170" t="n">
        <f aca="false">SUM(L27:M27)</f>
        <v>48.9949979976398</v>
      </c>
      <c r="O27" s="171" t="n">
        <f aca="false">$S$34*N27</f>
        <v>12738.6994793863</v>
      </c>
      <c r="P27" s="172" t="n">
        <f aca="false">BC74</f>
        <v>2.67419906396563</v>
      </c>
      <c r="Q27" s="170" t="n">
        <f aca="false">BC27</f>
        <v>10.0281973249183</v>
      </c>
      <c r="R27" s="170" t="n">
        <f aca="false">SUM(P27:Q27)</f>
        <v>12.7023963888839</v>
      </c>
      <c r="S27" s="173" t="n">
        <f aca="false">$S$34*R27</f>
        <v>3302.62306110982</v>
      </c>
      <c r="T27" s="1"/>
      <c r="U27" s="1"/>
      <c r="V27" s="82" t="n">
        <v>20</v>
      </c>
      <c r="W27" s="174" t="n">
        <f aca="false">'Input-Detail'!E34</f>
        <v>30000000</v>
      </c>
      <c r="X27" s="169" t="n">
        <f aca="false">J27</f>
        <v>0.85118550512719</v>
      </c>
      <c r="Y27" s="175" t="n">
        <f aca="false">'Input-Detail'!E34/Z27</f>
        <v>12936.356857923</v>
      </c>
      <c r="Z27" s="176" t="n">
        <f aca="false">Z26</f>
        <v>2319.04548780488</v>
      </c>
      <c r="AA27" s="176" t="n">
        <f aca="false">AA26</f>
        <v>2</v>
      </c>
      <c r="AB27" s="177" t="n">
        <f aca="false">AB26</f>
        <v>0.7</v>
      </c>
      <c r="AC27" s="89" t="n">
        <f aca="false">Y27*AB27</f>
        <v>9055.44980054609</v>
      </c>
      <c r="AD27" s="172" t="n">
        <f aca="false">Peak_Time_Eve*$BH27*(3600/K60+BK27)/3600</f>
        <v>33.7887360108147</v>
      </c>
      <c r="AE27" s="178" t="n">
        <f aca="false">IF(AE$6&lt;Total_Lanes,($BI27*($CH27+BM27)+$CM27*CO27)*Peak_Time_Eve/3600,"-")</f>
        <v>63817.3763771357</v>
      </c>
      <c r="AF27" s="178" t="n">
        <f aca="false">IF(AF$6&lt;Total_Lanes,($BI27*($CH27+BN27)+$CM27*CP27)*Peak_Time_Eve/3600,"-")</f>
        <v>24205.5836380445</v>
      </c>
      <c r="AG27" s="178" t="n">
        <f aca="false">IF(AG$6&lt;Total_Lanes,($BI27*($CH27+BO27)+$CM27*CQ27)*Peak_Time_Eve/3600,"-")</f>
        <v>11002.9577264906</v>
      </c>
      <c r="AH27" s="178" t="n">
        <f aca="false">IF(AH$6&lt;Total_Lanes,($BI27*($CH27+BP27)+$CM27*CR27)*Peak_Time_Eve/3600,"-")</f>
        <v>4405.13054244648</v>
      </c>
      <c r="AI27" s="178" t="n">
        <f aca="false">IF(AI$6&lt;Total_Lanes,($BI27*($CH27+BQ27)+$CM27*CS27)*Peak_Time_Eve/3600,"-")</f>
        <v>498.962415021307</v>
      </c>
      <c r="AJ27" s="178" t="n">
        <f aca="false">IF(AJ$6&lt;Total_Lanes,($BI27*($CH27+BR27)+$CM27*CT27)*Peak_Time_Eve/3600,"-")</f>
        <v>16.0883342136439</v>
      </c>
      <c r="AK27" s="178" t="n">
        <f aca="false">IF(AK$6&lt;Total_Lanes,($BI27*($CH27+BS27)+$CM27*CU27)*Peak_Time_Eve/3600,"-")</f>
        <v>10.4426183450201</v>
      </c>
      <c r="AL27" s="178" t="n">
        <f aca="false">IF(AL$6&lt;Total_Lanes,($BI27*($CH27+BT27)+$CM27*CV27)*Peak_Time_Eve/3600,"-")</f>
        <v>10.0281973249183</v>
      </c>
      <c r="AM27" s="178" t="n">
        <f aca="false">IF(AM$6&lt;Total_Lanes,($BI27*($CH27+BU27)+$CM27*CW27)*Peak_Time_Eve/3600,"-")</f>
        <v>18.4165349676886</v>
      </c>
      <c r="AN27" s="178" t="n">
        <f aca="false">IF(AN$6&lt;Total_Lanes,($BI27*($CH27+BV27)+$CM27*CX27)*Peak_Time_Eve/3600,"-")</f>
        <v>853.156217406709</v>
      </c>
      <c r="AO27" s="178" t="n">
        <f aca="false">IF(AO$6&lt;Total_Lanes,($BI27*($CH27+BW27)+$CM27*CY27)*Peak_Time_Eve/3600,"-")</f>
        <v>4381.48946944521</v>
      </c>
      <c r="AP27" s="178" t="str">
        <f aca="false">IF(AP$6&lt;Total_Lanes,($BI27*($CH27+BX27)+$CM27*CZ27)*Peak_Time_Eve/3600,"-")</f>
        <v>-</v>
      </c>
      <c r="AQ27" s="178" t="str">
        <f aca="false">IF(AQ$6&lt;Total_Lanes,($BI27*($CH27+BY27)+$CM27*DA27)*Peak_Time_Eve/3600,"-")</f>
        <v>-</v>
      </c>
      <c r="AR27" s="178" t="str">
        <f aca="false">IF(AR$6&lt;Total_Lanes,($BI27*($CH27+BZ27)+$CM27*DB27)*Peak_Time_Eve/3600,"-")</f>
        <v>-</v>
      </c>
      <c r="AS27" s="178" t="str">
        <f aca="false">IF(AS$6&lt;Total_Lanes,($BI27*($CH27+CA27)+$CM27*DC27)*Peak_Time_Eve/3600,"-")</f>
        <v>-</v>
      </c>
      <c r="AT27" s="178" t="str">
        <f aca="false">IF(AT$6&lt;Total_Lanes,($BI27*($CH27+CB27)+$CM27*DD27)*Peak_Time_Eve/3600,"-")</f>
        <v>-</v>
      </c>
      <c r="AU27" s="178" t="str">
        <f aca="false">IF(AU$6&lt;Total_Lanes,($BI27*($CH27+CC27)+$CM27*DE27)*Peak_Time_Eve/3600,"-")</f>
        <v>-</v>
      </c>
      <c r="AV27" s="178" t="str">
        <f aca="false">IF(AV$6&lt;Total_Lanes,($BI27*($CH27+CD27)+$CM27*DF27)*Peak_Time_Eve/3600,"-")</f>
        <v>-</v>
      </c>
      <c r="AW27" s="178" t="str">
        <f aca="false">IF(AW$6&lt;Total_Lanes,($BI27*($CH27+CE27)+$CM27*DG27)*Peak_Time_Eve/3600,"-")</f>
        <v>-</v>
      </c>
      <c r="AX27" s="178" t="str">
        <f aca="false">IF(AX$6&lt;Total_Lanes,($BI27*($CH27+CF27)+$CM27*DH27)*Peak_Time_Eve/3600,"-")</f>
        <v>-</v>
      </c>
      <c r="AY27" s="179" t="str">
        <f aca="false">IF(AY$6&lt;Total_Lanes,($BI27*($CH27+CG27)+$CM27*DI27)*Peak_Time_Eve/3600,"-")</f>
        <v>-</v>
      </c>
      <c r="AZ27" s="180" t="n">
        <f aca="false">SUMIF(AE27:AY27,BA27,$AE$6:$AY$6)</f>
        <v>8</v>
      </c>
      <c r="BA27" s="181" t="n">
        <f aca="false">MIN(AE27:AY27)</f>
        <v>10.0281973249183</v>
      </c>
      <c r="BB27" s="180" t="n">
        <f aca="false">Price!X27</f>
        <v>8</v>
      </c>
      <c r="BC27" s="181" t="n">
        <f aca="false">SUMIF($AE$6:$AY$6,$BB27,$AE27:$AY27)</f>
        <v>10.0281973249183</v>
      </c>
      <c r="BF27" s="82" t="n">
        <v>20</v>
      </c>
      <c r="BG27" s="169" t="n">
        <f aca="false">$X27</f>
        <v>0.85118550512719</v>
      </c>
      <c r="BH27" s="182" t="n">
        <f aca="false">$AC27</f>
        <v>9055.44980054609</v>
      </c>
      <c r="BI27" s="90" t="n">
        <f aca="false">BH27*(1-BG27)</f>
        <v>1347.58218791435</v>
      </c>
      <c r="BJ27" s="183" t="n">
        <f aca="false">Peak_Arrival_Manual/K60</f>
        <v>2.46120913487135</v>
      </c>
      <c r="BK27" s="184" t="n">
        <f aca="false">900*Peak_Time_Eve*(BJ27/Total_Lanes-1+SQRT((BJ27/Total_Lanes-1)^2+8*(BJ27/Total_Lanes)/(Peak_Time_Eve*$K60*Total_Lanes)))</f>
        <v>0.141367067243725</v>
      </c>
      <c r="BL27" s="185" t="n">
        <f aca="false">Peak_Arrival_Manual/N60</f>
        <v>2.62029869872235</v>
      </c>
      <c r="BM27" s="186" t="n">
        <f aca="false">IF(BM$6&lt;Total_Lanes,900*Peak_Time_Eve*(($BL27/(Total_Lanes-BM$6))-1+SQRT((($BL27/(Total_Lanes-BM$6))-1)^2+8*($BL27/(Total_Lanes-BM$6))/(Peak_Time_Eve*$N60*(Total_Lanes-BM$6)))),"-")</f>
        <v>0.198973898593269</v>
      </c>
      <c r="BN27" s="186" t="n">
        <f aca="false">IF(BN$6&lt;Total_Lanes,900*Peak_Time_Eve*(($BL27/(Total_Lanes-BN$6))-1+SQRT((($BL27/(Total_Lanes-BN$6))-1)^2+8*($BL27/(Total_Lanes-BN$6))/(Peak_Time_Eve*$N60*(Total_Lanes-BN$6)))),"-")</f>
        <v>0.248524628057423</v>
      </c>
      <c r="BO27" s="186" t="n">
        <f aca="false">IF(BO$6&lt;Total_Lanes,900*Peak_Time_Eve*(($BL27/(Total_Lanes-BO$6))-1+SQRT((($BL27/(Total_Lanes-BO$6))-1)^2+8*($BL27/(Total_Lanes-BO$6))/(Peak_Time_Eve*$N60*(Total_Lanes-BO$6)))),"-")</f>
        <v>0.319412295691879</v>
      </c>
      <c r="BP27" s="186" t="n">
        <f aca="false">IF(BP$6&lt;Total_Lanes,900*Peak_Time_Eve*(($BL27/(Total_Lanes-BP$6))-1+SQRT((($BL27/(Total_Lanes-BP$6))-1)^2+8*($BL27/(Total_Lanes-BP$6))/(Peak_Time_Eve*$N60*(Total_Lanes-BP$6)))),"-")</f>
        <v>0.426112480974727</v>
      </c>
      <c r="BQ27" s="186" t="n">
        <f aca="false">IF(BQ$6&lt;Total_Lanes,900*Peak_Time_Eve*(($BL27/(Total_Lanes-BQ$6))-1+SQRT((($BL27/(Total_Lanes-BQ$6))-1)^2+8*($BL27/(Total_Lanes-BQ$6))/(Peak_Time_Eve*$N60*(Total_Lanes-BQ$6)))),"-")</f>
        <v>0.598123682358676</v>
      </c>
      <c r="BR27" s="186" t="n">
        <f aca="false">IF(BR$6&lt;Total_Lanes,900*Peak_Time_Eve*(($BL27/(Total_Lanes-BR$6))-1+SQRT((($BL27/(Total_Lanes-BR$6))-1)^2+8*($BL27/(Total_Lanes-BR$6))/(Peak_Time_Eve*$N60*(Total_Lanes-BR$6)))),"-")</f>
        <v>0.904119178088525</v>
      </c>
      <c r="BS27" s="186" t="n">
        <f aca="false">IF(BS$6&lt;Total_Lanes,900*Peak_Time_Eve*(($BL27/(Total_Lanes-BS$6))-1+SQRT((($BL27/(Total_Lanes-BS$6))-1)^2+8*($BL27/(Total_Lanes-BS$6))/(Peak_Time_Eve*$N60*(Total_Lanes-BS$6)))),"-")</f>
        <v>1.54016119492071</v>
      </c>
      <c r="BT27" s="186" t="n">
        <f aca="false">IF(BT$6&lt;Total_Lanes,900*Peak_Time_Eve*(($BL27/(Total_Lanes-BT$6))-1+SQRT((($BL27/(Total_Lanes-BT$6))-1)^2+8*($BL27/(Total_Lanes-BT$6))/(Peak_Time_Eve*$N60*(Total_Lanes-BT$6)))),"-")</f>
        <v>3.31471353886642</v>
      </c>
      <c r="BU27" s="186" t="n">
        <f aca="false">IF(BU$6&lt;Total_Lanes,900*Peak_Time_Eve*(($BL27/(Total_Lanes-BU$6))-1+SQRT((($BL27/(Total_Lanes-BU$6))-1)^2+8*($BL27/(Total_Lanes-BU$6))/(Peak_Time_Eve*$N60*(Total_Lanes-BU$6)))),"-")</f>
        <v>15.57014861559</v>
      </c>
      <c r="BV27" s="186" t="n">
        <f aca="false">IF(BV$6&lt;Total_Lanes,900*Peak_Time_Eve*(($BL27/(Total_Lanes-BV$6))-1+SQRT((($BL27/(Total_Lanes-BV$6))-1)^2+8*($BL27/(Total_Lanes-BV$6))/(Peak_Time_Eve*$N60*(Total_Lanes-BV$6)))),"-")</f>
        <v>1131.13178547031</v>
      </c>
      <c r="BW27" s="186" t="n">
        <f aca="false">IF(BW$6&lt;Total_Lanes,900*Peak_Time_Eve*(($BL27/(Total_Lanes-BW$6))-1+SQRT((($BL27/(Total_Lanes-BW$6))-1)^2+8*($BL27/(Total_Lanes-BW$6))/(Peak_Time_Eve*$N60*(Total_Lanes-BW$6)))),"-")</f>
        <v>5844.37362236618</v>
      </c>
      <c r="BX27" s="178" t="str">
        <f aca="false">IF(BX$6&lt;Total_Lanes,900*Peak_Time_Eve*(($BL27/(Total_Lanes-BX$6))-1+SQRT((($BL27/(Total_Lanes-BX$6))-1)^2+8*($BL27/(Total_Lanes-BX$6))/(Peak_Time_Eve*$N60*(Total_Lanes-BX$6)))),"-")</f>
        <v>-</v>
      </c>
      <c r="BY27" s="178" t="str">
        <f aca="false">IF(BY$6&lt;Total_Lanes,900*Peak_Time_Eve*(($BL27/(Total_Lanes-BY$6))-1+SQRT((($BL27/(Total_Lanes-BY$6))-1)^2+8*($BL27/(Total_Lanes-BY$6))/(Peak_Time_Eve*$N60*(Total_Lanes-BY$6)))),"-")</f>
        <v>-</v>
      </c>
      <c r="BZ27" s="178" t="str">
        <f aca="false">IF(BZ$6&lt;Total_Lanes,900*Peak_Time_Eve*(($BL27/(Total_Lanes-BZ$6))-1+SQRT((($BL27/(Total_Lanes-BZ$6))-1)^2+8*($BL27/(Total_Lanes-BZ$6))/(Peak_Time_Eve*$N60*(Total_Lanes-BZ$6)))),"-")</f>
        <v>-</v>
      </c>
      <c r="CA27" s="178" t="str">
        <f aca="false">IF(CA$6&lt;Total_Lanes,900*Peak_Time_Eve*(($BL27/(Total_Lanes-CA$6))-1+SQRT((($BL27/(Total_Lanes-CA$6))-1)^2+8*($BL27/(Total_Lanes-CA$6))/(Peak_Time_Eve*$N60*(Total_Lanes-CA$6)))),"-")</f>
        <v>-</v>
      </c>
      <c r="CB27" s="178" t="str">
        <f aca="false">IF(CB$6&lt;Total_Lanes,900*Peak_Time_Eve*(($BL27/(Total_Lanes-CB$6))-1+SQRT((($BL27/(Total_Lanes-CB$6))-1)^2+8*($BL27/(Total_Lanes-CB$6))/(Peak_Time_Eve*$N60*(Total_Lanes-CB$6)))),"-")</f>
        <v>-</v>
      </c>
      <c r="CC27" s="178" t="str">
        <f aca="false">IF(CC$6&lt;Total_Lanes,900*Peak_Time_Eve*(($BL27/(Total_Lanes-CC$6))-1+SQRT((($BL27/(Total_Lanes-CC$6))-1)^2+8*($BL27/(Total_Lanes-CC$6))/(Peak_Time_Eve*$N60*(Total_Lanes-CC$6)))),"-")</f>
        <v>-</v>
      </c>
      <c r="CD27" s="178" t="str">
        <f aca="false">IF(CD$6&lt;Total_Lanes,900*Peak_Time_Eve*(($BL27/(Total_Lanes-CD$6))-1+SQRT((($BL27/(Total_Lanes-CD$6))-1)^2+8*($BL27/(Total_Lanes-CD$6))/(Peak_Time_Eve*$N60*(Total_Lanes-CD$6)))),"-")</f>
        <v>-</v>
      </c>
      <c r="CE27" s="178" t="str">
        <f aca="false">IF(CE$6&lt;Total_Lanes,900*Peak_Time_Eve*(($BL27/(Total_Lanes-CE$6))-1+SQRT((($BL27/(Total_Lanes-CE$6))-1)^2+8*($BL27/(Total_Lanes-CE$6))/(Peak_Time_Eve*$N60*(Total_Lanes-CE$6)))),"-")</f>
        <v>-</v>
      </c>
      <c r="CF27" s="178" t="str">
        <f aca="false">IF(CF$6&lt;Total_Lanes,900*Peak_Time_Eve*(($BL27/(Total_Lanes-CF$6))-1+SQRT((($BL27/(Total_Lanes-CF$6))-1)^2+8*($BL27/(Total_Lanes-CF$6))/(Peak_Time_Eve*$N60*(Total_Lanes-CF$6)))),"-")</f>
        <v>-</v>
      </c>
      <c r="CG27" s="187" t="str">
        <f aca="false">IF(CG$6&lt;Total_Lanes,900*Peak_Time_Eve*(($BL27/(Total_Lanes-CG$6))-1+SQRT((($BL27/(Total_Lanes-CG$6))-1)^2+8*($BL27/(Total_Lanes-CG$6))/(Peak_Time_Eve*$N60*(Total_Lanes-CG$6)))),"-")</f>
        <v>-</v>
      </c>
      <c r="CH27" s="188" t="n">
        <f aca="false">3600/N60</f>
        <v>7</v>
      </c>
      <c r="CJ27" s="82" t="n">
        <v>20</v>
      </c>
      <c r="CK27" s="169" t="n">
        <f aca="false">$X27</f>
        <v>0.85118550512719</v>
      </c>
      <c r="CL27" s="89" t="n">
        <f aca="false">$AC27</f>
        <v>9055.44980054609</v>
      </c>
      <c r="CM27" s="172" t="n">
        <f aca="false">CL27*CK27</f>
        <v>7707.86761263174</v>
      </c>
      <c r="CN27" s="189" t="n">
        <f aca="false">CM27/O59</f>
        <v>5.13857840842116</v>
      </c>
      <c r="CO27" s="186" t="n">
        <f aca="false">IF(CO$6&lt;Total_Lanes,900*Peak_Time_Eve*(($CN27/CO$6-1)+SQRT(($CN27/CO$6-1)^2+8*($CN27/CO$6)/(Peak_Time_Eve*$O60*CO$6))),"-")</f>
        <v>14901.86158382</v>
      </c>
      <c r="CP27" s="186" t="n">
        <f aca="false">IF(CP$6&lt;Total_Lanes,900*Peak_Time_Eve*(($CN27/CP$6-1)+SQRT(($CN27/CP$6-1)^2+8*($CN27/CP$6)/(Peak_Time_Eve*$O60*CP$6))),"-")</f>
        <v>5651.40512979434</v>
      </c>
      <c r="CQ27" s="186" t="n">
        <f aca="false">IF(CQ$6&lt;Total_Lanes,900*Peak_Time_Eve*(($CN27/CQ$6-1)+SQRT(($CN27/CQ$6-1)^2+8*($CN27/CQ$6)/(Peak_Time_Eve*$O60*CQ$6))),"-")</f>
        <v>2568.21489326132</v>
      </c>
      <c r="CR27" s="186" t="n">
        <f aca="false">IF(CR$6&lt;Total_Lanes,900*Peak_Time_Eve*(($CN27/CR$6-1)+SQRT(($CN27/CR$6-1)^2+8*($CN27/CR$6)/(Peak_Time_Eve*$O60*CR$6))),"-")</f>
        <v>1027.421341088</v>
      </c>
      <c r="CS27" s="186" t="n">
        <f aca="false">IF(CS$6&lt;Total_Lanes,900*Peak_Time_Eve*(($CN27/CS$6-1)+SQRT(($CN27/CS$6-1)^2+8*($CN27/CS$6)/(Peak_Time_Eve*$O60*CS$6))),"-")</f>
        <v>115.193111185167</v>
      </c>
      <c r="CT27" s="190" t="n">
        <f aca="false">IF(CT$6&lt;Total_Lanes,900*Peak_Time_Eve*(($CN27/CT$6-1)+SQRT(($CN27/CT$6-1)^2+8*($CN27/CT$6)/(Peak_Time_Eve*$O60*CT$6))),"-")</f>
        <v>2.37517719414538</v>
      </c>
      <c r="CU27" s="190" t="n">
        <f aca="false">IF(CU$6&lt;Total_Lanes,900*Peak_Time_Eve*(($CN27/CU$6-1)+SQRT(($CN27/CU$6-1)^2+8*($CN27/CU$6)/(Peak_Time_Eve*$O60*CU$6))),"-")</f>
        <v>0.945546067877412</v>
      </c>
      <c r="CV27" s="190" t="n">
        <f aca="false">IF(CV$6&lt;Total_Lanes,900*Peak_Time_Eve*(($CN27/CV$6-1)+SQRT(($CN27/CV$6-1)^2+8*($CN27/CV$6)/(Peak_Time_Eve*$O60*CV$6))),"-")</f>
        <v>0.53851871296221</v>
      </c>
      <c r="CW27" s="190" t="n">
        <f aca="false">IF(CW$6&lt;Total_Lanes,900*Peak_Time_Eve*(($CN27/CW$6-1)+SQRT(($CN27/CW$6-1)^2+8*($CN27/CW$6)/(Peak_Time_Eve*$O60*CW$6))),"-")</f>
        <v>0.354784594951929</v>
      </c>
      <c r="CX27" s="190" t="n">
        <f aca="false">IF(CX$6&lt;Total_Lanes,900*Peak_Time_Eve*(($CN27/CX$6-1)+SQRT(($CN27/CX$6-1)^2+8*($CN27/CX$6)/(Peak_Time_Eve*$O60*CX$6))),"-")</f>
        <v>0.253645992818496</v>
      </c>
      <c r="CY27" s="190" t="n">
        <f aca="false">IF(CY$6&lt;Total_Lanes,900*Peak_Time_Eve*(($CN27/CY$6-1)+SQRT(($CN27/CY$6-1)^2+8*($CN27/CY$6)/(Peak_Time_Eve*$O60*CY$6))),"-")</f>
        <v>0.191256096095582</v>
      </c>
      <c r="CZ27" s="191" t="str">
        <f aca="false">IF(CZ$6&lt;Total_Lanes,900*Peak_Time_Eve*(($CN27/CZ$6-1)+SQRT(($CN27/CZ$6-1)^2+8*($CN27/CZ$6)/(Peak_Time_Eve*$O60*CZ$6))),"-")</f>
        <v>-</v>
      </c>
      <c r="DA27" s="191" t="str">
        <f aca="false">IF(DA$6&lt;Total_Lanes,900*Peak_Time_Eve*(($CN27/DA$6-1)+SQRT(($CN27/DA$6-1)^2+8*($CN27/DA$6)/(Peak_Time_Eve*$O60*DA$6))),"-")</f>
        <v>-</v>
      </c>
      <c r="DB27" s="191" t="str">
        <f aca="false">IF(DB$6&lt;Total_Lanes,900*Peak_Time_Eve*(($CN27/DB$6-1)+SQRT(($CN27/DB$6-1)^2+8*($CN27/DB$6)/(Peak_Time_Eve*$O60*DB$6))),"-")</f>
        <v>-</v>
      </c>
      <c r="DC27" s="191" t="str">
        <f aca="false">IF(DC$6&lt;Total_Lanes,900*Peak_Time_Eve*(($CN27/DC$6-1)+SQRT(($CN27/DC$6-1)^2+8*($CN27/DC$6)/(Peak_Time_Eve*$O60*DC$6))),"-")</f>
        <v>-</v>
      </c>
      <c r="DD27" s="191" t="str">
        <f aca="false">IF(DD$6&lt;Total_Lanes,900*Peak_Time_Eve*(($CN27/DD$6-1)+SQRT(($CN27/DD$6-1)^2+8*($CN27/DD$6)/(Peak_Time_Eve*$O60*DD$6))),"-")</f>
        <v>-</v>
      </c>
      <c r="DE27" s="191" t="str">
        <f aca="false">IF(DE$6&lt;Total_Lanes,900*Peak_Time_Eve*(($CN27/DE$6-1)+SQRT(($CN27/DE$6-1)^2+8*($CN27/DE$6)/(Peak_Time_Eve*$O60*DE$6))),"-")</f>
        <v>-</v>
      </c>
      <c r="DF27" s="191" t="str">
        <f aca="false">IF(DF$6&lt;Total_Lanes,900*Peak_Time_Eve*(($CN27/DF$6-1)+SQRT(($CN27/DF$6-1)^2+8*($CN27/DF$6)/(Peak_Time_Eve*$O60*DF$6))),"-")</f>
        <v>-</v>
      </c>
      <c r="DG27" s="191" t="str">
        <f aca="false">IF(DG$6&lt;Total_Lanes,900*Peak_Time_Eve*(($CN27/DG$6-1)+SQRT(($CN27/DG$6-1)^2+8*($CN27/DG$6)/(Peak_Time_Eve*$O60*DG$6))),"-")</f>
        <v>-</v>
      </c>
      <c r="DH27" s="191" t="str">
        <f aca="false">IF(DH$6&lt;Total_Lanes,900*Peak_Time_Eve*(($CN27/DH$6-1)+SQRT(($CN27/DH$6-1)^2+8*($CN27/DH$6)/(Peak_Time_Eve*$O60*DH$6))),"-")</f>
        <v>-</v>
      </c>
      <c r="DI27" s="192" t="str">
        <f aca="false">IF(DI$6&lt;Total_Lanes,900*Peak_Time_Eve*(($CN27/DI$6-1)+SQRT(($CN27/DI$6-1)^2+8*($CN27/DI$6)/(Peak_Time_Eve*$O60*DI$6))),"-")</f>
        <v>-</v>
      </c>
      <c r="DJ27" s="193" t="n">
        <f aca="false">3600/O60</f>
        <v>2.4</v>
      </c>
    </row>
    <row r="29" customFormat="false" ht="12.75" hidden="false" customHeight="false" outlineLevel="0" collapsed="false">
      <c r="B29" s="4"/>
      <c r="C29" s="4"/>
      <c r="D29" s="4"/>
      <c r="E29" s="4"/>
    </row>
    <row r="30" customFormat="false" ht="14.25" hidden="false" customHeight="false" outlineLevel="0" collapsed="false">
      <c r="B30" s="4"/>
      <c r="C30" s="4"/>
      <c r="D30" s="4"/>
      <c r="E30" s="4"/>
      <c r="H30" s="194" t="s">
        <v>65</v>
      </c>
      <c r="V30" s="194" t="s">
        <v>65</v>
      </c>
    </row>
    <row r="31" customFormat="false" ht="13.5" hidden="false" customHeight="false" outlineLevel="0" collapsed="false">
      <c r="B31" s="4"/>
      <c r="C31" s="4"/>
      <c r="D31" s="4"/>
      <c r="E31" s="4"/>
      <c r="H31" s="195" t="s">
        <v>66</v>
      </c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7"/>
      <c r="T31" s="1"/>
      <c r="U31" s="1"/>
      <c r="V31" s="198" t="s">
        <v>67</v>
      </c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199"/>
      <c r="AX31" s="199"/>
      <c r="AY31" s="199"/>
      <c r="AZ31" s="199"/>
      <c r="BA31" s="199"/>
      <c r="BB31" s="199"/>
      <c r="BC31" s="200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customFormat="false" ht="15" hidden="false" customHeight="false" outlineLevel="0" collapsed="false">
      <c r="B32" s="4"/>
      <c r="C32" s="4"/>
      <c r="D32" s="4"/>
      <c r="E32" s="4"/>
      <c r="H32" s="201" t="s">
        <v>68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3"/>
      <c r="T32" s="1"/>
      <c r="U32" s="1"/>
      <c r="V32" s="204" t="s">
        <v>69</v>
      </c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6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201" t="s">
        <v>70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5"/>
      <c r="S33" s="203" t="n">
        <v>52</v>
      </c>
      <c r="T33" s="4"/>
      <c r="U33" s="4"/>
      <c r="V33" s="207" t="s">
        <v>71</v>
      </c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6"/>
      <c r="CF33" s="4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customFormat="false" ht="13.5" hidden="false" customHeight="false" outlineLevel="0" collapsed="false">
      <c r="B34" s="4"/>
      <c r="C34" s="4"/>
      <c r="D34" s="4"/>
      <c r="E34" s="4"/>
      <c r="H34" s="208" t="s">
        <v>72</v>
      </c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10" t="n">
        <f aca="false">5*S33</f>
        <v>260</v>
      </c>
      <c r="T34" s="1"/>
      <c r="U34" s="1"/>
      <c r="V34" s="207" t="s">
        <v>73</v>
      </c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6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customFormat="false" ht="13.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207" t="s">
        <v>74</v>
      </c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6"/>
      <c r="CF35" s="4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07" t="s">
        <v>75</v>
      </c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6"/>
      <c r="CF36" s="4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7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207" t="s">
        <v>77</v>
      </c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6"/>
      <c r="CF37" s="4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14" t="s">
        <v>4</v>
      </c>
      <c r="I38" s="211" t="s">
        <v>78</v>
      </c>
      <c r="J38" s="211"/>
      <c r="K38" s="211"/>
      <c r="L38" s="212" t="s">
        <v>79</v>
      </c>
      <c r="M38" s="212"/>
      <c r="N38" s="212"/>
      <c r="O38" s="14" t="s">
        <v>80</v>
      </c>
      <c r="P38" s="4"/>
      <c r="Q38" s="4"/>
      <c r="R38" s="4"/>
      <c r="S38" s="4"/>
      <c r="T38" s="4"/>
      <c r="U38" s="4"/>
      <c r="V38" s="207" t="s">
        <v>81</v>
      </c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6"/>
      <c r="CF38" s="4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customFormat="false" ht="13.5" hidden="false" customHeight="false" outlineLevel="0" collapsed="false">
      <c r="A39" s="4"/>
      <c r="B39" s="4"/>
      <c r="C39" s="4"/>
      <c r="D39" s="4"/>
      <c r="E39" s="4"/>
      <c r="F39" s="4"/>
      <c r="G39" s="4"/>
      <c r="H39" s="14"/>
      <c r="I39" s="213" t="s">
        <v>82</v>
      </c>
      <c r="J39" s="214" t="s">
        <v>24</v>
      </c>
      <c r="K39" s="214" t="s">
        <v>83</v>
      </c>
      <c r="L39" s="213" t="s">
        <v>84</v>
      </c>
      <c r="M39" s="214" t="s">
        <v>24</v>
      </c>
      <c r="N39" s="214" t="s">
        <v>83</v>
      </c>
      <c r="O39" s="14"/>
      <c r="P39" s="4"/>
      <c r="Q39" s="4"/>
      <c r="R39" s="4"/>
      <c r="S39" s="4"/>
      <c r="T39" s="4"/>
      <c r="U39" s="4"/>
      <c r="V39" s="207" t="s">
        <v>85</v>
      </c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6"/>
      <c r="CF39" s="4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customFormat="false" ht="13.5" hidden="false" customHeight="false" outlineLevel="0" collapsed="false">
      <c r="A40" s="4"/>
      <c r="B40" s="4"/>
      <c r="C40" s="4"/>
      <c r="D40" s="4"/>
      <c r="E40" s="4"/>
      <c r="F40" s="4"/>
      <c r="G40" s="4"/>
      <c r="H40" s="215" t="s">
        <v>64</v>
      </c>
      <c r="I40" s="216" t="n">
        <f aca="false">'Input-Detail'!BH13</f>
        <v>0.83</v>
      </c>
      <c r="J40" s="217" t="n">
        <f aca="false">1-I40</f>
        <v>0.17</v>
      </c>
      <c r="K40" s="218" t="n">
        <f aca="false">3600/(Trans_Time_Cash*I40+Trans_Time_Ticket*J40)</f>
        <v>547.528517110266</v>
      </c>
      <c r="L40" s="216" t="n">
        <f aca="false">'Input-Detail'!BJ13</f>
        <v>0.83</v>
      </c>
      <c r="M40" s="217" t="n">
        <f aca="false">1-L40</f>
        <v>0.17</v>
      </c>
      <c r="N40" s="218" t="n">
        <f aca="false">3600/(Trans_Time_Cash*L40+Trans_Time_Ticket*M40)</f>
        <v>547.528517110266</v>
      </c>
      <c r="O40" s="218" t="n">
        <f aca="false">3600/Headway_ETC</f>
        <v>1500</v>
      </c>
      <c r="P40" s="4"/>
      <c r="Q40" s="4"/>
      <c r="R40" s="4"/>
      <c r="S40" s="4"/>
      <c r="T40" s="4"/>
      <c r="U40" s="4"/>
      <c r="V40" s="207" t="s">
        <v>86</v>
      </c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6"/>
      <c r="CF40" s="4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customFormat="false" ht="12.75" hidden="false" customHeight="false" outlineLevel="0" collapsed="false">
      <c r="A41" s="4"/>
      <c r="B41" s="4"/>
      <c r="C41" s="4"/>
      <c r="D41" s="4"/>
      <c r="E41" s="4"/>
      <c r="F41" s="4"/>
      <c r="G41" s="4"/>
      <c r="H41" s="215" t="n">
        <v>1</v>
      </c>
      <c r="I41" s="216" t="n">
        <f aca="false">'Input-Detail'!BH14</f>
        <v>0.83</v>
      </c>
      <c r="J41" s="217" t="n">
        <f aca="false">1-I41</f>
        <v>0.17</v>
      </c>
      <c r="K41" s="218" t="n">
        <f aca="false">3600/(Trans_Time_Cash*I41+Trans_Time_Ticket*J41)</f>
        <v>547.528517110266</v>
      </c>
      <c r="L41" s="216" t="n">
        <f aca="false">'Input-Detail'!BJ14</f>
        <v>0.8385</v>
      </c>
      <c r="M41" s="217" t="n">
        <f aca="false">1-L41</f>
        <v>0.1615</v>
      </c>
      <c r="N41" s="218" t="n">
        <f aca="false">3600/(Trans_Time_Cash*L41+Trans_Time_Ticket*M41)</f>
        <v>545.764638999432</v>
      </c>
      <c r="O41" s="218" t="n">
        <f aca="false">3600/Headway_ETC</f>
        <v>1500</v>
      </c>
      <c r="P41" s="4"/>
      <c r="Q41" s="4"/>
      <c r="R41" s="4"/>
      <c r="S41" s="4"/>
      <c r="T41" s="4"/>
      <c r="U41" s="4"/>
      <c r="V41" s="207" t="s">
        <v>87</v>
      </c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6"/>
      <c r="CF41" s="4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customFormat="false" ht="12.75" hidden="false" customHeight="false" outlineLevel="0" collapsed="false">
      <c r="A42" s="4"/>
      <c r="B42" s="4"/>
      <c r="C42" s="4"/>
      <c r="D42" s="4"/>
      <c r="E42" s="4"/>
      <c r="F42" s="4"/>
      <c r="G42" s="4"/>
      <c r="H42" s="215" t="n">
        <v>2</v>
      </c>
      <c r="I42" s="216" t="n">
        <f aca="false">'Input-Detail'!BH15</f>
        <v>0.83</v>
      </c>
      <c r="J42" s="217" t="n">
        <f aca="false">1-I42</f>
        <v>0.17</v>
      </c>
      <c r="K42" s="218" t="n">
        <f aca="false">3600/(Trans_Time_Cash*I42+Trans_Time_Ticket*J42)</f>
        <v>547.528517110266</v>
      </c>
      <c r="L42" s="216" t="n">
        <f aca="false">'Input-Detail'!BJ15</f>
        <v>0.847</v>
      </c>
      <c r="M42" s="217" t="n">
        <f aca="false">1-L42</f>
        <v>0.153</v>
      </c>
      <c r="N42" s="218" t="n">
        <f aca="false">3600/(Trans_Time_Cash*L42+Trans_Time_Ticket*M42)</f>
        <v>544.012089157537</v>
      </c>
      <c r="O42" s="218" t="n">
        <f aca="false">3600/Headway_ETC</f>
        <v>1500</v>
      </c>
      <c r="P42" s="4"/>
      <c r="Q42" s="4"/>
      <c r="R42" s="4"/>
      <c r="S42" s="4"/>
      <c r="T42" s="4"/>
      <c r="U42" s="4"/>
      <c r="V42" s="207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6"/>
      <c r="CF42" s="4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215" t="n">
        <v>3</v>
      </c>
      <c r="I43" s="216" t="n">
        <f aca="false">'Input-Detail'!BH16</f>
        <v>0.83</v>
      </c>
      <c r="J43" s="217" t="n">
        <f aca="false">1-I43</f>
        <v>0.17</v>
      </c>
      <c r="K43" s="218" t="n">
        <f aca="false">3600/(Trans_Time_Cash*I43+Trans_Time_Ticket*J43)</f>
        <v>547.528517110266</v>
      </c>
      <c r="L43" s="216" t="n">
        <f aca="false">'Input-Detail'!BJ16</f>
        <v>0.8555</v>
      </c>
      <c r="M43" s="217" t="n">
        <f aca="false">1-L43</f>
        <v>0.1445</v>
      </c>
      <c r="N43" s="218" t="n">
        <f aca="false">3600/(Trans_Time_Cash*L43+Trans_Time_Ticket*M43)</f>
        <v>542.270758802485</v>
      </c>
      <c r="O43" s="218" t="n">
        <f aca="false">3600/Headway_ETC</f>
        <v>1500</v>
      </c>
      <c r="P43" s="4"/>
      <c r="Q43" s="4"/>
      <c r="R43" s="4"/>
      <c r="S43" s="4"/>
      <c r="T43" s="4"/>
      <c r="U43" s="4"/>
      <c r="V43" s="204" t="s">
        <v>88</v>
      </c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6"/>
      <c r="CF43" s="4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customFormat="false" ht="12.75" hidden="false" customHeight="false" outlineLevel="0" collapsed="false">
      <c r="A44" s="4"/>
      <c r="B44" s="4"/>
      <c r="C44" s="4"/>
      <c r="D44" s="4"/>
      <c r="E44" s="4"/>
      <c r="F44" s="4"/>
      <c r="G44" s="4"/>
      <c r="H44" s="215" t="n">
        <v>4</v>
      </c>
      <c r="I44" s="216" t="n">
        <f aca="false">'Input-Detail'!BH17</f>
        <v>0.83</v>
      </c>
      <c r="J44" s="217" t="n">
        <f aca="false">1-I44</f>
        <v>0.17</v>
      </c>
      <c r="K44" s="218" t="n">
        <f aca="false">3600/(Trans_Time_Cash*I44+Trans_Time_Ticket*J44)</f>
        <v>547.528517110266</v>
      </c>
      <c r="L44" s="216" t="n">
        <f aca="false">'Input-Detail'!BJ17</f>
        <v>0.864</v>
      </c>
      <c r="M44" s="217" t="n">
        <f aca="false">1-L44</f>
        <v>0.136</v>
      </c>
      <c r="N44" s="218" t="n">
        <f aca="false">3600/(Trans_Time_Cash*L44+Trans_Time_Ticket*M44)</f>
        <v>540.540540540541</v>
      </c>
      <c r="O44" s="218" t="n">
        <f aca="false">3600/Headway_ETC</f>
        <v>1500</v>
      </c>
      <c r="P44" s="4"/>
      <c r="Q44" s="4"/>
      <c r="R44" s="4"/>
      <c r="S44" s="4"/>
      <c r="T44" s="4"/>
      <c r="U44" s="4"/>
      <c r="V44" s="207" t="s">
        <v>89</v>
      </c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6"/>
      <c r="CF44" s="4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customFormat="false" ht="12.75" hidden="false" customHeight="false" outlineLevel="0" collapsed="false">
      <c r="A45" s="4"/>
      <c r="B45" s="4"/>
      <c r="C45" s="4"/>
      <c r="D45" s="4"/>
      <c r="E45" s="4"/>
      <c r="F45" s="4"/>
      <c r="G45" s="4"/>
      <c r="H45" s="215" t="n">
        <v>5</v>
      </c>
      <c r="I45" s="216" t="n">
        <f aca="false">'Input-Detail'!BH18</f>
        <v>0.83</v>
      </c>
      <c r="J45" s="217" t="n">
        <f aca="false">1-I45</f>
        <v>0.17</v>
      </c>
      <c r="K45" s="218" t="n">
        <f aca="false">3600/(Trans_Time_Cash*I45+Trans_Time_Ticket*J45)</f>
        <v>547.528517110266</v>
      </c>
      <c r="L45" s="216" t="n">
        <f aca="false">'Input-Detail'!BJ18</f>
        <v>0.8725</v>
      </c>
      <c r="M45" s="217" t="n">
        <f aca="false">1-L45</f>
        <v>0.1275</v>
      </c>
      <c r="N45" s="218" t="n">
        <f aca="false">3600/(Trans_Time_Cash*L45+Trans_Time_Ticket*M45)</f>
        <v>538.821328344247</v>
      </c>
      <c r="O45" s="218" t="n">
        <f aca="false">3600/Headway_ETC</f>
        <v>1500</v>
      </c>
      <c r="P45" s="4"/>
      <c r="Q45" s="4"/>
      <c r="R45" s="4"/>
      <c r="S45" s="4"/>
      <c r="T45" s="4"/>
      <c r="U45" s="4"/>
      <c r="V45" s="207" t="s">
        <v>90</v>
      </c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6"/>
      <c r="CF45" s="4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</row>
    <row r="46" customFormat="false" ht="12.75" hidden="false" customHeight="false" outlineLevel="0" collapsed="false">
      <c r="A46" s="4"/>
      <c r="B46" s="4"/>
      <c r="C46" s="4"/>
      <c r="D46" s="4"/>
      <c r="E46" s="4"/>
      <c r="F46" s="4"/>
      <c r="G46" s="4"/>
      <c r="H46" s="215" t="n">
        <v>6</v>
      </c>
      <c r="I46" s="216" t="n">
        <f aca="false">'Input-Detail'!BH19</f>
        <v>0.83</v>
      </c>
      <c r="J46" s="217" t="n">
        <f aca="false">1-I46</f>
        <v>0.17</v>
      </c>
      <c r="K46" s="218" t="n">
        <f aca="false">3600/(Trans_Time_Cash*I46+Trans_Time_Ticket*J46)</f>
        <v>547.528517110266</v>
      </c>
      <c r="L46" s="216" t="n">
        <f aca="false">'Input-Detail'!BJ19</f>
        <v>0.881</v>
      </c>
      <c r="M46" s="217" t="n">
        <f aca="false">1-L46</f>
        <v>0.119</v>
      </c>
      <c r="N46" s="218" t="n">
        <f aca="false">3600/(Trans_Time_Cash*L46+Trans_Time_Ticket*M46)</f>
        <v>537.113017530772</v>
      </c>
      <c r="O46" s="218" t="n">
        <f aca="false">3600/Headway_ETC</f>
        <v>1500</v>
      </c>
      <c r="P46" s="4"/>
      <c r="Q46" s="4"/>
      <c r="R46" s="4"/>
      <c r="S46" s="4"/>
      <c r="T46" s="4"/>
      <c r="U46" s="4"/>
      <c r="V46" s="207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6"/>
      <c r="CF46" s="4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customFormat="false" ht="13.5" hidden="false" customHeight="false" outlineLevel="0" collapsed="false">
      <c r="A47" s="4"/>
      <c r="B47" s="4"/>
      <c r="C47" s="4"/>
      <c r="D47" s="4"/>
      <c r="E47" s="4"/>
      <c r="F47" s="4"/>
      <c r="G47" s="4"/>
      <c r="H47" s="215" t="n">
        <v>7</v>
      </c>
      <c r="I47" s="216" t="n">
        <f aca="false">'Input-Detail'!BH20</f>
        <v>0.83</v>
      </c>
      <c r="J47" s="217" t="n">
        <f aca="false">1-I47</f>
        <v>0.17</v>
      </c>
      <c r="K47" s="218" t="n">
        <f aca="false">3600/(Trans_Time_Cash*I47+Trans_Time_Ticket*J47)</f>
        <v>547.528517110266</v>
      </c>
      <c r="L47" s="216" t="n">
        <f aca="false">'Input-Detail'!BJ20</f>
        <v>0.8895</v>
      </c>
      <c r="M47" s="217" t="n">
        <f aca="false">1-L47</f>
        <v>0.1105</v>
      </c>
      <c r="N47" s="218" t="n">
        <f aca="false">3600/(Trans_Time_Cash*L47+Trans_Time_Ticket*M47)</f>
        <v>535.415504740658</v>
      </c>
      <c r="O47" s="218" t="n">
        <f aca="false">3600/Headway_ETC</f>
        <v>1500</v>
      </c>
      <c r="P47" s="4"/>
      <c r="Q47" s="4"/>
      <c r="R47" s="4"/>
      <c r="S47" s="4"/>
      <c r="T47" s="4"/>
      <c r="U47" s="4"/>
      <c r="V47" s="219" t="s">
        <v>91</v>
      </c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1"/>
      <c r="CF47" s="4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customFormat="false" ht="13.5" hidden="false" customHeight="false" outlineLevel="0" collapsed="false">
      <c r="A48" s="4"/>
      <c r="B48" s="4"/>
      <c r="C48" s="4"/>
      <c r="D48" s="4"/>
      <c r="E48" s="4"/>
      <c r="F48" s="4"/>
      <c r="G48" s="4"/>
      <c r="H48" s="215" t="n">
        <v>8</v>
      </c>
      <c r="I48" s="216" t="n">
        <f aca="false">'Input-Detail'!BH21</f>
        <v>0.83</v>
      </c>
      <c r="J48" s="217" t="n">
        <f aca="false">1-I48</f>
        <v>0.17</v>
      </c>
      <c r="K48" s="218" t="n">
        <f aca="false">3600/(Trans_Time_Cash*I48+Trans_Time_Ticket*J48)</f>
        <v>547.528517110266</v>
      </c>
      <c r="L48" s="216" t="n">
        <f aca="false">'Input-Detail'!BJ21</f>
        <v>0.898</v>
      </c>
      <c r="M48" s="217" t="n">
        <f aca="false">1-L48</f>
        <v>0.102</v>
      </c>
      <c r="N48" s="218" t="n">
        <f aca="false">3600/(Trans_Time_Cash*L48+Trans_Time_Ticket*M48)</f>
        <v>533.728687916976</v>
      </c>
      <c r="O48" s="218" t="n">
        <f aca="false">3600/Headway_ETC</f>
        <v>1500</v>
      </c>
      <c r="P48" s="4"/>
      <c r="Q48" s="4"/>
      <c r="R48" s="4"/>
      <c r="S48" s="4"/>
      <c r="T48" s="4"/>
      <c r="U48" s="4"/>
      <c r="CF48" s="4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</row>
    <row r="49" customFormat="false" ht="12.75" hidden="false" customHeight="false" outlineLevel="0" collapsed="false">
      <c r="A49" s="4"/>
      <c r="B49" s="4"/>
      <c r="C49" s="4"/>
      <c r="D49" s="4"/>
      <c r="E49" s="4"/>
      <c r="F49" s="4"/>
      <c r="G49" s="4"/>
      <c r="H49" s="215" t="n">
        <v>9</v>
      </c>
      <c r="I49" s="216" t="n">
        <f aca="false">'Input-Detail'!BH22</f>
        <v>0.83</v>
      </c>
      <c r="J49" s="217" t="n">
        <f aca="false">1-I49</f>
        <v>0.17</v>
      </c>
      <c r="K49" s="218" t="n">
        <f aca="false">3600/(Trans_Time_Cash*I49+Trans_Time_Ticket*J49)</f>
        <v>547.528517110266</v>
      </c>
      <c r="L49" s="216" t="n">
        <f aca="false">'Input-Detail'!BJ22</f>
        <v>0.9065</v>
      </c>
      <c r="M49" s="217" t="n">
        <f aca="false">1-L49</f>
        <v>0.0935</v>
      </c>
      <c r="N49" s="218" t="n">
        <f aca="false">3600/(Trans_Time_Cash*L49+Trans_Time_Ticket*M49)</f>
        <v>532.05246628487</v>
      </c>
      <c r="O49" s="218" t="n">
        <f aca="false">3600/Headway_ETC</f>
        <v>1500</v>
      </c>
      <c r="P49" s="4"/>
      <c r="Q49" s="4"/>
      <c r="R49" s="4"/>
      <c r="S49" s="4"/>
      <c r="T49" s="4"/>
      <c r="U49" s="4"/>
      <c r="CF49" s="4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customFormat="false" ht="12.75" hidden="false" customHeight="false" outlineLevel="0" collapsed="false">
      <c r="A50" s="4"/>
      <c r="B50" s="4"/>
      <c r="C50" s="4"/>
      <c r="D50" s="4"/>
      <c r="E50" s="4"/>
      <c r="F50" s="4"/>
      <c r="G50" s="4"/>
      <c r="H50" s="215" t="n">
        <v>10</v>
      </c>
      <c r="I50" s="216" t="n">
        <f aca="false">'Input-Detail'!BH23</f>
        <v>0.83</v>
      </c>
      <c r="J50" s="217" t="n">
        <f aca="false">1-I50</f>
        <v>0.17</v>
      </c>
      <c r="K50" s="218" t="n">
        <f aca="false">3600/(Trans_Time_Cash*I50+Trans_Time_Ticket*J50)</f>
        <v>547.528517110266</v>
      </c>
      <c r="L50" s="216" t="n">
        <f aca="false">'Input-Detail'!BJ23</f>
        <v>0.915</v>
      </c>
      <c r="M50" s="217" t="n">
        <f aca="false">1-L50</f>
        <v>0.085</v>
      </c>
      <c r="N50" s="218" t="n">
        <f aca="false">3600/(Trans_Time_Cash*L50+Trans_Time_Ticket*M50)</f>
        <v>530.386740331492</v>
      </c>
      <c r="O50" s="218" t="n">
        <f aca="false">3600/Headway_ETC</f>
        <v>1500</v>
      </c>
      <c r="P50" s="4"/>
      <c r="Q50" s="4"/>
      <c r="R50" s="4"/>
      <c r="S50" s="4"/>
      <c r="T50" s="4"/>
      <c r="U50" s="4"/>
      <c r="V50" s="3" t="s">
        <v>92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3" t="s">
        <v>42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3" t="s">
        <v>3</v>
      </c>
      <c r="CK50" s="4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customFormat="false" ht="12.75" hidden="false" customHeight="false" outlineLevel="0" collapsed="false">
      <c r="A51" s="4"/>
      <c r="B51" s="4"/>
      <c r="C51" s="4"/>
      <c r="D51" s="4"/>
      <c r="E51" s="4"/>
      <c r="F51" s="4"/>
      <c r="G51" s="4"/>
      <c r="H51" s="215" t="n">
        <v>11</v>
      </c>
      <c r="I51" s="216" t="n">
        <f aca="false">'Input-Detail'!BH24</f>
        <v>0.83</v>
      </c>
      <c r="J51" s="217" t="n">
        <f aca="false">1-I51</f>
        <v>0.17</v>
      </c>
      <c r="K51" s="218" t="n">
        <f aca="false">3600/(Trans_Time_Cash*I51+Trans_Time_Ticket*J51)</f>
        <v>547.528517110266</v>
      </c>
      <c r="L51" s="216" t="n">
        <f aca="false">'Input-Detail'!BJ24</f>
        <v>0.9235</v>
      </c>
      <c r="M51" s="217" t="n">
        <f aca="false">1-L51</f>
        <v>0.0765</v>
      </c>
      <c r="N51" s="218" t="n">
        <f aca="false">3600/(Trans_Time_Cash*L51+Trans_Time_Ticket*M51)</f>
        <v>528.731411786304</v>
      </c>
      <c r="O51" s="218" t="n">
        <f aca="false">3600/Headway_ETC</f>
        <v>1500</v>
      </c>
      <c r="P51" s="4"/>
      <c r="Q51" s="4"/>
      <c r="R51" s="4"/>
      <c r="S51" s="4"/>
      <c r="T51" s="4"/>
      <c r="U51" s="4"/>
      <c r="X51" s="100"/>
      <c r="CF51" s="4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customFormat="false" ht="18" hidden="false" customHeight="true" outlineLevel="0" collapsed="false">
      <c r="A52" s="4"/>
      <c r="B52" s="4"/>
      <c r="C52" s="4"/>
      <c r="D52" s="4"/>
      <c r="E52" s="4"/>
      <c r="F52" s="4"/>
      <c r="G52" s="4"/>
      <c r="H52" s="215" t="n">
        <v>12</v>
      </c>
      <c r="I52" s="216" t="n">
        <f aca="false">'Input-Detail'!BH25</f>
        <v>0.83</v>
      </c>
      <c r="J52" s="217" t="n">
        <f aca="false">1-I52</f>
        <v>0.17</v>
      </c>
      <c r="K52" s="218" t="n">
        <f aca="false">3600/(Trans_Time_Cash*I52+Trans_Time_Ticket*J52)</f>
        <v>547.528517110266</v>
      </c>
      <c r="L52" s="216" t="n">
        <f aca="false">'Input-Detail'!BJ25</f>
        <v>0.932</v>
      </c>
      <c r="M52" s="217" t="n">
        <f aca="false">1-L52</f>
        <v>0.0680000000000001</v>
      </c>
      <c r="N52" s="218" t="n">
        <f aca="false">3600/(Trans_Time_Cash*L52+Trans_Time_Ticket*M52)</f>
        <v>527.086383601757</v>
      </c>
      <c r="O52" s="218" t="n">
        <f aca="false">3600/Headway_ETC</f>
        <v>1500</v>
      </c>
      <c r="P52" s="4"/>
      <c r="Q52" s="4"/>
      <c r="R52" s="4"/>
      <c r="S52" s="4"/>
      <c r="T52" s="4"/>
      <c r="U52" s="4"/>
      <c r="V52" s="14" t="s">
        <v>4</v>
      </c>
      <c r="W52" s="14" t="s">
        <v>43</v>
      </c>
      <c r="X52" s="14" t="s">
        <v>10</v>
      </c>
      <c r="Y52" s="14" t="s">
        <v>48</v>
      </c>
      <c r="Z52" s="14" t="s">
        <v>49</v>
      </c>
      <c r="AA52" s="14" t="s">
        <v>11</v>
      </c>
      <c r="AB52" s="107" t="s">
        <v>50</v>
      </c>
      <c r="AC52" s="14" t="s">
        <v>12</v>
      </c>
      <c r="AD52" s="222" t="s">
        <v>14</v>
      </c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106" t="s">
        <v>51</v>
      </c>
      <c r="BA52" s="107" t="s">
        <v>52</v>
      </c>
      <c r="BB52" s="106" t="s">
        <v>53</v>
      </c>
      <c r="BC52" s="107" t="s">
        <v>52</v>
      </c>
      <c r="BF52" s="14" t="s">
        <v>4</v>
      </c>
      <c r="BG52" s="108" t="s">
        <v>10</v>
      </c>
      <c r="BH52" s="109" t="s">
        <v>12</v>
      </c>
      <c r="BI52" s="107" t="s">
        <v>93</v>
      </c>
      <c r="BJ52" s="111" t="s">
        <v>14</v>
      </c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4" t="s">
        <v>55</v>
      </c>
      <c r="CJ52" s="14" t="s">
        <v>4</v>
      </c>
      <c r="CK52" s="108" t="s">
        <v>10</v>
      </c>
      <c r="CL52" s="14" t="s">
        <v>12</v>
      </c>
      <c r="CM52" s="14" t="s">
        <v>56</v>
      </c>
      <c r="CN52" s="111" t="s">
        <v>14</v>
      </c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  <c r="DB52" s="111"/>
      <c r="DC52" s="111"/>
      <c r="DD52" s="111"/>
      <c r="DE52" s="111"/>
      <c r="DF52" s="111"/>
      <c r="DG52" s="111"/>
      <c r="DH52" s="111"/>
      <c r="DI52" s="111"/>
      <c r="DJ52" s="14" t="s">
        <v>57</v>
      </c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customFormat="false" ht="34.5" hidden="false" customHeight="true" outlineLevel="0" collapsed="false">
      <c r="A53" s="4"/>
      <c r="B53" s="4"/>
      <c r="C53" s="4"/>
      <c r="D53" s="4"/>
      <c r="E53" s="4"/>
      <c r="F53" s="4"/>
      <c r="G53" s="4"/>
      <c r="H53" s="215" t="n">
        <v>13</v>
      </c>
      <c r="I53" s="216" t="n">
        <f aca="false">'Input-Detail'!BH26</f>
        <v>0.83</v>
      </c>
      <c r="J53" s="217" t="n">
        <f aca="false">1-I53</f>
        <v>0.17</v>
      </c>
      <c r="K53" s="218" t="n">
        <f aca="false">3600/(Trans_Time_Cash*I53+Trans_Time_Ticket*J53)</f>
        <v>547.528517110266</v>
      </c>
      <c r="L53" s="216" t="n">
        <f aca="false">'Input-Detail'!BJ26</f>
        <v>0.9405</v>
      </c>
      <c r="M53" s="217" t="n">
        <f aca="false">1-L53</f>
        <v>0.0595</v>
      </c>
      <c r="N53" s="218" t="n">
        <f aca="false">3600/(Trans_Time_Cash*L53+Trans_Time_Ticket*M53)</f>
        <v>525.451559934319</v>
      </c>
      <c r="O53" s="218" t="n">
        <f aca="false">3600/Headway_ETC</f>
        <v>1500</v>
      </c>
      <c r="P53" s="4"/>
      <c r="Q53" s="4"/>
      <c r="R53" s="4"/>
      <c r="S53" s="4"/>
      <c r="T53" s="4"/>
      <c r="U53" s="4"/>
      <c r="V53" s="14"/>
      <c r="W53" s="14"/>
      <c r="X53" s="14"/>
      <c r="Y53" s="14"/>
      <c r="Z53" s="14"/>
      <c r="AA53" s="14"/>
      <c r="AB53" s="107"/>
      <c r="AC53" s="14"/>
      <c r="AD53" s="223" t="s">
        <v>61</v>
      </c>
      <c r="AE53" s="122" t="n">
        <v>1</v>
      </c>
      <c r="AF53" s="122" t="n">
        <v>2</v>
      </c>
      <c r="AG53" s="122" t="n">
        <v>3</v>
      </c>
      <c r="AH53" s="122" t="n">
        <v>4</v>
      </c>
      <c r="AI53" s="122" t="n">
        <v>5</v>
      </c>
      <c r="AJ53" s="122" t="n">
        <v>6</v>
      </c>
      <c r="AK53" s="122" t="n">
        <v>7</v>
      </c>
      <c r="AL53" s="122" t="n">
        <v>8</v>
      </c>
      <c r="AM53" s="122" t="n">
        <v>9</v>
      </c>
      <c r="AN53" s="122" t="n">
        <v>10</v>
      </c>
      <c r="AO53" s="122" t="n">
        <v>11</v>
      </c>
      <c r="AP53" s="122" t="n">
        <v>12</v>
      </c>
      <c r="AQ53" s="122" t="n">
        <v>13</v>
      </c>
      <c r="AR53" s="122" t="n">
        <v>14</v>
      </c>
      <c r="AS53" s="122" t="n">
        <v>15</v>
      </c>
      <c r="AT53" s="122" t="n">
        <v>16</v>
      </c>
      <c r="AU53" s="122" t="n">
        <v>17</v>
      </c>
      <c r="AV53" s="122" t="n">
        <v>18</v>
      </c>
      <c r="AW53" s="122" t="n">
        <v>19</v>
      </c>
      <c r="AX53" s="122" t="n">
        <v>20</v>
      </c>
      <c r="AY53" s="123" t="n">
        <v>21</v>
      </c>
      <c r="AZ53" s="106"/>
      <c r="BA53" s="107"/>
      <c r="BB53" s="106"/>
      <c r="BC53" s="107"/>
      <c r="BF53" s="14"/>
      <c r="BG53" s="108"/>
      <c r="BH53" s="109"/>
      <c r="BI53" s="107"/>
      <c r="BJ53" s="117" t="s">
        <v>62</v>
      </c>
      <c r="BK53" s="224" t="s">
        <v>61</v>
      </c>
      <c r="BL53" s="117" t="s">
        <v>63</v>
      </c>
      <c r="BM53" s="122" t="n">
        <v>1</v>
      </c>
      <c r="BN53" s="122" t="n">
        <v>2</v>
      </c>
      <c r="BO53" s="122" t="n">
        <v>3</v>
      </c>
      <c r="BP53" s="122" t="n">
        <v>4</v>
      </c>
      <c r="BQ53" s="122" t="n">
        <v>5</v>
      </c>
      <c r="BR53" s="122" t="n">
        <v>6</v>
      </c>
      <c r="BS53" s="122" t="n">
        <v>7</v>
      </c>
      <c r="BT53" s="122" t="n">
        <v>8</v>
      </c>
      <c r="BU53" s="122" t="n">
        <v>9</v>
      </c>
      <c r="BV53" s="122" t="n">
        <v>10</v>
      </c>
      <c r="BW53" s="122" t="n">
        <v>11</v>
      </c>
      <c r="BX53" s="122" t="n">
        <v>12</v>
      </c>
      <c r="BY53" s="122" t="n">
        <v>13</v>
      </c>
      <c r="BZ53" s="122" t="n">
        <v>14</v>
      </c>
      <c r="CA53" s="122" t="n">
        <v>15</v>
      </c>
      <c r="CB53" s="122" t="n">
        <v>16</v>
      </c>
      <c r="CC53" s="122" t="n">
        <v>17</v>
      </c>
      <c r="CD53" s="122" t="n">
        <v>18</v>
      </c>
      <c r="CE53" s="122" t="n">
        <v>19</v>
      </c>
      <c r="CF53" s="122" t="n">
        <v>20</v>
      </c>
      <c r="CG53" s="123" t="n">
        <v>21</v>
      </c>
      <c r="CH53" s="14"/>
      <c r="CJ53" s="14"/>
      <c r="CK53" s="108"/>
      <c r="CL53" s="14"/>
      <c r="CM53" s="14"/>
      <c r="CN53" s="121" t="s">
        <v>63</v>
      </c>
      <c r="CO53" s="122" t="n">
        <v>1</v>
      </c>
      <c r="CP53" s="122" t="n">
        <v>2</v>
      </c>
      <c r="CQ53" s="122" t="n">
        <v>3</v>
      </c>
      <c r="CR53" s="122" t="n">
        <v>4</v>
      </c>
      <c r="CS53" s="122" t="n">
        <v>5</v>
      </c>
      <c r="CT53" s="122" t="n">
        <v>6</v>
      </c>
      <c r="CU53" s="122" t="n">
        <v>7</v>
      </c>
      <c r="CV53" s="122" t="n">
        <v>8</v>
      </c>
      <c r="CW53" s="122" t="n">
        <v>9</v>
      </c>
      <c r="CX53" s="122" t="n">
        <v>10</v>
      </c>
      <c r="CY53" s="122" t="n">
        <v>11</v>
      </c>
      <c r="CZ53" s="122" t="n">
        <v>12</v>
      </c>
      <c r="DA53" s="122" t="n">
        <v>13</v>
      </c>
      <c r="DB53" s="122" t="n">
        <v>14</v>
      </c>
      <c r="DC53" s="122" t="n">
        <v>15</v>
      </c>
      <c r="DD53" s="122" t="n">
        <v>16</v>
      </c>
      <c r="DE53" s="122" t="n">
        <v>17</v>
      </c>
      <c r="DF53" s="122" t="n">
        <v>18</v>
      </c>
      <c r="DG53" s="122" t="n">
        <v>19</v>
      </c>
      <c r="DH53" s="122" t="n">
        <v>20</v>
      </c>
      <c r="DI53" s="123" t="n">
        <v>21</v>
      </c>
      <c r="DJ53" s="1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customFormat="false" ht="13.5" hidden="false" customHeight="false" outlineLevel="0" collapsed="false">
      <c r="A54" s="4"/>
      <c r="B54" s="4"/>
      <c r="C54" s="4"/>
      <c r="D54" s="4"/>
      <c r="E54" s="4"/>
      <c r="F54" s="4"/>
      <c r="G54" s="4"/>
      <c r="H54" s="215" t="n">
        <v>14</v>
      </c>
      <c r="I54" s="216" t="n">
        <f aca="false">'Input-Detail'!BH27</f>
        <v>0.83</v>
      </c>
      <c r="J54" s="217" t="n">
        <f aca="false">1-I54</f>
        <v>0.17</v>
      </c>
      <c r="K54" s="218" t="n">
        <f aca="false">3600/(Trans_Time_Cash*I54+Trans_Time_Ticket*J54)</f>
        <v>547.528517110266</v>
      </c>
      <c r="L54" s="216" t="n">
        <f aca="false">'Input-Detail'!BJ27</f>
        <v>0.949</v>
      </c>
      <c r="M54" s="217" t="n">
        <f aca="false">1-L54</f>
        <v>0.051</v>
      </c>
      <c r="N54" s="218" t="n">
        <f aca="false">3600/(Trans_Time_Cash*L54+Trans_Time_Ticket*M54)</f>
        <v>523.826846125864</v>
      </c>
      <c r="O54" s="218" t="n">
        <f aca="false">3600/Headway_ETC</f>
        <v>1500</v>
      </c>
      <c r="P54" s="4"/>
      <c r="Q54" s="4"/>
      <c r="R54" s="4"/>
      <c r="S54" s="4"/>
      <c r="T54" s="4"/>
      <c r="U54" s="4"/>
      <c r="V54" s="50" t="s">
        <v>64</v>
      </c>
      <c r="W54" s="124" t="n">
        <f aca="false">W7</f>
        <v>19016173</v>
      </c>
      <c r="X54" s="131" t="n">
        <f aca="false">X7</f>
        <v>0</v>
      </c>
      <c r="Y54" s="124" t="n">
        <f aca="false">'Input-Detail'!M18</f>
        <v>8200</v>
      </c>
      <c r="Z54" s="124" t="n">
        <f aca="false">'Input-Detail'!N18</f>
        <v>2319.04548780488</v>
      </c>
      <c r="AA54" s="124" t="n">
        <f aca="false">'Input-Detail'!O18</f>
        <v>2</v>
      </c>
      <c r="AB54" s="225" t="n">
        <f aca="false">'Input-Detail'!P18</f>
        <v>0.3</v>
      </c>
      <c r="AC54" s="128" t="n">
        <f aca="false">Y54*AB54</f>
        <v>2460</v>
      </c>
      <c r="AD54" s="135" t="n">
        <f aca="false">Peak_Time_Mor*$BH54*(CH54+BK54)/3600</f>
        <v>9.43392928235184</v>
      </c>
      <c r="AE54" s="13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6"/>
      <c r="AU54" s="226"/>
      <c r="AV54" s="226"/>
      <c r="AW54" s="226"/>
      <c r="AX54" s="226"/>
      <c r="AY54" s="227"/>
      <c r="AZ54" s="138"/>
      <c r="BA54" s="139"/>
      <c r="BB54" s="140"/>
      <c r="BC54" s="140"/>
      <c r="BF54" s="50" t="s">
        <v>64</v>
      </c>
      <c r="BG54" s="131" t="n">
        <f aca="false">$X54</f>
        <v>0</v>
      </c>
      <c r="BH54" s="57" t="n">
        <f aca="false">$AC54</f>
        <v>2460</v>
      </c>
      <c r="BI54" s="149" t="n">
        <f aca="false">BH54*(1-BG54)</f>
        <v>2460</v>
      </c>
      <c r="BJ54" s="143" t="n">
        <f aca="false">Peak_Arrival_Manual_Mor/K40</f>
        <v>4.49291666666667</v>
      </c>
      <c r="BK54" s="228" t="n">
        <f aca="false">900*Peak_Time_Mor*($BJ54/Total_Lanes-1+SQRT(($BJ54/Total_Lanes-1)^2+8*($BJ54/Total_Lanes)/(Peak_Time_Mor*$K40*Total_Lanes)))</f>
        <v>0.327875084647689</v>
      </c>
      <c r="BL54" s="143" t="n">
        <f aca="false">Peak_Arrival_Manual_Mor/N40</f>
        <v>4.49291666666667</v>
      </c>
      <c r="BM54" s="229" t="n">
        <f aca="false">IF(BM$6&lt;Total_Lanes,900*Peak_Time_Mor*($BL54/(Total_Lanes-BM$6)-1+SQRT(($BL54/(Total_Lanes-BM$6)-1)^2+8*($BL54/(Total_Lanes-BM$6))/(Peak_Time_Mor*$N40*(Total_Lanes-BM$6)))),"-")</f>
        <v>0.412630119867385</v>
      </c>
      <c r="BN54" s="165" t="n">
        <f aca="false">IF(BN$6&lt;Total_Lanes,900*Peak_Time_Mor*($BL54/(Total_Lanes-BN$6)-1+SQRT(($BL54/(Total_Lanes-BN$6)-1)^2+8*($BL54/(Total_Lanes-BN$6))/(Peak_Time_Mor*$N40*(Total_Lanes-BN$6)))),"-")</f>
        <v>0.536271865772009</v>
      </c>
      <c r="BO54" s="165" t="n">
        <f aca="false">IF(BO$6&lt;Total_Lanes,900*Peak_Time_Mor*($BL54/(Total_Lanes-BO$6)-1+SQRT(($BL54/(Total_Lanes-BO$6)-1)^2+8*($BL54/(Total_Lanes-BO$6))/(Peak_Time_Mor*$N40*(Total_Lanes-BO$6)))),"-")</f>
        <v>0.727965328135594</v>
      </c>
      <c r="BP54" s="165" t="n">
        <f aca="false">IF(BP$6&lt;Total_Lanes,900*Peak_Time_Mor*($BL54/(Total_Lanes-BP$6)-1+SQRT(($BL54/(Total_Lanes-BP$6)-1)^2+8*($BL54/(Total_Lanes-BP$6))/(Peak_Time_Mor*$N40*(Total_Lanes-BP$6)))),"-")</f>
        <v>1.05220071891619</v>
      </c>
      <c r="BQ54" s="165" t="n">
        <f aca="false">IF(BQ$6&lt;Total_Lanes,900*Peak_Time_Mor*($BL54/(Total_Lanes-BQ$6)-1+SQRT(($BL54/(Total_Lanes-BQ$6)-1)^2+8*($BL54/(Total_Lanes-BQ$6))/(Peak_Time_Mor*$N40*(Total_Lanes-BQ$6)))),"-")</f>
        <v>1.68109182843778</v>
      </c>
      <c r="BR54" s="165" t="n">
        <f aca="false">IF(BR$6&lt;Total_Lanes,900*Peak_Time_Mor*($BL54/(Total_Lanes-BR$6)-1+SQRT(($BL54/(Total_Lanes-BR$6)-1)^2+8*($BL54/(Total_Lanes-BR$6))/(Peak_Time_Mor*$N40*(Total_Lanes-BR$6)))),"-")</f>
        <v>3.25517999615812</v>
      </c>
      <c r="BS54" s="165" t="n">
        <f aca="false">IF(BS$6&lt;Total_Lanes,900*Peak_Time_Mor*($BL54/(Total_Lanes-BS$6)-1+SQRT(($BL54/(Total_Lanes-BS$6)-1)^2+8*($BL54/(Total_Lanes-BS$6))/(Peak_Time_Mor*$N40*(Total_Lanes-BS$6)))),"-")</f>
        <v>11.3014792308792</v>
      </c>
      <c r="BT54" s="165" t="n">
        <f aca="false">IF(BT$6&lt;Total_Lanes,900*Peak_Time_Mor*($BL54/(Total_Lanes-BT$6)-1+SQRT(($BL54/(Total_Lanes-BT$6)-1)^2+8*($BL54/(Total_Lanes-BT$6))/(Peak_Time_Mor*$N40*(Total_Lanes-BT$6)))),"-")</f>
        <v>458.133243376454</v>
      </c>
      <c r="BU54" s="165" t="n">
        <f aca="false">IF(BU$6&lt;Total_Lanes,900*Peak_Time_Mor*($BL54/(Total_Lanes-BU$6)-1+SQRT(($BL54/(Total_Lanes-BU$6)-1)^2+8*($BL54/(Total_Lanes-BU$6))/(Peak_Time_Mor*$N40*(Total_Lanes-BU$6)))),"-")</f>
        <v>1798.07169060338</v>
      </c>
      <c r="BV54" s="165" t="n">
        <f aca="false">IF(BV$6&lt;Total_Lanes,900*Peak_Time_Mor*($BL54/(Total_Lanes-BV$6)-1+SQRT(($BL54/(Total_Lanes-BV$6)-1)^2+8*($BL54/(Total_Lanes-BV$6))/(Peak_Time_Mor*$N40*(Total_Lanes-BV$6)))),"-")</f>
        <v>4493.16717008706</v>
      </c>
      <c r="BW54" s="230" t="n">
        <f aca="false">IF(BW$6&lt;Total_Lanes,900*Peak_Time_Mor*($BL54/(Total_Lanes-BW$6)-1+SQRT(($BL54/(Total_Lanes-BW$6)-1)^2+8*($BL54/(Total_Lanes-BW$6))/(Peak_Time_Mor*$N40*(Total_Lanes-BW$6)))),"-")</f>
        <v>12582.9517003667</v>
      </c>
      <c r="BX54" s="165" t="str">
        <f aca="false">IF(BX$6&lt;Total_Lanes,900*Peak_Time_Mor*($BL54/(Total_Lanes-BX$6)-1+SQRT(($BL54/(Total_Lanes-BX$6)-1)^2+8*($BL54/(Total_Lanes-BX$6))/(Peak_Time_Mor*$N40*(Total_Lanes-BX$6)))),"-")</f>
        <v>-</v>
      </c>
      <c r="BY54" s="165" t="str">
        <f aca="false">IF(BY$6&lt;Total_Lanes,900*Peak_Time_Mor*($BL54/(Total_Lanes-BY$6)-1+SQRT(($BL54/(Total_Lanes-BY$6)-1)^2+8*($BL54/(Total_Lanes-BY$6))/(Peak_Time_Mor*$N40*(Total_Lanes-BY$6)))),"-")</f>
        <v>-</v>
      </c>
      <c r="BZ54" s="165" t="str">
        <f aca="false">IF(BZ$6&lt;Total_Lanes,900*Peak_Time_Mor*($BL54/(Total_Lanes-BZ$6)-1+SQRT(($BL54/(Total_Lanes-BZ$6)-1)^2+8*($BL54/(Total_Lanes-BZ$6))/(Peak_Time_Mor*$N40*(Total_Lanes-BZ$6)))),"-")</f>
        <v>-</v>
      </c>
      <c r="CA54" s="165" t="str">
        <f aca="false">IF(CA$6&lt;Total_Lanes,900*Peak_Time_Mor*($BL54/(Total_Lanes-CA$6)-1+SQRT(($BL54/(Total_Lanes-CA$6)-1)^2+8*($BL54/(Total_Lanes-CA$6))/(Peak_Time_Mor*$N40*(Total_Lanes-CA$6)))),"-")</f>
        <v>-</v>
      </c>
      <c r="CB54" s="165" t="str">
        <f aca="false">IF(CB$6&lt;Total_Lanes,900*Peak_Time_Mor*($BL54/(Total_Lanes-CB$6)-1+SQRT(($BL54/(Total_Lanes-CB$6)-1)^2+8*($BL54/(Total_Lanes-CB$6))/(Peak_Time_Mor*$N40*(Total_Lanes-CB$6)))),"-")</f>
        <v>-</v>
      </c>
      <c r="CC54" s="165" t="str">
        <f aca="false">IF(CC$6&lt;Total_Lanes,900*Peak_Time_Mor*($BL54/(Total_Lanes-CC$6)-1+SQRT(($BL54/(Total_Lanes-CC$6)-1)^2+8*($BL54/(Total_Lanes-CC$6))/(Peak_Time_Mor*$N40*(Total_Lanes-CC$6)))),"-")</f>
        <v>-</v>
      </c>
      <c r="CD54" s="165" t="str">
        <f aca="false">IF(CD$6&lt;Total_Lanes,900*Peak_Time_Mor*($BL54/(Total_Lanes-CD$6)-1+SQRT(($BL54/(Total_Lanes-CD$6)-1)^2+8*($BL54/(Total_Lanes-CD$6))/(Peak_Time_Mor*$N40*(Total_Lanes-CD$6)))),"-")</f>
        <v>-</v>
      </c>
      <c r="CE54" s="165" t="str">
        <f aca="false">IF(CE$6&lt;Total_Lanes,900*Peak_Time_Mor*($BL54/(Total_Lanes-CE$6)-1+SQRT(($BL54/(Total_Lanes-CE$6)-1)^2+8*($BL54/(Total_Lanes-CE$6))/(Peak_Time_Mor*$N40*(Total_Lanes-CE$6)))),"-")</f>
        <v>-</v>
      </c>
      <c r="CF54" s="165" t="str">
        <f aca="false">IF(CF$6&lt;Total_Lanes,900*Peak_Time_Mor*($BL54/(Total_Lanes-CF$6)-1+SQRT(($BL54/(Total_Lanes-CF$6)-1)^2+8*($BL54/(Total_Lanes-CF$6))/(Peak_Time_Mor*$N40*(Total_Lanes-CF$6)))),"-")</f>
        <v>-</v>
      </c>
      <c r="CG54" s="166" t="str">
        <f aca="false">IF(CG$6&lt;Total_Lanes,900*Peak_Time_Mor*($BL54/(Total_Lanes-CG$6)-1+SQRT(($BL54/(Total_Lanes-CG$6)-1)^2+8*($BL54/(Total_Lanes-CG$6))/(Peak_Time_Mor*$N40*(Total_Lanes-CG$6)))),"-")</f>
        <v>-</v>
      </c>
      <c r="CH54" s="231" t="n">
        <f aca="false">3600/N40</f>
        <v>6.575</v>
      </c>
      <c r="CJ54" s="50" t="s">
        <v>64</v>
      </c>
      <c r="CK54" s="131" t="n">
        <f aca="false">$X54</f>
        <v>0</v>
      </c>
      <c r="CL54" s="150" t="n">
        <f aca="false">$AC54</f>
        <v>2460</v>
      </c>
      <c r="CM54" s="232" t="n">
        <f aca="false">CL54*CK54</f>
        <v>0</v>
      </c>
      <c r="CN54" s="150"/>
      <c r="CO54" s="164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3"/>
      <c r="DJ54" s="148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customFormat="false" ht="12.75" hidden="false" customHeight="false" outlineLevel="0" collapsed="false">
      <c r="A55" s="4"/>
      <c r="B55" s="4"/>
      <c r="C55" s="4"/>
      <c r="D55" s="4"/>
      <c r="E55" s="4"/>
      <c r="F55" s="4"/>
      <c r="G55" s="4"/>
      <c r="H55" s="215" t="n">
        <v>15</v>
      </c>
      <c r="I55" s="216" t="n">
        <f aca="false">'Input-Detail'!BH28</f>
        <v>0.83</v>
      </c>
      <c r="J55" s="217" t="n">
        <f aca="false">1-I55</f>
        <v>0.17</v>
      </c>
      <c r="K55" s="218" t="n">
        <f aca="false">3600/(Trans_Time_Cash*I55+Trans_Time_Ticket*J55)</f>
        <v>547.528517110266</v>
      </c>
      <c r="L55" s="216" t="n">
        <f aca="false">'Input-Detail'!BJ28</f>
        <v>0.9575</v>
      </c>
      <c r="M55" s="217" t="n">
        <f aca="false">1-L55</f>
        <v>0.0425</v>
      </c>
      <c r="N55" s="218" t="n">
        <f aca="false">3600/(Trans_Time_Cash*L55+Trans_Time_Ticket*M55)</f>
        <v>522.212148685403</v>
      </c>
      <c r="O55" s="218" t="n">
        <f aca="false">3600/Headway_ETC</f>
        <v>1500</v>
      </c>
      <c r="P55" s="4"/>
      <c r="Q55" s="4"/>
      <c r="R55" s="4"/>
      <c r="S55" s="4"/>
      <c r="T55" s="4"/>
      <c r="U55" s="4"/>
      <c r="V55" s="50" t="n">
        <v>1</v>
      </c>
      <c r="W55" s="124" t="n">
        <f aca="false">W8</f>
        <v>19565364.35</v>
      </c>
      <c r="X55" s="131" t="n">
        <f aca="false">X8</f>
        <v>0.0699842202922738</v>
      </c>
      <c r="Y55" s="124" t="n">
        <f aca="false">Y8</f>
        <v>8436.81784289615</v>
      </c>
      <c r="Z55" s="133" t="n">
        <f aca="false">W55/Y55</f>
        <v>2319.04548780488</v>
      </c>
      <c r="AA55" s="233" t="n">
        <f aca="false">AA8</f>
        <v>2</v>
      </c>
      <c r="AB55" s="157" t="n">
        <f aca="false">1-AB8</f>
        <v>0.3</v>
      </c>
      <c r="AC55" s="128" t="n">
        <f aca="false">Y55*AB55</f>
        <v>2531.04535286885</v>
      </c>
      <c r="AD55" s="150" t="n">
        <f aca="false">Peak_Time_Mor*$BH55*(CH55+BK55)/3600</f>
        <v>9.70528734148185</v>
      </c>
      <c r="AE55" s="136" t="n">
        <f aca="false">IF(AE$53&lt;Total_Lanes,($BI55*($CH55+BM55)+$CM55*CO55)*Peak_Time_Mor/3600,"-")</f>
        <v>9.16343938312437</v>
      </c>
      <c r="AF55" s="136" t="n">
        <f aca="false">IF(AF$53&lt;Total_Lanes,($BI55*($CH55+BN55)+$CM55*CP55)*Peak_Time_Mor/3600,"-")</f>
        <v>9.2875722634601</v>
      </c>
      <c r="AG55" s="136" t="n">
        <f aca="false">IF(AG$53&lt;Total_Lanes,($BI55*($CH55+BO55)+$CM55*CQ55)*Peak_Time_Mor/3600,"-")</f>
        <v>9.51101305619872</v>
      </c>
      <c r="AH55" s="136" t="n">
        <f aca="false">IF(AH$53&lt;Total_Lanes,($BI55*($CH55+BP55)+$CM55*CR55)*Peak_Time_Mor/3600,"-")</f>
        <v>9.88854190584065</v>
      </c>
      <c r="AI55" s="136" t="n">
        <f aca="false">IF(AI$53&lt;Total_Lanes,($BI55*($CH55+BQ55)+$CM55*CS55)*Peak_Time_Mor/3600,"-")</f>
        <v>10.6031637036126</v>
      </c>
      <c r="AJ55" s="136" t="n">
        <f aca="false">IF(AJ$53&lt;Total_Lanes,($BI55*($CH55+BR55)+$CM55*CT55)*Peak_Time_Mor/3600,"-")</f>
        <v>12.2925061203919</v>
      </c>
      <c r="AK55" s="136" t="n">
        <f aca="false">IF(AK$53&lt;Total_Lanes,($BI55*($CH55+BS55)+$CM55*CU55)*Peak_Time_Mor/3600,"-")</f>
        <v>19.2830716762181</v>
      </c>
      <c r="AL55" s="136" t="n">
        <f aca="false">IF(AL$53&lt;Total_Lanes,($BI55*($CH55+BT55)+$CM55*CV55)*Peak_Time_Mor/3600,"-")</f>
        <v>404.714909923171</v>
      </c>
      <c r="AM55" s="136" t="n">
        <f aca="false">IF(AM$53&lt;Total_Lanes,($BI55*($CH55+BU55)+$CM55*CW55)*Peak_Time_Mor/3600,"-")</f>
        <v>2078.57021160389</v>
      </c>
      <c r="AN55" s="136" t="n">
        <f aca="false">IF(AN$53&lt;Total_Lanes,($BI55*($CH55+BV55)+$CM55*CX55)*Peak_Time_Mor/3600,"-")</f>
        <v>5461.38170929617</v>
      </c>
      <c r="AO55" s="136" t="n">
        <f aca="false">IF(AO$53&lt;Total_Lanes,($BI55*($CH55+BW55)+$CM55*CY55)*Peak_Time_Mor/3600,"-")</f>
        <v>15617.1218709211</v>
      </c>
      <c r="AP55" s="136" t="str">
        <f aca="false">IF(AP$53&lt;Total_Lanes,($BI55*($CH55+BX55)+$CM55*CZ55)*Peak_Time_Mor/3600,"-")</f>
        <v>-</v>
      </c>
      <c r="AQ55" s="136" t="str">
        <f aca="false">IF(AQ$53&lt;Total_Lanes,($BI55*($CH55+BY55)+$CM55*DA55)*Peak_Time_Mor/3600,"-")</f>
        <v>-</v>
      </c>
      <c r="AR55" s="136" t="str">
        <f aca="false">IF(AR$53&lt;Total_Lanes,($BI55*($CH55+BZ55)+$CM55*DB55)*Peak_Time_Mor/3600,"-")</f>
        <v>-</v>
      </c>
      <c r="AS55" s="136" t="str">
        <f aca="false">IF(AS$53&lt;Total_Lanes,($BI55*($CH55+CA55)+$CM55*DC55)*Peak_Time_Mor/3600,"-")</f>
        <v>-</v>
      </c>
      <c r="AT55" s="136" t="str">
        <f aca="false">IF(AT$53&lt;Total_Lanes,($BI55*($CH55+CB55)+$CM55*DD55)*Peak_Time_Mor/3600,"-")</f>
        <v>-</v>
      </c>
      <c r="AU55" s="136" t="str">
        <f aca="false">IF(AU$53&lt;Total_Lanes,($BI55*($CH55+CC55)+$CM55*DE55)*Peak_Time_Mor/3600,"-")</f>
        <v>-</v>
      </c>
      <c r="AV55" s="136" t="str">
        <f aca="false">IF(AV$53&lt;Total_Lanes,($BI55*($CH55+CD55)+$CM55*DF55)*Peak_Time_Mor/3600,"-")</f>
        <v>-</v>
      </c>
      <c r="AW55" s="136" t="str">
        <f aca="false">IF(AW$53&lt;Total_Lanes,($BI55*($CH55+CE55)+$CM55*DG55)*Peak_Time_Mor/3600,"-")</f>
        <v>-</v>
      </c>
      <c r="AX55" s="136" t="str">
        <f aca="false">IF(AX$53&lt;Total_Lanes,($BI55*($CH55+CF55)+$CM55*DH55)*Peak_Time_Mor/3600,"-")</f>
        <v>-</v>
      </c>
      <c r="AY55" s="137" t="str">
        <f aca="false">IF(AY$53&lt;Total_Lanes,($BI55*($CH55+CG55)+$CM55*DI55)*Peak_Time_Mor/3600,"-")</f>
        <v>-</v>
      </c>
      <c r="AZ55" s="158" t="n">
        <f aca="false">SUMIF(AE55:AY55,BA55,$AE$53:$AY$53)</f>
        <v>1</v>
      </c>
      <c r="BA55" s="159" t="n">
        <f aca="false">MIN(AE55:AY55)</f>
        <v>9.16343938312437</v>
      </c>
      <c r="BB55" s="158" t="n">
        <f aca="false">Price!X8</f>
        <v>1</v>
      </c>
      <c r="BC55" s="159" t="n">
        <f aca="false">SUMIF($AE$53:$AY$53,$BB55,$AE55:$AY55)</f>
        <v>9.16343938312437</v>
      </c>
      <c r="BF55" s="50" t="n">
        <v>1</v>
      </c>
      <c r="BG55" s="131" t="n">
        <f aca="false">$X55</f>
        <v>0.0699842202922738</v>
      </c>
      <c r="BH55" s="57" t="n">
        <f aca="false">$AC55</f>
        <v>2531.04535286885</v>
      </c>
      <c r="BI55" s="135" t="n">
        <f aca="false">BH55*(1-BG55)</f>
        <v>2353.91211732394</v>
      </c>
      <c r="BJ55" s="143" t="n">
        <f aca="false">Peak_Arrival_Manual_Mor/K41</f>
        <v>4.29915893650136</v>
      </c>
      <c r="BK55" s="228" t="n">
        <f aca="false">900*Peak_Time_Mor*($BJ55/Total_Lanes-1+SQRT(($BJ55/Total_Lanes-1)^2+8*($BJ55/Total_Lanes)/(Peak_Time_Mor*$K41*Total_Lanes)))</f>
        <v>0.305845687406903</v>
      </c>
      <c r="BL55" s="143" t="n">
        <f aca="false">Peak_Arrival_Manual_Mor/N41</f>
        <v>4.31305355663834</v>
      </c>
      <c r="BM55" s="229" t="n">
        <f aca="false">IF(BM$6&lt;Total_Lanes,900*Peak_Time_Mor*($BL55/(Total_Lanes-BM$6)-1+SQRT(($BL55/(Total_Lanes-BM$6)-1)^2+8*($BL55/(Total_Lanes-BM$6))/(Peak_Time_Mor*$N41*(Total_Lanes-BM$6)))),"-")</f>
        <v>0.386709368215299</v>
      </c>
      <c r="BN55" s="165" t="n">
        <f aca="false">IF(BN$6&lt;Total_Lanes,900*Peak_Time_Mor*($BL55/(Total_Lanes-BN$6)-1+SQRT(($BL55/(Total_Lanes-BN$6)-1)^2+8*($BL55/(Total_Lanes-BN$6))/(Peak_Time_Mor*$N41*(Total_Lanes-BN$6)))),"-")</f>
        <v>0.500145927303519</v>
      </c>
      <c r="BO55" s="165" t="n">
        <f aca="false">IF(BO$6&lt;Total_Lanes,900*Peak_Time_Mor*($BL55/(Total_Lanes-BO$6)-1+SQRT(($BL55/(Total_Lanes-BO$6)-1)^2+8*($BL55/(Total_Lanes-BO$6))/(Peak_Time_Mor*$N41*(Total_Lanes-BO$6)))),"-")</f>
        <v>0.674207074078104</v>
      </c>
      <c r="BP55" s="165" t="n">
        <f aca="false">IF(BP$6&lt;Total_Lanes,900*Peak_Time_Mor*($BL55/(Total_Lanes-BP$6)-1+SQRT(($BL55/(Total_Lanes-BP$6)-1)^2+8*($BL55/(Total_Lanes-BP$6))/(Peak_Time_Mor*$N41*(Total_Lanes-BP$6)))),"-")</f>
        <v>0.963990779972279</v>
      </c>
      <c r="BQ55" s="165" t="n">
        <f aca="false">IF(BQ$6&lt;Total_Lanes,900*Peak_Time_Mor*($BL55/(Total_Lanes-BQ$6)-1+SQRT(($BL55/(Total_Lanes-BQ$6)-1)^2+8*($BL55/(Total_Lanes-BQ$6))/(Peak_Time_Mor*$N41*(Total_Lanes-BQ$6)))),"-")</f>
        <v>1.51095072498484</v>
      </c>
      <c r="BR55" s="165" t="n">
        <f aca="false">IF(BR$6&lt;Total_Lanes,900*Peak_Time_Mor*($BL55/(Total_Lanes-BR$6)-1+SQRT(($BL55/(Total_Lanes-BR$6)-1)^2+8*($BL55/(Total_Lanes-BR$6))/(Peak_Time_Mor*$N41*(Total_Lanes-BR$6)))),"-")</f>
        <v>2.80303401035521</v>
      </c>
      <c r="BS55" s="165" t="n">
        <f aca="false">IF(BS$6&lt;Total_Lanes,900*Peak_Time_Mor*($BL55/(Total_Lanes-BS$6)-1+SQRT(($BL55/(Total_Lanes-BS$6)-1)^2+8*($BL55/(Total_Lanes-BS$6))/(Peak_Time_Mor*$N41*(Total_Lanes-BS$6)))),"-")</f>
        <v>8.14877240540621</v>
      </c>
      <c r="BT55" s="165" t="n">
        <f aca="false">IF(BT$6&lt;Total_Lanes,900*Peak_Time_Mor*($BL55/(Total_Lanes-BT$6)-1+SQRT(($BL55/(Total_Lanes-BT$6)-1)^2+8*($BL55/(Total_Lanes-BT$6))/(Peak_Time_Mor*$N41*(Total_Lanes-BT$6)))),"-")</f>
        <v>302.882611315423</v>
      </c>
      <c r="BU55" s="165" t="n">
        <f aca="false">IF(BU$6&lt;Total_Lanes,900*Peak_Time_Mor*($BL55/(Total_Lanes-BU$6)-1+SQRT(($BL55/(Total_Lanes-BU$6)-1)^2+8*($BL55/(Total_Lanes-BU$6))/(Peak_Time_Mor*$N41*(Total_Lanes-BU$6)))),"-")</f>
        <v>1582.85380862175</v>
      </c>
      <c r="BV55" s="165" t="n">
        <f aca="false">IF(BV$6&lt;Total_Lanes,900*Peak_Time_Mor*($BL55/(Total_Lanes-BV$6)-1+SQRT(($BL55/(Total_Lanes-BV$6)-1)^2+8*($BL55/(Total_Lanes-BV$6))/(Peak_Time_Mor*$N41*(Total_Lanes-BV$6)))),"-")</f>
        <v>4169.63721953638</v>
      </c>
      <c r="BW55" s="230" t="n">
        <f aca="false">IF(BW$6&lt;Total_Lanes,900*Peak_Time_Mor*($BL55/(Total_Lanes-BW$6)-1+SQRT(($BL55/(Total_Lanes-BW$6)-1)^2+8*($BL55/(Total_Lanes-BW$6))/(Peak_Time_Mor*$N41*(Total_Lanes-BW$6)))),"-")</f>
        <v>11935.573868153</v>
      </c>
      <c r="BX55" s="165" t="str">
        <f aca="false">IF(BX$6&lt;Total_Lanes,900*Peak_Time_Mor*($BL55/(Total_Lanes-BX$6)-1+SQRT(($BL55/(Total_Lanes-BX$6)-1)^2+8*($BL55/(Total_Lanes-BX$6))/(Peak_Time_Mor*$N41*(Total_Lanes-BX$6)))),"-")</f>
        <v>-</v>
      </c>
      <c r="BY55" s="165" t="str">
        <f aca="false">IF(BY$6&lt;Total_Lanes,900*Peak_Time_Mor*($BL55/(Total_Lanes-BY$6)-1+SQRT(($BL55/(Total_Lanes-BY$6)-1)^2+8*($BL55/(Total_Lanes-BY$6))/(Peak_Time_Mor*$N41*(Total_Lanes-BY$6)))),"-")</f>
        <v>-</v>
      </c>
      <c r="BZ55" s="165" t="str">
        <f aca="false">IF(BZ$6&lt;Total_Lanes,900*Peak_Time_Mor*($BL55/(Total_Lanes-BZ$6)-1+SQRT(($BL55/(Total_Lanes-BZ$6)-1)^2+8*($BL55/(Total_Lanes-BZ$6))/(Peak_Time_Mor*$N41*(Total_Lanes-BZ$6)))),"-")</f>
        <v>-</v>
      </c>
      <c r="CA55" s="165" t="str">
        <f aca="false">IF(CA$6&lt;Total_Lanes,900*Peak_Time_Mor*($BL55/(Total_Lanes-CA$6)-1+SQRT(($BL55/(Total_Lanes-CA$6)-1)^2+8*($BL55/(Total_Lanes-CA$6))/(Peak_Time_Mor*$N41*(Total_Lanes-CA$6)))),"-")</f>
        <v>-</v>
      </c>
      <c r="CB55" s="165" t="str">
        <f aca="false">IF(CB$6&lt;Total_Lanes,900*Peak_Time_Mor*($BL55/(Total_Lanes-CB$6)-1+SQRT(($BL55/(Total_Lanes-CB$6)-1)^2+8*($BL55/(Total_Lanes-CB$6))/(Peak_Time_Mor*$N41*(Total_Lanes-CB$6)))),"-")</f>
        <v>-</v>
      </c>
      <c r="CC55" s="165" t="str">
        <f aca="false">IF(CC$6&lt;Total_Lanes,900*Peak_Time_Mor*($BL55/(Total_Lanes-CC$6)-1+SQRT(($BL55/(Total_Lanes-CC$6)-1)^2+8*($BL55/(Total_Lanes-CC$6))/(Peak_Time_Mor*$N41*(Total_Lanes-CC$6)))),"-")</f>
        <v>-</v>
      </c>
      <c r="CD55" s="165" t="str">
        <f aca="false">IF(CD$6&lt;Total_Lanes,900*Peak_Time_Mor*($BL55/(Total_Lanes-CD$6)-1+SQRT(($BL55/(Total_Lanes-CD$6)-1)^2+8*($BL55/(Total_Lanes-CD$6))/(Peak_Time_Mor*$N41*(Total_Lanes-CD$6)))),"-")</f>
        <v>-</v>
      </c>
      <c r="CE55" s="165" t="str">
        <f aca="false">IF(CE$6&lt;Total_Lanes,900*Peak_Time_Mor*($BL55/(Total_Lanes-CE$6)-1+SQRT(($BL55/(Total_Lanes-CE$6)-1)^2+8*($BL55/(Total_Lanes-CE$6))/(Peak_Time_Mor*$N41*(Total_Lanes-CE$6)))),"-")</f>
        <v>-</v>
      </c>
      <c r="CF55" s="165" t="str">
        <f aca="false">IF(CF$6&lt;Total_Lanes,900*Peak_Time_Mor*($BL55/(Total_Lanes-CF$6)-1+SQRT(($BL55/(Total_Lanes-CF$6)-1)^2+8*($BL55/(Total_Lanes-CF$6))/(Peak_Time_Mor*$N41*(Total_Lanes-CF$6)))),"-")</f>
        <v>-</v>
      </c>
      <c r="CG55" s="166" t="str">
        <f aca="false">IF(CG$6&lt;Total_Lanes,900*Peak_Time_Mor*($BL55/(Total_Lanes-CG$6)-1+SQRT(($BL55/(Total_Lanes-CG$6)-1)^2+8*($BL55/(Total_Lanes-CG$6))/(Peak_Time_Mor*$N41*(Total_Lanes-CG$6)))),"-")</f>
        <v>-</v>
      </c>
      <c r="CH55" s="234" t="n">
        <f aca="false">3600/N41</f>
        <v>6.59625</v>
      </c>
      <c r="CJ55" s="50" t="n">
        <v>1</v>
      </c>
      <c r="CK55" s="131" t="n">
        <f aca="false">$X55</f>
        <v>0.0699842202922738</v>
      </c>
      <c r="CL55" s="150" t="n">
        <f aca="false">$AC55</f>
        <v>2531.04535286885</v>
      </c>
      <c r="CM55" s="150" t="n">
        <f aca="false">CL55*CK55</f>
        <v>177.133235544909</v>
      </c>
      <c r="CN55" s="161" t="n">
        <f aca="false">CM55/O41</f>
        <v>0.118088823696606</v>
      </c>
      <c r="CO55" s="165" t="n">
        <f aca="false">IF(CO$53&lt;Total_Lanes,900*Peak_Time_Mor*($CN55/CO$53-1+SQRT(($CN55/CO$53-1)^2+8*($CN55/CO$53)/(Peak_Time_Mor*$O41*CO$53))),"-")</f>
        <v>0.321329974163698</v>
      </c>
      <c r="CP55" s="165" t="n">
        <f aca="false">IF(CP$53&lt;Total_Lanes,900*Peak_Time_Mor*($CN55/CP$53-1+SQRT(($CN55/CP$53-1)^2+8*($CN55/CP$53)/(Peak_Time_Mor*$O41*CP$53))),"-")</f>
        <v>0.0752976231658042</v>
      </c>
      <c r="CQ55" s="165" t="n">
        <f aca="false">IF(CQ$53&lt;Total_Lanes,900*Peak_Time_Mor*($CN55/CQ$53-1+SQRT(($CN55/CQ$53-1)^2+8*($CN55/CQ$53)/(Peak_Time_Mor*$O41*CQ$53))),"-")</f>
        <v>0.0327803869434762</v>
      </c>
      <c r="CR55" s="165" t="n">
        <f aca="false">IF(CR$53&lt;Total_Lanes,900*Peak_Time_Mor*($CN55/CR$53-1+SQRT(($CN55/CR$53-1)^2+8*($CN55/CR$53)/(Peak_Time_Mor*$O41*CR$53))),"-")</f>
        <v>0.018252072457825</v>
      </c>
      <c r="CS55" s="165" t="n">
        <f aca="false">IF(CS$53&lt;Total_Lanes,900*Peak_Time_Mor*($CN55/CS$53-1+SQRT(($CN55/CS$53-1)^2+8*($CN55/CS$53)/(Peak_Time_Mor*$O41*CS$53))),"-")</f>
        <v>0.0116107086125528</v>
      </c>
      <c r="CT55" s="165" t="n">
        <f aca="false">IF(CT$53&lt;Total_Lanes,900*Peak_Time_Mor*($CN55/CT$53-1+SQRT(($CN55/CT$53-1)^2+8*($CN55/CT$53)/(Peak_Time_Mor*$O41*CT$53))),"-")</f>
        <v>0.0080306248391171</v>
      </c>
      <c r="CU55" s="165" t="n">
        <f aca="false">IF(CU$53&lt;Total_Lanes,900*Peak_Time_Mor*($CN55/CU$53-1+SQRT(($CN55/CU$53-1)^2+8*($CN55/CU$53)/(Peak_Time_Mor*$O41*CU$53))),"-")</f>
        <v>0.0058831810463289</v>
      </c>
      <c r="CV55" s="165" t="n">
        <f aca="false">IF(CV$53&lt;Total_Lanes,900*Peak_Time_Mor*($CN55/CV$53-1+SQRT(($CN55/CV$53-1)^2+8*($CN55/CV$53)/(Peak_Time_Mor*$O41*CV$53))),"-")</f>
        <v>0.00449467158691874</v>
      </c>
      <c r="CW55" s="165" t="n">
        <f aca="false">IF(CW$53&lt;Total_Lanes,900*Peak_Time_Mor*($CN55/CW$53-1+SQRT(($CN55/CW$53-1)^2+8*($CN55/CW$53)/(Peak_Time_Mor*$O41*CW$53))),"-")</f>
        <v>0.00354544432332737</v>
      </c>
      <c r="CX55" s="165" t="n">
        <f aca="false">IF(CX$53&lt;Total_Lanes,900*Peak_Time_Mor*($CN55/CX$53-1+SQRT(($CN55/CX$53-1)^2+8*($CN55/CX$53)/(Peak_Time_Mor*$O41*CX$53))),"-")</f>
        <v>0.00286799732682752</v>
      </c>
      <c r="CY55" s="165" t="n">
        <f aca="false">IF(CY$53&lt;Total_Lanes,900*Peak_Time_Mor*($CN55/CY$53-1+SQRT(($CN55/CY$53-1)^2+8*($CN55/CY$53)/(Peak_Time_Mor*$O41*CY$53))),"-")</f>
        <v>0.00236767390533466</v>
      </c>
      <c r="CZ55" s="165" t="str">
        <f aca="false">IF(CZ$53&lt;Total_Lanes,900*Peak_Time_Mor*($CN55/CZ$53-1+SQRT(($CN55/CZ$53-1)^2+8*($CN55/CZ$53)/(Peak_Time_Mor*$O41*CZ$53))),"-")</f>
        <v>-</v>
      </c>
      <c r="DA55" s="165" t="str">
        <f aca="false">IF(DA$53&lt;Total_Lanes,900*Peak_Time_Mor*($CN55/DA$53-1+SQRT(($CN55/DA$53-1)^2+8*($CN55/DA$53)/(Peak_Time_Mor*$O41*DA$53))),"-")</f>
        <v>-</v>
      </c>
      <c r="DB55" s="165" t="str">
        <f aca="false">IF(DB$53&lt;Total_Lanes,900*Peak_Time_Mor*($CN55/DB$53-1+SQRT(($CN55/DB$53-1)^2+8*($CN55/DB$53)/(Peak_Time_Mor*$O41*DB$53))),"-")</f>
        <v>-</v>
      </c>
      <c r="DC55" s="165" t="str">
        <f aca="false">IF(DC$53&lt;Total_Lanes,900*Peak_Time_Mor*($CN55/DC$53-1+SQRT(($CN55/DC$53-1)^2+8*($CN55/DC$53)/(Peak_Time_Mor*$O41*DC$53))),"-")</f>
        <v>-</v>
      </c>
      <c r="DD55" s="165" t="str">
        <f aca="false">IF(DD$53&lt;Total_Lanes,900*Peak_Time_Mor*($CN55/DD$53-1+SQRT(($CN55/DD$53-1)^2+8*($CN55/DD$53)/(Peak_Time_Mor*$O41*DD$53))),"-")</f>
        <v>-</v>
      </c>
      <c r="DE55" s="165" t="str">
        <f aca="false">IF(DE$53&lt;Total_Lanes,900*Peak_Time_Mor*($CN55/DE$53-1+SQRT(($CN55/DE$53-1)^2+8*($CN55/DE$53)/(Peak_Time_Mor*$O41*DE$53))),"-")</f>
        <v>-</v>
      </c>
      <c r="DF55" s="165" t="str">
        <f aca="false">IF(DF$53&lt;Total_Lanes,900*Peak_Time_Mor*($CN55/DF$53-1+SQRT(($CN55/DF$53-1)^2+8*($CN55/DF$53)/(Peak_Time_Mor*$O41*DF$53))),"-")</f>
        <v>-</v>
      </c>
      <c r="DG55" s="165" t="str">
        <f aca="false">IF(DG$53&lt;Total_Lanes,900*Peak_Time_Mor*($CN55/DG$53-1+SQRT(($CN55/DG$53-1)^2+8*($CN55/DG$53)/(Peak_Time_Mor*$O41*DG$53))),"-")</f>
        <v>-</v>
      </c>
      <c r="DH55" s="165" t="str">
        <f aca="false">IF(DH$53&lt;Total_Lanes,900*Peak_Time_Mor*($CN55/DH$53-1+SQRT(($CN55/DH$53-1)^2+8*($CN55/DH$53)/(Peak_Time_Mor*$O41*DH$53))),"-")</f>
        <v>-</v>
      </c>
      <c r="DI55" s="165" t="str">
        <f aca="false">IF(DI$53&lt;Total_Lanes,900*Peak_Time_Mor*($CN55/DI$53-1+SQRT(($CN55/DI$53-1)^2+8*($CN55/DI$53)/(Peak_Time_Mor*$O41*DI$53))),"-")</f>
        <v>-</v>
      </c>
      <c r="DJ55" s="234" t="n">
        <f aca="false">3600/$O41</f>
        <v>2.4</v>
      </c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customFormat="false" ht="12.75" hidden="false" customHeight="false" outlineLevel="0" collapsed="false">
      <c r="A56" s="4"/>
      <c r="B56" s="4"/>
      <c r="C56" s="4"/>
      <c r="D56" s="4"/>
      <c r="E56" s="4"/>
      <c r="F56" s="4"/>
      <c r="G56" s="4"/>
      <c r="H56" s="215" t="n">
        <v>16</v>
      </c>
      <c r="I56" s="216" t="n">
        <f aca="false">'Input-Detail'!BH29</f>
        <v>0.83</v>
      </c>
      <c r="J56" s="217" t="n">
        <f aca="false">1-I56</f>
        <v>0.17</v>
      </c>
      <c r="K56" s="218" t="n">
        <f aca="false">3600/(Trans_Time_Cash*I56+Trans_Time_Ticket*J56)</f>
        <v>547.528517110266</v>
      </c>
      <c r="L56" s="216" t="n">
        <f aca="false">'Input-Detail'!BJ29</f>
        <v>0.966</v>
      </c>
      <c r="M56" s="217" t="n">
        <f aca="false">1-L56</f>
        <v>0.034</v>
      </c>
      <c r="N56" s="218" t="n">
        <f aca="false">3600/(Trans_Time_Cash*L56+Trans_Time_Ticket*M56)</f>
        <v>520.60737527115</v>
      </c>
      <c r="O56" s="218" t="n">
        <f aca="false">3600/Headway_ETC</f>
        <v>1500</v>
      </c>
      <c r="P56" s="4"/>
      <c r="Q56" s="4"/>
      <c r="R56" s="4"/>
      <c r="S56" s="4"/>
      <c r="T56" s="4"/>
      <c r="U56" s="4"/>
      <c r="V56" s="50" t="n">
        <v>2</v>
      </c>
      <c r="W56" s="124" t="n">
        <f aca="false">W9</f>
        <v>20114555.7</v>
      </c>
      <c r="X56" s="131" t="n">
        <f aca="false">X9</f>
        <v>0.133486220755981</v>
      </c>
      <c r="Y56" s="124" t="n">
        <f aca="false">Y9</f>
        <v>8673.6356857923</v>
      </c>
      <c r="Z56" s="133" t="n">
        <f aca="false">W56/Y56</f>
        <v>2319.04548780488</v>
      </c>
      <c r="AA56" s="233" t="n">
        <f aca="false">AA9</f>
        <v>2</v>
      </c>
      <c r="AB56" s="157" t="n">
        <f aca="false">1-AB9</f>
        <v>0.3</v>
      </c>
      <c r="AC56" s="128" t="n">
        <f aca="false">Y56*AB56</f>
        <v>2602.09070573769</v>
      </c>
      <c r="AD56" s="150" t="n">
        <f aca="false">Peak_Time_Mor*$BH56*(CH56+BK56)/3600</f>
        <v>9.9800769986313</v>
      </c>
      <c r="AE56" s="136" t="n">
        <f aca="false">IF(AE$53&lt;Total_Lanes,($BI56*($CH56+BM56)+$CM56*CO56)*Peak_Time_Mor/3600,"-")</f>
        <v>8.88438048235859</v>
      </c>
      <c r="AF56" s="136" t="n">
        <f aca="false">IF(AF$53&lt;Total_Lanes,($BI56*($CH56+BN56)+$CM56*CP56)*Peak_Time_Mor/3600,"-")</f>
        <v>8.90627292058871</v>
      </c>
      <c r="AG56" s="136" t="n">
        <f aca="false">IF(AG$53&lt;Total_Lanes,($BI56*($CH56+BO56)+$CM56*CQ56)*Peak_Time_Mor/3600,"-")</f>
        <v>9.08821189535114</v>
      </c>
      <c r="AH56" s="136" t="n">
        <f aca="false">IF(AH$53&lt;Total_Lanes,($BI56*($CH56+BP56)+$CM56*CR56)*Peak_Time_Mor/3600,"-")</f>
        <v>9.40979893987033</v>
      </c>
      <c r="AI56" s="136" t="n">
        <f aca="false">IF(AI$53&lt;Total_Lanes,($BI56*($CH56+BQ56)+$CM56*CS56)*Peak_Time_Mor/3600,"-")</f>
        <v>10.0111345114627</v>
      </c>
      <c r="AJ56" s="136" t="n">
        <f aca="false">IF(AJ$53&lt;Total_Lanes,($BI56*($CH56+BR56)+$CM56*CT56)*Peak_Time_Mor/3600,"-")</f>
        <v>11.3719035271846</v>
      </c>
      <c r="AK56" s="136" t="n">
        <f aca="false">IF(AK$53&lt;Total_Lanes,($BI56*($CH56+BS56)+$CM56*CU56)*Peak_Time_Mor/3600,"-")</f>
        <v>16.2430813868721</v>
      </c>
      <c r="AL56" s="136" t="n">
        <f aca="false">IF(AL$53&lt;Total_Lanes,($BI56*($CH56+BT56)+$CM56*CV56)*Peak_Time_Mor/3600,"-")</f>
        <v>217.636189883666</v>
      </c>
      <c r="AM56" s="136" t="n">
        <f aca="false">IF(AM$53&lt;Total_Lanes,($BI56*($CH56+BU56)+$CM56*CW56)*Peak_Time_Mor/3600,"-")</f>
        <v>1738.85718414114</v>
      </c>
      <c r="AN56" s="136" t="n">
        <f aca="false">IF(AN$53&lt;Total_Lanes,($BI56*($CH56+BV56)+$CM56*CX56)*Peak_Time_Mor/3600,"-")</f>
        <v>4851.96318716318</v>
      </c>
      <c r="AO56" s="136" t="n">
        <f aca="false">IF(AO$53&lt;Total_Lanes,($BI56*($CH56+BW56)+$CM56*CY56)*Peak_Time_Mor/3600,"-")</f>
        <v>14200.0545113393</v>
      </c>
      <c r="AP56" s="136" t="str">
        <f aca="false">IF(AP$53&lt;Total_Lanes,($BI56*($CH56+BX56)+$CM56*CZ56)*Peak_Time_Mor/3600,"-")</f>
        <v>-</v>
      </c>
      <c r="AQ56" s="136" t="str">
        <f aca="false">IF(AQ$53&lt;Total_Lanes,($BI56*($CH56+BY56)+$CM56*DA56)*Peak_Time_Mor/3600,"-")</f>
        <v>-</v>
      </c>
      <c r="AR56" s="136" t="str">
        <f aca="false">IF(AR$53&lt;Total_Lanes,($BI56*($CH56+BZ56)+$CM56*DB56)*Peak_Time_Mor/3600,"-")</f>
        <v>-</v>
      </c>
      <c r="AS56" s="136" t="str">
        <f aca="false">IF(AS$53&lt;Total_Lanes,($BI56*($CH56+CA56)+$CM56*DC56)*Peak_Time_Mor/3600,"-")</f>
        <v>-</v>
      </c>
      <c r="AT56" s="136" t="str">
        <f aca="false">IF(AT$53&lt;Total_Lanes,($BI56*($CH56+CB56)+$CM56*DD56)*Peak_Time_Mor/3600,"-")</f>
        <v>-</v>
      </c>
      <c r="AU56" s="136" t="str">
        <f aca="false">IF(AU$53&lt;Total_Lanes,($BI56*($CH56+CC56)+$CM56*DE56)*Peak_Time_Mor/3600,"-")</f>
        <v>-</v>
      </c>
      <c r="AV56" s="136" t="str">
        <f aca="false">IF(AV$53&lt;Total_Lanes,($BI56*($CH56+CD56)+$CM56*DF56)*Peak_Time_Mor/3600,"-")</f>
        <v>-</v>
      </c>
      <c r="AW56" s="136" t="str">
        <f aca="false">IF(AW$53&lt;Total_Lanes,($BI56*($CH56+CE56)+$CM56*DG56)*Peak_Time_Mor/3600,"-")</f>
        <v>-</v>
      </c>
      <c r="AX56" s="136" t="str">
        <f aca="false">IF(AX$53&lt;Total_Lanes,($BI56*($CH56+CF56)+$CM56*DH56)*Peak_Time_Mor/3600,"-")</f>
        <v>-</v>
      </c>
      <c r="AY56" s="137" t="str">
        <f aca="false">IF(AY$53&lt;Total_Lanes,($BI56*($CH56+CG56)+$CM56*DI56)*Peak_Time_Mor/3600,"-")</f>
        <v>-</v>
      </c>
      <c r="AZ56" s="158" t="n">
        <f aca="false">SUMIF(AE56:AY56,BA56,$AE$53:$AY$53)</f>
        <v>1</v>
      </c>
      <c r="BA56" s="159" t="n">
        <f aca="false">MIN(AE56:AY56)</f>
        <v>8.88438048235859</v>
      </c>
      <c r="BB56" s="158" t="n">
        <f aca="false">Price!X9</f>
        <v>1</v>
      </c>
      <c r="BC56" s="159" t="n">
        <f aca="false">SUMIF($AE$53:$AY$53,$BB56,$AE56:$AY56)</f>
        <v>8.88438048235859</v>
      </c>
      <c r="BF56" s="50" t="n">
        <v>2</v>
      </c>
      <c r="BG56" s="131" t="n">
        <f aca="false">$X56</f>
        <v>0.133486220755981</v>
      </c>
      <c r="BH56" s="57" t="n">
        <f aca="false">$AC56</f>
        <v>2602.09070573769</v>
      </c>
      <c r="BI56" s="135" t="n">
        <f aca="false">BH56*(1-BG56)</f>
        <v>2254.7474513645</v>
      </c>
      <c r="BJ56" s="143" t="n">
        <f aca="false">Peak_Arrival_Manual_Mor/K42</f>
        <v>4.11804569242267</v>
      </c>
      <c r="BK56" s="228" t="n">
        <f aca="false">900*Peak_Time_Mor*($BJ56/Total_Lanes-1+SQRT(($BJ56/Total_Lanes-1)^2+8*($BJ56/Total_Lanes)/(Peak_Time_Mor*$K42*Total_Lanes)))</f>
        <v>0.286232663094665</v>
      </c>
      <c r="BL56" s="143" t="n">
        <f aca="false">Peak_Arrival_Manual_Mor/N42</f>
        <v>4.1446642387235</v>
      </c>
      <c r="BM56" s="229" t="n">
        <f aca="false">IF(BM$6&lt;Total_Lanes,900*Peak_Time_Mor*($BL56/(Total_Lanes-BM$6)-1+SQRT(($BL56/(Total_Lanes-BM$6)-1)^2+8*($BL56/(Total_Lanes-BM$6))/(Peak_Time_Mor*$N42*(Total_Lanes-BM$6)))),"-")</f>
        <v>0.363656621446595</v>
      </c>
      <c r="BN56" s="165" t="n">
        <f aca="false">IF(BN$6&lt;Total_Lanes,900*Peak_Time_Mor*($BL56/(Total_Lanes-BN$6)-1+SQRT(($BL56/(Total_Lanes-BN$6)-1)^2+8*($BL56/(Total_Lanes-BN$6))/(Peak_Time_Mor*$N42*(Total_Lanes-BN$6)))),"-")</f>
        <v>0.468311717898962</v>
      </c>
      <c r="BO56" s="165" t="n">
        <f aca="false">IF(BO$6&lt;Total_Lanes,900*Peak_Time_Mor*($BL56/(Total_Lanes-BO$6)-1+SQRT(($BL56/(Total_Lanes-BO$6)-1)^2+8*($BL56/(Total_Lanes-BO$6))/(Peak_Time_Mor*$N42*(Total_Lanes-BO$6)))),"-")</f>
        <v>0.62745305732157</v>
      </c>
      <c r="BP56" s="165" t="n">
        <f aca="false">IF(BP$6&lt;Total_Lanes,900*Peak_Time_Mor*($BL56/(Total_Lanes-BP$6)-1+SQRT(($BL56/(Total_Lanes-BP$6)-1)^2+8*($BL56/(Total_Lanes-BP$6))/(Peak_Time_Mor*$N42*(Total_Lanes-BP$6)))),"-")</f>
        <v>0.888809469780427</v>
      </c>
      <c r="BQ56" s="165" t="n">
        <f aca="false">IF(BQ$6&lt;Total_Lanes,900*Peak_Time_Mor*($BL56/(Total_Lanes-BQ$6)-1+SQRT(($BL56/(Total_Lanes-BQ$6)-1)^2+8*($BL56/(Total_Lanes-BQ$6))/(Peak_Time_Mor*$N42*(Total_Lanes-BQ$6)))),"-")</f>
        <v>1.37095377183969</v>
      </c>
      <c r="BR56" s="165" t="n">
        <f aca="false">IF(BR$6&lt;Total_Lanes,900*Peak_Time_Mor*($BL56/(Total_Lanes-BR$6)-1+SQRT(($BL56/(Total_Lanes-BR$6)-1)^2+8*($BL56/(Total_Lanes-BR$6))/(Peak_Time_Mor*$N42*(Total_Lanes-BR$6)))),"-")</f>
        <v>2.45839406869709</v>
      </c>
      <c r="BS56" s="165" t="n">
        <f aca="false">IF(BS$6&lt;Total_Lanes,900*Peak_Time_Mor*($BL56/(Total_Lanes-BS$6)-1+SQRT(($BL56/(Total_Lanes-BS$6)-1)^2+8*($BL56/(Total_Lanes-BS$6))/(Peak_Time_Mor*$N42*(Total_Lanes-BS$6)))),"-")</f>
        <v>6.34779782481358</v>
      </c>
      <c r="BT56" s="165" t="n">
        <f aca="false">IF(BT$6&lt;Total_Lanes,900*Peak_Time_Mor*($BL56/(Total_Lanes-BT$6)-1+SQRT(($BL56/(Total_Lanes-BT$6)-1)^2+8*($BL56/(Total_Lanes-BT$6))/(Peak_Time_Mor*$N42*(Total_Lanes-BT$6)))),"-")</f>
        <v>167.123481710146</v>
      </c>
      <c r="BU56" s="165" t="n">
        <f aca="false">IF(BU$6&lt;Total_Lanes,900*Peak_Time_Mor*($BL56/(Total_Lanes-BU$6)-1+SQRT(($BL56/(Total_Lanes-BU$6)-1)^2+8*($BL56/(Total_Lanes-BU$6))/(Peak_Time_Mor*$N42*(Total_Lanes-BU$6)))),"-")</f>
        <v>1381.53818168032</v>
      </c>
      <c r="BV56" s="165" t="n">
        <f aca="false">IF(BV$6&lt;Total_Lanes,900*Peak_Time_Mor*($BL56/(Total_Lanes-BV$6)-1+SQRT(($BL56/(Total_Lanes-BV$6)-1)^2+8*($BL56/(Total_Lanes-BV$6))/(Peak_Time_Mor*$N42*(Total_Lanes-BV$6)))),"-")</f>
        <v>3866.77938775117</v>
      </c>
      <c r="BW56" s="230" t="n">
        <f aca="false">IF(BW$6&lt;Total_Lanes,900*Peak_Time_Mor*($BL56/(Total_Lanes-BW$6)-1+SQRT(($BL56/(Total_Lanes-BW$6)-1)^2+8*($BL56/(Total_Lanes-BW$6))/(Peak_Time_Mor*$N42*(Total_Lanes-BW$6)))),"-")</f>
        <v>11329.5064083793</v>
      </c>
      <c r="BX56" s="165" t="str">
        <f aca="false">IF(BX$6&lt;Total_Lanes,900*Peak_Time_Mor*($BL56/(Total_Lanes-BX$6)-1+SQRT(($BL56/(Total_Lanes-BX$6)-1)^2+8*($BL56/(Total_Lanes-BX$6))/(Peak_Time_Mor*$N42*(Total_Lanes-BX$6)))),"-")</f>
        <v>-</v>
      </c>
      <c r="BY56" s="165" t="str">
        <f aca="false">IF(BY$6&lt;Total_Lanes,900*Peak_Time_Mor*($BL56/(Total_Lanes-BY$6)-1+SQRT(($BL56/(Total_Lanes-BY$6)-1)^2+8*($BL56/(Total_Lanes-BY$6))/(Peak_Time_Mor*$N42*(Total_Lanes-BY$6)))),"-")</f>
        <v>-</v>
      </c>
      <c r="BZ56" s="165" t="str">
        <f aca="false">IF(BZ$6&lt;Total_Lanes,900*Peak_Time_Mor*($BL56/(Total_Lanes-BZ$6)-1+SQRT(($BL56/(Total_Lanes-BZ$6)-1)^2+8*($BL56/(Total_Lanes-BZ$6))/(Peak_Time_Mor*$N42*(Total_Lanes-BZ$6)))),"-")</f>
        <v>-</v>
      </c>
      <c r="CA56" s="165" t="str">
        <f aca="false">IF(CA$6&lt;Total_Lanes,900*Peak_Time_Mor*($BL56/(Total_Lanes-CA$6)-1+SQRT(($BL56/(Total_Lanes-CA$6)-1)^2+8*($BL56/(Total_Lanes-CA$6))/(Peak_Time_Mor*$N42*(Total_Lanes-CA$6)))),"-")</f>
        <v>-</v>
      </c>
      <c r="CB56" s="165" t="str">
        <f aca="false">IF(CB$6&lt;Total_Lanes,900*Peak_Time_Mor*($BL56/(Total_Lanes-CB$6)-1+SQRT(($BL56/(Total_Lanes-CB$6)-1)^2+8*($BL56/(Total_Lanes-CB$6))/(Peak_Time_Mor*$N42*(Total_Lanes-CB$6)))),"-")</f>
        <v>-</v>
      </c>
      <c r="CC56" s="165" t="str">
        <f aca="false">IF(CC$6&lt;Total_Lanes,900*Peak_Time_Mor*($BL56/(Total_Lanes-CC$6)-1+SQRT(($BL56/(Total_Lanes-CC$6)-1)^2+8*($BL56/(Total_Lanes-CC$6))/(Peak_Time_Mor*$N42*(Total_Lanes-CC$6)))),"-")</f>
        <v>-</v>
      </c>
      <c r="CD56" s="165" t="str">
        <f aca="false">IF(CD$6&lt;Total_Lanes,900*Peak_Time_Mor*($BL56/(Total_Lanes-CD$6)-1+SQRT(($BL56/(Total_Lanes-CD$6)-1)^2+8*($BL56/(Total_Lanes-CD$6))/(Peak_Time_Mor*$N42*(Total_Lanes-CD$6)))),"-")</f>
        <v>-</v>
      </c>
      <c r="CE56" s="165" t="str">
        <f aca="false">IF(CE$6&lt;Total_Lanes,900*Peak_Time_Mor*($BL56/(Total_Lanes-CE$6)-1+SQRT(($BL56/(Total_Lanes-CE$6)-1)^2+8*($BL56/(Total_Lanes-CE$6))/(Peak_Time_Mor*$N42*(Total_Lanes-CE$6)))),"-")</f>
        <v>-</v>
      </c>
      <c r="CF56" s="165" t="str">
        <f aca="false">IF(CF$6&lt;Total_Lanes,900*Peak_Time_Mor*($BL56/(Total_Lanes-CF$6)-1+SQRT(($BL56/(Total_Lanes-CF$6)-1)^2+8*($BL56/(Total_Lanes-CF$6))/(Peak_Time_Mor*$N42*(Total_Lanes-CF$6)))),"-")</f>
        <v>-</v>
      </c>
      <c r="CG56" s="166" t="str">
        <f aca="false">IF(CG$6&lt;Total_Lanes,900*Peak_Time_Mor*($BL56/(Total_Lanes-CG$6)-1+SQRT(($BL56/(Total_Lanes-CG$6)-1)^2+8*($BL56/(Total_Lanes-CG$6))/(Peak_Time_Mor*$N42*(Total_Lanes-CG$6)))),"-")</f>
        <v>-</v>
      </c>
      <c r="CH56" s="234" t="n">
        <f aca="false">3600/N42</f>
        <v>6.6175</v>
      </c>
      <c r="CJ56" s="50" t="n">
        <v>2</v>
      </c>
      <c r="CK56" s="131" t="n">
        <f aca="false">$X56</f>
        <v>0.133486220755981</v>
      </c>
      <c r="CL56" s="150" t="n">
        <f aca="false">$AC56</f>
        <v>2602.09070573769</v>
      </c>
      <c r="CM56" s="150" t="n">
        <f aca="false">CL56*CK56</f>
        <v>347.343254373187</v>
      </c>
      <c r="CN56" s="161" t="n">
        <f aca="false">CM56/O42</f>
        <v>0.231562169582125</v>
      </c>
      <c r="CO56" s="165" t="n">
        <f aca="false">IF(CO$53&lt;Total_Lanes,900*Peak_Time_Mor*($CN56/CO$53-1+SQRT(($CN56/CO$53-1)^2+8*($CN56/CO$53)/(Peak_Time_Mor*$O42*CO$53))),"-")</f>
        <v>0.723030504552424</v>
      </c>
      <c r="CP56" s="165" t="n">
        <f aca="false">IF(CP$53&lt;Total_Lanes,900*Peak_Time_Mor*($CN56/CP$53-1+SQRT(($CN56/CP$53-1)^2+8*($CN56/CP$53)/(Peak_Time_Mor*$O42*CP$53))),"-")</f>
        <v>0.157122225899431</v>
      </c>
      <c r="CQ56" s="165" t="n">
        <f aca="false">IF(CQ$53&lt;Total_Lanes,900*Peak_Time_Mor*($CN56/CQ$53-1+SQRT(($CN56/CQ$53-1)^2+8*($CN56/CQ$53)/(Peak_Time_Mor*$O42*CQ$53))),"-")</f>
        <v>0.0669135504667073</v>
      </c>
      <c r="CR56" s="165" t="n">
        <f aca="false">IF(CR$53&lt;Total_Lanes,900*Peak_Time_Mor*($CN56/CR$53-1+SQRT(($CN56/CR$53-1)^2+8*($CN56/CR$53)/(Peak_Time_Mor*$O42*CR$53))),"-")</f>
        <v>0.0368682721334279</v>
      </c>
      <c r="CS56" s="165" t="n">
        <f aca="false">IF(CS$53&lt;Total_Lanes,900*Peak_Time_Mor*($CN56/CS$53-1+SQRT(($CN56/CS$53-1)^2+8*($CN56/CS$53)/(Peak_Time_Mor*$O42*CS$53))),"-")</f>
        <v>0.0233093291208686</v>
      </c>
      <c r="CT56" s="165" t="n">
        <f aca="false">IF(CT$53&lt;Total_Lanes,900*Peak_Time_Mor*($CN56/CT$53-1+SQRT(($CN56/CT$53-1)^2+8*($CN56/CT$53)/(Peak_Time_Mor*$O42*CT$53))),"-")</f>
        <v>0.0160571095396023</v>
      </c>
      <c r="CU56" s="165" t="n">
        <f aca="false">IF(CU$53&lt;Total_Lanes,900*Peak_Time_Mor*($CN56/CU$53-1+SQRT(($CN56/CU$53-1)^2+8*($CN56/CU$53)/(Peak_Time_Mor*$O42*CU$53))),"-")</f>
        <v>0.0117298080166917</v>
      </c>
      <c r="CV56" s="165" t="n">
        <f aca="false">IF(CV$53&lt;Total_Lanes,900*Peak_Time_Mor*($CN56/CV$53-1+SQRT(($CN56/CV$53-1)^2+8*($CN56/CV$53)/(Peak_Time_Mor*$O42*CV$53))),"-")</f>
        <v>0.00894239931983343</v>
      </c>
      <c r="CW56" s="165" t="n">
        <f aca="false">IF(CW$53&lt;Total_Lanes,900*Peak_Time_Mor*($CN56/CW$53-1+SQRT(($CN56/CW$53-1)^2+8*($CN56/CW$53)/(Peak_Time_Mor*$O42*CW$53))),"-")</f>
        <v>0.00704227926333623</v>
      </c>
      <c r="CX56" s="165" t="n">
        <f aca="false">IF(CX$53&lt;Total_Lanes,900*Peak_Time_Mor*($CN56/CX$53-1+SQRT(($CN56/CX$53-1)^2+8*($CN56/CX$53)/(Peak_Time_Mor*$O42*CX$53))),"-")</f>
        <v>0.00568922398391791</v>
      </c>
      <c r="CY56" s="165" t="n">
        <f aca="false">IF(CY$53&lt;Total_Lanes,900*Peak_Time_Mor*($CN56/CY$53-1+SQRT(($CN56/CY$53-1)^2+8*($CN56/CY$53)/(Peak_Time_Mor*$O42*CY$53))),"-")</f>
        <v>0.00469172861641276</v>
      </c>
      <c r="CZ56" s="165" t="str">
        <f aca="false">IF(CZ$53&lt;Total_Lanes,900*Peak_Time_Mor*($CN56/CZ$53-1+SQRT(($CN56/CZ$53-1)^2+8*($CN56/CZ$53)/(Peak_Time_Mor*$O42*CZ$53))),"-")</f>
        <v>-</v>
      </c>
      <c r="DA56" s="165" t="str">
        <f aca="false">IF(DA$53&lt;Total_Lanes,900*Peak_Time_Mor*($CN56/DA$53-1+SQRT(($CN56/DA$53-1)^2+8*($CN56/DA$53)/(Peak_Time_Mor*$O42*DA$53))),"-")</f>
        <v>-</v>
      </c>
      <c r="DB56" s="165" t="str">
        <f aca="false">IF(DB$53&lt;Total_Lanes,900*Peak_Time_Mor*($CN56/DB$53-1+SQRT(($CN56/DB$53-1)^2+8*($CN56/DB$53)/(Peak_Time_Mor*$O42*DB$53))),"-")</f>
        <v>-</v>
      </c>
      <c r="DC56" s="165" t="str">
        <f aca="false">IF(DC$53&lt;Total_Lanes,900*Peak_Time_Mor*($CN56/DC$53-1+SQRT(($CN56/DC$53-1)^2+8*($CN56/DC$53)/(Peak_Time_Mor*$O42*DC$53))),"-")</f>
        <v>-</v>
      </c>
      <c r="DD56" s="165" t="str">
        <f aca="false">IF(DD$53&lt;Total_Lanes,900*Peak_Time_Mor*($CN56/DD$53-1+SQRT(($CN56/DD$53-1)^2+8*($CN56/DD$53)/(Peak_Time_Mor*$O42*DD$53))),"-")</f>
        <v>-</v>
      </c>
      <c r="DE56" s="165" t="str">
        <f aca="false">IF(DE$53&lt;Total_Lanes,900*Peak_Time_Mor*($CN56/DE$53-1+SQRT(($CN56/DE$53-1)^2+8*($CN56/DE$53)/(Peak_Time_Mor*$O42*DE$53))),"-")</f>
        <v>-</v>
      </c>
      <c r="DF56" s="165" t="str">
        <f aca="false">IF(DF$53&lt;Total_Lanes,900*Peak_Time_Mor*($CN56/DF$53-1+SQRT(($CN56/DF$53-1)^2+8*($CN56/DF$53)/(Peak_Time_Mor*$O42*DF$53))),"-")</f>
        <v>-</v>
      </c>
      <c r="DG56" s="165" t="str">
        <f aca="false">IF(DG$53&lt;Total_Lanes,900*Peak_Time_Mor*($CN56/DG$53-1+SQRT(($CN56/DG$53-1)^2+8*($CN56/DG$53)/(Peak_Time_Mor*$O42*DG$53))),"-")</f>
        <v>-</v>
      </c>
      <c r="DH56" s="165" t="str">
        <f aca="false">IF(DH$53&lt;Total_Lanes,900*Peak_Time_Mor*($CN56/DH$53-1+SQRT(($CN56/DH$53-1)^2+8*($CN56/DH$53)/(Peak_Time_Mor*$O42*DH$53))),"-")</f>
        <v>-</v>
      </c>
      <c r="DI56" s="166" t="str">
        <f aca="false">IF(DI$53&lt;Total_Lanes,900*Peak_Time_Mor*($CN56/DI$53-1+SQRT(($CN56/DI$53-1)^2+8*($CN56/DI$53)/(Peak_Time_Mor*$O42*DI$53))),"-")</f>
        <v>-</v>
      </c>
      <c r="DJ56" s="234" t="n">
        <f aca="false">3600/$O42</f>
        <v>2.4</v>
      </c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customFormat="false" ht="12.75" hidden="false" customHeight="false" outlineLevel="0" collapsed="false">
      <c r="A57" s="4"/>
      <c r="B57" s="4"/>
      <c r="C57" s="4"/>
      <c r="D57" s="4"/>
      <c r="E57" s="4"/>
      <c r="F57" s="4"/>
      <c r="G57" s="4"/>
      <c r="H57" s="215" t="n">
        <v>17</v>
      </c>
      <c r="I57" s="216" t="n">
        <f aca="false">'Input-Detail'!BH30</f>
        <v>0.83</v>
      </c>
      <c r="J57" s="217" t="n">
        <f aca="false">1-I57</f>
        <v>0.17</v>
      </c>
      <c r="K57" s="218" t="n">
        <f aca="false">3600/(Trans_Time_Cash*I57+Trans_Time_Ticket*J57)</f>
        <v>547.528517110266</v>
      </c>
      <c r="L57" s="216" t="n">
        <f aca="false">'Input-Detail'!BJ30</f>
        <v>0.9745</v>
      </c>
      <c r="M57" s="217" t="n">
        <f aca="false">1-L57</f>
        <v>0.0255000000000001</v>
      </c>
      <c r="N57" s="218" t="n">
        <f aca="false">3600/(Trans_Time_Cash*L57+Trans_Time_Ticket*M57)</f>
        <v>519.012434672914</v>
      </c>
      <c r="O57" s="218" t="n">
        <f aca="false">3600/Headway_ETC</f>
        <v>1500</v>
      </c>
      <c r="P57" s="4"/>
      <c r="Q57" s="4"/>
      <c r="R57" s="4"/>
      <c r="S57" s="4"/>
      <c r="T57" s="4"/>
      <c r="U57" s="4"/>
      <c r="V57" s="50" t="n">
        <v>3</v>
      </c>
      <c r="W57" s="124" t="n">
        <f aca="false">W10</f>
        <v>20663747.05</v>
      </c>
      <c r="X57" s="131" t="n">
        <f aca="false">X10</f>
        <v>0.192291508405303</v>
      </c>
      <c r="Y57" s="124" t="n">
        <f aca="false">Y10</f>
        <v>8910.45352868845</v>
      </c>
      <c r="Z57" s="133" t="n">
        <f aca="false">W57/Y57</f>
        <v>2319.04548780488</v>
      </c>
      <c r="AA57" s="233" t="n">
        <f aca="false">AA10</f>
        <v>2</v>
      </c>
      <c r="AB57" s="157" t="n">
        <f aca="false">1-AB10</f>
        <v>0.3</v>
      </c>
      <c r="AC57" s="128" t="n">
        <f aca="false">Y57*AB57</f>
        <v>2673.13605860654</v>
      </c>
      <c r="AD57" s="150" t="n">
        <f aca="false">Peak_Time_Mor*$BH57*(CH57+BK57)/3600</f>
        <v>10.257272967351</v>
      </c>
      <c r="AE57" s="136" t="n">
        <f aca="false">IF(AE$53&lt;Total_Lanes,($BI57*($CH57+BM57)+$CM57*CO57)*Peak_Time_Mor/3600,"-")</f>
        <v>8.73098026820345</v>
      </c>
      <c r="AF57" s="136" t="n">
        <f aca="false">IF(AF$53&lt;Total_Lanes,($BI57*($CH57+BN57)+$CM57*CP57)*Peak_Time_Mor/3600,"-")</f>
        <v>8.56080618810974</v>
      </c>
      <c r="AG57" s="136" t="n">
        <f aca="false">IF(AG$53&lt;Total_Lanes,($BI57*($CH57+BO57)+$CM57*CQ57)*Peak_Time_Mor/3600,"-")</f>
        <v>8.69449928224057</v>
      </c>
      <c r="AH57" s="136" t="n">
        <f aca="false">IF(AH$53&lt;Total_Lanes,($BI57*($CH57+BP57)+$CM57*CR57)*Peak_Time_Mor/3600,"-")</f>
        <v>8.96513775354906</v>
      </c>
      <c r="AI57" s="136" t="n">
        <f aca="false">IF(AI$53&lt;Total_Lanes,($BI57*($CH57+BQ57)+$CM57*CS57)*Peak_Time_Mor/3600,"-")</f>
        <v>9.47275360340981</v>
      </c>
      <c r="AJ57" s="136" t="n">
        <f aca="false">IF(AJ$53&lt;Total_Lanes,($BI57*($CH57+BR57)+$CM57*CT57)*Peak_Time_Mor/3600,"-")</f>
        <v>10.5836006723602</v>
      </c>
      <c r="AK57" s="136" t="n">
        <f aca="false">IF(AK$53&lt;Total_Lanes,($BI57*($CH57+BS57)+$CM57*CU57)*Peak_Time_Mor/3600,"-")</f>
        <v>14.1516484378112</v>
      </c>
      <c r="AL57" s="136" t="n">
        <f aca="false">IF(AL$53&lt;Total_Lanes,($BI57*($CH57+BT57)+$CM57*CV57)*Peak_Time_Mor/3600,"-")</f>
        <v>91.0806470432929</v>
      </c>
      <c r="AM57" s="136" t="n">
        <f aca="false">IF(AM$53&lt;Total_Lanes,($BI57*($CH57+BU57)+$CM57*CW57)*Peak_Time_Mor/3600,"-")</f>
        <v>1431.60191970732</v>
      </c>
      <c r="AN57" s="136" t="n">
        <f aca="false">IF(AN$53&lt;Total_Lanes,($BI57*($CH57+BV57)+$CM57*CX57)*Peak_Time_Mor/3600,"-")</f>
        <v>4294.49019939946</v>
      </c>
      <c r="AO57" s="136" t="n">
        <f aca="false">IF(AO$53&lt;Total_Lanes,($BI57*($CH57+BW57)+$CM57*CY57)*Peak_Time_Mor/3600,"-")</f>
        <v>12893.898399865</v>
      </c>
      <c r="AP57" s="136" t="str">
        <f aca="false">IF(AP$53&lt;Total_Lanes,($BI57*($CH57+BX57)+$CM57*CZ57)*Peak_Time_Mor/3600,"-")</f>
        <v>-</v>
      </c>
      <c r="AQ57" s="136" t="str">
        <f aca="false">IF(AQ$53&lt;Total_Lanes,($BI57*($CH57+BY57)+$CM57*DA57)*Peak_Time_Mor/3600,"-")</f>
        <v>-</v>
      </c>
      <c r="AR57" s="136" t="str">
        <f aca="false">IF(AR$53&lt;Total_Lanes,($BI57*($CH57+BZ57)+$CM57*DB57)*Peak_Time_Mor/3600,"-")</f>
        <v>-</v>
      </c>
      <c r="AS57" s="136" t="str">
        <f aca="false">IF(AS$53&lt;Total_Lanes,($BI57*($CH57+CA57)+$CM57*DC57)*Peak_Time_Mor/3600,"-")</f>
        <v>-</v>
      </c>
      <c r="AT57" s="136" t="str">
        <f aca="false">IF(AT$53&lt;Total_Lanes,($BI57*($CH57+CB57)+$CM57*DD57)*Peak_Time_Mor/3600,"-")</f>
        <v>-</v>
      </c>
      <c r="AU57" s="136" t="str">
        <f aca="false">IF(AU$53&lt;Total_Lanes,($BI57*($CH57+CC57)+$CM57*DE57)*Peak_Time_Mor/3600,"-")</f>
        <v>-</v>
      </c>
      <c r="AV57" s="136" t="str">
        <f aca="false">IF(AV$53&lt;Total_Lanes,($BI57*($CH57+CD57)+$CM57*DF57)*Peak_Time_Mor/3600,"-")</f>
        <v>-</v>
      </c>
      <c r="AW57" s="136" t="str">
        <f aca="false">IF(AW$53&lt;Total_Lanes,($BI57*($CH57+CE57)+$CM57*DG57)*Peak_Time_Mor/3600,"-")</f>
        <v>-</v>
      </c>
      <c r="AX57" s="136" t="str">
        <f aca="false">IF(AX$53&lt;Total_Lanes,($BI57*($CH57+CF57)+$CM57*DH57)*Peak_Time_Mor/3600,"-")</f>
        <v>-</v>
      </c>
      <c r="AY57" s="137" t="str">
        <f aca="false">IF(AY$53&lt;Total_Lanes,($BI57*($CH57+CG57)+$CM57*DI57)*Peak_Time_Mor/3600,"-")</f>
        <v>-</v>
      </c>
      <c r="AZ57" s="158" t="n">
        <f aca="false">SUMIF(AE57:AY57,BA57,$AE$53:$AY$53)</f>
        <v>2</v>
      </c>
      <c r="BA57" s="159" t="n">
        <f aca="false">MIN(AE57:AY57)</f>
        <v>8.56080618810974</v>
      </c>
      <c r="BB57" s="158" t="n">
        <f aca="false">Price!X10</f>
        <v>2</v>
      </c>
      <c r="BC57" s="159" t="n">
        <f aca="false">SUMIF($AE$53:$AY$53,$BB57,$AE57:$AY57)</f>
        <v>8.56080618810974</v>
      </c>
      <c r="BF57" s="50" t="n">
        <v>3</v>
      </c>
      <c r="BG57" s="131" t="n">
        <f aca="false">$X57</f>
        <v>0.192291508405303</v>
      </c>
      <c r="BH57" s="57" t="n">
        <f aca="false">$AC57</f>
        <v>2673.13605860654</v>
      </c>
      <c r="BI57" s="135" t="n">
        <f aca="false">BH57*(1-BG57)</f>
        <v>2159.11469372448</v>
      </c>
      <c r="BJ57" s="143" t="n">
        <f aca="false">Peak_Arrival_Manual_Mor/K43</f>
        <v>3.94338308645512</v>
      </c>
      <c r="BK57" s="228" t="n">
        <f aca="false">900*Peak_Time_Mor*($BJ57/Total_Lanes-1+SQRT(($BJ57/Total_Lanes-1)^2+8*($BJ57/Total_Lanes)/(Peak_Time_Mor*$K43*Total_Lanes)))</f>
        <v>0.268152954597944</v>
      </c>
      <c r="BL57" s="143" t="n">
        <f aca="false">Peak_Arrival_Manual_Mor/N43</f>
        <v>3.9816174091565</v>
      </c>
      <c r="BM57" s="229" t="n">
        <f aca="false">IF(BM$6&lt;Total_Lanes,900*Peak_Time_Mor*($BL57/(Total_Lanes-BM$6)-1+SQRT(($BL57/(Total_Lanes-BM$6)-1)^2+8*($BL57/(Total_Lanes-BM$6))/(Peak_Time_Mor*$N43*(Total_Lanes-BM$6)))),"-")</f>
        <v>0.34233507164767</v>
      </c>
      <c r="BN57" s="165" t="n">
        <f aca="false">IF(BN$6&lt;Total_Lanes,900*Peak_Time_Mor*($BL57/(Total_Lanes-BN$6)-1+SQRT(($BL57/(Total_Lanes-BN$6)-1)^2+8*($BL57/(Total_Lanes-BN$6))/(Peak_Time_Mor*$N43*(Total_Lanes-BN$6)))),"-")</f>
        <v>0.439114762408854</v>
      </c>
      <c r="BO57" s="165" t="n">
        <f aca="false">IF(BO$6&lt;Total_Lanes,900*Peak_Time_Mor*($BL57/(Total_Lanes-BO$6)-1+SQRT(($BL57/(Total_Lanes-BO$6)-1)^2+8*($BL57/(Total_Lanes-BO$6))/(Peak_Time_Mor*$N43*(Total_Lanes-BO$6)))),"-")</f>
        <v>0.585076964716036</v>
      </c>
      <c r="BP57" s="165" t="n">
        <f aca="false">IF(BP$6&lt;Total_Lanes,900*Peak_Time_Mor*($BL57/(Total_Lanes-BP$6)-1+SQRT(($BL57/(Total_Lanes-BP$6)-1)^2+8*($BL57/(Total_Lanes-BP$6))/(Peak_Time_Mor*$N43*(Total_Lanes-BP$6)))),"-")</f>
        <v>0.82187775150786</v>
      </c>
      <c r="BQ57" s="165" t="n">
        <f aca="false">IF(BQ$6&lt;Total_Lanes,900*Peak_Time_Mor*($BL57/(Total_Lanes-BQ$6)-1+SQRT(($BL57/(Total_Lanes-BQ$6)-1)^2+8*($BL57/(Total_Lanes-BQ$6))/(Peak_Time_Mor*$N43*(Total_Lanes-BQ$6)))),"-")</f>
        <v>1.25004004894396</v>
      </c>
      <c r="BR57" s="165" t="n">
        <f aca="false">IF(BR$6&lt;Total_Lanes,900*Peak_Time_Mor*($BL57/(Total_Lanes-BR$6)-1+SQRT(($BL57/(Total_Lanes-BR$6)-1)^2+8*($BL57/(Total_Lanes-BR$6))/(Peak_Time_Mor*$N43*(Total_Lanes-BR$6)))),"-")</f>
        <v>2.17876535647498</v>
      </c>
      <c r="BS57" s="165" t="n">
        <f aca="false">IF(BS$6&lt;Total_Lanes,900*Peak_Time_Mor*($BL57/(Total_Lanes-BS$6)-1+SQRT(($BL57/(Total_Lanes-BS$6)-1)^2+8*($BL57/(Total_Lanes-BS$6))/(Peak_Time_Mor*$N43*(Total_Lanes-BS$6)))),"-")</f>
        <v>5.15492436457802</v>
      </c>
      <c r="BT57" s="165" t="n">
        <f aca="false">IF(BT$6&lt;Total_Lanes,900*Peak_Time_Mor*($BL57/(Total_Lanes-BT$6)-1+SQRT(($BL57/(Total_Lanes-BT$6)-1)^2+8*($BL57/(Total_Lanes-BT$6))/(Peak_Time_Mor*$N43*(Total_Lanes-BT$6)))),"-")</f>
        <v>69.2897146270396</v>
      </c>
      <c r="BU57" s="165" t="n">
        <f aca="false">IF(BU$6&lt;Total_Lanes,900*Peak_Time_Mor*($BL57/(Total_Lanes-BU$6)-1+SQRT(($BL57/(Total_Lanes-BU$6)-1)^2+8*($BL57/(Total_Lanes-BU$6))/(Peak_Time_Mor*$N43*(Total_Lanes-BU$6)))),"-")</f>
        <v>1186.84950575215</v>
      </c>
      <c r="BV57" s="165" t="n">
        <f aca="false">IF(BV$6&lt;Total_Lanes,900*Peak_Time_Mor*($BL57/(Total_Lanes-BV$6)-1+SQRT(($BL57/(Total_Lanes-BV$6)-1)^2+8*($BL57/(Total_Lanes-BV$6))/(Peak_Time_Mor*$N43*(Total_Lanes-BV$6)))),"-")</f>
        <v>3573.56845432387</v>
      </c>
      <c r="BW57" s="230" t="n">
        <f aca="false">IF(BW$6&lt;Total_Lanes,900*Peak_Time_Mor*($BL57/(Total_Lanes-BW$6)-1+SQRT(($BL57/(Total_Lanes-BW$6)-1)^2+8*($BL57/(Total_Lanes-BW$6))/(Peak_Time_Mor*$N43*(Total_Lanes-BW$6)))),"-")</f>
        <v>10742.6806729512</v>
      </c>
      <c r="BX57" s="165" t="str">
        <f aca="false">IF(BX$6&lt;Total_Lanes,900*Peak_Time_Mor*($BL57/(Total_Lanes-BX$6)-1+SQRT(($BL57/(Total_Lanes-BX$6)-1)^2+8*($BL57/(Total_Lanes-BX$6))/(Peak_Time_Mor*$N43*(Total_Lanes-BX$6)))),"-")</f>
        <v>-</v>
      </c>
      <c r="BY57" s="165" t="str">
        <f aca="false">IF(BY$6&lt;Total_Lanes,900*Peak_Time_Mor*($BL57/(Total_Lanes-BY$6)-1+SQRT(($BL57/(Total_Lanes-BY$6)-1)^2+8*($BL57/(Total_Lanes-BY$6))/(Peak_Time_Mor*$N43*(Total_Lanes-BY$6)))),"-")</f>
        <v>-</v>
      </c>
      <c r="BZ57" s="165" t="str">
        <f aca="false">IF(BZ$6&lt;Total_Lanes,900*Peak_Time_Mor*($BL57/(Total_Lanes-BZ$6)-1+SQRT(($BL57/(Total_Lanes-BZ$6)-1)^2+8*($BL57/(Total_Lanes-BZ$6))/(Peak_Time_Mor*$N43*(Total_Lanes-BZ$6)))),"-")</f>
        <v>-</v>
      </c>
      <c r="CA57" s="165" t="str">
        <f aca="false">IF(CA$6&lt;Total_Lanes,900*Peak_Time_Mor*($BL57/(Total_Lanes-CA$6)-1+SQRT(($BL57/(Total_Lanes-CA$6)-1)^2+8*($BL57/(Total_Lanes-CA$6))/(Peak_Time_Mor*$N43*(Total_Lanes-CA$6)))),"-")</f>
        <v>-</v>
      </c>
      <c r="CB57" s="165" t="str">
        <f aca="false">IF(CB$6&lt;Total_Lanes,900*Peak_Time_Mor*($BL57/(Total_Lanes-CB$6)-1+SQRT(($BL57/(Total_Lanes-CB$6)-1)^2+8*($BL57/(Total_Lanes-CB$6))/(Peak_Time_Mor*$N43*(Total_Lanes-CB$6)))),"-")</f>
        <v>-</v>
      </c>
      <c r="CC57" s="165" t="str">
        <f aca="false">IF(CC$6&lt;Total_Lanes,900*Peak_Time_Mor*($BL57/(Total_Lanes-CC$6)-1+SQRT(($BL57/(Total_Lanes-CC$6)-1)^2+8*($BL57/(Total_Lanes-CC$6))/(Peak_Time_Mor*$N43*(Total_Lanes-CC$6)))),"-")</f>
        <v>-</v>
      </c>
      <c r="CD57" s="165" t="str">
        <f aca="false">IF(CD$6&lt;Total_Lanes,900*Peak_Time_Mor*($BL57/(Total_Lanes-CD$6)-1+SQRT(($BL57/(Total_Lanes-CD$6)-1)^2+8*($BL57/(Total_Lanes-CD$6))/(Peak_Time_Mor*$N43*(Total_Lanes-CD$6)))),"-")</f>
        <v>-</v>
      </c>
      <c r="CE57" s="165" t="str">
        <f aca="false">IF(CE$6&lt;Total_Lanes,900*Peak_Time_Mor*($BL57/(Total_Lanes-CE$6)-1+SQRT(($BL57/(Total_Lanes-CE$6)-1)^2+8*($BL57/(Total_Lanes-CE$6))/(Peak_Time_Mor*$N43*(Total_Lanes-CE$6)))),"-")</f>
        <v>-</v>
      </c>
      <c r="CF57" s="165" t="str">
        <f aca="false">IF(CF$6&lt;Total_Lanes,900*Peak_Time_Mor*($BL57/(Total_Lanes-CF$6)-1+SQRT(($BL57/(Total_Lanes-CF$6)-1)^2+8*($BL57/(Total_Lanes-CF$6))/(Peak_Time_Mor*$N43*(Total_Lanes-CF$6)))),"-")</f>
        <v>-</v>
      </c>
      <c r="CG57" s="166" t="str">
        <f aca="false">IF(CG$6&lt;Total_Lanes,900*Peak_Time_Mor*($BL57/(Total_Lanes-CG$6)-1+SQRT(($BL57/(Total_Lanes-CG$6)-1)^2+8*($BL57/(Total_Lanes-CG$6))/(Peak_Time_Mor*$N43*(Total_Lanes-CG$6)))),"-")</f>
        <v>-</v>
      </c>
      <c r="CH57" s="234" t="n">
        <f aca="false">3600/N43</f>
        <v>6.63875</v>
      </c>
      <c r="CJ57" s="50" t="n">
        <v>3</v>
      </c>
      <c r="CK57" s="131" t="n">
        <f aca="false">$X57</f>
        <v>0.192291508405303</v>
      </c>
      <c r="CL57" s="150" t="n">
        <f aca="false">$AC57</f>
        <v>2673.13605860654</v>
      </c>
      <c r="CM57" s="150" t="n">
        <f aca="false">CL57*CK57</f>
        <v>514.021364882057</v>
      </c>
      <c r="CN57" s="161" t="n">
        <f aca="false">CM57/O43</f>
        <v>0.342680909921371</v>
      </c>
      <c r="CO57" s="165" t="n">
        <f aca="false">IF(CO$53&lt;Total_Lanes,900*Peak_Time_Mor*($CN57/CO$53-1+SQRT(($CN57/CO$53-1)^2+8*($CN57/CO$53)/(Peak_Time_Mor*$O43*CO$53))),"-")</f>
        <v>1.250533869499</v>
      </c>
      <c r="CP57" s="165" t="n">
        <f aca="false">IF(CP$53&lt;Total_Lanes,900*Peak_Time_Mor*($CN57/CP$53-1+SQRT(($CN57/CP$53-1)^2+8*($CN57/CP$53)/(Peak_Time_Mor*$O43*CP$53))),"-")</f>
        <v>0.248101224187658</v>
      </c>
      <c r="CQ57" s="165" t="n">
        <f aca="false">IF(CQ$53&lt;Total_Lanes,900*Peak_Time_Mor*($CN57/CQ$53-1+SQRT(($CN57/CQ$53-1)^2+8*($CN57/CQ$53)/(Peak_Time_Mor*$O43*CQ$53))),"-")</f>
        <v>0.103162567189585</v>
      </c>
      <c r="CR57" s="165" t="n">
        <f aca="false">IF(CR$53&lt;Total_Lanes,900*Peak_Time_Mor*($CN57/CR$53-1+SQRT(($CN57/CR$53-1)^2+8*($CN57/CR$53)/(Peak_Time_Mor*$O43*CR$53))),"-")</f>
        <v>0.056217417549731</v>
      </c>
      <c r="CS57" s="165" t="n">
        <f aca="false">IF(CS$53&lt;Total_Lanes,900*Peak_Time_Mor*($CN57/CS$53-1+SQRT(($CN57/CS$53-1)^2+8*($CN57/CS$53)/(Peak_Time_Mor*$O43*CS$53))),"-")</f>
        <v>0.0353175509727466</v>
      </c>
      <c r="CT57" s="165" t="n">
        <f aca="false">IF(CT$53&lt;Total_Lanes,900*Peak_Time_Mor*($CN57/CT$53-1+SQRT(($CN57/CT$53-1)^2+8*($CN57/CT$53)/(Peak_Time_Mor*$O43*CT$53))),"-")</f>
        <v>0.0242290355866537</v>
      </c>
      <c r="CU57" s="165" t="n">
        <f aca="false">IF(CU$53&lt;Total_Lanes,900*Peak_Time_Mor*($CN57/CU$53-1+SQRT(($CN57/CU$53-1)^2+8*($CN57/CU$53)/(Peak_Time_Mor*$O43*CU$53))),"-")</f>
        <v>0.0176482440573444</v>
      </c>
      <c r="CV57" s="165" t="n">
        <f aca="false">IF(CV$53&lt;Total_Lanes,900*Peak_Time_Mor*($CN57/CV$53-1+SQRT(($CN57/CV$53-1)^2+8*($CN57/CV$53)/(Peak_Time_Mor*$O43*CV$53))),"-")</f>
        <v>0.0134255698658325</v>
      </c>
      <c r="CW57" s="165" t="n">
        <f aca="false">IF(CW$53&lt;Total_Lanes,900*Peak_Time_Mor*($CN57/CW$53-1+SQRT(($CN57/CW$53-1)^2+8*($CN57/CW$53)/(Peak_Time_Mor*$O43*CW$53))),"-")</f>
        <v>0.010555380538424</v>
      </c>
      <c r="CX57" s="165" t="n">
        <f aca="false">IF(CX$53&lt;Total_Lanes,900*Peak_Time_Mor*($CN57/CX$53-1+SQRT(($CN57/CX$53-1)^2+8*($CN57/CX$53)/(Peak_Time_Mor*$O43*CX$53))),"-")</f>
        <v>0.00851615403376638</v>
      </c>
      <c r="CY57" s="165" t="n">
        <f aca="false">IF(CY$53&lt;Total_Lanes,900*Peak_Time_Mor*($CN57/CY$53-1+SQRT(($CN57/CY$53-1)^2+8*($CN57/CY$53)/(Peak_Time_Mor*$O43*CY$53))),"-")</f>
        <v>0.00701551609405549</v>
      </c>
      <c r="CZ57" s="165" t="str">
        <f aca="false">IF(CZ$53&lt;Total_Lanes,900*Peak_Time_Mor*($CN57/CZ$53-1+SQRT(($CN57/CZ$53-1)^2+8*($CN57/CZ$53)/(Peak_Time_Mor*$O43*CZ$53))),"-")</f>
        <v>-</v>
      </c>
      <c r="DA57" s="165" t="str">
        <f aca="false">IF(DA$53&lt;Total_Lanes,900*Peak_Time_Mor*($CN57/DA$53-1+SQRT(($CN57/DA$53-1)^2+8*($CN57/DA$53)/(Peak_Time_Mor*$O43*DA$53))),"-")</f>
        <v>-</v>
      </c>
      <c r="DB57" s="165" t="str">
        <f aca="false">IF(DB$53&lt;Total_Lanes,900*Peak_Time_Mor*($CN57/DB$53-1+SQRT(($CN57/DB$53-1)^2+8*($CN57/DB$53)/(Peak_Time_Mor*$O43*DB$53))),"-")</f>
        <v>-</v>
      </c>
      <c r="DC57" s="165" t="str">
        <f aca="false">IF(DC$53&lt;Total_Lanes,900*Peak_Time_Mor*($CN57/DC$53-1+SQRT(($CN57/DC$53-1)^2+8*($CN57/DC$53)/(Peak_Time_Mor*$O43*DC$53))),"-")</f>
        <v>-</v>
      </c>
      <c r="DD57" s="165" t="str">
        <f aca="false">IF(DD$53&lt;Total_Lanes,900*Peak_Time_Mor*($CN57/DD$53-1+SQRT(($CN57/DD$53-1)^2+8*($CN57/DD$53)/(Peak_Time_Mor*$O43*DD$53))),"-")</f>
        <v>-</v>
      </c>
      <c r="DE57" s="165" t="str">
        <f aca="false">IF(DE$53&lt;Total_Lanes,900*Peak_Time_Mor*($CN57/DE$53-1+SQRT(($CN57/DE$53-1)^2+8*($CN57/DE$53)/(Peak_Time_Mor*$O43*DE$53))),"-")</f>
        <v>-</v>
      </c>
      <c r="DF57" s="165" t="str">
        <f aca="false">IF(DF$53&lt;Total_Lanes,900*Peak_Time_Mor*($CN57/DF$53-1+SQRT(($CN57/DF$53-1)^2+8*($CN57/DF$53)/(Peak_Time_Mor*$O43*DF$53))),"-")</f>
        <v>-</v>
      </c>
      <c r="DG57" s="165" t="str">
        <f aca="false">IF(DG$53&lt;Total_Lanes,900*Peak_Time_Mor*($CN57/DG$53-1+SQRT(($CN57/DG$53-1)^2+8*($CN57/DG$53)/(Peak_Time_Mor*$O43*DG$53))),"-")</f>
        <v>-</v>
      </c>
      <c r="DH57" s="165" t="str">
        <f aca="false">IF(DH$53&lt;Total_Lanes,900*Peak_Time_Mor*($CN57/DH$53-1+SQRT(($CN57/DH$53-1)^2+8*($CN57/DH$53)/(Peak_Time_Mor*$O43*DH$53))),"-")</f>
        <v>-</v>
      </c>
      <c r="DI57" s="166" t="str">
        <f aca="false">IF(DI$53&lt;Total_Lanes,900*Peak_Time_Mor*($CN57/DI$53-1+SQRT(($CN57/DI$53-1)^2+8*($CN57/DI$53)/(Peak_Time_Mor*$O43*DI$53))),"-")</f>
        <v>-</v>
      </c>
      <c r="DJ57" s="234" t="n">
        <f aca="false">3600/$O43</f>
        <v>2.4</v>
      </c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customFormat="false" ht="12.75" hidden="false" customHeight="false" outlineLevel="0" collapsed="false">
      <c r="A58" s="4"/>
      <c r="B58" s="4"/>
      <c r="C58" s="4"/>
      <c r="D58" s="4"/>
      <c r="E58" s="4"/>
      <c r="F58" s="4"/>
      <c r="G58" s="4"/>
      <c r="H58" s="215" t="n">
        <v>18</v>
      </c>
      <c r="I58" s="216" t="n">
        <f aca="false">'Input-Detail'!BH31</f>
        <v>0.83</v>
      </c>
      <c r="J58" s="217" t="n">
        <f aca="false">1-I58</f>
        <v>0.17</v>
      </c>
      <c r="K58" s="218" t="n">
        <f aca="false">3600/(Trans_Time_Cash*I58+Trans_Time_Ticket*J58)</f>
        <v>547.528517110266</v>
      </c>
      <c r="L58" s="216" t="n">
        <f aca="false">'Input-Detail'!BJ31</f>
        <v>0.983</v>
      </c>
      <c r="M58" s="217" t="n">
        <f aca="false">1-L58</f>
        <v>0.017</v>
      </c>
      <c r="N58" s="218" t="n">
        <f aca="false">3600/(Trans_Time_Cash*L58+Trans_Time_Ticket*M58)</f>
        <v>517.427236794826</v>
      </c>
      <c r="O58" s="218" t="n">
        <f aca="false">3600/Headway_ETC</f>
        <v>1500</v>
      </c>
      <c r="P58" s="4"/>
      <c r="Q58" s="4"/>
      <c r="R58" s="4"/>
      <c r="S58" s="4"/>
      <c r="T58" s="4"/>
      <c r="U58" s="4"/>
      <c r="V58" s="50" t="n">
        <v>4</v>
      </c>
      <c r="W58" s="124" t="n">
        <f aca="false">W11</f>
        <v>21212938.4</v>
      </c>
      <c r="X58" s="131" t="n">
        <f aca="false">X11</f>
        <v>0.247136906120865</v>
      </c>
      <c r="Y58" s="124" t="n">
        <f aca="false">Y11</f>
        <v>9147.2713715846</v>
      </c>
      <c r="Z58" s="133" t="n">
        <f aca="false">W58/Y58</f>
        <v>2319.04548780488</v>
      </c>
      <c r="AA58" s="233" t="n">
        <f aca="false">AA11</f>
        <v>2</v>
      </c>
      <c r="AB58" s="157" t="n">
        <f aca="false">1-AB11</f>
        <v>0.3</v>
      </c>
      <c r="AC58" s="128" t="n">
        <f aca="false">Y58*AB58</f>
        <v>2744.18141147538</v>
      </c>
      <c r="AD58" s="150" t="n">
        <f aca="false">Peak_Time_Mor*$BH58*(CH58+BK58)/3600</f>
        <v>10.5365670067321</v>
      </c>
      <c r="AE58" s="136" t="n">
        <f aca="false">IF(AE$53&lt;Total_Lanes,($BI58*($CH58+BM58)+$CM58*CO58)*Peak_Time_Mor/3600,"-")</f>
        <v>8.75962879726422</v>
      </c>
      <c r="AF58" s="136" t="n">
        <f aca="false">IF(AF$53&lt;Total_Lanes,($BI58*($CH58+BN58)+$CM58*CP58)*Peak_Time_Mor/3600,"-")</f>
        <v>8.24905478572392</v>
      </c>
      <c r="AG58" s="136" t="n">
        <f aca="false">IF(AG$53&lt;Total_Lanes,($BI58*($CH58+BO58)+$CM58*CQ58)*Peak_Time_Mor/3600,"-")</f>
        <v>8.32444445888057</v>
      </c>
      <c r="AH58" s="136" t="n">
        <f aca="false">IF(AH$53&lt;Total_Lanes,($BI58*($CH58+BP58)+$CM58*CR58)*Peak_Time_Mor/3600,"-")</f>
        <v>8.54676916015912</v>
      </c>
      <c r="AI58" s="136" t="n">
        <f aca="false">IF(AI$53&lt;Total_Lanes,($BI58*($CH58+BQ58)+$CM58*CS58)*Peak_Time_Mor/3600,"-")</f>
        <v>8.97461635709397</v>
      </c>
      <c r="AJ58" s="136" t="n">
        <f aca="false">IF(AJ$53&lt;Total_Lanes,($BI58*($CH58+BR58)+$CM58*CT58)*Peak_Time_Mor/3600,"-")</f>
        <v>9.88896531219756</v>
      </c>
      <c r="AK58" s="136" t="n">
        <f aca="false">IF(AK$53&lt;Total_Lanes,($BI58*($CH58+BS58)+$CM58*CU58)*Peak_Time_Mor/3600,"-")</f>
        <v>12.5888225766631</v>
      </c>
      <c r="AL58" s="136" t="n">
        <f aca="false">IF(AL$53&lt;Total_Lanes,($BI58*($CH58+BT58)+$CM58*CV58)*Peak_Time_Mor/3600,"-")</f>
        <v>42.2079008823556</v>
      </c>
      <c r="AM58" s="136" t="n">
        <f aca="false">IF(AM$53&lt;Total_Lanes,($BI58*($CH58+BU58)+$CM58*CW58)*Peak_Time_Mor/3600,"-")</f>
        <v>1151.65840171464</v>
      </c>
      <c r="AN58" s="136" t="n">
        <f aca="false">IF(AN$53&lt;Total_Lanes,($BI58*($CH58+BV58)+$CM58*CX58)*Peak_Time_Mor/3600,"-")</f>
        <v>3780.06739393017</v>
      </c>
      <c r="AO58" s="136" t="n">
        <f aca="false">IF(AO$53&lt;Total_Lanes,($BI58*($CH58+BW58)+$CM58*CY58)*Peak_Time_Mor/3600,"-")</f>
        <v>11678.8143448619</v>
      </c>
      <c r="AP58" s="136" t="str">
        <f aca="false">IF(AP$53&lt;Total_Lanes,($BI58*($CH58+BX58)+$CM58*CZ58)*Peak_Time_Mor/3600,"-")</f>
        <v>-</v>
      </c>
      <c r="AQ58" s="136" t="str">
        <f aca="false">IF(AQ$53&lt;Total_Lanes,($BI58*($CH58+BY58)+$CM58*DA58)*Peak_Time_Mor/3600,"-")</f>
        <v>-</v>
      </c>
      <c r="AR58" s="136" t="str">
        <f aca="false">IF(AR$53&lt;Total_Lanes,($BI58*($CH58+BZ58)+$CM58*DB58)*Peak_Time_Mor/3600,"-")</f>
        <v>-</v>
      </c>
      <c r="AS58" s="136" t="str">
        <f aca="false">IF(AS$53&lt;Total_Lanes,($BI58*($CH58+CA58)+$CM58*DC58)*Peak_Time_Mor/3600,"-")</f>
        <v>-</v>
      </c>
      <c r="AT58" s="136" t="str">
        <f aca="false">IF(AT$53&lt;Total_Lanes,($BI58*($CH58+CB58)+$CM58*DD58)*Peak_Time_Mor/3600,"-")</f>
        <v>-</v>
      </c>
      <c r="AU58" s="136" t="str">
        <f aca="false">IF(AU$53&lt;Total_Lanes,($BI58*($CH58+CC58)+$CM58*DE58)*Peak_Time_Mor/3600,"-")</f>
        <v>-</v>
      </c>
      <c r="AV58" s="136" t="str">
        <f aca="false">IF(AV$53&lt;Total_Lanes,($BI58*($CH58+CD58)+$CM58*DF58)*Peak_Time_Mor/3600,"-")</f>
        <v>-</v>
      </c>
      <c r="AW58" s="136" t="str">
        <f aca="false">IF(AW$53&lt;Total_Lanes,($BI58*($CH58+CE58)+$CM58*DG58)*Peak_Time_Mor/3600,"-")</f>
        <v>-</v>
      </c>
      <c r="AX58" s="136" t="str">
        <f aca="false">IF(AX$53&lt;Total_Lanes,($BI58*($CH58+CF58)+$CM58*DH58)*Peak_Time_Mor/3600,"-")</f>
        <v>-</v>
      </c>
      <c r="AY58" s="137" t="str">
        <f aca="false">IF(AY$53&lt;Total_Lanes,($BI58*($CH58+CG58)+$CM58*DI58)*Peak_Time_Mor/3600,"-")</f>
        <v>-</v>
      </c>
      <c r="AZ58" s="158" t="n">
        <f aca="false">SUMIF(AE58:AY58,BA58,$AE$53:$AY$53)</f>
        <v>2</v>
      </c>
      <c r="BA58" s="159" t="n">
        <f aca="false">MIN(AE58:AY58)</f>
        <v>8.24905478572392</v>
      </c>
      <c r="BB58" s="158" t="n">
        <f aca="false">Price!X11</f>
        <v>2</v>
      </c>
      <c r="BC58" s="159" t="n">
        <f aca="false">SUMIF($AE$53:$AY$53,$BB58,$AE58:$AY58)</f>
        <v>8.24905478572392</v>
      </c>
      <c r="BF58" s="50" t="n">
        <v>4</v>
      </c>
      <c r="BG58" s="131" t="n">
        <f aca="false">$X58</f>
        <v>0.247136906120865</v>
      </c>
      <c r="BH58" s="57" t="n">
        <f aca="false">$AC58</f>
        <v>2744.18141147538</v>
      </c>
      <c r="BI58" s="135" t="n">
        <f aca="false">BH58*(1-BG58)</f>
        <v>2065.99290760896</v>
      </c>
      <c r="BJ58" s="143" t="n">
        <f aca="false">Peak_Arrival_Manual_Mor/K44</f>
        <v>3.77330649098026</v>
      </c>
      <c r="BK58" s="228" t="n">
        <f aca="false">900*Peak_Time_Mor*($BJ58/Total_Lanes-1+SQRT(($BJ58/Total_Lanes-1)^2+8*($BJ58/Total_Lanes)/(Peak_Time_Mor*$K44*Total_Lanes)))</f>
        <v>0.251285286318215</v>
      </c>
      <c r="BL58" s="143" t="n">
        <f aca="false">Peak_Arrival_Manual_Mor/N44</f>
        <v>3.82208687907659</v>
      </c>
      <c r="BM58" s="229" t="n">
        <f aca="false">IF(BM$6&lt;Total_Lanes,900*Peak_Time_Mor*($BL58/(Total_Lanes-BM$6)-1+SQRT(($BL58/(Total_Lanes-BM$6)-1)^2+8*($BL58/(Total_Lanes-BM$6))/(Peak_Time_Mor*$N44*(Total_Lanes-BM$6)))),"-")</f>
        <v>0.322347503888376</v>
      </c>
      <c r="BN58" s="165" t="n">
        <f aca="false">IF(BN$6&lt;Total_Lanes,900*Peak_Time_Mor*($BL58/(Total_Lanes-BN$6)-1+SQRT(($BL58/(Total_Lanes-BN$6)-1)^2+8*($BL58/(Total_Lanes-BN$6))/(Peak_Time_Mor*$N44*(Total_Lanes-BN$6)))),"-")</f>
        <v>0.411957629949433</v>
      </c>
      <c r="BO58" s="165" t="n">
        <f aca="false">IF(BO$6&lt;Total_Lanes,900*Peak_Time_Mor*($BL58/(Total_Lanes-BO$6)-1+SQRT(($BL58/(Total_Lanes-BO$6)-1)^2+8*($BL58/(Total_Lanes-BO$6))/(Peak_Time_Mor*$N44*(Total_Lanes-BO$6)))),"-")</f>
        <v>0.546088490263097</v>
      </c>
      <c r="BP58" s="165" t="n">
        <f aca="false">IF(BP$6&lt;Total_Lanes,900*Peak_Time_Mor*($BL58/(Total_Lanes-BP$6)-1+SQRT(($BL58/(Total_Lanes-BP$6)-1)^2+8*($BL58/(Total_Lanes-BP$6))/(Peak_Time_Mor*$N44*(Total_Lanes-BP$6)))),"-")</f>
        <v>0.761289026717349</v>
      </c>
      <c r="BQ58" s="165" t="n">
        <f aca="false">IF(BQ$6&lt;Total_Lanes,900*Peak_Time_Mor*($BL58/(Total_Lanes-BQ$6)-1+SQRT(($BL58/(Total_Lanes-BQ$6)-1)^2+8*($BL58/(Total_Lanes-BQ$6))/(Peak_Time_Mor*$N44*(Total_Lanes-BQ$6)))),"-")</f>
        <v>1.14348631989285</v>
      </c>
      <c r="BR58" s="165" t="n">
        <f aca="false">IF(BR$6&lt;Total_Lanes,900*Peak_Time_Mor*($BL58/(Total_Lanes-BR$6)-1+SQRT(($BL58/(Total_Lanes-BR$6)-1)^2+8*($BL58/(Total_Lanes-BR$6))/(Peak_Time_Mor*$N44*(Total_Lanes-BR$6)))),"-")</f>
        <v>1.94507799587011</v>
      </c>
      <c r="BS58" s="165" t="n">
        <f aca="false">IF(BS$6&lt;Total_Lanes,900*Peak_Time_Mor*($BL58/(Total_Lanes-BS$6)-1+SQRT(($BL58/(Total_Lanes-BS$6)-1)^2+8*($BL58/(Total_Lanes-BS$6))/(Peak_Time_Mor*$N44*(Total_Lanes-BS$6)))),"-")</f>
        <v>4.3002628443243</v>
      </c>
      <c r="BT58" s="165" t="n">
        <f aca="false">IF(BT$6&lt;Total_Lanes,900*Peak_Time_Mor*($BL58/(Total_Lanes-BT$6)-1+SQRT(($BL58/(Total_Lanes-BT$6)-1)^2+8*($BL58/(Total_Lanes-BT$6))/(Peak_Time_Mor*$N44*(Total_Lanes-BT$6)))),"-")</f>
        <v>30.1078098554847</v>
      </c>
      <c r="BU58" s="165" t="n">
        <f aca="false">IF(BU$6&lt;Total_Lanes,900*Peak_Time_Mor*($BL58/(Total_Lanes-BU$6)-1+SQRT(($BL58/(Total_Lanes-BU$6)-1)^2+8*($BL58/(Total_Lanes-BU$6))/(Peak_Time_Mor*$N44*(Total_Lanes-BU$6)))),"-")</f>
        <v>996.719803345623</v>
      </c>
      <c r="BV58" s="165" t="n">
        <f aca="false">IF(BV$6&lt;Total_Lanes,900*Peak_Time_Mor*($BL58/(Total_Lanes-BV$6)-1+SQRT(($BL58/(Total_Lanes-BV$6)-1)^2+8*($BL58/(Total_Lanes-BV$6))/(Peak_Time_Mor*$N44*(Total_Lanes-BV$6)))),"-")</f>
        <v>3286.72671809077</v>
      </c>
      <c r="BW58" s="230" t="n">
        <f aca="false">IF(BW$6&lt;Total_Lanes,900*Peak_Time_Mor*($BL58/(Total_Lanes-BW$6)-1+SQRT(($BL58/(Total_Lanes-BW$6)-1)^2+8*($BL58/(Total_Lanes-BW$6))/(Peak_Time_Mor*$N44*(Total_Lanes-BW$6)))),"-")</f>
        <v>10168.5247263397</v>
      </c>
      <c r="BX58" s="165" t="str">
        <f aca="false">IF(BX$6&lt;Total_Lanes,900*Peak_Time_Mor*($BL58/(Total_Lanes-BX$6)-1+SQRT(($BL58/(Total_Lanes-BX$6)-1)^2+8*($BL58/(Total_Lanes-BX$6))/(Peak_Time_Mor*$N44*(Total_Lanes-BX$6)))),"-")</f>
        <v>-</v>
      </c>
      <c r="BY58" s="165" t="str">
        <f aca="false">IF(BY$6&lt;Total_Lanes,900*Peak_Time_Mor*($BL58/(Total_Lanes-BY$6)-1+SQRT(($BL58/(Total_Lanes-BY$6)-1)^2+8*($BL58/(Total_Lanes-BY$6))/(Peak_Time_Mor*$N44*(Total_Lanes-BY$6)))),"-")</f>
        <v>-</v>
      </c>
      <c r="BZ58" s="165" t="str">
        <f aca="false">IF(BZ$6&lt;Total_Lanes,900*Peak_Time_Mor*($BL58/(Total_Lanes-BZ$6)-1+SQRT(($BL58/(Total_Lanes-BZ$6)-1)^2+8*($BL58/(Total_Lanes-BZ$6))/(Peak_Time_Mor*$N44*(Total_Lanes-BZ$6)))),"-")</f>
        <v>-</v>
      </c>
      <c r="CA58" s="165" t="str">
        <f aca="false">IF(CA$6&lt;Total_Lanes,900*Peak_Time_Mor*($BL58/(Total_Lanes-CA$6)-1+SQRT(($BL58/(Total_Lanes-CA$6)-1)^2+8*($BL58/(Total_Lanes-CA$6))/(Peak_Time_Mor*$N44*(Total_Lanes-CA$6)))),"-")</f>
        <v>-</v>
      </c>
      <c r="CB58" s="165" t="str">
        <f aca="false">IF(CB$6&lt;Total_Lanes,900*Peak_Time_Mor*($BL58/(Total_Lanes-CB$6)-1+SQRT(($BL58/(Total_Lanes-CB$6)-1)^2+8*($BL58/(Total_Lanes-CB$6))/(Peak_Time_Mor*$N44*(Total_Lanes-CB$6)))),"-")</f>
        <v>-</v>
      </c>
      <c r="CC58" s="165" t="str">
        <f aca="false">IF(CC$6&lt;Total_Lanes,900*Peak_Time_Mor*($BL58/(Total_Lanes-CC$6)-1+SQRT(($BL58/(Total_Lanes-CC$6)-1)^2+8*($BL58/(Total_Lanes-CC$6))/(Peak_Time_Mor*$N44*(Total_Lanes-CC$6)))),"-")</f>
        <v>-</v>
      </c>
      <c r="CD58" s="165" t="str">
        <f aca="false">IF(CD$6&lt;Total_Lanes,900*Peak_Time_Mor*($BL58/(Total_Lanes-CD$6)-1+SQRT(($BL58/(Total_Lanes-CD$6)-1)^2+8*($BL58/(Total_Lanes-CD$6))/(Peak_Time_Mor*$N44*(Total_Lanes-CD$6)))),"-")</f>
        <v>-</v>
      </c>
      <c r="CE58" s="165" t="str">
        <f aca="false">IF(CE$6&lt;Total_Lanes,900*Peak_Time_Mor*($BL58/(Total_Lanes-CE$6)-1+SQRT(($BL58/(Total_Lanes-CE$6)-1)^2+8*($BL58/(Total_Lanes-CE$6))/(Peak_Time_Mor*$N44*(Total_Lanes-CE$6)))),"-")</f>
        <v>-</v>
      </c>
      <c r="CF58" s="165" t="str">
        <f aca="false">IF(CF$6&lt;Total_Lanes,900*Peak_Time_Mor*($BL58/(Total_Lanes-CF$6)-1+SQRT(($BL58/(Total_Lanes-CF$6)-1)^2+8*($BL58/(Total_Lanes-CF$6))/(Peak_Time_Mor*$N44*(Total_Lanes-CF$6)))),"-")</f>
        <v>-</v>
      </c>
      <c r="CG58" s="166" t="str">
        <f aca="false">IF(CG$6&lt;Total_Lanes,900*Peak_Time_Mor*($BL58/(Total_Lanes-CG$6)-1+SQRT(($BL58/(Total_Lanes-CG$6)-1)^2+8*($BL58/(Total_Lanes-CG$6))/(Peak_Time_Mor*$N44*(Total_Lanes-CG$6)))),"-")</f>
        <v>-</v>
      </c>
      <c r="CH58" s="234" t="n">
        <f aca="false">3600/N44</f>
        <v>6.66</v>
      </c>
      <c r="CJ58" s="50" t="n">
        <v>4</v>
      </c>
      <c r="CK58" s="131" t="n">
        <f aca="false">$X58</f>
        <v>0.247136906120865</v>
      </c>
      <c r="CL58" s="150" t="n">
        <f aca="false">$AC58</f>
        <v>2744.18141147538</v>
      </c>
      <c r="CM58" s="150" t="n">
        <f aca="false">CL58*CK58</f>
        <v>678.188503866415</v>
      </c>
      <c r="CN58" s="161" t="n">
        <f aca="false">CM58/O44</f>
        <v>0.452125669244276</v>
      </c>
      <c r="CO58" s="165" t="n">
        <f aca="false">IF(CO$53&lt;Total_Lanes,900*Peak_Time_Mor*($CN58/CO$53-1+SQRT(($CN58/CO$53-1)^2+8*($CN58/CO$53)/(Peak_Time_Mor*$O44*CO$53))),"-")</f>
        <v>1.97858177472936</v>
      </c>
      <c r="CP58" s="165" t="n">
        <f aca="false">IF(CP$53&lt;Total_Lanes,900*Peak_Time_Mor*($CN58/CP$53-1+SQRT(($CN58/CP$53-1)^2+8*($CN58/CP$53)/(Peak_Time_Mor*$O44*CP$53))),"-")</f>
        <v>0.350469385077101</v>
      </c>
      <c r="CQ58" s="165" t="n">
        <f aca="false">IF(CQ$53&lt;Total_Lanes,900*Peak_Time_Mor*($CN58/CQ$53-1+SQRT(($CN58/CQ$53-1)^2+8*($CN58/CQ$53)/(Peak_Time_Mor*$O44*CQ$53))),"-")</f>
        <v>0.141955095006807</v>
      </c>
      <c r="CR58" s="165" t="n">
        <f aca="false">IF(CR$53&lt;Total_Lanes,900*Peak_Time_Mor*($CN58/CR$53-1+SQRT(($CN58/CR$53-1)^2+8*($CN58/CR$53)/(Peak_Time_Mor*$O44*CR$53))),"-")</f>
        <v>0.0764595587753325</v>
      </c>
      <c r="CS58" s="165" t="n">
        <f aca="false">IF(CS$53&lt;Total_Lanes,900*Peak_Time_Mor*($CN58/CS$53-1+SQRT(($CN58/CS$53-1)^2+8*($CN58/CS$53)/(Peak_Time_Mor*$O44*CS$53))),"-")</f>
        <v>0.0477183719016727</v>
      </c>
      <c r="CT58" s="165" t="n">
        <f aca="false">IF(CT$53&lt;Total_Lanes,900*Peak_Time_Mor*($CN58/CT$53-1+SQRT(($CN58/CT$53-1)^2+8*($CN58/CT$53)/(Peak_Time_Mor*$O44*CT$53))),"-")</f>
        <v>0.032597799785683</v>
      </c>
      <c r="CU58" s="165" t="n">
        <f aca="false">IF(CU$53&lt;Total_Lanes,900*Peak_Time_Mor*($CN58/CU$53-1+SQRT(($CN58/CU$53-1)^2+8*($CN58/CU$53)/(Peak_Time_Mor*$O44*CU$53))),"-")</f>
        <v>0.0236738546850024</v>
      </c>
      <c r="CV58" s="165" t="n">
        <f aca="false">IF(CV$53&lt;Total_Lanes,900*Peak_Time_Mor*($CN58/CV$53-1+SQRT(($CN58/CV$53-1)^2+8*($CN58/CV$53)/(Peak_Time_Mor*$O44*CV$53))),"-")</f>
        <v>0.0179702227686374</v>
      </c>
      <c r="CW58" s="165" t="n">
        <f aca="false">IF(CW$53&lt;Total_Lanes,900*Peak_Time_Mor*($CN58/CW$53-1+SQRT(($CN58/CW$53-1)^2+8*($CN58/CW$53)/(Peak_Time_Mor*$O44*CW$53))),"-")</f>
        <v>0.0141048339156402</v>
      </c>
      <c r="CX58" s="165" t="n">
        <f aca="false">IF(CX$53&lt;Total_Lanes,900*Peak_Time_Mor*($CN58/CX$53-1+SQRT(($CN58/CX$53-1)^2+8*($CN58/CX$53)/(Peak_Time_Mor*$O44*CX$53))),"-")</f>
        <v>0.0113648125316557</v>
      </c>
      <c r="CY58" s="165" t="n">
        <f aca="false">IF(CY$53&lt;Total_Lanes,900*Peak_Time_Mor*($CN58/CY$53-1+SQRT(($CN58/CY$53-1)^2+8*($CN58/CY$53)/(Peak_Time_Mor*$O44*CY$53))),"-")</f>
        <v>0.00935215288151436</v>
      </c>
      <c r="CZ58" s="165" t="str">
        <f aca="false">IF(CZ$53&lt;Total_Lanes,900*Peak_Time_Mor*($CN58/CZ$53-1+SQRT(($CN58/CZ$53-1)^2+8*($CN58/CZ$53)/(Peak_Time_Mor*$O44*CZ$53))),"-")</f>
        <v>-</v>
      </c>
      <c r="DA58" s="165" t="str">
        <f aca="false">IF(DA$53&lt;Total_Lanes,900*Peak_Time_Mor*($CN58/DA$53-1+SQRT(($CN58/DA$53-1)^2+8*($CN58/DA$53)/(Peak_Time_Mor*$O44*DA$53))),"-")</f>
        <v>-</v>
      </c>
      <c r="DB58" s="165" t="str">
        <f aca="false">IF(DB$53&lt;Total_Lanes,900*Peak_Time_Mor*($CN58/DB$53-1+SQRT(($CN58/DB$53-1)^2+8*($CN58/DB$53)/(Peak_Time_Mor*$O44*DB$53))),"-")</f>
        <v>-</v>
      </c>
      <c r="DC58" s="165" t="str">
        <f aca="false">IF(DC$53&lt;Total_Lanes,900*Peak_Time_Mor*($CN58/DC$53-1+SQRT(($CN58/DC$53-1)^2+8*($CN58/DC$53)/(Peak_Time_Mor*$O44*DC$53))),"-")</f>
        <v>-</v>
      </c>
      <c r="DD58" s="165" t="str">
        <f aca="false">IF(DD$53&lt;Total_Lanes,900*Peak_Time_Mor*($CN58/DD$53-1+SQRT(($CN58/DD$53-1)^2+8*($CN58/DD$53)/(Peak_Time_Mor*$O44*DD$53))),"-")</f>
        <v>-</v>
      </c>
      <c r="DE58" s="165" t="str">
        <f aca="false">IF(DE$53&lt;Total_Lanes,900*Peak_Time_Mor*($CN58/DE$53-1+SQRT(($CN58/DE$53-1)^2+8*($CN58/DE$53)/(Peak_Time_Mor*$O44*DE$53))),"-")</f>
        <v>-</v>
      </c>
      <c r="DF58" s="165" t="str">
        <f aca="false">IF(DF$53&lt;Total_Lanes,900*Peak_Time_Mor*($CN58/DF$53-1+SQRT(($CN58/DF$53-1)^2+8*($CN58/DF$53)/(Peak_Time_Mor*$O44*DF$53))),"-")</f>
        <v>-</v>
      </c>
      <c r="DG58" s="165" t="str">
        <f aca="false">IF(DG$53&lt;Total_Lanes,900*Peak_Time_Mor*($CN58/DG$53-1+SQRT(($CN58/DG$53-1)^2+8*($CN58/DG$53)/(Peak_Time_Mor*$O44*DG$53))),"-")</f>
        <v>-</v>
      </c>
      <c r="DH58" s="165" t="str">
        <f aca="false">IF(DH$53&lt;Total_Lanes,900*Peak_Time_Mor*($CN58/DH$53-1+SQRT(($CN58/DH$53-1)^2+8*($CN58/DH$53)/(Peak_Time_Mor*$O44*DH$53))),"-")</f>
        <v>-</v>
      </c>
      <c r="DI58" s="166" t="str">
        <f aca="false">IF(DI$53&lt;Total_Lanes,900*Peak_Time_Mor*($CN58/DI$53-1+SQRT(($CN58/DI$53-1)^2+8*($CN58/DI$53)/(Peak_Time_Mor*$O44*DI$53))),"-")</f>
        <v>-</v>
      </c>
      <c r="DJ58" s="234" t="n">
        <f aca="false">3600/$O44</f>
        <v>2.4</v>
      </c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customFormat="false" ht="12.75" hidden="false" customHeight="false" outlineLevel="0" collapsed="false">
      <c r="A59" s="4"/>
      <c r="B59" s="4"/>
      <c r="C59" s="4"/>
      <c r="D59" s="4"/>
      <c r="E59" s="4"/>
      <c r="F59" s="4"/>
      <c r="G59" s="4"/>
      <c r="H59" s="215" t="n">
        <v>19</v>
      </c>
      <c r="I59" s="216" t="n">
        <f aca="false">'Input-Detail'!BH32</f>
        <v>0.83</v>
      </c>
      <c r="J59" s="217" t="n">
        <f aca="false">1-I59</f>
        <v>0.17</v>
      </c>
      <c r="K59" s="218" t="n">
        <f aca="false">3600/(Trans_Time_Cash*I59+Trans_Time_Ticket*J59)</f>
        <v>547.528517110266</v>
      </c>
      <c r="L59" s="216" t="n">
        <f aca="false">'Input-Detail'!BJ32</f>
        <v>0.9915</v>
      </c>
      <c r="M59" s="217" t="n">
        <f aca="false">1-L59</f>
        <v>0.00849999999999995</v>
      </c>
      <c r="N59" s="218" t="n">
        <f aca="false">3600/(Trans_Time_Cash*L59+Trans_Time_Ticket*M59)</f>
        <v>515.851692638366</v>
      </c>
      <c r="O59" s="218" t="n">
        <f aca="false">3600/Headway_ETC</f>
        <v>1500</v>
      </c>
      <c r="P59" s="4"/>
      <c r="Q59" s="4"/>
      <c r="R59" s="4"/>
      <c r="S59" s="4"/>
      <c r="T59" s="4"/>
      <c r="U59" s="4"/>
      <c r="V59" s="50" t="n">
        <v>5</v>
      </c>
      <c r="W59" s="124" t="n">
        <f aca="false">W12</f>
        <v>21762129.75</v>
      </c>
      <c r="X59" s="131" t="n">
        <f aca="false">X12</f>
        <v>0.298984514248523</v>
      </c>
      <c r="Y59" s="124" t="n">
        <f aca="false">Y12</f>
        <v>9384.08921448075</v>
      </c>
      <c r="Z59" s="133" t="n">
        <f aca="false">W59/Y59</f>
        <v>2319.04548780488</v>
      </c>
      <c r="AA59" s="233" t="n">
        <f aca="false">AA12</f>
        <v>2</v>
      </c>
      <c r="AB59" s="157" t="n">
        <f aca="false">1-AB12</f>
        <v>0.3</v>
      </c>
      <c r="AC59" s="128" t="n">
        <f aca="false">Y59*AB59</f>
        <v>2815.22676434422</v>
      </c>
      <c r="AD59" s="150" t="n">
        <f aca="false">Peak_Time_Mor*$BH59*(CH59+BK59)/3600</f>
        <v>10.8174473241586</v>
      </c>
      <c r="AE59" s="136" t="n">
        <f aca="false">IF(AE$53&lt;Total_Lanes,($BI59*($CH59+BM59)+$CM59*CO59)*Peak_Time_Mor/3600,"-")</f>
        <v>9.08989546578217</v>
      </c>
      <c r="AF59" s="136" t="n">
        <f aca="false">IF(AF$53&lt;Total_Lanes,($BI59*($CH59+BN59)+$CM59*CP59)*Peak_Time_Mor/3600,"-")</f>
        <v>7.96740561366489</v>
      </c>
      <c r="AG59" s="136" t="n">
        <f aca="false">IF(AG$53&lt;Total_Lanes,($BI59*($CH59+BO59)+$CM59*CQ59)*Peak_Time_Mor/3600,"-")</f>
        <v>7.96978775467551</v>
      </c>
      <c r="AH59" s="136" t="n">
        <f aca="false">IF(AH$53&lt;Total_Lanes,($BI59*($CH59+BP59)+$CM59*CR59)*Peak_Time_Mor/3600,"-")</f>
        <v>8.1440449518041</v>
      </c>
      <c r="AI59" s="136" t="n">
        <f aca="false">IF(AI$53&lt;Total_Lanes,($BI59*($CH59+BQ59)+$CM59*CS59)*Peak_Time_Mor/3600,"-")</f>
        <v>8.50146763434726</v>
      </c>
      <c r="AJ59" s="136" t="n">
        <f aca="false">IF(AJ$53&lt;Total_Lanes,($BI59*($CH59+BR59)+$CM59*CT59)*Peak_Time_Mor/3600,"-")</f>
        <v>9.25538515232037</v>
      </c>
      <c r="AK59" s="136" t="n">
        <f aca="false">IF(AK$53&lt;Total_Lanes,($BI59*($CH59+BS59)+$CM59*CU59)*Peak_Time_Mor/3600,"-")</f>
        <v>11.3365991292248</v>
      </c>
      <c r="AL59" s="136" t="n">
        <f aca="false">IF(AL$53&lt;Total_Lanes,($BI59*($CH59+BT59)+$CM59*CV59)*Peak_Time_Mor/3600,"-")</f>
        <v>26.1553129994345</v>
      </c>
      <c r="AM59" s="136" t="n">
        <f aca="false">IF(AM$53&lt;Total_Lanes,($BI59*($CH59+BU59)+$CM59*CW59)*Peak_Time_Mor/3600,"-")</f>
        <v>892.470254202892</v>
      </c>
      <c r="AN59" s="136" t="n">
        <f aca="false">IF(AN$53&lt;Total_Lanes,($BI59*($CH59+BV59)+$CM59*CX59)*Peak_Time_Mor/3600,"-")</f>
        <v>3296.66291165921</v>
      </c>
      <c r="AO59" s="136" t="n">
        <f aca="false">IF(AO$53&lt;Total_Lanes,($BI59*($CH59+BW59)+$CM59*CY59)*Peak_Time_Mor/3600,"-")</f>
        <v>10526.9971616931</v>
      </c>
      <c r="AP59" s="136" t="str">
        <f aca="false">IF(AP$53&lt;Total_Lanes,($BI59*($CH59+BX59)+$CM59*CZ59)*Peak_Time_Mor/3600,"-")</f>
        <v>-</v>
      </c>
      <c r="AQ59" s="136" t="str">
        <f aca="false">IF(AQ$53&lt;Total_Lanes,($BI59*($CH59+BY59)+$CM59*DA59)*Peak_Time_Mor/3600,"-")</f>
        <v>-</v>
      </c>
      <c r="AR59" s="136" t="str">
        <f aca="false">IF(AR$53&lt;Total_Lanes,($BI59*($CH59+BZ59)+$CM59*DB59)*Peak_Time_Mor/3600,"-")</f>
        <v>-</v>
      </c>
      <c r="AS59" s="136" t="str">
        <f aca="false">IF(AS$53&lt;Total_Lanes,($BI59*($CH59+CA59)+$CM59*DC59)*Peak_Time_Mor/3600,"-")</f>
        <v>-</v>
      </c>
      <c r="AT59" s="136" t="str">
        <f aca="false">IF(AT$53&lt;Total_Lanes,($BI59*($CH59+CB59)+$CM59*DD59)*Peak_Time_Mor/3600,"-")</f>
        <v>-</v>
      </c>
      <c r="AU59" s="136" t="str">
        <f aca="false">IF(AU$53&lt;Total_Lanes,($BI59*($CH59+CC59)+$CM59*DE59)*Peak_Time_Mor/3600,"-")</f>
        <v>-</v>
      </c>
      <c r="AV59" s="136" t="str">
        <f aca="false">IF(AV$53&lt;Total_Lanes,($BI59*($CH59+CD59)+$CM59*DF59)*Peak_Time_Mor/3600,"-")</f>
        <v>-</v>
      </c>
      <c r="AW59" s="136" t="str">
        <f aca="false">IF(AW$53&lt;Total_Lanes,($BI59*($CH59+CE59)+$CM59*DG59)*Peak_Time_Mor/3600,"-")</f>
        <v>-</v>
      </c>
      <c r="AX59" s="136" t="str">
        <f aca="false">IF(AX$53&lt;Total_Lanes,($BI59*($CH59+CF59)+$CM59*DH59)*Peak_Time_Mor/3600,"-")</f>
        <v>-</v>
      </c>
      <c r="AY59" s="137" t="str">
        <f aca="false">IF(AY$53&lt;Total_Lanes,($BI59*($CH59+CG59)+$CM59*DI59)*Peak_Time_Mor/3600,"-")</f>
        <v>-</v>
      </c>
      <c r="AZ59" s="158" t="n">
        <f aca="false">SUMIF(AE59:AY59,BA59,$AE$53:$AY$53)</f>
        <v>2</v>
      </c>
      <c r="BA59" s="159" t="n">
        <f aca="false">MIN(AE59:AY59)</f>
        <v>7.96740561366489</v>
      </c>
      <c r="BB59" s="158" t="n">
        <f aca="false">Price!X12</f>
        <v>2</v>
      </c>
      <c r="BC59" s="159" t="n">
        <f aca="false">SUMIF($AE$53:$AY$53,$BB59,$AE59:$AY59)</f>
        <v>7.96740561366489</v>
      </c>
      <c r="BF59" s="50" t="n">
        <v>5</v>
      </c>
      <c r="BG59" s="131" t="n">
        <f aca="false">$X59</f>
        <v>0.298984514248523</v>
      </c>
      <c r="BH59" s="57" t="n">
        <f aca="false">$AC59</f>
        <v>2815.22676434422</v>
      </c>
      <c r="BI59" s="135" t="n">
        <f aca="false">BH59*(1-BG59)</f>
        <v>1973.51755770733</v>
      </c>
      <c r="BJ59" s="143" t="n">
        <f aca="false">Peak_Arrival_Manual_Mor/K45</f>
        <v>3.6044105394238</v>
      </c>
      <c r="BK59" s="228" t="n">
        <f aca="false">900*Peak_Time_Mor*($BJ59/Total_Lanes-1+SQRT(($BJ59/Total_Lanes-1)^2+8*($BJ59/Total_Lanes)/(Peak_Time_Mor*$K45*Total_Lanes)))</f>
        <v>0.235210666720409</v>
      </c>
      <c r="BL59" s="143" t="n">
        <f aca="false">Peak_Arrival_Manual_Mor/N45</f>
        <v>3.66265671734224</v>
      </c>
      <c r="BM59" s="229" t="n">
        <f aca="false">IF(BM$6&lt;Total_Lanes,900*Peak_Time_Mor*($BL59/(Total_Lanes-BM$6)-1+SQRT(($BL59/(Total_Lanes-BM$6)-1)^2+8*($BL59/(Total_Lanes-BM$6))/(Peak_Time_Mor*$N45*(Total_Lanes-BM$6)))),"-")</f>
        <v>0.303156993046549</v>
      </c>
      <c r="BN59" s="165" t="n">
        <f aca="false">IF(BN$6&lt;Total_Lanes,900*Peak_Time_Mor*($BL59/(Total_Lanes-BN$6)-1+SQRT(($BL59/(Total_Lanes-BN$6)-1)^2+8*($BL59/(Total_Lanes-BN$6))/(Peak_Time_Mor*$N45*(Total_Lanes-BN$6)))),"-")</f>
        <v>0.386076368059207</v>
      </c>
      <c r="BO59" s="165" t="n">
        <f aca="false">IF(BO$6&lt;Total_Lanes,900*Peak_Time_Mor*($BL59/(Total_Lanes-BO$6)-1+SQRT(($BL59/(Total_Lanes-BO$6)-1)^2+8*($BL59/(Total_Lanes-BO$6))/(Peak_Time_Mor*$N45*(Total_Lanes-BO$6)))),"-")</f>
        <v>0.50931058265693</v>
      </c>
      <c r="BP59" s="165" t="n">
        <f aca="false">IF(BP$6&lt;Total_Lanes,900*Peak_Time_Mor*($BL59/(Total_Lanes-BP$6)-1+SQRT(($BL59/(Total_Lanes-BP$6)-1)^2+8*($BL59/(Total_Lanes-BP$6))/(Peak_Time_Mor*$N45*(Total_Lanes-BP$6)))),"-")</f>
        <v>0.704990585093568</v>
      </c>
      <c r="BQ59" s="165" t="n">
        <f aca="false">IF(BQ$6&lt;Total_Lanes,900*Peak_Time_Mor*($BL59/(Total_Lanes-BQ$6)-1+SQRT(($BL59/(Total_Lanes-BQ$6)-1)^2+8*($BL59/(Total_Lanes-BQ$6))/(Peak_Time_Mor*$N45*(Total_Lanes-BQ$6)))),"-")</f>
        <v>1.046863857991</v>
      </c>
      <c r="BR59" s="165" t="n">
        <f aca="false">IF(BR$6&lt;Total_Lanes,900*Peak_Time_Mor*($BL59/(Total_Lanes-BR$6)-1+SQRT(($BL59/(Total_Lanes-BR$6)-1)^2+8*($BL59/(Total_Lanes-BR$6))/(Peak_Time_Mor*$N45*(Total_Lanes-BR$6)))),"-")</f>
        <v>1.7427730019179</v>
      </c>
      <c r="BS59" s="165" t="n">
        <f aca="false">IF(BS$6&lt;Total_Lanes,900*Peak_Time_Mor*($BL59/(Total_Lanes-BS$6)-1+SQRT(($BL59/(Total_Lanes-BS$6)-1)^2+8*($BL59/(Total_Lanes-BS$6))/(Peak_Time_Mor*$N45*(Total_Lanes-BS$6)))),"-")</f>
        <v>3.64585787528641</v>
      </c>
      <c r="BT59" s="165" t="n">
        <f aca="false">IF(BT$6&lt;Total_Lanes,900*Peak_Time_Mor*($BL59/(Total_Lanes-BT$6)-1+SQRT(($BL59/(Total_Lanes-BT$6)-1)^2+8*($BL59/(Total_Lanes-BT$6))/(Peak_Time_Mor*$N45*(Total_Lanes-BT$6)))),"-")</f>
        <v>17.1647580662758</v>
      </c>
      <c r="BU59" s="165" t="n">
        <f aca="false">IF(BU$6&lt;Total_Lanes,900*Peak_Time_Mor*($BL59/(Total_Lanes-BU$6)-1+SQRT(($BL59/(Total_Lanes-BU$6)-1)^2+8*($BL59/(Total_Lanes-BU$6))/(Peak_Time_Mor*$N45*(Total_Lanes-BU$6)))),"-")</f>
        <v>807.312791375676</v>
      </c>
      <c r="BV59" s="165" t="n">
        <f aca="false">IF(BV$6&lt;Total_Lanes,900*Peak_Time_Mor*($BL59/(Total_Lanes-BV$6)-1+SQRT(($BL59/(Total_Lanes-BV$6)-1)^2+8*($BL59/(Total_Lanes-BV$6))/(Peak_Time_Mor*$N45*(Total_Lanes-BV$6)))),"-")</f>
        <v>3000.12312747943</v>
      </c>
      <c r="BW59" s="230" t="n">
        <f aca="false">IF(BW$6&lt;Total_Lanes,900*Peak_Time_Mor*($BL59/(Total_Lanes-BW$6)-1+SQRT(($BL59/(Total_Lanes-BW$6)-1)^2+8*($BL59/(Total_Lanes-BW$6))/(Peak_Time_Mor*$N45*(Total_Lanes-BW$6)))),"-")</f>
        <v>9594.74587956086</v>
      </c>
      <c r="BX59" s="165" t="str">
        <f aca="false">IF(BX$6&lt;Total_Lanes,900*Peak_Time_Mor*($BL59/(Total_Lanes-BX$6)-1+SQRT(($BL59/(Total_Lanes-BX$6)-1)^2+8*($BL59/(Total_Lanes-BX$6))/(Peak_Time_Mor*$N45*(Total_Lanes-BX$6)))),"-")</f>
        <v>-</v>
      </c>
      <c r="BY59" s="165" t="str">
        <f aca="false">IF(BY$6&lt;Total_Lanes,900*Peak_Time_Mor*($BL59/(Total_Lanes-BY$6)-1+SQRT(($BL59/(Total_Lanes-BY$6)-1)^2+8*($BL59/(Total_Lanes-BY$6))/(Peak_Time_Mor*$N45*(Total_Lanes-BY$6)))),"-")</f>
        <v>-</v>
      </c>
      <c r="BZ59" s="165" t="str">
        <f aca="false">IF(BZ$6&lt;Total_Lanes,900*Peak_Time_Mor*($BL59/(Total_Lanes-BZ$6)-1+SQRT(($BL59/(Total_Lanes-BZ$6)-1)^2+8*($BL59/(Total_Lanes-BZ$6))/(Peak_Time_Mor*$N45*(Total_Lanes-BZ$6)))),"-")</f>
        <v>-</v>
      </c>
      <c r="CA59" s="165" t="str">
        <f aca="false">IF(CA$6&lt;Total_Lanes,900*Peak_Time_Mor*($BL59/(Total_Lanes-CA$6)-1+SQRT(($BL59/(Total_Lanes-CA$6)-1)^2+8*($BL59/(Total_Lanes-CA$6))/(Peak_Time_Mor*$N45*(Total_Lanes-CA$6)))),"-")</f>
        <v>-</v>
      </c>
      <c r="CB59" s="165" t="str">
        <f aca="false">IF(CB$6&lt;Total_Lanes,900*Peak_Time_Mor*($BL59/(Total_Lanes-CB$6)-1+SQRT(($BL59/(Total_Lanes-CB$6)-1)^2+8*($BL59/(Total_Lanes-CB$6))/(Peak_Time_Mor*$N45*(Total_Lanes-CB$6)))),"-")</f>
        <v>-</v>
      </c>
      <c r="CC59" s="165" t="str">
        <f aca="false">IF(CC$6&lt;Total_Lanes,900*Peak_Time_Mor*($BL59/(Total_Lanes-CC$6)-1+SQRT(($BL59/(Total_Lanes-CC$6)-1)^2+8*($BL59/(Total_Lanes-CC$6))/(Peak_Time_Mor*$N45*(Total_Lanes-CC$6)))),"-")</f>
        <v>-</v>
      </c>
      <c r="CD59" s="165" t="str">
        <f aca="false">IF(CD$6&lt;Total_Lanes,900*Peak_Time_Mor*($BL59/(Total_Lanes-CD$6)-1+SQRT(($BL59/(Total_Lanes-CD$6)-1)^2+8*($BL59/(Total_Lanes-CD$6))/(Peak_Time_Mor*$N45*(Total_Lanes-CD$6)))),"-")</f>
        <v>-</v>
      </c>
      <c r="CE59" s="165" t="str">
        <f aca="false">IF(CE$6&lt;Total_Lanes,900*Peak_Time_Mor*($BL59/(Total_Lanes-CE$6)-1+SQRT(($BL59/(Total_Lanes-CE$6)-1)^2+8*($BL59/(Total_Lanes-CE$6))/(Peak_Time_Mor*$N45*(Total_Lanes-CE$6)))),"-")</f>
        <v>-</v>
      </c>
      <c r="CF59" s="165" t="str">
        <f aca="false">IF(CF$6&lt;Total_Lanes,900*Peak_Time_Mor*($BL59/(Total_Lanes-CF$6)-1+SQRT(($BL59/(Total_Lanes-CF$6)-1)^2+8*($BL59/(Total_Lanes-CF$6))/(Peak_Time_Mor*$N45*(Total_Lanes-CF$6)))),"-")</f>
        <v>-</v>
      </c>
      <c r="CG59" s="166" t="str">
        <f aca="false">IF(CG$6&lt;Total_Lanes,900*Peak_Time_Mor*($BL59/(Total_Lanes-CG$6)-1+SQRT(($BL59/(Total_Lanes-CG$6)-1)^2+8*($BL59/(Total_Lanes-CG$6))/(Peak_Time_Mor*$N45*(Total_Lanes-CG$6)))),"-")</f>
        <v>-</v>
      </c>
      <c r="CH59" s="234" t="n">
        <f aca="false">3600/N45</f>
        <v>6.68125</v>
      </c>
      <c r="CJ59" s="50" t="n">
        <v>5</v>
      </c>
      <c r="CK59" s="131" t="n">
        <f aca="false">$X59</f>
        <v>0.298984514248523</v>
      </c>
      <c r="CL59" s="150" t="n">
        <f aca="false">$AC59</f>
        <v>2815.22676434422</v>
      </c>
      <c r="CM59" s="150" t="n">
        <f aca="false">CL59*CK59</f>
        <v>841.7092066369</v>
      </c>
      <c r="CN59" s="161" t="n">
        <f aca="false">CM59/O45</f>
        <v>0.561139471091266</v>
      </c>
      <c r="CO59" s="165" t="n">
        <f aca="false">IF(CO$53&lt;Total_Lanes,900*Peak_Time_Mor*($CN59/CO$53-1+SQRT(($CN59/CO$53-1)^2+8*($CN59/CO$53)/(Peak_Time_Mor*$O45*CO$53))),"-")</f>
        <v>3.06277035718442</v>
      </c>
      <c r="CP59" s="165" t="n">
        <f aca="false">IF(CP$53&lt;Total_Lanes,900*Peak_Time_Mor*($CN59/CP$53-1+SQRT(($CN59/CP$53-1)^2+8*($CN59/CP$53)/(Peak_Time_Mor*$O45*CP$53))),"-")</f>
        <v>0.467902011857069</v>
      </c>
      <c r="CQ59" s="165" t="n">
        <f aca="false">IF(CQ$53&lt;Total_Lanes,900*Peak_Time_Mor*($CN59/CQ$53-1+SQRT(($CN59/CQ$53-1)^2+8*($CN59/CQ$53)/(Peak_Time_Mor*$O45*CQ$53))),"-")</f>
        <v>0.184054537556078</v>
      </c>
      <c r="CR59" s="165" t="n">
        <f aca="false">IF(CR$53&lt;Total_Lanes,900*Peak_Time_Mor*($CN59/CR$53-1+SQRT(($CN59/CR$53-1)^2+8*($CN59/CR$53)/(Peak_Time_Mor*$O45*CR$53))),"-")</f>
        <v>0.0979024970441333</v>
      </c>
      <c r="CS59" s="165" t="n">
        <f aca="false">IF(CS$53&lt;Total_Lanes,900*Peak_Time_Mor*($CN59/CS$53-1+SQRT(($CN59/CS$53-1)^2+8*($CN59/CS$53)/(Peak_Time_Mor*$O45*CS$53))),"-")</f>
        <v>0.0606781471746087</v>
      </c>
      <c r="CT59" s="165" t="n">
        <f aca="false">IF(CT$53&lt;Total_Lanes,900*Peak_Time_Mor*($CN59/CT$53-1+SQRT(($CN59/CT$53-1)^2+8*($CN59/CT$53)/(Peak_Time_Mor*$O45*CT$53))),"-")</f>
        <v>0.0412683775910194</v>
      </c>
      <c r="CU59" s="165" t="n">
        <f aca="false">IF(CU$53&lt;Total_Lanes,900*Peak_Time_Mor*($CN59/CU$53-1+SQRT(($CN59/CU$53-1)^2+8*($CN59/CU$53)/(Peak_Time_Mor*$O45*CU$53))),"-")</f>
        <v>0.0298793457300217</v>
      </c>
      <c r="CV59" s="165" t="n">
        <f aca="false">IF(CV$53&lt;Total_Lanes,900*Peak_Time_Mor*($CN59/CV$53-1+SQRT(($CN59/CV$53-1)^2+8*($CN59/CV$53)/(Peak_Time_Mor*$O45*CV$53))),"-")</f>
        <v>0.0226299044921108</v>
      </c>
      <c r="CW59" s="165" t="n">
        <f aca="false">IF(CW$53&lt;Total_Lanes,900*Peak_Time_Mor*($CN59/CW$53-1+SQRT(($CN59/CW$53-1)^2+8*($CN59/CW$53)/(Peak_Time_Mor*$O45*CW$53))),"-")</f>
        <v>0.0177318259657389</v>
      </c>
      <c r="CX59" s="165" t="n">
        <f aca="false">IF(CX$53&lt;Total_Lanes,900*Peak_Time_Mor*($CN59/CX$53-1+SQRT(($CN59/CX$53-1)^2+8*($CN59/CX$53)/(Peak_Time_Mor*$O45*CX$53))),"-")</f>
        <v>0.0142679200702212</v>
      </c>
      <c r="CY59" s="165" t="n">
        <f aca="false">IF(CY$53&lt;Total_Lanes,900*Peak_Time_Mor*($CN59/CY$53-1+SQRT(($CN59/CY$53-1)^2+8*($CN59/CY$53)/(Peak_Time_Mor*$O45*CY$53))),"-")</f>
        <v>0.0117282925101714</v>
      </c>
      <c r="CZ59" s="165" t="str">
        <f aca="false">IF(CZ$53&lt;Total_Lanes,900*Peak_Time_Mor*($CN59/CZ$53-1+SQRT(($CN59/CZ$53-1)^2+8*($CN59/CZ$53)/(Peak_Time_Mor*$O45*CZ$53))),"-")</f>
        <v>-</v>
      </c>
      <c r="DA59" s="165" t="str">
        <f aca="false">IF(DA$53&lt;Total_Lanes,900*Peak_Time_Mor*($CN59/DA$53-1+SQRT(($CN59/DA$53-1)^2+8*($CN59/DA$53)/(Peak_Time_Mor*$O45*DA$53))),"-")</f>
        <v>-</v>
      </c>
      <c r="DB59" s="165" t="str">
        <f aca="false">IF(DB$53&lt;Total_Lanes,900*Peak_Time_Mor*($CN59/DB$53-1+SQRT(($CN59/DB$53-1)^2+8*($CN59/DB$53)/(Peak_Time_Mor*$O45*DB$53))),"-")</f>
        <v>-</v>
      </c>
      <c r="DC59" s="165" t="str">
        <f aca="false">IF(DC$53&lt;Total_Lanes,900*Peak_Time_Mor*($CN59/DC$53-1+SQRT(($CN59/DC$53-1)^2+8*($CN59/DC$53)/(Peak_Time_Mor*$O45*DC$53))),"-")</f>
        <v>-</v>
      </c>
      <c r="DD59" s="165" t="str">
        <f aca="false">IF(DD$53&lt;Total_Lanes,900*Peak_Time_Mor*($CN59/DD$53-1+SQRT(($CN59/DD$53-1)^2+8*($CN59/DD$53)/(Peak_Time_Mor*$O45*DD$53))),"-")</f>
        <v>-</v>
      </c>
      <c r="DE59" s="165" t="str">
        <f aca="false">IF(DE$53&lt;Total_Lanes,900*Peak_Time_Mor*($CN59/DE$53-1+SQRT(($CN59/DE$53-1)^2+8*($CN59/DE$53)/(Peak_Time_Mor*$O45*DE$53))),"-")</f>
        <v>-</v>
      </c>
      <c r="DF59" s="165" t="str">
        <f aca="false">IF(DF$53&lt;Total_Lanes,900*Peak_Time_Mor*($CN59/DF$53-1+SQRT(($CN59/DF$53-1)^2+8*($CN59/DF$53)/(Peak_Time_Mor*$O45*DF$53))),"-")</f>
        <v>-</v>
      </c>
      <c r="DG59" s="165" t="str">
        <f aca="false">IF(DG$53&lt;Total_Lanes,900*Peak_Time_Mor*($CN59/DG$53-1+SQRT(($CN59/DG$53-1)^2+8*($CN59/DG$53)/(Peak_Time_Mor*$O45*DG$53))),"-")</f>
        <v>-</v>
      </c>
      <c r="DH59" s="165" t="str">
        <f aca="false">IF(DH$53&lt;Total_Lanes,900*Peak_Time_Mor*($CN59/DH$53-1+SQRT(($CN59/DH$53-1)^2+8*($CN59/DH$53)/(Peak_Time_Mor*$O45*DH$53))),"-")</f>
        <v>-</v>
      </c>
      <c r="DI59" s="166" t="str">
        <f aca="false">IF(DI$53&lt;Total_Lanes,900*Peak_Time_Mor*($CN59/DI$53-1+SQRT(($CN59/DI$53-1)^2+8*($CN59/DI$53)/(Peak_Time_Mor*$O45*DI$53))),"-")</f>
        <v>-</v>
      </c>
      <c r="DJ59" s="234" t="n">
        <f aca="false">3600/$O45</f>
        <v>2.4</v>
      </c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  <c r="G60" s="4"/>
      <c r="H60" s="235" t="n">
        <v>20</v>
      </c>
      <c r="I60" s="236" t="n">
        <f aca="false">'Input-Detail'!BH33</f>
        <v>0.83</v>
      </c>
      <c r="J60" s="237" t="n">
        <f aca="false">1-I60</f>
        <v>0.17</v>
      </c>
      <c r="K60" s="238" t="n">
        <f aca="false">3600/(Trans_Time_Cash*I60+Trans_Time_Ticket*J60)</f>
        <v>547.528517110266</v>
      </c>
      <c r="L60" s="236" t="n">
        <f aca="false">'Input-Detail'!BJ33</f>
        <v>1</v>
      </c>
      <c r="M60" s="237" t="n">
        <f aca="false">1-L60</f>
        <v>0</v>
      </c>
      <c r="N60" s="238" t="n">
        <f aca="false">3600/(Trans_Time_Cash*L60+Trans_Time_Ticket*M60)</f>
        <v>514.285714285714</v>
      </c>
      <c r="O60" s="238" t="n">
        <f aca="false">3600/Headway_ETC</f>
        <v>1500</v>
      </c>
      <c r="P60" s="4"/>
      <c r="Q60" s="4"/>
      <c r="R60" s="4"/>
      <c r="S60" s="4"/>
      <c r="T60" s="4"/>
      <c r="U60" s="4"/>
      <c r="V60" s="50" t="n">
        <v>6</v>
      </c>
      <c r="W60" s="124" t="n">
        <f aca="false">W13</f>
        <v>22311321.1</v>
      </c>
      <c r="X60" s="131" t="n">
        <f aca="false">X13</f>
        <v>0.34881248351123</v>
      </c>
      <c r="Y60" s="124" t="n">
        <f aca="false">Y13</f>
        <v>9620.9070573769</v>
      </c>
      <c r="Z60" s="133" t="n">
        <f aca="false">W60/Y60</f>
        <v>2319.04548780488</v>
      </c>
      <c r="AA60" s="233" t="n">
        <f aca="false">AA13</f>
        <v>2</v>
      </c>
      <c r="AB60" s="157" t="n">
        <f aca="false">1-AB13</f>
        <v>0.3</v>
      </c>
      <c r="AC60" s="128" t="n">
        <f aca="false">Y60*AB60</f>
        <v>2886.27211721307</v>
      </c>
      <c r="AD60" s="150" t="n">
        <f aca="false">Peak_Time_Mor*$BH60*(CH60+BK60)/3600</f>
        <v>11.0993488029841</v>
      </c>
      <c r="AE60" s="136" t="n">
        <f aca="false">IF(AE$53&lt;Total_Lanes,($BI60*($CH60+BM60)+$CM60*CO60)*Peak_Time_Mor/3600,"-")</f>
        <v>10.0240505375399</v>
      </c>
      <c r="AF60" s="136" t="n">
        <f aca="false">IF(AF$53&lt;Total_Lanes,($BI60*($CH60+BN60)+$CM60*CP60)*Peak_Time_Mor/3600,"-")</f>
        <v>7.71413104278679</v>
      </c>
      <c r="AG60" s="136" t="n">
        <f aca="false">IF(AG$53&lt;Total_Lanes,($BI60*($CH60+BO60)+$CM60*CQ60)*Peak_Time_Mor/3600,"-")</f>
        <v>7.62206237533371</v>
      </c>
      <c r="AH60" s="136" t="n">
        <f aca="false">IF(AH$53&lt;Total_Lanes,($BI60*($CH60+BP60)+$CM60*CR60)*Peak_Time_Mor/3600,"-")</f>
        <v>7.74614795473091</v>
      </c>
      <c r="AI60" s="136" t="n">
        <f aca="false">IF(AI$53&lt;Total_Lanes,($BI60*($CH60+BQ60)+$CM60*CS60)*Peak_Time_Mor/3600,"-")</f>
        <v>8.03901371526599</v>
      </c>
      <c r="AJ60" s="136" t="n">
        <f aca="false">IF(AJ$53&lt;Total_Lanes,($BI60*($CH60+BR60)+$CM60*CT60)*Peak_Time_Mor/3600,"-")</f>
        <v>8.65720308623491</v>
      </c>
      <c r="AK60" s="136" t="n">
        <f aca="false">IF(AK$53&lt;Total_Lanes,($BI60*($CH60+BS60)+$CM60*CU60)*Peak_Time_Mor/3600,"-")</f>
        <v>10.2732158108745</v>
      </c>
      <c r="AL60" s="136" t="n">
        <f aca="false">IF(AL$53&lt;Total_Lanes,($BI60*($CH60+BT60)+$CM60*CV60)*Peak_Time_Mor/3600,"-")</f>
        <v>18.9388025441283</v>
      </c>
      <c r="AM60" s="136" t="n">
        <f aca="false">IF(AM$53&lt;Total_Lanes,($BI60*($CH60+BU60)+$CM60*CW60)*Peak_Time_Mor/3600,"-")</f>
        <v>648.543432577234</v>
      </c>
      <c r="AN60" s="136" t="n">
        <f aca="false">IF(AN$53&lt;Total_Lanes,($BI60*($CH60+BV60)+$CM60*CX60)*Peak_Time_Mor/3600,"-")</f>
        <v>2833.03957935757</v>
      </c>
      <c r="AO60" s="136" t="n">
        <f aca="false">IF(AO$53&lt;Total_Lanes,($BI60*($CH60+BW60)+$CM60*CY60)*Peak_Time_Mor/3600,"-")</f>
        <v>9411.57915409369</v>
      </c>
      <c r="AP60" s="136" t="str">
        <f aca="false">IF(AP$53&lt;Total_Lanes,($BI60*($CH60+BX60)+$CM60*CZ60)*Peak_Time_Mor/3600,"-")</f>
        <v>-</v>
      </c>
      <c r="AQ60" s="136" t="str">
        <f aca="false">IF(AQ$53&lt;Total_Lanes,($BI60*($CH60+BY60)+$CM60*DA60)*Peak_Time_Mor/3600,"-")</f>
        <v>-</v>
      </c>
      <c r="AR60" s="136" t="str">
        <f aca="false">IF(AR$53&lt;Total_Lanes,($BI60*($CH60+BZ60)+$CM60*DB60)*Peak_Time_Mor/3600,"-")</f>
        <v>-</v>
      </c>
      <c r="AS60" s="136" t="str">
        <f aca="false">IF(AS$53&lt;Total_Lanes,($BI60*($CH60+CA60)+$CM60*DC60)*Peak_Time_Mor/3600,"-")</f>
        <v>-</v>
      </c>
      <c r="AT60" s="136" t="str">
        <f aca="false">IF(AT$53&lt;Total_Lanes,($BI60*($CH60+CB60)+$CM60*DD60)*Peak_Time_Mor/3600,"-")</f>
        <v>-</v>
      </c>
      <c r="AU60" s="136" t="str">
        <f aca="false">IF(AU$53&lt;Total_Lanes,($BI60*($CH60+CC60)+$CM60*DE60)*Peak_Time_Mor/3600,"-")</f>
        <v>-</v>
      </c>
      <c r="AV60" s="136" t="str">
        <f aca="false">IF(AV$53&lt;Total_Lanes,($BI60*($CH60+CD60)+$CM60*DF60)*Peak_Time_Mor/3600,"-")</f>
        <v>-</v>
      </c>
      <c r="AW60" s="136" t="str">
        <f aca="false">IF(AW$53&lt;Total_Lanes,($BI60*($CH60+CE60)+$CM60*DG60)*Peak_Time_Mor/3600,"-")</f>
        <v>-</v>
      </c>
      <c r="AX60" s="136" t="str">
        <f aca="false">IF(AX$53&lt;Total_Lanes,($BI60*($CH60+CF60)+$CM60*DH60)*Peak_Time_Mor/3600,"-")</f>
        <v>-</v>
      </c>
      <c r="AY60" s="137" t="str">
        <f aca="false">IF(AY$53&lt;Total_Lanes,($BI60*($CH60+CG60)+$CM60*DI60)*Peak_Time_Mor/3600,"-")</f>
        <v>-</v>
      </c>
      <c r="AZ60" s="158" t="n">
        <f aca="false">SUMIF(AE60:AY60,BA60,$AE$53:$AY$53)</f>
        <v>3</v>
      </c>
      <c r="BA60" s="159" t="n">
        <f aca="false">MIN(AE60:AY60)</f>
        <v>7.62206237533371</v>
      </c>
      <c r="BB60" s="158" t="n">
        <f aca="false">Price!X13</f>
        <v>3</v>
      </c>
      <c r="BC60" s="159" t="n">
        <f aca="false">SUMIF($AE$53:$AY$53,$BB60,$AE60:$AY60)</f>
        <v>7.62206237533371</v>
      </c>
      <c r="BF60" s="50" t="n">
        <v>6</v>
      </c>
      <c r="BG60" s="131" t="n">
        <f aca="false">$X60</f>
        <v>0.34881248351123</v>
      </c>
      <c r="BH60" s="57" t="n">
        <f aca="false">$AC60</f>
        <v>2886.27211721307</v>
      </c>
      <c r="BI60" s="135" t="n">
        <f aca="false">BH60*(1-BG60)</f>
        <v>1879.50437191876</v>
      </c>
      <c r="BJ60" s="143" t="n">
        <f aca="false">Peak_Arrival_Manual_Mor/K46</f>
        <v>3.43270590149052</v>
      </c>
      <c r="BK60" s="228" t="n">
        <f aca="false">900*Peak_Time_Mor*($BJ60/Total_Lanes-1+SQRT(($BJ60/Total_Lanes-1)^2+8*($BJ60/Total_Lanes)/(Peak_Time_Mor*$K46*Total_Lanes)))</f>
        <v>0.219518102943983</v>
      </c>
      <c r="BL60" s="143" t="n">
        <f aca="false">Peak_Arrival_Manual_Mor/N46</f>
        <v>3.49927168132931</v>
      </c>
      <c r="BM60" s="229" t="n">
        <f aca="false">IF(BM$6&lt;Total_Lanes,900*Peak_Time_Mor*($BL60/(Total_Lanes-BM$6)-1+SQRT(($BL60/(Total_Lanes-BM$6)-1)^2+8*($BL60/(Total_Lanes-BM$6))/(Peak_Time_Mor*$N46*(Total_Lanes-BM$6)))),"-")</f>
        <v>0.28422880043586</v>
      </c>
      <c r="BN60" s="165" t="n">
        <f aca="false">IF(BN$6&lt;Total_Lanes,900*Peak_Time_Mor*($BL60/(Total_Lanes-BN$6)-1+SQRT(($BL60/(Total_Lanes-BN$6)-1)^2+8*($BL60/(Total_Lanes-BN$6))/(Peak_Time_Mor*$N46*(Total_Lanes-BN$6)))),"-")</f>
        <v>0.360732715248835</v>
      </c>
      <c r="BO60" s="165" t="n">
        <f aca="false">IF(BO$6&lt;Total_Lanes,900*Peak_Time_Mor*($BL60/(Total_Lanes-BO$6)-1+SQRT(($BL60/(Total_Lanes-BO$6)-1)^2+8*($BL60/(Total_Lanes-BO$6))/(Peak_Time_Mor*$N46*(Total_Lanes-BO$6)))),"-")</f>
        <v>0.473650827485805</v>
      </c>
      <c r="BP60" s="165" t="n">
        <f aca="false">IF(BP$6&lt;Total_Lanes,900*Peak_Time_Mor*($BL60/(Total_Lanes-BP$6)-1+SQRT(($BL60/(Total_Lanes-BP$6)-1)^2+8*($BL60/(Total_Lanes-BP$6))/(Peak_Time_Mor*$N46*(Total_Lanes-BP$6)))),"-")</f>
        <v>0.651181551659774</v>
      </c>
      <c r="BQ60" s="165" t="n">
        <f aca="false">IF(BQ$6&lt;Total_Lanes,900*Peak_Time_Mor*($BL60/(Total_Lanes-BQ$6)-1+SQRT(($BL60/(Total_Lanes-BQ$6)-1)^2+8*($BL60/(Total_Lanes-BQ$6))/(Peak_Time_Mor*$N46*(Total_Lanes-BQ$6)))),"-")</f>
        <v>0.956593321656074</v>
      </c>
      <c r="BR60" s="165" t="n">
        <f aca="false">IF(BR$6&lt;Total_Lanes,900*Peak_Time_Mor*($BL60/(Total_Lanes-BR$6)-1+SQRT(($BL60/(Total_Lanes-BR$6)-1)^2+8*($BL60/(Total_Lanes-BR$6))/(Peak_Time_Mor*$N46*(Total_Lanes-BR$6)))),"-")</f>
        <v>1.56151077469368</v>
      </c>
      <c r="BS60" s="165" t="n">
        <f aca="false">IF(BS$6&lt;Total_Lanes,900*Peak_Time_Mor*($BL60/(Total_Lanes-BS$6)-1+SQRT(($BL60/(Total_Lanes-BS$6)-1)^2+8*($BL60/(Total_Lanes-BS$6))/(Peak_Time_Mor*$N46*(Total_Lanes-BS$6)))),"-")</f>
        <v>3.11667503812183</v>
      </c>
      <c r="BT60" s="165" t="n">
        <f aca="false">IF(BT$6&lt;Total_Lanes,900*Peak_Time_Mor*($BL60/(Total_Lanes-BT$6)-1+SQRT(($BL60/(Total_Lanes-BT$6)-1)^2+8*($BL60/(Total_Lanes-BT$6))/(Peak_Time_Mor*$N46*(Total_Lanes-BT$6)))),"-")</f>
        <v>11.4204611245952</v>
      </c>
      <c r="BU60" s="165" t="n">
        <f aca="false">IF(BU$6&lt;Total_Lanes,900*Peak_Time_Mor*($BL60/(Total_Lanes-BU$6)-1+SQRT(($BL60/(Total_Lanes-BU$6)-1)^2+8*($BL60/(Total_Lanes-BU$6))/(Peak_Time_Mor*$N46*(Total_Lanes-BU$6)))),"-")</f>
        <v>614.395573214777</v>
      </c>
      <c r="BV60" s="165" t="n">
        <f aca="false">IF(BV$6&lt;Total_Lanes,900*Peak_Time_Mor*($BL60/(Total_Lanes-BV$6)-1+SQRT(($BL60/(Total_Lanes-BV$6)-1)^2+8*($BL60/(Total_Lanes-BV$6))/(Peak_Time_Mor*$N46*(Total_Lanes-BV$6)))),"-")</f>
        <v>2706.48824062279</v>
      </c>
      <c r="BW60" s="230" t="n">
        <f aca="false">IF(BW$6&lt;Total_Lanes,900*Peak_Time_Mor*($BL60/(Total_Lanes-BW$6)-1+SQRT(($BL60/(Total_Lanes-BW$6)-1)^2+8*($BL60/(Total_Lanes-BW$6))/(Peak_Time_Mor*$N46*(Total_Lanes-BW$6)))),"-")</f>
        <v>9006.75256660438</v>
      </c>
      <c r="BX60" s="165" t="str">
        <f aca="false">IF(BX$6&lt;Total_Lanes,900*Peak_Time_Mor*($BL60/(Total_Lanes-BX$6)-1+SQRT(($BL60/(Total_Lanes-BX$6)-1)^2+8*($BL60/(Total_Lanes-BX$6))/(Peak_Time_Mor*$N46*(Total_Lanes-BX$6)))),"-")</f>
        <v>-</v>
      </c>
      <c r="BY60" s="165" t="str">
        <f aca="false">IF(BY$6&lt;Total_Lanes,900*Peak_Time_Mor*($BL60/(Total_Lanes-BY$6)-1+SQRT(($BL60/(Total_Lanes-BY$6)-1)^2+8*($BL60/(Total_Lanes-BY$6))/(Peak_Time_Mor*$N46*(Total_Lanes-BY$6)))),"-")</f>
        <v>-</v>
      </c>
      <c r="BZ60" s="165" t="str">
        <f aca="false">IF(BZ$6&lt;Total_Lanes,900*Peak_Time_Mor*($BL60/(Total_Lanes-BZ$6)-1+SQRT(($BL60/(Total_Lanes-BZ$6)-1)^2+8*($BL60/(Total_Lanes-BZ$6))/(Peak_Time_Mor*$N46*(Total_Lanes-BZ$6)))),"-")</f>
        <v>-</v>
      </c>
      <c r="CA60" s="165" t="str">
        <f aca="false">IF(CA$6&lt;Total_Lanes,900*Peak_Time_Mor*($BL60/(Total_Lanes-CA$6)-1+SQRT(($BL60/(Total_Lanes-CA$6)-1)^2+8*($BL60/(Total_Lanes-CA$6))/(Peak_Time_Mor*$N46*(Total_Lanes-CA$6)))),"-")</f>
        <v>-</v>
      </c>
      <c r="CB60" s="165" t="str">
        <f aca="false">IF(CB$6&lt;Total_Lanes,900*Peak_Time_Mor*($BL60/(Total_Lanes-CB$6)-1+SQRT(($BL60/(Total_Lanes-CB$6)-1)^2+8*($BL60/(Total_Lanes-CB$6))/(Peak_Time_Mor*$N46*(Total_Lanes-CB$6)))),"-")</f>
        <v>-</v>
      </c>
      <c r="CC60" s="165" t="str">
        <f aca="false">IF(CC$6&lt;Total_Lanes,900*Peak_Time_Mor*($BL60/(Total_Lanes-CC$6)-1+SQRT(($BL60/(Total_Lanes-CC$6)-1)^2+8*($BL60/(Total_Lanes-CC$6))/(Peak_Time_Mor*$N46*(Total_Lanes-CC$6)))),"-")</f>
        <v>-</v>
      </c>
      <c r="CD60" s="165" t="str">
        <f aca="false">IF(CD$6&lt;Total_Lanes,900*Peak_Time_Mor*($BL60/(Total_Lanes-CD$6)-1+SQRT(($BL60/(Total_Lanes-CD$6)-1)^2+8*($BL60/(Total_Lanes-CD$6))/(Peak_Time_Mor*$N46*(Total_Lanes-CD$6)))),"-")</f>
        <v>-</v>
      </c>
      <c r="CE60" s="165" t="str">
        <f aca="false">IF(CE$6&lt;Total_Lanes,900*Peak_Time_Mor*($BL60/(Total_Lanes-CE$6)-1+SQRT(($BL60/(Total_Lanes-CE$6)-1)^2+8*($BL60/(Total_Lanes-CE$6))/(Peak_Time_Mor*$N46*(Total_Lanes-CE$6)))),"-")</f>
        <v>-</v>
      </c>
      <c r="CF60" s="165" t="str">
        <f aca="false">IF(CF$6&lt;Total_Lanes,900*Peak_Time_Mor*($BL60/(Total_Lanes-CF$6)-1+SQRT(($BL60/(Total_Lanes-CF$6)-1)^2+8*($BL60/(Total_Lanes-CF$6))/(Peak_Time_Mor*$N46*(Total_Lanes-CF$6)))),"-")</f>
        <v>-</v>
      </c>
      <c r="CG60" s="166" t="str">
        <f aca="false">IF(CG$6&lt;Total_Lanes,900*Peak_Time_Mor*($BL60/(Total_Lanes-CG$6)-1+SQRT(($BL60/(Total_Lanes-CG$6)-1)^2+8*($BL60/(Total_Lanes-CG$6))/(Peak_Time_Mor*$N46*(Total_Lanes-CG$6)))),"-")</f>
        <v>-</v>
      </c>
      <c r="CH60" s="234" t="n">
        <f aca="false">3600/N46</f>
        <v>6.7025</v>
      </c>
      <c r="CJ60" s="50" t="n">
        <v>6</v>
      </c>
      <c r="CK60" s="131" t="n">
        <f aca="false">$X60</f>
        <v>0.34881248351123</v>
      </c>
      <c r="CL60" s="150" t="n">
        <f aca="false">$AC60</f>
        <v>2886.27211721307</v>
      </c>
      <c r="CM60" s="150" t="n">
        <f aca="false">CL60*CK60</f>
        <v>1006.76774529431</v>
      </c>
      <c r="CN60" s="161" t="n">
        <f aca="false">CM60/O46</f>
        <v>0.671178496862871</v>
      </c>
      <c r="CO60" s="165" t="n">
        <f aca="false">IF(CO$53&lt;Total_Lanes,900*Peak_Time_Mor*($CN60/CO$53-1+SQRT(($CN60/CO$53-1)^2+8*($CN60/CO$53)/(Peak_Time_Mor*$O46*CO$53))),"-")</f>
        <v>4.87868593794293</v>
      </c>
      <c r="CP60" s="165" t="n">
        <f aca="false">IF(CP$53&lt;Total_Lanes,900*Peak_Time_Mor*($CN60/CP$53-1+SQRT(($CN60/CP$53-1)^2+8*($CN60/CP$53)/(Peak_Time_Mor*$O46*CP$53))),"-")</f>
        <v>0.605958138486118</v>
      </c>
      <c r="CQ60" s="165" t="n">
        <f aca="false">IF(CQ$53&lt;Total_Lanes,900*Peak_Time_Mor*($CN60/CQ$53-1+SQRT(($CN60/CQ$53-1)^2+8*($CN60/CQ$53)/(Peak_Time_Mor*$O46*CQ$53))),"-")</f>
        <v>0.230545150932304</v>
      </c>
      <c r="CR60" s="165" t="n">
        <f aca="false">IF(CR$53&lt;Total_Lanes,900*Peak_Time_Mor*($CN60/CR$53-1+SQRT(($CN60/CR$53-1)^2+8*($CN60/CR$53)/(Peak_Time_Mor*$O46*CR$53))),"-")</f>
        <v>0.1209709916135</v>
      </c>
      <c r="CS60" s="165" t="n">
        <f aca="false">IF(CS$53&lt;Total_Lanes,900*Peak_Time_Mor*($CN60/CS$53-1+SQRT(($CN60/CS$53-1)^2+8*($CN60/CS$53)/(Peak_Time_Mor*$O46*CS$53))),"-")</f>
        <v>0.0744216378033569</v>
      </c>
      <c r="CT60" s="165" t="n">
        <f aca="false">IF(CT$53&lt;Total_Lanes,900*Peak_Time_Mor*($CN60/CT$53-1+SQRT(($CN60/CT$53-1)^2+8*($CN60/CT$53)/(Peak_Time_Mor*$O46*CT$53))),"-")</f>
        <v>0.050380214145096</v>
      </c>
      <c r="CU60" s="165" t="n">
        <f aca="false">IF(CU$53&lt;Total_Lanes,900*Peak_Time_Mor*($CN60/CU$53-1+SQRT(($CN60/CU$53-1)^2+8*($CN60/CU$53)/(Peak_Time_Mor*$O46*CU$53))),"-")</f>
        <v>0.0363599717608354</v>
      </c>
      <c r="CV60" s="165" t="n">
        <f aca="false">IF(CV$53&lt;Total_Lanes,900*Peak_Time_Mor*($CN60/CV$53-1+SQRT(($CN60/CV$53-1)^2+8*($CN60/CV$53)/(Peak_Time_Mor*$O46*CV$53))),"-")</f>
        <v>0.0274739767636145</v>
      </c>
      <c r="CW60" s="165" t="n">
        <f aca="false">IF(CW$53&lt;Total_Lanes,900*Peak_Time_Mor*($CN60/CW$53-1+SQRT(($CN60/CW$53-1)^2+8*($CN60/CW$53)/(Peak_Time_Mor*$O46*CW$53))),"-")</f>
        <v>0.0214892080428131</v>
      </c>
      <c r="CX60" s="165" t="n">
        <f aca="false">IF(CX$53&lt;Total_Lanes,900*Peak_Time_Mor*($CN60/CX$53-1+SQRT(($CN60/CX$53-1)^2+8*($CN60/CX$53)/(Peak_Time_Mor*$O46*CX$53))),"-")</f>
        <v>0.0172671340092245</v>
      </c>
      <c r="CY60" s="165" t="n">
        <f aca="false">IF(CY$53&lt;Total_Lanes,900*Peak_Time_Mor*($CN60/CY$53-1+SQRT(($CN60/CY$53-1)^2+8*($CN60/CY$53)/(Peak_Time_Mor*$O46*CY$53))),"-")</f>
        <v>0.0141776417128314</v>
      </c>
      <c r="CZ60" s="165" t="str">
        <f aca="false">IF(CZ$53&lt;Total_Lanes,900*Peak_Time_Mor*($CN60/CZ$53-1+SQRT(($CN60/CZ$53-1)^2+8*($CN60/CZ$53)/(Peak_Time_Mor*$O46*CZ$53))),"-")</f>
        <v>-</v>
      </c>
      <c r="DA60" s="165" t="str">
        <f aca="false">IF(DA$53&lt;Total_Lanes,900*Peak_Time_Mor*($CN60/DA$53-1+SQRT(($CN60/DA$53-1)^2+8*($CN60/DA$53)/(Peak_Time_Mor*$O46*DA$53))),"-")</f>
        <v>-</v>
      </c>
      <c r="DB60" s="165" t="str">
        <f aca="false">IF(DB$53&lt;Total_Lanes,900*Peak_Time_Mor*($CN60/DB$53-1+SQRT(($CN60/DB$53-1)^2+8*($CN60/DB$53)/(Peak_Time_Mor*$O46*DB$53))),"-")</f>
        <v>-</v>
      </c>
      <c r="DC60" s="165" t="str">
        <f aca="false">IF(DC$53&lt;Total_Lanes,900*Peak_Time_Mor*($CN60/DC$53-1+SQRT(($CN60/DC$53-1)^2+8*($CN60/DC$53)/(Peak_Time_Mor*$O46*DC$53))),"-")</f>
        <v>-</v>
      </c>
      <c r="DD60" s="165" t="str">
        <f aca="false">IF(DD$53&lt;Total_Lanes,900*Peak_Time_Mor*($CN60/DD$53-1+SQRT(($CN60/DD$53-1)^2+8*($CN60/DD$53)/(Peak_Time_Mor*$O46*DD$53))),"-")</f>
        <v>-</v>
      </c>
      <c r="DE60" s="165" t="str">
        <f aca="false">IF(DE$53&lt;Total_Lanes,900*Peak_Time_Mor*($CN60/DE$53-1+SQRT(($CN60/DE$53-1)^2+8*($CN60/DE$53)/(Peak_Time_Mor*$O46*DE$53))),"-")</f>
        <v>-</v>
      </c>
      <c r="DF60" s="165" t="str">
        <f aca="false">IF(DF$53&lt;Total_Lanes,900*Peak_Time_Mor*($CN60/DF$53-1+SQRT(($CN60/DF$53-1)^2+8*($CN60/DF$53)/(Peak_Time_Mor*$O46*DF$53))),"-")</f>
        <v>-</v>
      </c>
      <c r="DG60" s="165" t="str">
        <f aca="false">IF(DG$53&lt;Total_Lanes,900*Peak_Time_Mor*($CN60/DG$53-1+SQRT(($CN60/DG$53-1)^2+8*($CN60/DG$53)/(Peak_Time_Mor*$O46*DG$53))),"-")</f>
        <v>-</v>
      </c>
      <c r="DH60" s="165" t="str">
        <f aca="false">IF(DH$53&lt;Total_Lanes,900*Peak_Time_Mor*($CN60/DH$53-1+SQRT(($CN60/DH$53-1)^2+8*($CN60/DH$53)/(Peak_Time_Mor*$O46*DH$53))),"-")</f>
        <v>-</v>
      </c>
      <c r="DI60" s="166" t="str">
        <f aca="false">IF(DI$53&lt;Total_Lanes,900*Peak_Time_Mor*($CN60/DI$53-1+SQRT(($CN60/DI$53-1)^2+8*($CN60/DI$53)/(Peak_Time_Mor*$O46*DI$53))),"-")</f>
        <v>-</v>
      </c>
      <c r="DJ60" s="234" t="n">
        <f aca="false">3600/$O46</f>
        <v>2.4</v>
      </c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customFormat="false" ht="12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50" t="n">
        <v>7</v>
      </c>
      <c r="W61" s="124" t="n">
        <f aca="false">W14</f>
        <v>22860512.45</v>
      </c>
      <c r="X61" s="131" t="n">
        <f aca="false">X14</f>
        <v>0.39671513105108</v>
      </c>
      <c r="Y61" s="124" t="n">
        <f aca="false">Y14</f>
        <v>9857.72490027305</v>
      </c>
      <c r="Z61" s="133" t="n">
        <f aca="false">W61/Y61</f>
        <v>2319.04548780488</v>
      </c>
      <c r="AA61" s="233" t="n">
        <f aca="false">AA14</f>
        <v>2</v>
      </c>
      <c r="AB61" s="157" t="n">
        <f aca="false">1-AB14</f>
        <v>0.3</v>
      </c>
      <c r="AC61" s="128" t="n">
        <f aca="false">Y61*AB61</f>
        <v>2957.31747008191</v>
      </c>
      <c r="AD61" s="150" t="n">
        <f aca="false">Peak_Time_Mor*$BH61*(CH61+BK61)/3600</f>
        <v>11.382343685863</v>
      </c>
      <c r="AE61" s="136" t="n">
        <f aca="false">IF(AE$53&lt;Total_Lanes,($BI61*($CH61+BM61)+$CM61*CO61)*Peak_Time_Mor/3600,"-")</f>
        <v>12.4832493800554</v>
      </c>
      <c r="AF61" s="136" t="n">
        <f aca="false">IF(AF$53&lt;Total_Lanes,($BI61*($CH61+BN61)+$CM61*CP61)*Peak_Time_Mor/3600,"-")</f>
        <v>7.4995117133688</v>
      </c>
      <c r="AG61" s="136" t="n">
        <f aca="false">IF(AG$53&lt;Total_Lanes,($BI61*($CH61+BO61)+$CM61*CQ61)*Peak_Time_Mor/3600,"-")</f>
        <v>7.28349845294071</v>
      </c>
      <c r="AH61" s="136" t="n">
        <f aca="false">IF(AH$53&lt;Total_Lanes,($BI61*($CH61+BP61)+$CM61*CR61)*Peak_Time_Mor/3600,"-")</f>
        <v>7.3539383008219</v>
      </c>
      <c r="AI61" s="136" t="n">
        <f aca="false">IF(AI$53&lt;Total_Lanes,($BI61*($CH61+BQ61)+$CM61*CS61)*Peak_Time_Mor/3600,"-")</f>
        <v>7.58692394203545</v>
      </c>
      <c r="AJ61" s="136" t="n">
        <f aca="false">IF(AJ$53&lt;Total_Lanes,($BI61*($CH61+BR61)+$CM61*CT61)*Peak_Time_Mor/3600,"-")</f>
        <v>8.08958174338865</v>
      </c>
      <c r="AK61" s="136" t="n">
        <f aca="false">IF(AK$53&lt;Total_Lanes,($BI61*($CH61+BS61)+$CM61*CU61)*Peak_Time_Mor/3600,"-")</f>
        <v>9.34955613002828</v>
      </c>
      <c r="AL61" s="136" t="n">
        <f aca="false">IF(AL$53&lt;Total_Lanes,($BI61*($CH61+BT61)+$CM61*CV61)*Peak_Time_Mor/3600,"-")</f>
        <v>14.8859980596347</v>
      </c>
      <c r="AM61" s="136" t="n">
        <f aca="false">IF(AM$53&lt;Total_Lanes,($BI61*($CH61+BU61)+$CM61*CW61)*Peak_Time_Mor/3600,"-")</f>
        <v>422.937127055724</v>
      </c>
      <c r="AN61" s="136" t="n">
        <f aca="false">IF(AN$53&lt;Total_Lanes,($BI61*($CH61+BV61)+$CM61*CX61)*Peak_Time_Mor/3600,"-")</f>
        <v>2391.74571447093</v>
      </c>
      <c r="AO61" s="136" t="n">
        <f aca="false">IF(AO$53&lt;Total_Lanes,($BI61*($CH61+BW61)+$CM61*CY61)*Peak_Time_Mor/3600,"-")</f>
        <v>8337.92074109773</v>
      </c>
      <c r="AP61" s="136" t="str">
        <f aca="false">IF(AP$53&lt;Total_Lanes,($BI61*($CH61+BX61)+$CM61*CZ61)*Peak_Time_Mor/3600,"-")</f>
        <v>-</v>
      </c>
      <c r="AQ61" s="136" t="str">
        <f aca="false">IF(AQ$53&lt;Total_Lanes,($BI61*($CH61+BY61)+$CM61*DA61)*Peak_Time_Mor/3600,"-")</f>
        <v>-</v>
      </c>
      <c r="AR61" s="136" t="str">
        <f aca="false">IF(AR$53&lt;Total_Lanes,($BI61*($CH61+BZ61)+$CM61*DB61)*Peak_Time_Mor/3600,"-")</f>
        <v>-</v>
      </c>
      <c r="AS61" s="136" t="str">
        <f aca="false">IF(AS$53&lt;Total_Lanes,($BI61*($CH61+CA61)+$CM61*DC61)*Peak_Time_Mor/3600,"-")</f>
        <v>-</v>
      </c>
      <c r="AT61" s="136" t="str">
        <f aca="false">IF(AT$53&lt;Total_Lanes,($BI61*($CH61+CB61)+$CM61*DD61)*Peak_Time_Mor/3600,"-")</f>
        <v>-</v>
      </c>
      <c r="AU61" s="136" t="str">
        <f aca="false">IF(AU$53&lt;Total_Lanes,($BI61*($CH61+CC61)+$CM61*DE61)*Peak_Time_Mor/3600,"-")</f>
        <v>-</v>
      </c>
      <c r="AV61" s="136" t="str">
        <f aca="false">IF(AV$53&lt;Total_Lanes,($BI61*($CH61+CD61)+$CM61*DF61)*Peak_Time_Mor/3600,"-")</f>
        <v>-</v>
      </c>
      <c r="AW61" s="136" t="str">
        <f aca="false">IF(AW$53&lt;Total_Lanes,($BI61*($CH61+CE61)+$CM61*DG61)*Peak_Time_Mor/3600,"-")</f>
        <v>-</v>
      </c>
      <c r="AX61" s="136" t="str">
        <f aca="false">IF(AX$53&lt;Total_Lanes,($BI61*($CH61+CF61)+$CM61*DH61)*Peak_Time_Mor/3600,"-")</f>
        <v>-</v>
      </c>
      <c r="AY61" s="137" t="str">
        <f aca="false">IF(AY$53&lt;Total_Lanes,($BI61*($CH61+CG61)+$CM61*DI61)*Peak_Time_Mor/3600,"-")</f>
        <v>-</v>
      </c>
      <c r="AZ61" s="158" t="n">
        <f aca="false">SUMIF(AE61:AY61,BA61,$AE$53:$AY$53)</f>
        <v>3</v>
      </c>
      <c r="BA61" s="159" t="n">
        <f aca="false">MIN(AE61:AY61)</f>
        <v>7.28349845294071</v>
      </c>
      <c r="BB61" s="158" t="n">
        <f aca="false">Price!X14</f>
        <v>3</v>
      </c>
      <c r="BC61" s="159" t="n">
        <f aca="false">SUMIF($AE$53:$AY$53,$BB61,$AE61:$AY61)</f>
        <v>7.28349845294071</v>
      </c>
      <c r="BF61" s="50" t="n">
        <v>7</v>
      </c>
      <c r="BG61" s="131" t="n">
        <f aca="false">$X61</f>
        <v>0.39671513105108</v>
      </c>
      <c r="BH61" s="57" t="n">
        <f aca="false">$AC61</f>
        <v>2957.31747008191</v>
      </c>
      <c r="BI61" s="135" t="n">
        <f aca="false">BH61*(1-BG61)</f>
        <v>1784.10488237872</v>
      </c>
      <c r="BJ61" s="143" t="n">
        <f aca="false">Peak_Arrival_Manual_Mor/K47</f>
        <v>3.25846933378891</v>
      </c>
      <c r="BK61" s="228" t="n">
        <f aca="false">900*Peak_Time_Mor*($BJ61/Total_Lanes-1+SQRT(($BJ61/Total_Lanes-1)^2+8*($BJ61/Total_Lanes)/(Peak_Time_Mor*$K47*Total_Lanes)))</f>
        <v>0.20422403113638</v>
      </c>
      <c r="BL61" s="143" t="n">
        <f aca="false">Peak_Arrival_Manual_Mor/N47</f>
        <v>3.33218755635942</v>
      </c>
      <c r="BM61" s="229" t="n">
        <f aca="false">IF(BM$6&lt;Total_Lanes,900*Peak_Time_Mor*($BL61/(Total_Lanes-BM$6)-1+SQRT(($BL61/(Total_Lanes-BM$6)-1)^2+8*($BL61/(Total_Lanes-BM$6))/(Peak_Time_Mor*$N47*(Total_Lanes-BM$6)))),"-")</f>
        <v>0.265601709335495</v>
      </c>
      <c r="BN61" s="165" t="n">
        <f aca="false">IF(BN$6&lt;Total_Lanes,900*Peak_Time_Mor*($BL61/(Total_Lanes-BN$6)-1+SQRT(($BL61/(Total_Lanes-BN$6)-1)^2+8*($BL61/(Total_Lanes-BN$6))/(Peak_Time_Mor*$N47*(Total_Lanes-BN$6)))),"-")</f>
        <v>0.335967168906559</v>
      </c>
      <c r="BO61" s="165" t="n">
        <f aca="false">IF(BO$6&lt;Total_Lanes,900*Peak_Time_Mor*($BL61/(Total_Lanes-BO$6)-1+SQRT(($BL61/(Total_Lanes-BO$6)-1)^2+8*($BL61/(Total_Lanes-BO$6))/(Peak_Time_Mor*$N47*(Total_Lanes-BO$6)))),"-")</f>
        <v>0.439135859009121</v>
      </c>
      <c r="BP61" s="165" t="n">
        <f aca="false">IF(BP$6&lt;Total_Lanes,900*Peak_Time_Mor*($BL61/(Total_Lanes-BP$6)-1+SQRT(($BL61/(Total_Lanes-BP$6)-1)^2+8*($BL61/(Total_Lanes-BP$6))/(Peak_Time_Mor*$N47*(Total_Lanes-BP$6)))),"-")</f>
        <v>0.599809879032764</v>
      </c>
      <c r="BQ61" s="165" t="n">
        <f aca="false">IF(BQ$6&lt;Total_Lanes,900*Peak_Time_Mor*($BL61/(Total_Lanes-BQ$6)-1+SQRT(($BL61/(Total_Lanes-BQ$6)-1)^2+8*($BL61/(Total_Lanes-BQ$6))/(Peak_Time_Mor*$N47*(Total_Lanes-BQ$6)))),"-")</f>
        <v>0.872238117870339</v>
      </c>
      <c r="BR61" s="165" t="n">
        <f aca="false">IF(BR$6&lt;Total_Lanes,900*Peak_Time_Mor*($BL61/(Total_Lanes-BR$6)-1+SQRT(($BL61/(Total_Lanes-BR$6)-1)^2+8*($BL61/(Total_Lanes-BR$6))/(Peak_Time_Mor*$N47*(Total_Lanes-BR$6)))),"-")</f>
        <v>1.39847654139901</v>
      </c>
      <c r="BS61" s="165" t="n">
        <f aca="false">IF(BS$6&lt;Total_Lanes,900*Peak_Time_Mor*($BL61/(Total_Lanes-BS$6)-1+SQRT(($BL61/(Total_Lanes-BS$6)-1)^2+8*($BL61/(Total_Lanes-BS$6))/(Peak_Time_Mor*$N47*(Total_Lanes-BS$6)))),"-")</f>
        <v>2.68074395225127</v>
      </c>
      <c r="BT61" s="165" t="n">
        <f aca="false">IF(BT$6&lt;Total_Lanes,900*Peak_Time_Mor*($BL61/(Total_Lanes-BT$6)-1+SQRT(($BL61/(Total_Lanes-BT$6)-1)^2+8*($BL61/(Total_Lanes-BT$6))/(Peak_Time_Mor*$N47*(Total_Lanes-BT$6)))),"-")</f>
        <v>8.27349463873851</v>
      </c>
      <c r="BU61" s="165" t="n">
        <f aca="false">IF(BU$6&lt;Total_Lanes,900*Peak_Time_Mor*($BL61/(Total_Lanes-BU$6)-1+SQRT(($BL61/(Total_Lanes-BU$6)-1)^2+8*($BL61/(Total_Lanes-BU$6))/(Peak_Time_Mor*$N47*(Total_Lanes-BU$6)))),"-")</f>
        <v>419.964759204031</v>
      </c>
      <c r="BV61" s="165" t="n">
        <f aca="false">IF(BV$6&lt;Total_Lanes,900*Peak_Time_Mor*($BL61/(Total_Lanes-BV$6)-1+SQRT(($BL61/(Total_Lanes-BV$6)-1)^2+8*($BL61/(Total_Lanes-BV$6))/(Peak_Time_Mor*$N47*(Total_Lanes-BV$6)))),"-")</f>
        <v>2406.31734260447</v>
      </c>
      <c r="BW61" s="230" t="n">
        <f aca="false">IF(BW$6&lt;Total_Lanes,900*Peak_Time_Mor*($BL61/(Total_Lanes-BW$6)-1+SQRT(($BL61/(Total_Lanes-BW$6)-1)^2+8*($BL61/(Total_Lanes-BW$6))/(Peak_Time_Mor*$N47*(Total_Lanes-BW$6)))),"-")</f>
        <v>8405.47100850835</v>
      </c>
      <c r="BX61" s="165" t="str">
        <f aca="false">IF(BX$6&lt;Total_Lanes,900*Peak_Time_Mor*($BL61/(Total_Lanes-BX$6)-1+SQRT(($BL61/(Total_Lanes-BX$6)-1)^2+8*($BL61/(Total_Lanes-BX$6))/(Peak_Time_Mor*$N47*(Total_Lanes-BX$6)))),"-")</f>
        <v>-</v>
      </c>
      <c r="BY61" s="165" t="str">
        <f aca="false">IF(BY$6&lt;Total_Lanes,900*Peak_Time_Mor*($BL61/(Total_Lanes-BY$6)-1+SQRT(($BL61/(Total_Lanes-BY$6)-1)^2+8*($BL61/(Total_Lanes-BY$6))/(Peak_Time_Mor*$N47*(Total_Lanes-BY$6)))),"-")</f>
        <v>-</v>
      </c>
      <c r="BZ61" s="165" t="str">
        <f aca="false">IF(BZ$6&lt;Total_Lanes,900*Peak_Time_Mor*($BL61/(Total_Lanes-BZ$6)-1+SQRT(($BL61/(Total_Lanes-BZ$6)-1)^2+8*($BL61/(Total_Lanes-BZ$6))/(Peak_Time_Mor*$N47*(Total_Lanes-BZ$6)))),"-")</f>
        <v>-</v>
      </c>
      <c r="CA61" s="165" t="str">
        <f aca="false">IF(CA$6&lt;Total_Lanes,900*Peak_Time_Mor*($BL61/(Total_Lanes-CA$6)-1+SQRT(($BL61/(Total_Lanes-CA$6)-1)^2+8*($BL61/(Total_Lanes-CA$6))/(Peak_Time_Mor*$N47*(Total_Lanes-CA$6)))),"-")</f>
        <v>-</v>
      </c>
      <c r="CB61" s="165" t="str">
        <f aca="false">IF(CB$6&lt;Total_Lanes,900*Peak_Time_Mor*($BL61/(Total_Lanes-CB$6)-1+SQRT(($BL61/(Total_Lanes-CB$6)-1)^2+8*($BL61/(Total_Lanes-CB$6))/(Peak_Time_Mor*$N47*(Total_Lanes-CB$6)))),"-")</f>
        <v>-</v>
      </c>
      <c r="CC61" s="165" t="str">
        <f aca="false">IF(CC$6&lt;Total_Lanes,900*Peak_Time_Mor*($BL61/(Total_Lanes-CC$6)-1+SQRT(($BL61/(Total_Lanes-CC$6)-1)^2+8*($BL61/(Total_Lanes-CC$6))/(Peak_Time_Mor*$N47*(Total_Lanes-CC$6)))),"-")</f>
        <v>-</v>
      </c>
      <c r="CD61" s="165" t="str">
        <f aca="false">IF(CD$6&lt;Total_Lanes,900*Peak_Time_Mor*($BL61/(Total_Lanes-CD$6)-1+SQRT(($BL61/(Total_Lanes-CD$6)-1)^2+8*($BL61/(Total_Lanes-CD$6))/(Peak_Time_Mor*$N47*(Total_Lanes-CD$6)))),"-")</f>
        <v>-</v>
      </c>
      <c r="CE61" s="165" t="str">
        <f aca="false">IF(CE$6&lt;Total_Lanes,900*Peak_Time_Mor*($BL61/(Total_Lanes-CE$6)-1+SQRT(($BL61/(Total_Lanes-CE$6)-1)^2+8*($BL61/(Total_Lanes-CE$6))/(Peak_Time_Mor*$N47*(Total_Lanes-CE$6)))),"-")</f>
        <v>-</v>
      </c>
      <c r="CF61" s="165" t="str">
        <f aca="false">IF(CF$6&lt;Total_Lanes,900*Peak_Time_Mor*($BL61/(Total_Lanes-CF$6)-1+SQRT(($BL61/(Total_Lanes-CF$6)-1)^2+8*($BL61/(Total_Lanes-CF$6))/(Peak_Time_Mor*$N47*(Total_Lanes-CF$6)))),"-")</f>
        <v>-</v>
      </c>
      <c r="CG61" s="166" t="str">
        <f aca="false">IF(CG$6&lt;Total_Lanes,900*Peak_Time_Mor*($BL61/(Total_Lanes-CG$6)-1+SQRT(($BL61/(Total_Lanes-CG$6)-1)^2+8*($BL61/(Total_Lanes-CG$6))/(Peak_Time_Mor*$N47*(Total_Lanes-CG$6)))),"-")</f>
        <v>-</v>
      </c>
      <c r="CH61" s="234" t="n">
        <f aca="false">3600/N47</f>
        <v>6.72375</v>
      </c>
      <c r="CJ61" s="50" t="n">
        <v>7</v>
      </c>
      <c r="CK61" s="131" t="n">
        <f aca="false">$X61</f>
        <v>0.39671513105108</v>
      </c>
      <c r="CL61" s="150" t="n">
        <f aca="false">$AC61</f>
        <v>2957.31747008191</v>
      </c>
      <c r="CM61" s="150" t="n">
        <f aca="false">CL61*CK61</f>
        <v>1173.2125877032</v>
      </c>
      <c r="CN61" s="161" t="n">
        <f aca="false">CM61/O47</f>
        <v>0.782141725135464</v>
      </c>
      <c r="CO61" s="165" t="n">
        <f aca="false">IF(CO$53&lt;Total_Lanes,900*Peak_Time_Mor*($CN61/CO$53-1+SQRT(($CN61/CO$53-1)^2+8*($CN61/CO$53)/(Peak_Time_Mor*$O47*CO$53))),"-")</f>
        <v>8.52370020542432</v>
      </c>
      <c r="CP61" s="165" t="n">
        <f aca="false">IF(CP$53&lt;Total_Lanes,900*Peak_Time_Mor*($CN61/CP$53-1+SQRT(($CN61/CP$53-1)^2+8*($CN61/CP$53)/(Peak_Time_Mor*$O47*CP$53))),"-")</f>
        <v>0.770401906933382</v>
      </c>
      <c r="CQ61" s="165" t="n">
        <f aca="false">IF(CQ$53&lt;Total_Lanes,900*Peak_Time_Mor*($CN61/CQ$53-1+SQRT(($CN61/CQ$53-1)^2+8*($CN61/CQ$53)/(Peak_Time_Mor*$O47*CQ$53))),"-")</f>
        <v>0.282095151196371</v>
      </c>
      <c r="CR61" s="165" t="n">
        <f aca="false">IF(CR$53&lt;Total_Lanes,900*Peak_Time_Mor*($CN61/CR$53-1+SQRT(($CN61/CR$53-1)^2+8*($CN61/CR$53)/(Peak_Time_Mor*$O47*CR$53))),"-")</f>
        <v>0.145830352228926</v>
      </c>
      <c r="CS61" s="165" t="n">
        <f aca="false">IF(CS$53&lt;Total_Lanes,900*Peak_Time_Mor*($CN61/CS$53-1+SQRT(($CN61/CS$53-1)^2+8*($CN61/CS$53)/(Peak_Time_Mor*$O47*CS$53))),"-")</f>
        <v>0.0890065527553219</v>
      </c>
      <c r="CT61" s="165" t="n">
        <f aca="false">IF(CT$53&lt;Total_Lanes,900*Peak_Time_Mor*($CN61/CT$53-1+SQRT(($CN61/CT$53-1)^2+8*($CN61/CT$53)/(Peak_Time_Mor*$O47*CT$53))),"-")</f>
        <v>0.0599576841749494</v>
      </c>
      <c r="CU61" s="165" t="n">
        <f aca="false">IF(CU$53&lt;Total_Lanes,900*Peak_Time_Mor*($CN61/CU$53-1+SQRT(($CN61/CU$53-1)^2+8*($CN61/CU$53)/(Peak_Time_Mor*$O47*CU$53))),"-")</f>
        <v>0.0431272712793973</v>
      </c>
      <c r="CV61" s="165" t="n">
        <f aca="false">IF(CV$53&lt;Total_Lanes,900*Peak_Time_Mor*($CN61/CV$53-1+SQRT(($CN61/CV$53-1)^2+8*($CN61/CV$53)/(Peak_Time_Mor*$O47*CV$53))),"-")</f>
        <v>0.0325082815686439</v>
      </c>
      <c r="CW61" s="165" t="n">
        <f aca="false">IF(CW$53&lt;Total_Lanes,900*Peak_Time_Mor*($CN61/CW$53-1+SQRT(($CN61/CW$53-1)^2+8*($CN61/CW$53)/(Peak_Time_Mor*$O47*CW$53))),"-")</f>
        <v>0.0253800332594256</v>
      </c>
      <c r="CX61" s="165" t="n">
        <f aca="false">IF(CX$53&lt;Total_Lanes,900*Peak_Time_Mor*($CN61/CX$53-1+SQRT(($CN61/CX$53-1)^2+8*($CN61/CX$53)/(Peak_Time_Mor*$O47*CX$53))),"-")</f>
        <v>0.0203640429812912</v>
      </c>
      <c r="CY61" s="165" t="n">
        <f aca="false">IF(CY$53&lt;Total_Lanes,900*Peak_Time_Mor*($CN61/CY$53-1+SQRT(($CN61/CY$53-1)^2+8*($CN61/CY$53)/(Peak_Time_Mor*$O47*CY$53))),"-")</f>
        <v>0.0167009804609819</v>
      </c>
      <c r="CZ61" s="165" t="str">
        <f aca="false">IF(CZ$53&lt;Total_Lanes,900*Peak_Time_Mor*($CN61/CZ$53-1+SQRT(($CN61/CZ$53-1)^2+8*($CN61/CZ$53)/(Peak_Time_Mor*$O47*CZ$53))),"-")</f>
        <v>-</v>
      </c>
      <c r="DA61" s="165" t="str">
        <f aca="false">IF(DA$53&lt;Total_Lanes,900*Peak_Time_Mor*($CN61/DA$53-1+SQRT(($CN61/DA$53-1)^2+8*($CN61/DA$53)/(Peak_Time_Mor*$O47*DA$53))),"-")</f>
        <v>-</v>
      </c>
      <c r="DB61" s="165" t="str">
        <f aca="false">IF(DB$53&lt;Total_Lanes,900*Peak_Time_Mor*($CN61/DB$53-1+SQRT(($CN61/DB$53-1)^2+8*($CN61/DB$53)/(Peak_Time_Mor*$O47*DB$53))),"-")</f>
        <v>-</v>
      </c>
      <c r="DC61" s="165" t="str">
        <f aca="false">IF(DC$53&lt;Total_Lanes,900*Peak_Time_Mor*($CN61/DC$53-1+SQRT(($CN61/DC$53-1)^2+8*($CN61/DC$53)/(Peak_Time_Mor*$O47*DC$53))),"-")</f>
        <v>-</v>
      </c>
      <c r="DD61" s="165" t="str">
        <f aca="false">IF(DD$53&lt;Total_Lanes,900*Peak_Time_Mor*($CN61/DD$53-1+SQRT(($CN61/DD$53-1)^2+8*($CN61/DD$53)/(Peak_Time_Mor*$O47*DD$53))),"-")</f>
        <v>-</v>
      </c>
      <c r="DE61" s="165" t="str">
        <f aca="false">IF(DE$53&lt;Total_Lanes,900*Peak_Time_Mor*($CN61/DE$53-1+SQRT(($CN61/DE$53-1)^2+8*($CN61/DE$53)/(Peak_Time_Mor*$O47*DE$53))),"-")</f>
        <v>-</v>
      </c>
      <c r="DF61" s="165" t="str">
        <f aca="false">IF(DF$53&lt;Total_Lanes,900*Peak_Time_Mor*($CN61/DF$53-1+SQRT(($CN61/DF$53-1)^2+8*($CN61/DF$53)/(Peak_Time_Mor*$O47*DF$53))),"-")</f>
        <v>-</v>
      </c>
      <c r="DG61" s="165" t="str">
        <f aca="false">IF(DG$53&lt;Total_Lanes,900*Peak_Time_Mor*($CN61/DG$53-1+SQRT(($CN61/DG$53-1)^2+8*($CN61/DG$53)/(Peak_Time_Mor*$O47*DG$53))),"-")</f>
        <v>-</v>
      </c>
      <c r="DH61" s="165" t="str">
        <f aca="false">IF(DH$53&lt;Total_Lanes,900*Peak_Time_Mor*($CN61/DH$53-1+SQRT(($CN61/DH$53-1)^2+8*($CN61/DH$53)/(Peak_Time_Mor*$O47*DH$53))),"-")</f>
        <v>-</v>
      </c>
      <c r="DI61" s="166" t="str">
        <f aca="false">IF(DI$53&lt;Total_Lanes,900*Peak_Time_Mor*($CN61/DI$53-1+SQRT(($CN61/DI$53-1)^2+8*($CN61/DI$53)/(Peak_Time_Mor*$O47*DI$53))),"-")</f>
        <v>-</v>
      </c>
      <c r="DJ61" s="234" t="n">
        <f aca="false">3600/$O47</f>
        <v>2.4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customFormat="false" ht="12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0" t="n">
        <v>8</v>
      </c>
      <c r="W62" s="124" t="n">
        <f aca="false">W15</f>
        <v>23409703.8</v>
      </c>
      <c r="X62" s="131" t="n">
        <f aca="false">X15</f>
        <v>0.443037513897103</v>
      </c>
      <c r="Y62" s="124" t="n">
        <f aca="false">Y15</f>
        <v>10094.5427431692</v>
      </c>
      <c r="Z62" s="133" t="n">
        <f aca="false">W62/Y62</f>
        <v>2319.04548780488</v>
      </c>
      <c r="AA62" s="233" t="n">
        <f aca="false">AA15</f>
        <v>2</v>
      </c>
      <c r="AB62" s="157" t="n">
        <f aca="false">1-AB15</f>
        <v>0.3</v>
      </c>
      <c r="AC62" s="128" t="n">
        <f aca="false">Y62*AB62</f>
        <v>3028.36282295076</v>
      </c>
      <c r="AD62" s="150" t="n">
        <f aca="false">Peak_Time_Mor*$BH62*(CH62+BK62)/3600</f>
        <v>11.6663006517768</v>
      </c>
      <c r="AE62" s="136" t="n">
        <f aca="false">IF(AE$53&lt;Total_Lanes,($BI62*($CH62+BM62)+$CM62*CO62)*Peak_Time_Mor/3600,"-")</f>
        <v>20.9771246199016</v>
      </c>
      <c r="AF62" s="136" t="n">
        <f aca="false">IF(AF$53&lt;Total_Lanes,($BI62*($CH62+BN62)+$CM62*CP62)*Peak_Time_Mor/3600,"-")</f>
        <v>7.33567562727721</v>
      </c>
      <c r="AG62" s="136" t="n">
        <f aca="false">IF(AG$53&lt;Total_Lanes,($BI62*($CH62+BO62)+$CM62*CQ62)*Peak_Time_Mor/3600,"-")</f>
        <v>6.95362269821078</v>
      </c>
      <c r="AH62" s="136" t="n">
        <f aca="false">IF(AH$53&lt;Total_Lanes,($BI62*($CH62+BP62)+$CM62*CR62)*Peak_Time_Mor/3600,"-")</f>
        <v>6.9649200037572</v>
      </c>
      <c r="AI62" s="136" t="n">
        <f aca="false">IF(AI$53&lt;Total_Lanes,($BI62*($CH62+BQ62)+$CM62*CS62)*Peak_Time_Mor/3600,"-")</f>
        <v>7.1411311677753</v>
      </c>
      <c r="AJ62" s="136" t="n">
        <f aca="false">IF(AJ$53&lt;Total_Lanes,($BI62*($CH62+BR62)+$CM62*CT62)*Peak_Time_Mor/3600,"-")</f>
        <v>7.54399375296195</v>
      </c>
      <c r="AK62" s="136" t="n">
        <f aca="false">IF(AK$53&lt;Total_Lanes,($BI62*($CH62+BS62)+$CM62*CU62)*Peak_Time_Mor/3600,"-")</f>
        <v>8.52530484051504</v>
      </c>
      <c r="AL62" s="136" t="n">
        <f aca="false">IF(AL$53&lt;Total_Lanes,($BI62*($CH62+BT62)+$CM62*CV62)*Peak_Time_Mor/3600,"-")</f>
        <v>12.2453117357146</v>
      </c>
      <c r="AM62" s="136" t="n">
        <f aca="false">IF(AM$53&lt;Total_Lanes,($BI62*($CH62+BU62)+$CM62*CW62)*Peak_Time_Mor/3600,"-")</f>
        <v>221.297919034578</v>
      </c>
      <c r="AN62" s="136" t="n">
        <f aca="false">IF(AN$53&lt;Total_Lanes,($BI62*($CH62+BV62)+$CM62*CX62)*Peak_Time_Mor/3600,"-")</f>
        <v>1971.78413470508</v>
      </c>
      <c r="AO62" s="136" t="n">
        <f aca="false">IF(AO$53&lt;Total_Lanes,($BI62*($CH62+BW62)+$CM62*CY62)*Peak_Time_Mor/3600,"-")</f>
        <v>7302.68990436983</v>
      </c>
      <c r="AP62" s="136" t="str">
        <f aca="false">IF(AP$53&lt;Total_Lanes,($BI62*($CH62+BX62)+$CM62*CZ62)*Peak_Time_Mor/3600,"-")</f>
        <v>-</v>
      </c>
      <c r="AQ62" s="136" t="str">
        <f aca="false">IF(AQ$53&lt;Total_Lanes,($BI62*($CH62+BY62)+$CM62*DA62)*Peak_Time_Mor/3600,"-")</f>
        <v>-</v>
      </c>
      <c r="AR62" s="136" t="str">
        <f aca="false">IF(AR$53&lt;Total_Lanes,($BI62*($CH62+BZ62)+$CM62*DB62)*Peak_Time_Mor/3600,"-")</f>
        <v>-</v>
      </c>
      <c r="AS62" s="136" t="str">
        <f aca="false">IF(AS$53&lt;Total_Lanes,($BI62*($CH62+CA62)+$CM62*DC62)*Peak_Time_Mor/3600,"-")</f>
        <v>-</v>
      </c>
      <c r="AT62" s="136" t="str">
        <f aca="false">IF(AT$53&lt;Total_Lanes,($BI62*($CH62+CB62)+$CM62*DD62)*Peak_Time_Mor/3600,"-")</f>
        <v>-</v>
      </c>
      <c r="AU62" s="136" t="str">
        <f aca="false">IF(AU$53&lt;Total_Lanes,($BI62*($CH62+CC62)+$CM62*DE62)*Peak_Time_Mor/3600,"-")</f>
        <v>-</v>
      </c>
      <c r="AV62" s="136" t="str">
        <f aca="false">IF(AV$53&lt;Total_Lanes,($BI62*($CH62+CD62)+$CM62*DF62)*Peak_Time_Mor/3600,"-")</f>
        <v>-</v>
      </c>
      <c r="AW62" s="136" t="str">
        <f aca="false">IF(AW$53&lt;Total_Lanes,($BI62*($CH62+CE62)+$CM62*DG62)*Peak_Time_Mor/3600,"-")</f>
        <v>-</v>
      </c>
      <c r="AX62" s="136" t="str">
        <f aca="false">IF(AX$53&lt;Total_Lanes,($BI62*($CH62+CF62)+$CM62*DH62)*Peak_Time_Mor/3600,"-")</f>
        <v>-</v>
      </c>
      <c r="AY62" s="137" t="str">
        <f aca="false">IF(AY$53&lt;Total_Lanes,($BI62*($CH62+CG62)+$CM62*DI62)*Peak_Time_Mor/3600,"-")</f>
        <v>-</v>
      </c>
      <c r="AZ62" s="158" t="n">
        <f aca="false">SUMIF(AE62:AY62,BA62,$AE$53:$AY$53)</f>
        <v>3</v>
      </c>
      <c r="BA62" s="159" t="n">
        <f aca="false">MIN(AE62:AY62)</f>
        <v>6.95362269821078</v>
      </c>
      <c r="BB62" s="158" t="n">
        <f aca="false">Price!X15</f>
        <v>3</v>
      </c>
      <c r="BC62" s="159" t="n">
        <f aca="false">SUMIF($AE$53:$AY$53,$BB62,$AE62:$AY62)</f>
        <v>6.95362269821078</v>
      </c>
      <c r="BF62" s="50" t="n">
        <v>8</v>
      </c>
      <c r="BG62" s="131" t="n">
        <f aca="false">$X62</f>
        <v>0.443037513897103</v>
      </c>
      <c r="BH62" s="57" t="n">
        <f aca="false">$AC62</f>
        <v>3028.36282295076</v>
      </c>
      <c r="BI62" s="135" t="n">
        <f aca="false">BH62*(1-BG62)</f>
        <v>1686.68448669224</v>
      </c>
      <c r="BJ62" s="143" t="n">
        <f aca="false">Peak_Arrival_Manual_Mor/K48</f>
        <v>3.08054180555597</v>
      </c>
      <c r="BK62" s="228" t="n">
        <f aca="false">900*Peak_Time_Mor*($BJ62/Total_Lanes-1+SQRT(($BJ62/Total_Lanes-1)^2+8*($BJ62/Total_Lanes)/(Peak_Time_Mor*$K48*Total_Lanes)))</f>
        <v>0.189222350787222</v>
      </c>
      <c r="BL62" s="143" t="n">
        <f aca="false">Peak_Arrival_Manual_Mor/N48</f>
        <v>3.16019079520533</v>
      </c>
      <c r="BM62" s="229" t="n">
        <f aca="false">IF(BM$6&lt;Total_Lanes,900*Peak_Time_Mor*($BL62/(Total_Lanes-BM$6)-1+SQRT(($BL62/(Total_Lanes-BM$6)-1)^2+8*($BL62/(Total_Lanes-BM$6))/(Peak_Time_Mor*$N48*(Total_Lanes-BM$6)))),"-")</f>
        <v>0.247146945637278</v>
      </c>
      <c r="BN62" s="165" t="n">
        <f aca="false">IF(BN$6&lt;Total_Lanes,900*Peak_Time_Mor*($BL62/(Total_Lanes-BN$6)-1+SQRT(($BL62/(Total_Lanes-BN$6)-1)^2+8*($BL62/(Total_Lanes-BN$6))/(Peak_Time_Mor*$N48*(Total_Lanes-BN$6)))),"-")</f>
        <v>0.311599186738865</v>
      </c>
      <c r="BO62" s="165" t="n">
        <f aca="false">IF(BO$6&lt;Total_Lanes,900*Peak_Time_Mor*($BL62/(Total_Lanes-BO$6)-1+SQRT(($BL62/(Total_Lanes-BO$6)-1)^2+8*($BL62/(Total_Lanes-BO$6))/(Peak_Time_Mor*$N48*(Total_Lanes-BO$6)))),"-")</f>
        <v>0.405488655397002</v>
      </c>
      <c r="BP62" s="165" t="n">
        <f aca="false">IF(BP$6&lt;Total_Lanes,900*Peak_Time_Mor*($BL62/(Total_Lanes-BP$6)-1+SQRT(($BL62/(Total_Lanes-BP$6)-1)^2+8*($BL62/(Total_Lanes-BP$6))/(Peak_Time_Mor*$N48*(Total_Lanes-BP$6)))),"-")</f>
        <v>0.55038589036267</v>
      </c>
      <c r="BQ62" s="165" t="n">
        <f aca="false">IF(BQ$6&lt;Total_Lanes,900*Peak_Time_Mor*($BL62/(Total_Lanes-BQ$6)-1+SQRT(($BL62/(Total_Lanes-BQ$6)-1)^2+8*($BL62/(Total_Lanes-BQ$6))/(Peak_Time_Mor*$N48*(Total_Lanes-BQ$6)))),"-")</f>
        <v>0.792708057863933</v>
      </c>
      <c r="BR62" s="165" t="n">
        <f aca="false">IF(BR$6&lt;Total_Lanes,900*Peak_Time_Mor*($BL62/(Total_Lanes-BR$6)-1+SQRT(($BL62/(Total_Lanes-BR$6)-1)^2+8*($BL62/(Total_Lanes-BR$6))/(Peak_Time_Mor*$N48*(Total_Lanes-BR$6)))),"-")</f>
        <v>1.25007576703065</v>
      </c>
      <c r="BS62" s="165" t="n">
        <f aca="false">IF(BS$6&lt;Total_Lanes,900*Peak_Time_Mor*($BL62/(Total_Lanes-BS$6)-1+SQRT(($BL62/(Total_Lanes-BS$6)-1)^2+8*($BL62/(Total_Lanes-BS$6))/(Peak_Time_Mor*$N48*(Total_Lanes-BS$6)))),"-")</f>
        <v>2.31310192614079</v>
      </c>
      <c r="BT62" s="165" t="n">
        <f aca="false">IF(BT$6&lt;Total_Lanes,900*Peak_Time_Mor*($BL62/(Total_Lanes-BT$6)-1+SQRT(($BL62/(Total_Lanes-BT$6)-1)^2+8*($BL62/(Total_Lanes-BT$6))/(Peak_Time_Mor*$N48*(Total_Lanes-BT$6)))),"-")</f>
        <v>6.29294184566007</v>
      </c>
      <c r="BU62" s="165" t="n">
        <f aca="false">IF(BU$6&lt;Total_Lanes,900*Peak_Time_Mor*($BL62/(Total_Lanes-BU$6)-1+SQRT(($BL62/(Total_Lanes-BU$6)-1)^2+8*($BL62/(Total_Lanes-BU$6))/(Peak_Time_Mor*$N48*(Total_Lanes-BU$6)))),"-")</f>
        <v>229.396837089283</v>
      </c>
      <c r="BV62" s="165" t="n">
        <f aca="false">IF(BV$6&lt;Total_Lanes,900*Peak_Time_Mor*($BL62/(Total_Lanes-BV$6)-1+SQRT(($BL62/(Total_Lanes-BV$6)-1)^2+8*($BL62/(Total_Lanes-BV$6))/(Peak_Time_Mor*$N48*(Total_Lanes-BV$6)))),"-")</f>
        <v>2097.48957372121</v>
      </c>
      <c r="BW62" s="230" t="n">
        <f aca="false">IF(BW$6&lt;Total_Lanes,900*Peak_Time_Mor*($BL62/(Total_Lanes-BW$6)-1+SQRT(($BL62/(Total_Lanes-BW$6)-1)^2+8*($BL62/(Total_Lanes-BW$6))/(Peak_Time_Mor*$N48*(Total_Lanes-BW$6)))),"-")</f>
        <v>7786.54178357849</v>
      </c>
      <c r="BX62" s="165" t="str">
        <f aca="false">IF(BX$6&lt;Total_Lanes,900*Peak_Time_Mor*($BL62/(Total_Lanes-BX$6)-1+SQRT(($BL62/(Total_Lanes-BX$6)-1)^2+8*($BL62/(Total_Lanes-BX$6))/(Peak_Time_Mor*$N48*(Total_Lanes-BX$6)))),"-")</f>
        <v>-</v>
      </c>
      <c r="BY62" s="165" t="str">
        <f aca="false">IF(BY$6&lt;Total_Lanes,900*Peak_Time_Mor*($BL62/(Total_Lanes-BY$6)-1+SQRT(($BL62/(Total_Lanes-BY$6)-1)^2+8*($BL62/(Total_Lanes-BY$6))/(Peak_Time_Mor*$N48*(Total_Lanes-BY$6)))),"-")</f>
        <v>-</v>
      </c>
      <c r="BZ62" s="165" t="str">
        <f aca="false">IF(BZ$6&lt;Total_Lanes,900*Peak_Time_Mor*($BL62/(Total_Lanes-BZ$6)-1+SQRT(($BL62/(Total_Lanes-BZ$6)-1)^2+8*($BL62/(Total_Lanes-BZ$6))/(Peak_Time_Mor*$N48*(Total_Lanes-BZ$6)))),"-")</f>
        <v>-</v>
      </c>
      <c r="CA62" s="165" t="str">
        <f aca="false">IF(CA$6&lt;Total_Lanes,900*Peak_Time_Mor*($BL62/(Total_Lanes-CA$6)-1+SQRT(($BL62/(Total_Lanes-CA$6)-1)^2+8*($BL62/(Total_Lanes-CA$6))/(Peak_Time_Mor*$N48*(Total_Lanes-CA$6)))),"-")</f>
        <v>-</v>
      </c>
      <c r="CB62" s="165" t="str">
        <f aca="false">IF(CB$6&lt;Total_Lanes,900*Peak_Time_Mor*($BL62/(Total_Lanes-CB$6)-1+SQRT(($BL62/(Total_Lanes-CB$6)-1)^2+8*($BL62/(Total_Lanes-CB$6))/(Peak_Time_Mor*$N48*(Total_Lanes-CB$6)))),"-")</f>
        <v>-</v>
      </c>
      <c r="CC62" s="165" t="str">
        <f aca="false">IF(CC$6&lt;Total_Lanes,900*Peak_Time_Mor*($BL62/(Total_Lanes-CC$6)-1+SQRT(($BL62/(Total_Lanes-CC$6)-1)^2+8*($BL62/(Total_Lanes-CC$6))/(Peak_Time_Mor*$N48*(Total_Lanes-CC$6)))),"-")</f>
        <v>-</v>
      </c>
      <c r="CD62" s="165" t="str">
        <f aca="false">IF(CD$6&lt;Total_Lanes,900*Peak_Time_Mor*($BL62/(Total_Lanes-CD$6)-1+SQRT(($BL62/(Total_Lanes-CD$6)-1)^2+8*($BL62/(Total_Lanes-CD$6))/(Peak_Time_Mor*$N48*(Total_Lanes-CD$6)))),"-")</f>
        <v>-</v>
      </c>
      <c r="CE62" s="165" t="str">
        <f aca="false">IF(CE$6&lt;Total_Lanes,900*Peak_Time_Mor*($BL62/(Total_Lanes-CE$6)-1+SQRT(($BL62/(Total_Lanes-CE$6)-1)^2+8*($BL62/(Total_Lanes-CE$6))/(Peak_Time_Mor*$N48*(Total_Lanes-CE$6)))),"-")</f>
        <v>-</v>
      </c>
      <c r="CF62" s="165" t="str">
        <f aca="false">IF(CF$6&lt;Total_Lanes,900*Peak_Time_Mor*($BL62/(Total_Lanes-CF$6)-1+SQRT(($BL62/(Total_Lanes-CF$6)-1)^2+8*($BL62/(Total_Lanes-CF$6))/(Peak_Time_Mor*$N48*(Total_Lanes-CF$6)))),"-")</f>
        <v>-</v>
      </c>
      <c r="CG62" s="166" t="str">
        <f aca="false">IF(CG$6&lt;Total_Lanes,900*Peak_Time_Mor*($BL62/(Total_Lanes-CG$6)-1+SQRT(($BL62/(Total_Lanes-CG$6)-1)^2+8*($BL62/(Total_Lanes-CG$6))/(Peak_Time_Mor*$N48*(Total_Lanes-CG$6)))),"-")</f>
        <v>-</v>
      </c>
      <c r="CH62" s="234" t="n">
        <f aca="false">3600/N48</f>
        <v>6.745</v>
      </c>
      <c r="CJ62" s="50" t="n">
        <v>8</v>
      </c>
      <c r="CK62" s="131" t="n">
        <f aca="false">$X62</f>
        <v>0.443037513897103</v>
      </c>
      <c r="CL62" s="150" t="n">
        <f aca="false">$AC62</f>
        <v>3028.36282295076</v>
      </c>
      <c r="CM62" s="150" t="n">
        <f aca="false">CL62*CK62</f>
        <v>1341.67833625852</v>
      </c>
      <c r="CN62" s="161" t="n">
        <f aca="false">CM62/O48</f>
        <v>0.894452224172345</v>
      </c>
      <c r="CO62" s="165" t="n">
        <f aca="false">IF(CO$53&lt;Total_Lanes,900*Peak_Time_Mor*($CN62/CO$53-1+SQRT(($CN62/CO$53-1)^2+8*($CN62/CO$53)/(Peak_Time_Mor*$O48*CO$53))),"-")</f>
        <v>19.3528343062855</v>
      </c>
      <c r="CP62" s="165" t="n">
        <f aca="false">IF(CP$53&lt;Total_Lanes,900*Peak_Time_Mor*($CN62/CP$53-1+SQRT(($CN62/CP$53-1)^2+8*($CN62/CP$53)/(Peak_Time_Mor*$O48*CP$53))),"-")</f>
        <v>0.970396343770563</v>
      </c>
      <c r="CQ62" s="165" t="n">
        <f aca="false">IF(CQ$53&lt;Total_Lanes,900*Peak_Time_Mor*($CN62/CQ$53-1+SQRT(($CN62/CQ$53-1)^2+8*($CN62/CQ$53)/(Peak_Time_Mor*$O48*CQ$53))),"-")</f>
        <v>0.33980020183062</v>
      </c>
      <c r="CR62" s="165" t="n">
        <f aca="false">IF(CR$53&lt;Total_Lanes,900*Peak_Time_Mor*($CN62/CR$53-1+SQRT(($CN62/CR$53-1)^2+8*($CN62/CR$53)/(Peak_Time_Mor*$O48*CR$53))),"-")</f>
        <v>0.172799839417026</v>
      </c>
      <c r="CS62" s="165" t="n">
        <f aca="false">IF(CS$53&lt;Total_Lanes,900*Peak_Time_Mor*($CN62/CS$53-1+SQRT(($CN62/CS$53-1)^2+8*($CN62/CS$53)/(Peak_Time_Mor*$O48*CS$53))),"-")</f>
        <v>0.104571156729394</v>
      </c>
      <c r="CT62" s="165" t="n">
        <f aca="false">IF(CT$53&lt;Total_Lanes,900*Peak_Time_Mor*($CN62/CT$53-1+SQRT(($CN62/CT$53-1)^2+8*($CN62/CT$53)/(Peak_Time_Mor*$O48*CT$53))),"-")</f>
        <v>0.0700752830324669</v>
      </c>
      <c r="CU62" s="165" t="n">
        <f aca="false">IF(CU$53&lt;Total_Lanes,900*Peak_Time_Mor*($CN62/CU$53-1+SQRT(($CN62/CU$53-1)^2+8*($CN62/CU$53)/(Peak_Time_Mor*$O48*CU$53))),"-")</f>
        <v>0.0502271769671658</v>
      </c>
      <c r="CV62" s="165" t="n">
        <f aca="false">IF(CV$53&lt;Total_Lanes,900*Peak_Time_Mor*($CN62/CV$53-1+SQRT(($CN62/CV$53-1)^2+8*($CN62/CV$53)/(Peak_Time_Mor*$O48*CV$53))),"-")</f>
        <v>0.037763801834223</v>
      </c>
      <c r="CW62" s="165" t="n">
        <f aca="false">IF(CW$53&lt;Total_Lanes,900*Peak_Time_Mor*($CN62/CW$53-1+SQRT(($CN62/CW$53-1)^2+8*($CN62/CW$53)/(Peak_Time_Mor*$O48*CW$53))),"-")</f>
        <v>0.0294265649777303</v>
      </c>
      <c r="CX62" s="165" t="n">
        <f aca="false">IF(CX$53&lt;Total_Lanes,900*Peak_Time_Mor*($CN62/CX$53-1+SQRT(($CN62/CX$53-1)^2+8*($CN62/CX$53)/(Peak_Time_Mor*$O48*CX$53))),"-")</f>
        <v>0.0235754064662252</v>
      </c>
      <c r="CY62" s="165" t="n">
        <f aca="false">IF(CY$53&lt;Total_Lanes,900*Peak_Time_Mor*($CN62/CY$53-1+SQRT(($CN62/CY$53-1)^2+8*($CN62/CY$53)/(Peak_Time_Mor*$O48*CY$53))),"-")</f>
        <v>0.0193113799833222</v>
      </c>
      <c r="CZ62" s="165" t="str">
        <f aca="false">IF(CZ$53&lt;Total_Lanes,900*Peak_Time_Mor*($CN62/CZ$53-1+SQRT(($CN62/CZ$53-1)^2+8*($CN62/CZ$53)/(Peak_Time_Mor*$O48*CZ$53))),"-")</f>
        <v>-</v>
      </c>
      <c r="DA62" s="165" t="str">
        <f aca="false">IF(DA$53&lt;Total_Lanes,900*Peak_Time_Mor*($CN62/DA$53-1+SQRT(($CN62/DA$53-1)^2+8*($CN62/DA$53)/(Peak_Time_Mor*$O48*DA$53))),"-")</f>
        <v>-</v>
      </c>
      <c r="DB62" s="165" t="str">
        <f aca="false">IF(DB$53&lt;Total_Lanes,900*Peak_Time_Mor*($CN62/DB$53-1+SQRT(($CN62/DB$53-1)^2+8*($CN62/DB$53)/(Peak_Time_Mor*$O48*DB$53))),"-")</f>
        <v>-</v>
      </c>
      <c r="DC62" s="165" t="str">
        <f aca="false">IF(DC$53&lt;Total_Lanes,900*Peak_Time_Mor*($CN62/DC$53-1+SQRT(($CN62/DC$53-1)^2+8*($CN62/DC$53)/(Peak_Time_Mor*$O48*DC$53))),"-")</f>
        <v>-</v>
      </c>
      <c r="DD62" s="165" t="str">
        <f aca="false">IF(DD$53&lt;Total_Lanes,900*Peak_Time_Mor*($CN62/DD$53-1+SQRT(($CN62/DD$53-1)^2+8*($CN62/DD$53)/(Peak_Time_Mor*$O48*DD$53))),"-")</f>
        <v>-</v>
      </c>
      <c r="DE62" s="165" t="str">
        <f aca="false">IF(DE$53&lt;Total_Lanes,900*Peak_Time_Mor*($CN62/DE$53-1+SQRT(($CN62/DE$53-1)^2+8*($CN62/DE$53)/(Peak_Time_Mor*$O48*DE$53))),"-")</f>
        <v>-</v>
      </c>
      <c r="DF62" s="165" t="str">
        <f aca="false">IF(DF$53&lt;Total_Lanes,900*Peak_Time_Mor*($CN62/DF$53-1+SQRT(($CN62/DF$53-1)^2+8*($CN62/DF$53)/(Peak_Time_Mor*$O48*DF$53))),"-")</f>
        <v>-</v>
      </c>
      <c r="DG62" s="165" t="str">
        <f aca="false">IF(DG$53&lt;Total_Lanes,900*Peak_Time_Mor*($CN62/DG$53-1+SQRT(($CN62/DG$53-1)^2+8*($CN62/DG$53)/(Peak_Time_Mor*$O48*DG$53))),"-")</f>
        <v>-</v>
      </c>
      <c r="DH62" s="165" t="str">
        <f aca="false">IF(DH$53&lt;Total_Lanes,900*Peak_Time_Mor*($CN62/DH$53-1+SQRT(($CN62/DH$53-1)^2+8*($CN62/DH$53)/(Peak_Time_Mor*$O48*DH$53))),"-")</f>
        <v>-</v>
      </c>
      <c r="DI62" s="166" t="str">
        <f aca="false">IF(DI$53&lt;Total_Lanes,900*Peak_Time_Mor*($CN62/DI$53-1+SQRT(($CN62/DI$53-1)^2+8*($CN62/DI$53)/(Peak_Time_Mor*$O48*DI$53))),"-")</f>
        <v>-</v>
      </c>
      <c r="DJ62" s="234" t="n">
        <f aca="false">3600/$O48</f>
        <v>2.4</v>
      </c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customFormat="false" ht="12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50" t="n">
        <v>9</v>
      </c>
      <c r="W63" s="124" t="n">
        <f aca="false">W16</f>
        <v>23958895.15</v>
      </c>
      <c r="X63" s="131" t="n">
        <f aca="false">X16</f>
        <v>0.488152689932575</v>
      </c>
      <c r="Y63" s="124" t="n">
        <f aca="false">Y16</f>
        <v>10331.3605860653</v>
      </c>
      <c r="Z63" s="133" t="n">
        <f aca="false">W63/Y63</f>
        <v>2319.04548780488</v>
      </c>
      <c r="AA63" s="233" t="n">
        <f aca="false">AA16</f>
        <v>2</v>
      </c>
      <c r="AB63" s="157" t="n">
        <f aca="false">1-AB16</f>
        <v>0.3</v>
      </c>
      <c r="AC63" s="128" t="n">
        <f aca="false">Y63*AB63</f>
        <v>3099.4081758196</v>
      </c>
      <c r="AD63" s="150" t="n">
        <f aca="false">Peak_Time_Mor*$BH63*(CH63+BK63)/3600</f>
        <v>11.9510517362566</v>
      </c>
      <c r="AE63" s="136" t="n">
        <f aca="false">IF(AE$53&lt;Total_Lanes,($BI63*($CH63+BM63)+$CM63*CO63)*Peak_Time_Mor/3600,"-")</f>
        <v>98.8149089518091</v>
      </c>
      <c r="AF63" s="136" t="n">
        <f aca="false">IF(AF$53&lt;Total_Lanes,($BI63*($CH63+BN63)+$CM63*CP63)*Peak_Time_Mor/3600,"-")</f>
        <v>7.24230611710462</v>
      </c>
      <c r="AG63" s="136" t="n">
        <f aca="false">IF(AG$53&lt;Total_Lanes,($BI63*($CH63+BO63)+$CM63*CQ63)*Peak_Time_Mor/3600,"-")</f>
        <v>6.63218505390298</v>
      </c>
      <c r="AH63" s="136" t="n">
        <f aca="false">IF(AH$53&lt;Total_Lanes,($BI63*($CH63+BP63)+$CM63*CR63)*Peak_Time_Mor/3600,"-")</f>
        <v>6.57626267869598</v>
      </c>
      <c r="AI63" s="136" t="n">
        <f aca="false">IF(AI$53&lt;Total_Lanes,($BI63*($CH63+BQ63)+$CM63*CS63)*Peak_Time_Mor/3600,"-")</f>
        <v>6.69729604523572</v>
      </c>
      <c r="AJ63" s="136" t="n">
        <f aca="false">IF(AJ$53&lt;Total_Lanes,($BI63*($CH63+BR63)+$CM63*CT63)*Peak_Time_Mor/3600,"-")</f>
        <v>7.01260257004993</v>
      </c>
      <c r="AK63" s="136" t="n">
        <f aca="false">IF(AK$53&lt;Total_Lanes,($BI63*($CH63+BS63)+$CM63*CU63)*Peak_Time_Mor/3600,"-")</f>
        <v>7.77150559351693</v>
      </c>
      <c r="AL63" s="136" t="n">
        <f aca="false">IF(AL$53&lt;Total_Lanes,($BI63*($CH63+BT63)+$CM63*CV63)*Peak_Time_Mor/3600,"-")</f>
        <v>10.3418692242017</v>
      </c>
      <c r="AM63" s="136" t="n">
        <f aca="false">IF(AM$53&lt;Total_Lanes,($BI63*($CH63+BU63)+$CM63*CW63)*Peak_Time_Mor/3600,"-")</f>
        <v>76.0803512659671</v>
      </c>
      <c r="AN63" s="136" t="n">
        <f aca="false">IF(AN$53&lt;Total_Lanes,($BI63*($CH63+BV63)+$CM63*CX63)*Peak_Time_Mor/3600,"-")</f>
        <v>1572.39105707133</v>
      </c>
      <c r="AO63" s="136" t="n">
        <f aca="false">IF(AO$53&lt;Total_Lanes,($BI63*($CH63+BW63)+$CM63*CY63)*Peak_Time_Mor/3600,"-")</f>
        <v>6302.59092833516</v>
      </c>
      <c r="AP63" s="136" t="str">
        <f aca="false">IF(AP$53&lt;Total_Lanes,($BI63*($CH63+BX63)+$CM63*CZ63)*Peak_Time_Mor/3600,"-")</f>
        <v>-</v>
      </c>
      <c r="AQ63" s="136" t="str">
        <f aca="false">IF(AQ$53&lt;Total_Lanes,($BI63*($CH63+BY63)+$CM63*DA63)*Peak_Time_Mor/3600,"-")</f>
        <v>-</v>
      </c>
      <c r="AR63" s="136" t="str">
        <f aca="false">IF(AR$53&lt;Total_Lanes,($BI63*($CH63+BZ63)+$CM63*DB63)*Peak_Time_Mor/3600,"-")</f>
        <v>-</v>
      </c>
      <c r="AS63" s="136" t="str">
        <f aca="false">IF(AS$53&lt;Total_Lanes,($BI63*($CH63+CA63)+$CM63*DC63)*Peak_Time_Mor/3600,"-")</f>
        <v>-</v>
      </c>
      <c r="AT63" s="136" t="str">
        <f aca="false">IF(AT$53&lt;Total_Lanes,($BI63*($CH63+CB63)+$CM63*DD63)*Peak_Time_Mor/3600,"-")</f>
        <v>-</v>
      </c>
      <c r="AU63" s="136" t="str">
        <f aca="false">IF(AU$53&lt;Total_Lanes,($BI63*($CH63+CC63)+$CM63*DE63)*Peak_Time_Mor/3600,"-")</f>
        <v>-</v>
      </c>
      <c r="AV63" s="136" t="str">
        <f aca="false">IF(AV$53&lt;Total_Lanes,($BI63*($CH63+CD63)+$CM63*DF63)*Peak_Time_Mor/3600,"-")</f>
        <v>-</v>
      </c>
      <c r="AW63" s="136" t="str">
        <f aca="false">IF(AW$53&lt;Total_Lanes,($BI63*($CH63+CE63)+$CM63*DG63)*Peak_Time_Mor/3600,"-")</f>
        <v>-</v>
      </c>
      <c r="AX63" s="136" t="str">
        <f aca="false">IF(AX$53&lt;Total_Lanes,($BI63*($CH63+CF63)+$CM63*DH63)*Peak_Time_Mor/3600,"-")</f>
        <v>-</v>
      </c>
      <c r="AY63" s="137" t="str">
        <f aca="false">IF(AY$53&lt;Total_Lanes,($BI63*($CH63+CG63)+$CM63*DI63)*Peak_Time_Mor/3600,"-")</f>
        <v>-</v>
      </c>
      <c r="AZ63" s="158" t="n">
        <f aca="false">SUMIF(AE63:AY63,BA63,$AE$53:$AY$53)</f>
        <v>4</v>
      </c>
      <c r="BA63" s="159" t="n">
        <f aca="false">MIN(AE63:AY63)</f>
        <v>6.57626267869598</v>
      </c>
      <c r="BB63" s="158" t="n">
        <f aca="false">Price!X16</f>
        <v>4</v>
      </c>
      <c r="BC63" s="159" t="n">
        <f aca="false">SUMIF($AE$53:$AY$53,$BB63,$AE63:$AY63)</f>
        <v>6.57626267869598</v>
      </c>
      <c r="BF63" s="50" t="n">
        <v>9</v>
      </c>
      <c r="BG63" s="131" t="n">
        <f aca="false">$X63</f>
        <v>0.488152689932575</v>
      </c>
      <c r="BH63" s="57" t="n">
        <f aca="false">$AC63</f>
        <v>3099.4081758196</v>
      </c>
      <c r="BI63" s="135" t="n">
        <f aca="false">BH63*(1-BG63)</f>
        <v>1586.42373759425</v>
      </c>
      <c r="BJ63" s="143" t="n">
        <f aca="false">Peak_Arrival_Manual_Mor/K49</f>
        <v>2.89742668741172</v>
      </c>
      <c r="BK63" s="228" t="n">
        <f aca="false">900*Peak_Time_Mor*($BJ63/Total_Lanes-1+SQRT(($BJ63/Total_Lanes-1)^2+8*($BJ63/Total_Lanes)/(Peak_Time_Mor*$K49*Total_Lanes)))</f>
        <v>0.174395408723305</v>
      </c>
      <c r="BL63" s="143" t="n">
        <f aca="false">Peak_Arrival_Manual_Mor/N49</f>
        <v>2.98170544847141</v>
      </c>
      <c r="BM63" s="229" t="n">
        <f aca="false">IF(BM$6&lt;Total_Lanes,900*Peak_Time_Mor*($BL63/(Total_Lanes-BM$6)-1+SQRT(($BL63/(Total_Lanes-BM$6)-1)^2+8*($BL63/(Total_Lanes-BM$6))/(Peak_Time_Mor*$N49*(Total_Lanes-BM$6)))),"-")</f>
        <v>0.228717943358059</v>
      </c>
      <c r="BN63" s="165" t="n">
        <f aca="false">IF(BN$6&lt;Total_Lanes,900*Peak_Time_Mor*($BL63/(Total_Lanes-BN$6)-1+SQRT(($BL63/(Total_Lanes-BN$6)-1)^2+8*($BL63/(Total_Lanes-BN$6))/(Peak_Time_Mor*$N49*(Total_Lanes-BN$6)))),"-")</f>
        <v>0.287429794473093</v>
      </c>
      <c r="BO63" s="165" t="n">
        <f aca="false">IF(BO$6&lt;Total_Lanes,900*Peak_Time_Mor*($BL63/(Total_Lanes-BO$6)-1+SQRT(($BL63/(Total_Lanes-BO$6)-1)^2+8*($BL63/(Total_Lanes-BO$6))/(Peak_Time_Mor*$N49*(Total_Lanes-BO$6)))),"-")</f>
        <v>0.372417130086311</v>
      </c>
      <c r="BP63" s="165" t="n">
        <f aca="false">IF(BP$6&lt;Total_Lanes,900*Peak_Time_Mor*($BL63/(Total_Lanes-BP$6)-1+SQRT(($BL63/(Total_Lanes-BP$6)-1)^2+8*($BL63/(Total_Lanes-BP$6))/(Peak_Time_Mor*$N49*(Total_Lanes-BP$6)))),"-")</f>
        <v>0.502423598508961</v>
      </c>
      <c r="BQ63" s="165" t="n">
        <f aca="false">IF(BQ$6&lt;Total_Lanes,900*Peak_Time_Mor*($BL63/(Total_Lanes-BQ$6)-1+SQRT(($BL63/(Total_Lanes-BQ$6)-1)^2+8*($BL63/(Total_Lanes-BQ$6))/(Peak_Time_Mor*$N49*(Total_Lanes-BQ$6)))),"-")</f>
        <v>0.717005215869238</v>
      </c>
      <c r="BR63" s="165" t="n">
        <f aca="false">IF(BR$6&lt;Total_Lanes,900*Peak_Time_Mor*($BL63/(Total_Lanes-BR$6)-1+SQRT(($BL63/(Total_Lanes-BR$6)-1)^2+8*($BL63/(Total_Lanes-BR$6))/(Peak_Time_Mor*$N49*(Total_Lanes-BR$6)))),"-")</f>
        <v>1.11335328561186</v>
      </c>
      <c r="BS63" s="165" t="n">
        <f aca="false">IF(BS$6&lt;Total_Lanes,900*Peak_Time_Mor*($BL63/(Total_Lanes-BS$6)-1+SQRT(($BL63/(Total_Lanes-BS$6)-1)^2+8*($BL63/(Total_Lanes-BS$6))/(Peak_Time_Mor*$N49*(Total_Lanes-BS$6)))),"-")</f>
        <v>1.99646625123701</v>
      </c>
      <c r="BT63" s="165" t="n">
        <f aca="false">IF(BT$6&lt;Total_Lanes,900*Peak_Time_Mor*($BL63/(Total_Lanes-BT$6)-1+SQRT(($BL63/(Total_Lanes-BT$6)-1)^2+8*($BL63/(Total_Lanes-BT$6))/(Peak_Time_Mor*$N49*(Total_Lanes-BT$6)))),"-")</f>
        <v>4.9266417556748</v>
      </c>
      <c r="BU63" s="165" t="n">
        <f aca="false">IF(BU$6&lt;Total_Lanes,900*Peak_Time_Mor*($BL63/(Total_Lanes-BU$6)-1+SQRT(($BL63/(Total_Lanes-BU$6)-1)^2+8*($BL63/(Total_Lanes-BU$6))/(Peak_Time_Mor*$N49*(Total_Lanes-BU$6)))),"-")</f>
        <v>79.5245089523396</v>
      </c>
      <c r="BV63" s="165" t="n">
        <f aca="false">IF(BV$6&lt;Total_Lanes,900*Peak_Time_Mor*($BL63/(Total_Lanes-BV$6)-1+SQRT(($BL63/(Total_Lanes-BV$6)-1)^2+8*($BL63/(Total_Lanes-BV$6))/(Peak_Time_Mor*$N49*(Total_Lanes-BV$6)))),"-")</f>
        <v>1777.28620793884</v>
      </c>
      <c r="BW63" s="230" t="n">
        <f aca="false">IF(BW$6&lt;Total_Lanes,900*Peak_Time_Mor*($BL63/(Total_Lanes-BW$6)-1+SQRT(($BL63/(Total_Lanes-BW$6)-1)^2+8*($BL63/(Total_Lanes-BW$6))/(Peak_Time_Mor*$N49*(Total_Lanes-BW$6)))),"-")</f>
        <v>7144.30573488188</v>
      </c>
      <c r="BX63" s="165" t="str">
        <f aca="false">IF(BX$6&lt;Total_Lanes,900*Peak_Time_Mor*($BL63/(Total_Lanes-BX$6)-1+SQRT(($BL63/(Total_Lanes-BX$6)-1)^2+8*($BL63/(Total_Lanes-BX$6))/(Peak_Time_Mor*$N49*(Total_Lanes-BX$6)))),"-")</f>
        <v>-</v>
      </c>
      <c r="BY63" s="165" t="str">
        <f aca="false">IF(BY$6&lt;Total_Lanes,900*Peak_Time_Mor*($BL63/(Total_Lanes-BY$6)-1+SQRT(($BL63/(Total_Lanes-BY$6)-1)^2+8*($BL63/(Total_Lanes-BY$6))/(Peak_Time_Mor*$N49*(Total_Lanes-BY$6)))),"-")</f>
        <v>-</v>
      </c>
      <c r="BZ63" s="165" t="str">
        <f aca="false">IF(BZ$6&lt;Total_Lanes,900*Peak_Time_Mor*($BL63/(Total_Lanes-BZ$6)-1+SQRT(($BL63/(Total_Lanes-BZ$6)-1)^2+8*($BL63/(Total_Lanes-BZ$6))/(Peak_Time_Mor*$N49*(Total_Lanes-BZ$6)))),"-")</f>
        <v>-</v>
      </c>
      <c r="CA63" s="165" t="str">
        <f aca="false">IF(CA$6&lt;Total_Lanes,900*Peak_Time_Mor*($BL63/(Total_Lanes-CA$6)-1+SQRT(($BL63/(Total_Lanes-CA$6)-1)^2+8*($BL63/(Total_Lanes-CA$6))/(Peak_Time_Mor*$N49*(Total_Lanes-CA$6)))),"-")</f>
        <v>-</v>
      </c>
      <c r="CB63" s="165" t="str">
        <f aca="false">IF(CB$6&lt;Total_Lanes,900*Peak_Time_Mor*($BL63/(Total_Lanes-CB$6)-1+SQRT(($BL63/(Total_Lanes-CB$6)-1)^2+8*($BL63/(Total_Lanes-CB$6))/(Peak_Time_Mor*$N49*(Total_Lanes-CB$6)))),"-")</f>
        <v>-</v>
      </c>
      <c r="CC63" s="165" t="str">
        <f aca="false">IF(CC$6&lt;Total_Lanes,900*Peak_Time_Mor*($BL63/(Total_Lanes-CC$6)-1+SQRT(($BL63/(Total_Lanes-CC$6)-1)^2+8*($BL63/(Total_Lanes-CC$6))/(Peak_Time_Mor*$N49*(Total_Lanes-CC$6)))),"-")</f>
        <v>-</v>
      </c>
      <c r="CD63" s="165" t="str">
        <f aca="false">IF(CD$6&lt;Total_Lanes,900*Peak_Time_Mor*($BL63/(Total_Lanes-CD$6)-1+SQRT(($BL63/(Total_Lanes-CD$6)-1)^2+8*($BL63/(Total_Lanes-CD$6))/(Peak_Time_Mor*$N49*(Total_Lanes-CD$6)))),"-")</f>
        <v>-</v>
      </c>
      <c r="CE63" s="165" t="str">
        <f aca="false">IF(CE$6&lt;Total_Lanes,900*Peak_Time_Mor*($BL63/(Total_Lanes-CE$6)-1+SQRT(($BL63/(Total_Lanes-CE$6)-1)^2+8*($BL63/(Total_Lanes-CE$6))/(Peak_Time_Mor*$N49*(Total_Lanes-CE$6)))),"-")</f>
        <v>-</v>
      </c>
      <c r="CF63" s="165" t="str">
        <f aca="false">IF(CF$6&lt;Total_Lanes,900*Peak_Time_Mor*($BL63/(Total_Lanes-CF$6)-1+SQRT(($BL63/(Total_Lanes-CF$6)-1)^2+8*($BL63/(Total_Lanes-CF$6))/(Peak_Time_Mor*$N49*(Total_Lanes-CF$6)))),"-")</f>
        <v>-</v>
      </c>
      <c r="CG63" s="166" t="str">
        <f aca="false">IF(CG$6&lt;Total_Lanes,900*Peak_Time_Mor*($BL63/(Total_Lanes-CG$6)-1+SQRT(($BL63/(Total_Lanes-CG$6)-1)^2+8*($BL63/(Total_Lanes-CG$6))/(Peak_Time_Mor*$N49*(Total_Lanes-CG$6)))),"-")</f>
        <v>-</v>
      </c>
      <c r="CH63" s="234" t="n">
        <f aca="false">3600/N49</f>
        <v>6.76625</v>
      </c>
      <c r="CJ63" s="50" t="n">
        <v>9</v>
      </c>
      <c r="CK63" s="131" t="n">
        <f aca="false">$X63</f>
        <v>0.488152689932575</v>
      </c>
      <c r="CL63" s="150" t="n">
        <f aca="false">$AC63</f>
        <v>3099.4081758196</v>
      </c>
      <c r="CM63" s="150" t="n">
        <f aca="false">CL63*CK63</f>
        <v>1512.98443822536</v>
      </c>
      <c r="CN63" s="161" t="n">
        <f aca="false">CM63/O49</f>
        <v>1.00865629215024</v>
      </c>
      <c r="CO63" s="165" t="n">
        <f aca="false">IF(CO$53&lt;Total_Lanes,900*Peak_Time_Mor*($CN63/CO$53-1+SQRT(($CN63/CO$53-1)^2+8*($CN63/CO$53)/(Peak_Time_Mor*$O49*CO$53))),"-")</f>
        <v>110.225755606458</v>
      </c>
      <c r="CP63" s="165" t="n">
        <f aca="false">IF(CP$53&lt;Total_Lanes,900*Peak_Time_Mor*($CN63/CP$53-1+SQRT(($CN63/CP$53-1)^2+8*($CN63/CP$53)/(Peak_Time_Mor*$O49*CP$53))),"-")</f>
        <v>1.22012223047884</v>
      </c>
      <c r="CQ63" s="165" t="n">
        <f aca="false">IF(CQ$53&lt;Total_Lanes,900*Peak_Time_Mor*($CN63/CQ$53-1+SQRT(($CN63/CQ$53-1)^2+8*($CN63/CQ$53)/(Peak_Time_Mor*$O49*CQ$53))),"-")</f>
        <v>0.405147661526262</v>
      </c>
      <c r="CR63" s="165" t="n">
        <f aca="false">IF(CR$53&lt;Total_Lanes,900*Peak_Time_Mor*($CN63/CR$53-1+SQRT(($CN63/CR$53-1)^2+8*($CN63/CR$53)/(Peak_Time_Mor*$O49*CR$53))),"-")</f>
        <v>0.202299823065299</v>
      </c>
      <c r="CS63" s="165" t="n">
        <f aca="false">IF(CS$53&lt;Total_Lanes,900*Peak_Time_Mor*($CN63/CS$53-1+SQRT(($CN63/CS$53-1)^2+8*($CN63/CS$53)/(Peak_Time_Mor*$O49*CS$53))),"-")</f>
        <v>0.12129614016958</v>
      </c>
      <c r="CT63" s="165" t="n">
        <f aca="false">IF(CT$53&lt;Total_Lanes,900*Peak_Time_Mor*($CN63/CT$53-1+SQRT(($CN63/CT$53-1)^2+8*($CN63/CT$53)/(Peak_Time_Mor*$O49*CT$53))),"-")</f>
        <v>0.0808302636033931</v>
      </c>
      <c r="CU63" s="165" t="n">
        <f aca="false">IF(CU$53&lt;Total_Lanes,900*Peak_Time_Mor*($CN63/CU$53-1+SQRT(($CN63/CU$53-1)^2+8*($CN63/CU$53)/(Peak_Time_Mor*$O49*CU$53))),"-")</f>
        <v>0.0577196958269077</v>
      </c>
      <c r="CV63" s="165" t="n">
        <f aca="false">IF(CV$53&lt;Total_Lanes,900*Peak_Time_Mor*($CN63/CV$53-1+SQRT(($CN63/CV$53-1)^2+8*($CN63/CV$53)/(Peak_Time_Mor*$O49*CV$53))),"-")</f>
        <v>0.0432810540453188</v>
      </c>
      <c r="CW63" s="165" t="n">
        <f aca="false">IF(CW$53&lt;Total_Lanes,900*Peak_Time_Mor*($CN63/CW$53-1+SQRT(($CN63/CW$53-1)^2+8*($CN63/CW$53)/(Peak_Time_Mor*$O49*CW$53))),"-")</f>
        <v>0.033657941509091</v>
      </c>
      <c r="CX63" s="165" t="n">
        <f aca="false">IF(CX$53&lt;Total_Lanes,900*Peak_Time_Mor*($CN63/CX$53-1+SQRT(($CN63/CX$53-1)^2+8*($CN63/CX$53)/(Peak_Time_Mor*$O49*CX$53))),"-")</f>
        <v>0.0269231723855068</v>
      </c>
      <c r="CY63" s="165" t="n">
        <f aca="false">IF(CY$53&lt;Total_Lanes,900*Peak_Time_Mor*($CN63/CY$53-1+SQRT(($CN63/CY$53-1)^2+8*($CN63/CY$53)/(Peak_Time_Mor*$O49*CY$53))),"-")</f>
        <v>0.0220259644543308</v>
      </c>
      <c r="CZ63" s="165" t="str">
        <f aca="false">IF(CZ$53&lt;Total_Lanes,900*Peak_Time_Mor*($CN63/CZ$53-1+SQRT(($CN63/CZ$53-1)^2+8*($CN63/CZ$53)/(Peak_Time_Mor*$O49*CZ$53))),"-")</f>
        <v>-</v>
      </c>
      <c r="DA63" s="165" t="str">
        <f aca="false">IF(DA$53&lt;Total_Lanes,900*Peak_Time_Mor*($CN63/DA$53-1+SQRT(($CN63/DA$53-1)^2+8*($CN63/DA$53)/(Peak_Time_Mor*$O49*DA$53))),"-")</f>
        <v>-</v>
      </c>
      <c r="DB63" s="165" t="str">
        <f aca="false">IF(DB$53&lt;Total_Lanes,900*Peak_Time_Mor*($CN63/DB$53-1+SQRT(($CN63/DB$53-1)^2+8*($CN63/DB$53)/(Peak_Time_Mor*$O49*DB$53))),"-")</f>
        <v>-</v>
      </c>
      <c r="DC63" s="165" t="str">
        <f aca="false">IF(DC$53&lt;Total_Lanes,900*Peak_Time_Mor*($CN63/DC$53-1+SQRT(($CN63/DC$53-1)^2+8*($CN63/DC$53)/(Peak_Time_Mor*$O49*DC$53))),"-")</f>
        <v>-</v>
      </c>
      <c r="DD63" s="165" t="str">
        <f aca="false">IF(DD$53&lt;Total_Lanes,900*Peak_Time_Mor*($CN63/DD$53-1+SQRT(($CN63/DD$53-1)^2+8*($CN63/DD$53)/(Peak_Time_Mor*$O49*DD$53))),"-")</f>
        <v>-</v>
      </c>
      <c r="DE63" s="165" t="str">
        <f aca="false">IF(DE$53&lt;Total_Lanes,900*Peak_Time_Mor*($CN63/DE$53-1+SQRT(($CN63/DE$53-1)^2+8*($CN63/DE$53)/(Peak_Time_Mor*$O49*DE$53))),"-")</f>
        <v>-</v>
      </c>
      <c r="DF63" s="165" t="str">
        <f aca="false">IF(DF$53&lt;Total_Lanes,900*Peak_Time_Mor*($CN63/DF$53-1+SQRT(($CN63/DF$53-1)^2+8*($CN63/DF$53)/(Peak_Time_Mor*$O49*DF$53))),"-")</f>
        <v>-</v>
      </c>
      <c r="DG63" s="165" t="str">
        <f aca="false">IF(DG$53&lt;Total_Lanes,900*Peak_Time_Mor*($CN63/DG$53-1+SQRT(($CN63/DG$53-1)^2+8*($CN63/DG$53)/(Peak_Time_Mor*$O49*DG$53))),"-")</f>
        <v>-</v>
      </c>
      <c r="DH63" s="165" t="str">
        <f aca="false">IF(DH$53&lt;Total_Lanes,900*Peak_Time_Mor*($CN63/DH$53-1+SQRT(($CN63/DH$53-1)^2+8*($CN63/DH$53)/(Peak_Time_Mor*$O49*DH$53))),"-")</f>
        <v>-</v>
      </c>
      <c r="DI63" s="166" t="str">
        <f aca="false">IF(DI$53&lt;Total_Lanes,900*Peak_Time_Mor*($CN63/DI$53-1+SQRT(($CN63/DI$53-1)^2+8*($CN63/DI$53)/(Peak_Time_Mor*$O49*DI$53))),"-")</f>
        <v>-</v>
      </c>
      <c r="DJ63" s="234" t="n">
        <f aca="false">3600/$O49</f>
        <v>2.4</v>
      </c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</row>
    <row r="64" customFormat="false" ht="12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50" t="n">
        <v>10</v>
      </c>
      <c r="W64" s="124" t="n">
        <f aca="false">W17</f>
        <v>24508086.5</v>
      </c>
      <c r="X64" s="131" t="n">
        <f aca="false">X17</f>
        <v>0.531731128248894</v>
      </c>
      <c r="Y64" s="124" t="n">
        <f aca="false">Y17</f>
        <v>10568.1784289615</v>
      </c>
      <c r="Z64" s="133" t="n">
        <f aca="false">W64/Y64</f>
        <v>2319.04548780488</v>
      </c>
      <c r="AA64" s="233" t="n">
        <f aca="false">AA17</f>
        <v>2</v>
      </c>
      <c r="AB64" s="157" t="n">
        <f aca="false">1-AB17</f>
        <v>0.3</v>
      </c>
      <c r="AC64" s="128" t="n">
        <f aca="false">Y64*AB64</f>
        <v>3170.45352868845</v>
      </c>
      <c r="AD64" s="150" t="n">
        <f aca="false">Peak_Time_Mor*$BH64*(CH64+BK64)/3600</f>
        <v>12.2369622729448</v>
      </c>
      <c r="AE64" s="136" t="n">
        <f aca="false">IF(AE$53&lt;Total_Lanes,($BI64*($CH64+BM64)+$CM64*CO64)*Peak_Time_Mor/3600,"-")</f>
        <v>442.955686981969</v>
      </c>
      <c r="AF64" s="136" t="n">
        <f aca="false">IF(AF$53&lt;Total_Lanes,($BI64*($CH64+BN64)+$CM64*CP64)*Peak_Time_Mor/3600,"-")</f>
        <v>7.25619229873368</v>
      </c>
      <c r="AG64" s="136" t="n">
        <f aca="false">IF(AG$53&lt;Total_Lanes,($BI64*($CH64+BO64)+$CM64*CQ64)*Peak_Time_Mor/3600,"-")</f>
        <v>6.32777181174128</v>
      </c>
      <c r="AH64" s="136" t="n">
        <f aca="false">IF(AH$53&lt;Total_Lanes,($BI64*($CH64+BP64)+$CM64*CR64)*Peak_Time_Mor/3600,"-")</f>
        <v>6.19439478287074</v>
      </c>
      <c r="AI64" s="136" t="n">
        <f aca="false">IF(AI$53&lt;Total_Lanes,($BI64*($CH64+BQ64)+$CM64*CS64)*Peak_Time_Mor/3600,"-")</f>
        <v>6.26135026649756</v>
      </c>
      <c r="AJ64" s="136" t="n">
        <f aca="false">IF(AJ$53&lt;Total_Lanes,($BI64*($CH64+BR64)+$CM64*CT64)*Peak_Time_Mor/3600,"-")</f>
        <v>6.50013968290757</v>
      </c>
      <c r="AK64" s="136" t="n">
        <f aca="false">IF(AK$53&lt;Total_Lanes,($BI64*($CH64+BS64)+$CM64*CU64)*Peak_Time_Mor/3600,"-")</f>
        <v>7.08215542821345</v>
      </c>
      <c r="AL64" s="136" t="n">
        <f aca="false">IF(AL$53&lt;Total_Lanes,($BI64*($CH64+BT64)+$CM64*CV64)*Peak_Time_Mor/3600,"-")</f>
        <v>8.89464619559658</v>
      </c>
      <c r="AM64" s="136" t="n">
        <f aca="false">IF(AM$53&lt;Total_Lanes,($BI64*($CH64+BU64)+$CM64*CW64)*Peak_Time_Mor/3600,"-")</f>
        <v>28.9129443255512</v>
      </c>
      <c r="AN64" s="136" t="n">
        <f aca="false">IF(AN$53&lt;Total_Lanes,($BI64*($CH64+BV64)+$CM64*CX64)*Peak_Time_Mor/3600,"-")</f>
        <v>1201.76882181884</v>
      </c>
      <c r="AO64" s="136" t="n">
        <f aca="false">IF(AO$53&lt;Total_Lanes,($BI64*($CH64+BW64)+$CM64*CY64)*Peak_Time_Mor/3600,"-")</f>
        <v>5356.40120200714</v>
      </c>
      <c r="AP64" s="136" t="str">
        <f aca="false">IF(AP$53&lt;Total_Lanes,($BI64*($CH64+BX64)+$CM64*CZ64)*Peak_Time_Mor/3600,"-")</f>
        <v>-</v>
      </c>
      <c r="AQ64" s="136" t="str">
        <f aca="false">IF(AQ$53&lt;Total_Lanes,($BI64*($CH64+BY64)+$CM64*DA64)*Peak_Time_Mor/3600,"-")</f>
        <v>-</v>
      </c>
      <c r="AR64" s="136" t="str">
        <f aca="false">IF(AR$53&lt;Total_Lanes,($BI64*($CH64+BZ64)+$CM64*DB64)*Peak_Time_Mor/3600,"-")</f>
        <v>-</v>
      </c>
      <c r="AS64" s="136" t="str">
        <f aca="false">IF(AS$53&lt;Total_Lanes,($BI64*($CH64+CA64)+$CM64*DC64)*Peak_Time_Mor/3600,"-")</f>
        <v>-</v>
      </c>
      <c r="AT64" s="136" t="str">
        <f aca="false">IF(AT$53&lt;Total_Lanes,($BI64*($CH64+CB64)+$CM64*DD64)*Peak_Time_Mor/3600,"-")</f>
        <v>-</v>
      </c>
      <c r="AU64" s="136" t="str">
        <f aca="false">IF(AU$53&lt;Total_Lanes,($BI64*($CH64+CC64)+$CM64*DE64)*Peak_Time_Mor/3600,"-")</f>
        <v>-</v>
      </c>
      <c r="AV64" s="136" t="str">
        <f aca="false">IF(AV$53&lt;Total_Lanes,($BI64*($CH64+CD64)+$CM64*DF64)*Peak_Time_Mor/3600,"-")</f>
        <v>-</v>
      </c>
      <c r="AW64" s="136" t="str">
        <f aca="false">IF(AW$53&lt;Total_Lanes,($BI64*($CH64+CE64)+$CM64*DG64)*Peak_Time_Mor/3600,"-")</f>
        <v>-</v>
      </c>
      <c r="AX64" s="136" t="str">
        <f aca="false">IF(AX$53&lt;Total_Lanes,($BI64*($CH64+CF64)+$CM64*DH64)*Peak_Time_Mor/3600,"-")</f>
        <v>-</v>
      </c>
      <c r="AY64" s="137" t="str">
        <f aca="false">IF(AY$53&lt;Total_Lanes,($BI64*($CH64+CG64)+$CM64*DI64)*Peak_Time_Mor/3600,"-")</f>
        <v>-</v>
      </c>
      <c r="AZ64" s="158" t="n">
        <f aca="false">SUMIF(AE64:AY64,BA64,$AE$53:$AY$53)</f>
        <v>4</v>
      </c>
      <c r="BA64" s="159" t="n">
        <f aca="false">MIN(AE64:AY64)</f>
        <v>6.19439478287074</v>
      </c>
      <c r="BB64" s="158" t="n">
        <f aca="false">Price!X17</f>
        <v>4</v>
      </c>
      <c r="BC64" s="159" t="n">
        <f aca="false">SUMIF($AE$53:$AY$53,$BB64,$AE64:$AY64)</f>
        <v>6.19439478287074</v>
      </c>
      <c r="BF64" s="50" t="n">
        <v>10</v>
      </c>
      <c r="BG64" s="131" t="n">
        <f aca="false">$X64</f>
        <v>0.531731128248894</v>
      </c>
      <c r="BH64" s="57" t="n">
        <f aca="false">$AC64</f>
        <v>3170.45352868845</v>
      </c>
      <c r="BI64" s="135" t="n">
        <f aca="false">BH64*(1-BG64)</f>
        <v>1484.62469681825</v>
      </c>
      <c r="BJ64" s="143" t="n">
        <f aca="false">Peak_Arrival_Manual_Mor/K50</f>
        <v>2.71150205043889</v>
      </c>
      <c r="BK64" s="228" t="n">
        <f aca="false">900*Peak_Time_Mor*($BJ64/Total_Lanes-1+SQRT(($BJ64/Total_Lanes-1)^2+8*($BJ64/Total_Lanes)/(Peak_Time_Mor*$K50*Total_Lanes)))</f>
        <v>0.159938873331322</v>
      </c>
      <c r="BL64" s="143" t="n">
        <f aca="false">Peak_Arrival_Manual_Mor/N50</f>
        <v>2.79913614712608</v>
      </c>
      <c r="BM64" s="229" t="n">
        <f aca="false">IF(BM$6&lt;Total_Lanes,900*Peak_Time_Mor*($BL64/(Total_Lanes-BM$6)-1+SQRT(($BL64/(Total_Lanes-BM$6)-1)^2+8*($BL64/(Total_Lanes-BM$6))/(Peak_Time_Mor*$N50*(Total_Lanes-BM$6)))),"-")</f>
        <v>0.210594731591951</v>
      </c>
      <c r="BN64" s="165" t="n">
        <f aca="false">IF(BN$6&lt;Total_Lanes,900*Peak_Time_Mor*($BL64/(Total_Lanes-BN$6)-1+SQRT(($BL64/(Total_Lanes-BN$6)-1)^2+8*($BL64/(Total_Lanes-BN$6))/(Peak_Time_Mor*$N50*(Total_Lanes-BN$6)))),"-")</f>
        <v>0.263818392479309</v>
      </c>
      <c r="BO64" s="165" t="n">
        <f aca="false">IF(BO$6&lt;Total_Lanes,900*Peak_Time_Mor*($BL64/(Total_Lanes-BO$6)-1+SQRT(($BL64/(Total_Lanes-BO$6)-1)^2+8*($BL64/(Total_Lanes-BO$6))/(Peak_Time_Mor*$N50*(Total_Lanes-BO$6)))),"-")</f>
        <v>0.340392171257098</v>
      </c>
      <c r="BP64" s="165" t="n">
        <f aca="false">IF(BP$6&lt;Total_Lanes,900*Peak_Time_Mor*($BL64/(Total_Lanes-BP$6)-1+SQRT(($BL64/(Total_Lanes-BP$6)-1)^2+8*($BL64/(Total_Lanes-BP$6))/(Peak_Time_Mor*$N50*(Total_Lanes-BP$6)))),"-")</f>
        <v>0.456545096470151</v>
      </c>
      <c r="BQ64" s="165" t="n">
        <f aca="false">IF(BQ$6&lt;Total_Lanes,900*Peak_Time_Mor*($BL64/(Total_Lanes-BQ$6)-1+SQRT(($BL64/(Total_Lanes-BQ$6)-1)^2+8*($BL64/(Total_Lanes-BQ$6))/(Peak_Time_Mor*$N50*(Total_Lanes-BQ$6)))),"-")</f>
        <v>0.645903143208249</v>
      </c>
      <c r="BR64" s="165" t="n">
        <f aca="false">IF(BR$6&lt;Total_Lanes,900*Peak_Time_Mor*($BL64/(Total_Lanes-BR$6)-1+SQRT(($BL64/(Total_Lanes-BR$6)-1)^2+8*($BL64/(Total_Lanes-BR$6))/(Peak_Time_Mor*$N50*(Total_Lanes-BR$6)))),"-")</f>
        <v>0.988762251044362</v>
      </c>
      <c r="BS64" s="165" t="n">
        <f aca="false">IF(BS$6&lt;Total_Lanes,900*Peak_Time_Mor*($BL64/(Total_Lanes-BS$6)-1+SQRT(($BL64/(Total_Lanes-BS$6)-1)^2+8*($BL64/(Total_Lanes-BS$6))/(Peak_Time_Mor*$N50*(Total_Lanes-BS$6)))),"-")</f>
        <v>1.72463927315152</v>
      </c>
      <c r="BT64" s="165" t="n">
        <f aca="false">IF(BT$6&lt;Total_Lanes,900*Peak_Time_Mor*($BL64/(Total_Lanes-BT$6)-1+SQRT(($BL64/(Total_Lanes-BT$6)-1)^2+8*($BL64/(Total_Lanes-BT$6))/(Peak_Time_Mor*$N50*(Total_Lanes-BT$6)))),"-")</f>
        <v>3.94093593398525</v>
      </c>
      <c r="BU64" s="165" t="n">
        <f aca="false">IF(BU$6&lt;Total_Lanes,900*Peak_Time_Mor*($BL64/(Total_Lanes-BU$6)-1+SQRT(($BL64/(Total_Lanes-BU$6)-1)^2+8*($BL64/(Total_Lanes-BU$6))/(Peak_Time_Mor*$N50*(Total_Lanes-BU$6)))),"-")</f>
        <v>28.2241438837745</v>
      </c>
      <c r="BV64" s="165" t="n">
        <f aca="false">IF(BV$6&lt;Total_Lanes,900*Peak_Time_Mor*($BL64/(Total_Lanes-BV$6)-1+SQRT(($BL64/(Total_Lanes-BV$6)-1)^2+8*($BL64/(Total_Lanes-BV$6))/(Peak_Time_Mor*$N50*(Total_Lanes-BV$6)))),"-")</f>
        <v>1450.23571565302</v>
      </c>
      <c r="BW64" s="230" t="n">
        <f aca="false">IF(BW$6&lt;Total_Lanes,900*Peak_Time_Mor*($BL64/(Total_Lanes-BW$6)-1+SQRT(($BL64/(Total_Lanes-BW$6)-1)^2+8*($BL64/(Total_Lanes-BW$6))/(Peak_Time_Mor*$N50*(Total_Lanes-BW$6)))),"-")</f>
        <v>6487.4331118436</v>
      </c>
      <c r="BX64" s="165" t="str">
        <f aca="false">IF(BX$6&lt;Total_Lanes,900*Peak_Time_Mor*($BL64/(Total_Lanes-BX$6)-1+SQRT(($BL64/(Total_Lanes-BX$6)-1)^2+8*($BL64/(Total_Lanes-BX$6))/(Peak_Time_Mor*$N50*(Total_Lanes-BX$6)))),"-")</f>
        <v>-</v>
      </c>
      <c r="BY64" s="165" t="str">
        <f aca="false">IF(BY$6&lt;Total_Lanes,900*Peak_Time_Mor*($BL64/(Total_Lanes-BY$6)-1+SQRT(($BL64/(Total_Lanes-BY$6)-1)^2+8*($BL64/(Total_Lanes-BY$6))/(Peak_Time_Mor*$N50*(Total_Lanes-BY$6)))),"-")</f>
        <v>-</v>
      </c>
      <c r="BZ64" s="165" t="str">
        <f aca="false">IF(BZ$6&lt;Total_Lanes,900*Peak_Time_Mor*($BL64/(Total_Lanes-BZ$6)-1+SQRT(($BL64/(Total_Lanes-BZ$6)-1)^2+8*($BL64/(Total_Lanes-BZ$6))/(Peak_Time_Mor*$N50*(Total_Lanes-BZ$6)))),"-")</f>
        <v>-</v>
      </c>
      <c r="CA64" s="165" t="str">
        <f aca="false">IF(CA$6&lt;Total_Lanes,900*Peak_Time_Mor*($BL64/(Total_Lanes-CA$6)-1+SQRT(($BL64/(Total_Lanes-CA$6)-1)^2+8*($BL64/(Total_Lanes-CA$6))/(Peak_Time_Mor*$N50*(Total_Lanes-CA$6)))),"-")</f>
        <v>-</v>
      </c>
      <c r="CB64" s="165" t="str">
        <f aca="false">IF(CB$6&lt;Total_Lanes,900*Peak_Time_Mor*($BL64/(Total_Lanes-CB$6)-1+SQRT(($BL64/(Total_Lanes-CB$6)-1)^2+8*($BL64/(Total_Lanes-CB$6))/(Peak_Time_Mor*$N50*(Total_Lanes-CB$6)))),"-")</f>
        <v>-</v>
      </c>
      <c r="CC64" s="165" t="str">
        <f aca="false">IF(CC$6&lt;Total_Lanes,900*Peak_Time_Mor*($BL64/(Total_Lanes-CC$6)-1+SQRT(($BL64/(Total_Lanes-CC$6)-1)^2+8*($BL64/(Total_Lanes-CC$6))/(Peak_Time_Mor*$N50*(Total_Lanes-CC$6)))),"-")</f>
        <v>-</v>
      </c>
      <c r="CD64" s="165" t="str">
        <f aca="false">IF(CD$6&lt;Total_Lanes,900*Peak_Time_Mor*($BL64/(Total_Lanes-CD$6)-1+SQRT(($BL64/(Total_Lanes-CD$6)-1)^2+8*($BL64/(Total_Lanes-CD$6))/(Peak_Time_Mor*$N50*(Total_Lanes-CD$6)))),"-")</f>
        <v>-</v>
      </c>
      <c r="CE64" s="165" t="str">
        <f aca="false">IF(CE$6&lt;Total_Lanes,900*Peak_Time_Mor*($BL64/(Total_Lanes-CE$6)-1+SQRT(($BL64/(Total_Lanes-CE$6)-1)^2+8*($BL64/(Total_Lanes-CE$6))/(Peak_Time_Mor*$N50*(Total_Lanes-CE$6)))),"-")</f>
        <v>-</v>
      </c>
      <c r="CF64" s="165" t="str">
        <f aca="false">IF(CF$6&lt;Total_Lanes,900*Peak_Time_Mor*($BL64/(Total_Lanes-CF$6)-1+SQRT(($BL64/(Total_Lanes-CF$6)-1)^2+8*($BL64/(Total_Lanes-CF$6))/(Peak_Time_Mor*$N50*(Total_Lanes-CF$6)))),"-")</f>
        <v>-</v>
      </c>
      <c r="CG64" s="166" t="str">
        <f aca="false">IF(CG$6&lt;Total_Lanes,900*Peak_Time_Mor*($BL64/(Total_Lanes-CG$6)-1+SQRT(($BL64/(Total_Lanes-CG$6)-1)^2+8*($BL64/(Total_Lanes-CG$6))/(Peak_Time_Mor*$N50*(Total_Lanes-CG$6)))),"-")</f>
        <v>-</v>
      </c>
      <c r="CH64" s="234" t="n">
        <f aca="false">3600/N50</f>
        <v>6.7875</v>
      </c>
      <c r="CJ64" s="50" t="n">
        <v>10</v>
      </c>
      <c r="CK64" s="131" t="n">
        <f aca="false">$X64</f>
        <v>0.531731128248894</v>
      </c>
      <c r="CL64" s="150" t="n">
        <f aca="false">$AC64</f>
        <v>3170.45352868845</v>
      </c>
      <c r="CM64" s="150" t="n">
        <f aca="false">CL64*CK64</f>
        <v>1685.8288318702</v>
      </c>
      <c r="CN64" s="161" t="n">
        <f aca="false">CM64/O50</f>
        <v>1.12388588791346</v>
      </c>
      <c r="CO64" s="165" t="n">
        <f aca="false">IF(CO$53&lt;Total_Lanes,900*Peak_Time_Mor*($CN64/CO$53-1+SQRT(($CN64/CO$53-1)^2+8*($CN64/CO$53)/(Peak_Time_Mor*$O50*CO$53))),"-")</f>
        <v>466.791573036129</v>
      </c>
      <c r="CP64" s="165" t="n">
        <f aca="false">IF(CP$53&lt;Total_Lanes,900*Peak_Time_Mor*($CN64/CP$53-1+SQRT(($CN64/CP$53-1)^2+8*($CN64/CP$53)/(Peak_Time_Mor*$O50*CP$53))),"-")</f>
        <v>1.53786947886099</v>
      </c>
      <c r="CQ64" s="165" t="n">
        <f aca="false">IF(CQ$53&lt;Total_Lanes,900*Peak_Time_Mor*($CN64/CQ$53-1+SQRT(($CN64/CQ$53-1)^2+8*($CN64/CQ$53)/(Peak_Time_Mor*$O50*CQ$53))),"-")</f>
        <v>0.479137912555716</v>
      </c>
      <c r="CR64" s="165" t="n">
        <f aca="false">IF(CR$53&lt;Total_Lanes,900*Peak_Time_Mor*($CN64/CR$53-1+SQRT(($CN64/CR$53-1)^2+8*($CN64/CR$53)/(Peak_Time_Mor*$O50*CR$53))),"-")</f>
        <v>0.234438008539772</v>
      </c>
      <c r="CS64" s="165" t="n">
        <f aca="false">IF(CS$53&lt;Total_Lanes,900*Peak_Time_Mor*($CN64/CS$53-1+SQRT(($CN64/CS$53-1)^2+8*($CN64/CS$53)/(Peak_Time_Mor*$O50*CS$53))),"-")</f>
        <v>0.139169877419842</v>
      </c>
      <c r="CT64" s="165" t="n">
        <f aca="false">IF(CT$53&lt;Total_Lanes,900*Peak_Time_Mor*($CN64/CT$53-1+SQRT(($CN64/CT$53-1)^2+8*($CN64/CT$53)/(Peak_Time_Mor*$O50*CT$53))),"-")</f>
        <v>0.0921923029547633</v>
      </c>
      <c r="CU64" s="165" t="n">
        <f aca="false">IF(CU$53&lt;Total_Lanes,900*Peak_Time_Mor*($CN64/CU$53-1+SQRT(($CN64/CU$53-1)^2+8*($CN64/CU$53)/(Peak_Time_Mor*$O50*CU$53))),"-")</f>
        <v>0.0655746188563233</v>
      </c>
      <c r="CV64" s="165" t="n">
        <f aca="false">IF(CV$53&lt;Total_Lanes,900*Peak_Time_Mor*($CN64/CV$53-1+SQRT(($CN64/CV$53-1)^2+8*($CN64/CV$53)/(Peak_Time_Mor*$O50*CV$53))),"-")</f>
        <v>0.0490335701254008</v>
      </c>
      <c r="CW64" s="165" t="n">
        <f aca="false">IF(CW$53&lt;Total_Lanes,900*Peak_Time_Mor*($CN64/CW$53-1+SQRT(($CN64/CW$53-1)^2+8*($CN64/CW$53)/(Peak_Time_Mor*$O50*CW$53))),"-")</f>
        <v>0.0380516685454912</v>
      </c>
      <c r="CX64" s="165" t="n">
        <f aca="false">IF(CX$53&lt;Total_Lanes,900*Peak_Time_Mor*($CN64/CX$53-1+SQRT(($CN64/CX$53-1)^2+8*($CN64/CX$53)/(Peak_Time_Mor*$O50*CX$53))),"-")</f>
        <v>0.0303883033224928</v>
      </c>
      <c r="CY64" s="165" t="n">
        <f aca="false">IF(CY$53&lt;Total_Lanes,900*Peak_Time_Mor*($CN64/CY$53-1+SQRT(($CN64/CY$53-1)^2+8*($CN64/CY$53)/(Peak_Time_Mor*$O50*CY$53))),"-")</f>
        <v>0.024828548966993</v>
      </c>
      <c r="CZ64" s="165" t="str">
        <f aca="false">IF(CZ$53&lt;Total_Lanes,900*Peak_Time_Mor*($CN64/CZ$53-1+SQRT(($CN64/CZ$53-1)^2+8*($CN64/CZ$53)/(Peak_Time_Mor*$O50*CZ$53))),"-")</f>
        <v>-</v>
      </c>
      <c r="DA64" s="165" t="str">
        <f aca="false">IF(DA$53&lt;Total_Lanes,900*Peak_Time_Mor*($CN64/DA$53-1+SQRT(($CN64/DA$53-1)^2+8*($CN64/DA$53)/(Peak_Time_Mor*$O50*DA$53))),"-")</f>
        <v>-</v>
      </c>
      <c r="DB64" s="165" t="str">
        <f aca="false">IF(DB$53&lt;Total_Lanes,900*Peak_Time_Mor*($CN64/DB$53-1+SQRT(($CN64/DB$53-1)^2+8*($CN64/DB$53)/(Peak_Time_Mor*$O50*DB$53))),"-")</f>
        <v>-</v>
      </c>
      <c r="DC64" s="165" t="str">
        <f aca="false">IF(DC$53&lt;Total_Lanes,900*Peak_Time_Mor*($CN64/DC$53-1+SQRT(($CN64/DC$53-1)^2+8*($CN64/DC$53)/(Peak_Time_Mor*$O50*DC$53))),"-")</f>
        <v>-</v>
      </c>
      <c r="DD64" s="165" t="str">
        <f aca="false">IF(DD$53&lt;Total_Lanes,900*Peak_Time_Mor*($CN64/DD$53-1+SQRT(($CN64/DD$53-1)^2+8*($CN64/DD$53)/(Peak_Time_Mor*$O50*DD$53))),"-")</f>
        <v>-</v>
      </c>
      <c r="DE64" s="165" t="str">
        <f aca="false">IF(DE$53&lt;Total_Lanes,900*Peak_Time_Mor*($CN64/DE$53-1+SQRT(($CN64/DE$53-1)^2+8*($CN64/DE$53)/(Peak_Time_Mor*$O50*DE$53))),"-")</f>
        <v>-</v>
      </c>
      <c r="DF64" s="165" t="str">
        <f aca="false">IF(DF$53&lt;Total_Lanes,900*Peak_Time_Mor*($CN64/DF$53-1+SQRT(($CN64/DF$53-1)^2+8*($CN64/DF$53)/(Peak_Time_Mor*$O50*DF$53))),"-")</f>
        <v>-</v>
      </c>
      <c r="DG64" s="165" t="str">
        <f aca="false">IF(DG$53&lt;Total_Lanes,900*Peak_Time_Mor*($CN64/DG$53-1+SQRT(($CN64/DG$53-1)^2+8*($CN64/DG$53)/(Peak_Time_Mor*$O50*DG$53))),"-")</f>
        <v>-</v>
      </c>
      <c r="DH64" s="165" t="str">
        <f aca="false">IF(DH$53&lt;Total_Lanes,900*Peak_Time_Mor*($CN64/DH$53-1+SQRT(($CN64/DH$53-1)^2+8*($CN64/DH$53)/(Peak_Time_Mor*$O50*DH$53))),"-")</f>
        <v>-</v>
      </c>
      <c r="DI64" s="166" t="str">
        <f aca="false">IF(DI$53&lt;Total_Lanes,900*Peak_Time_Mor*($CN64/DI$53-1+SQRT(($CN64/DI$53-1)^2+8*($CN64/DI$53)/(Peak_Time_Mor*$O50*DI$53))),"-")</f>
        <v>-</v>
      </c>
      <c r="DJ64" s="234" t="n">
        <f aca="false">3600/$O50</f>
        <v>2.4</v>
      </c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customFormat="false" ht="12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50" t="n">
        <v>11</v>
      </c>
      <c r="W65" s="124" t="n">
        <f aca="false">W18</f>
        <v>25057277.85</v>
      </c>
      <c r="X65" s="131" t="n">
        <f aca="false">X18</f>
        <v>0.57370976448128</v>
      </c>
      <c r="Y65" s="124" t="n">
        <f aca="false">Y18</f>
        <v>10804.9962718576</v>
      </c>
      <c r="Z65" s="133" t="n">
        <f aca="false">W65/Y65</f>
        <v>2319.04548780488</v>
      </c>
      <c r="AA65" s="233" t="n">
        <f aca="false">AA18</f>
        <v>2</v>
      </c>
      <c r="AB65" s="157" t="n">
        <f aca="false">1-AB18</f>
        <v>0.3</v>
      </c>
      <c r="AC65" s="128" t="n">
        <f aca="false">Y65*AB65</f>
        <v>3241.49888155729</v>
      </c>
      <c r="AD65" s="150" t="n">
        <f aca="false">Peak_Time_Mor*$BH65*(CH65+BK65)/3600</f>
        <v>12.5241881154119</v>
      </c>
      <c r="AE65" s="136" t="n">
        <f aca="false">IF(AE$53&lt;Total_Lanes,($BI65*($CH65+BM65)+$CM65*CO65)*Peak_Time_Mor/3600,"-")</f>
        <v>909.867777951881</v>
      </c>
      <c r="AF65" s="136" t="n">
        <f aca="false">IF(AF$53&lt;Total_Lanes,($BI65*($CH65+BN65)+$CM65*CP65)*Peak_Time_Mor/3600,"-")</f>
        <v>7.4308518437001</v>
      </c>
      <c r="AG65" s="136" t="n">
        <f aca="false">IF(AG$53&lt;Total_Lanes,($BI65*($CH65+BO65)+$CM65*CQ65)*Peak_Time_Mor/3600,"-")</f>
        <v>6.04655141516691</v>
      </c>
      <c r="AH65" s="136" t="n">
        <f aca="false">IF(AH$53&lt;Total_Lanes,($BI65*($CH65+BP65)+$CM65*CR65)*Peak_Time_Mor/3600,"-")</f>
        <v>5.82227492897565</v>
      </c>
      <c r="AI65" s="136" t="n">
        <f aca="false">IF(AI$53&lt;Total_Lanes,($BI65*($CH65+BQ65)+$CM65*CS65)*Peak_Time_Mor/3600,"-")</f>
        <v>5.83518798147266</v>
      </c>
      <c r="AJ65" s="136" t="n">
        <f aca="false">IF(AJ$53&lt;Total_Lanes,($BI65*($CH65+BR65)+$CM65*CT65)*Peak_Time_Mor/3600,"-")</f>
        <v>6.00655075159209</v>
      </c>
      <c r="AK65" s="136" t="n">
        <f aca="false">IF(AK$53&lt;Total_Lanes,($BI65*($CH65+BS65)+$CM65*CU65)*Peak_Time_Mor/3600,"-")</f>
        <v>6.44695545311411</v>
      </c>
      <c r="AL65" s="136" t="n">
        <f aca="false">IF(AL$53&lt;Total_Lanes,($BI65*($CH65+BT65)+$CM65*CV65)*Peak_Time_Mor/3600,"-")</f>
        <v>7.74049889387273</v>
      </c>
      <c r="AM65" s="136" t="n">
        <f aca="false">IF(AM$53&lt;Total_Lanes,($BI65*($CH65+BU65)+$CM65*CW65)*Peak_Time_Mor/3600,"-")</f>
        <v>16.6851470022514</v>
      </c>
      <c r="AN65" s="136" t="n">
        <f aca="false">IF(AN$53&lt;Total_Lanes,($BI65*($CH65+BV65)+$CM65*CX65)*Peak_Time_Mor/3600,"-")</f>
        <v>863.946637385607</v>
      </c>
      <c r="AO65" s="136" t="n">
        <f aca="false">IF(AO$53&lt;Total_Lanes,($BI65*($CH65+BW65)+$CM65*CY65)*Peak_Time_Mor/3600,"-")</f>
        <v>4472.73128262028</v>
      </c>
      <c r="AP65" s="136" t="str">
        <f aca="false">IF(AP$53&lt;Total_Lanes,($BI65*($CH65+BX65)+$CM65*CZ65)*Peak_Time_Mor/3600,"-")</f>
        <v>-</v>
      </c>
      <c r="AQ65" s="136" t="str">
        <f aca="false">IF(AQ$53&lt;Total_Lanes,($BI65*($CH65+BY65)+$CM65*DA65)*Peak_Time_Mor/3600,"-")</f>
        <v>-</v>
      </c>
      <c r="AR65" s="136" t="str">
        <f aca="false">IF(AR$53&lt;Total_Lanes,($BI65*($CH65+BZ65)+$CM65*DB65)*Peak_Time_Mor/3600,"-")</f>
        <v>-</v>
      </c>
      <c r="AS65" s="136" t="str">
        <f aca="false">IF(AS$53&lt;Total_Lanes,($BI65*($CH65+CA65)+$CM65*DC65)*Peak_Time_Mor/3600,"-")</f>
        <v>-</v>
      </c>
      <c r="AT65" s="136" t="str">
        <f aca="false">IF(AT$53&lt;Total_Lanes,($BI65*($CH65+CB65)+$CM65*DD65)*Peak_Time_Mor/3600,"-")</f>
        <v>-</v>
      </c>
      <c r="AU65" s="136" t="str">
        <f aca="false">IF(AU$53&lt;Total_Lanes,($BI65*($CH65+CC65)+$CM65*DE65)*Peak_Time_Mor/3600,"-")</f>
        <v>-</v>
      </c>
      <c r="AV65" s="136" t="str">
        <f aca="false">IF(AV$53&lt;Total_Lanes,($BI65*($CH65+CD65)+$CM65*DF65)*Peak_Time_Mor/3600,"-")</f>
        <v>-</v>
      </c>
      <c r="AW65" s="136" t="str">
        <f aca="false">IF(AW$53&lt;Total_Lanes,($BI65*($CH65+CE65)+$CM65*DG65)*Peak_Time_Mor/3600,"-")</f>
        <v>-</v>
      </c>
      <c r="AX65" s="136" t="str">
        <f aca="false">IF(AX$53&lt;Total_Lanes,($BI65*($CH65+CF65)+$CM65*DH65)*Peak_Time_Mor/3600,"-")</f>
        <v>-</v>
      </c>
      <c r="AY65" s="137" t="str">
        <f aca="false">IF(AY$53&lt;Total_Lanes,($BI65*($CH65+CG65)+$CM65*DI65)*Peak_Time_Mor/3600,"-")</f>
        <v>-</v>
      </c>
      <c r="AZ65" s="158" t="n">
        <f aca="false">SUMIF(AE65:AY65,BA65,$AE$53:$AY$53)</f>
        <v>4</v>
      </c>
      <c r="BA65" s="159" t="n">
        <f aca="false">MIN(AE65:AY65)</f>
        <v>5.82227492897565</v>
      </c>
      <c r="BB65" s="158" t="n">
        <f aca="false">Price!X18</f>
        <v>4</v>
      </c>
      <c r="BC65" s="159" t="n">
        <f aca="false">SUMIF($AE$53:$AY$53,$BB65,$AE65:$AY65)</f>
        <v>5.82227492897565</v>
      </c>
      <c r="BF65" s="50" t="n">
        <v>11</v>
      </c>
      <c r="BG65" s="131" t="n">
        <f aca="false">$X65</f>
        <v>0.57370976448128</v>
      </c>
      <c r="BH65" s="57" t="n">
        <f aca="false">$AC65</f>
        <v>3241.49888155729</v>
      </c>
      <c r="BI65" s="135" t="n">
        <f aca="false">BH65*(1-BG65)</f>
        <v>1381.81932165273</v>
      </c>
      <c r="BJ65" s="143" t="n">
        <f aca="false">Peak_Arrival_Manual_Mor/K51</f>
        <v>2.52373945551852</v>
      </c>
      <c r="BK65" s="228" t="n">
        <f aca="false">900*Peak_Time_Mor*($BJ65/Total_Lanes-1+SQRT(($BJ65/Total_Lanes-1)^2+8*($BJ65/Total_Lanes)/(Peak_Time_Mor*$K51*Total_Lanes)))</f>
        <v>0.145914934794278</v>
      </c>
      <c r="BL65" s="143" t="n">
        <f aca="false">Peak_Arrival_Manual_Mor/N51</f>
        <v>2.61346175175083</v>
      </c>
      <c r="BM65" s="229" t="n">
        <f aca="false">IF(BM$6&lt;Total_Lanes,900*Peak_Time_Mor*($BL65/(Total_Lanes-BM$6)-1+SQRT(($BL65/(Total_Lanes-BM$6)-1)^2+8*($BL65/(Total_Lanes-BM$6))/(Peak_Time_Mor*$N51*(Total_Lanes-BM$6)))),"-")</f>
        <v>0.192875738441423</v>
      </c>
      <c r="BN65" s="165" t="n">
        <f aca="false">IF(BN$6&lt;Total_Lanes,900*Peak_Time_Mor*($BL65/(Total_Lanes-BN$6)-1+SQRT(($BL65/(Total_Lanes-BN$6)-1)^2+8*($BL65/(Total_Lanes-BN$6))/(Peak_Time_Mor*$N51*(Total_Lanes-BN$6)))),"-")</f>
        <v>0.240881388964787</v>
      </c>
      <c r="BO65" s="165" t="n">
        <f aca="false">IF(BO$6&lt;Total_Lanes,900*Peak_Time_Mor*($BL65/(Total_Lanes-BO$6)-1+SQRT(($BL65/(Total_Lanes-BO$6)-1)^2+8*($BL65/(Total_Lanes-BO$6))/(Peak_Time_Mor*$N51*(Total_Lanes-BO$6)))),"-")</f>
        <v>0.309544355681357</v>
      </c>
      <c r="BP65" s="165" t="n">
        <f aca="false">IF(BP$6&lt;Total_Lanes,900*Peak_Time_Mor*($BL65/(Total_Lanes-BP$6)-1+SQRT(($BL65/(Total_Lanes-BP$6)-1)^2+8*($BL65/(Total_Lanes-BP$6))/(Peak_Time_Mor*$N51*(Total_Lanes-BP$6)))),"-")</f>
        <v>0.412866680368573</v>
      </c>
      <c r="BQ65" s="165" t="n">
        <f aca="false">IF(BQ$6&lt;Total_Lanes,900*Peak_Time_Mor*($BL65/(Total_Lanes-BQ$6)-1+SQRT(($BL65/(Total_Lanes-BQ$6)-1)^2+8*($BL65/(Total_Lanes-BQ$6))/(Peak_Time_Mor*$N51*(Total_Lanes-BQ$6)))),"-")</f>
        <v>0.579364733722221</v>
      </c>
      <c r="BR65" s="165" t="n">
        <f aca="false">IF(BR$6&lt;Total_Lanes,900*Peak_Time_Mor*($BL65/(Total_Lanes-BR$6)-1+SQRT(($BL65/(Total_Lanes-BR$6)-1)^2+8*($BL65/(Total_Lanes-BR$6))/(Peak_Time_Mor*$N51*(Total_Lanes-BR$6)))),"-")</f>
        <v>0.875365134796935</v>
      </c>
      <c r="BS65" s="165" t="n">
        <f aca="false">IF(BS$6&lt;Total_Lanes,900*Peak_Time_Mor*($BL65/(Total_Lanes-BS$6)-1+SQRT(($BL65/(Total_Lanes-BS$6)-1)^2+8*($BL65/(Total_Lanes-BS$6))/(Peak_Time_Mor*$N51*(Total_Lanes-BS$6)))),"-")</f>
        <v>1.48993979878356</v>
      </c>
      <c r="BT65" s="165" t="n">
        <f aca="false">IF(BT$6&lt;Total_Lanes,900*Peak_Time_Mor*($BL65/(Total_Lanes-BT$6)-1+SQRT(($BL65/(Total_Lanes-BT$6)-1)^2+8*($BL65/(Total_Lanes-BT$6))/(Peak_Time_Mor*$N51*(Total_Lanes-BT$6)))),"-")</f>
        <v>3.2002165202668</v>
      </c>
      <c r="BU65" s="165" t="n">
        <f aca="false">IF(BU$6&lt;Total_Lanes,900*Peak_Time_Mor*($BL65/(Total_Lanes-BU$6)-1+SQRT(($BL65/(Total_Lanes-BU$6)-1)^2+8*($BL65/(Total_Lanes-BU$6))/(Peak_Time_Mor*$N51*(Total_Lanes-BU$6)))),"-")</f>
        <v>14.868496060909</v>
      </c>
      <c r="BV65" s="165" t="n">
        <f aca="false">IF(BV$6&lt;Total_Lanes,900*Peak_Time_Mor*($BL65/(Total_Lanes-BV$6)-1+SQRT(($BL65/(Total_Lanes-BV$6)-1)^2+8*($BL65/(Total_Lanes-BV$6))/(Peak_Time_Mor*$N51*(Total_Lanes-BV$6)))),"-")</f>
        <v>1118.54878254939</v>
      </c>
      <c r="BW65" s="230" t="n">
        <f aca="false">IF(BW$6&lt;Total_Lanes,900*Peak_Time_Mor*($BL65/(Total_Lanes-BW$6)-1+SQRT(($BL65/(Total_Lanes-BW$6)-1)^2+8*($BL65/(Total_Lanes-BW$6))/(Peak_Time_Mor*$N51*(Total_Lanes-BW$6)))),"-")</f>
        <v>5819.47015856146</v>
      </c>
      <c r="BX65" s="165" t="str">
        <f aca="false">IF(BX$6&lt;Total_Lanes,900*Peak_Time_Mor*($BL65/(Total_Lanes-BX$6)-1+SQRT(($BL65/(Total_Lanes-BX$6)-1)^2+8*($BL65/(Total_Lanes-BX$6))/(Peak_Time_Mor*$N51*(Total_Lanes-BX$6)))),"-")</f>
        <v>-</v>
      </c>
      <c r="BY65" s="165" t="str">
        <f aca="false">IF(BY$6&lt;Total_Lanes,900*Peak_Time_Mor*($BL65/(Total_Lanes-BY$6)-1+SQRT(($BL65/(Total_Lanes-BY$6)-1)^2+8*($BL65/(Total_Lanes-BY$6))/(Peak_Time_Mor*$N51*(Total_Lanes-BY$6)))),"-")</f>
        <v>-</v>
      </c>
      <c r="BZ65" s="165" t="str">
        <f aca="false">IF(BZ$6&lt;Total_Lanes,900*Peak_Time_Mor*($BL65/(Total_Lanes-BZ$6)-1+SQRT(($BL65/(Total_Lanes-BZ$6)-1)^2+8*($BL65/(Total_Lanes-BZ$6))/(Peak_Time_Mor*$N51*(Total_Lanes-BZ$6)))),"-")</f>
        <v>-</v>
      </c>
      <c r="CA65" s="165" t="str">
        <f aca="false">IF(CA$6&lt;Total_Lanes,900*Peak_Time_Mor*($BL65/(Total_Lanes-CA$6)-1+SQRT(($BL65/(Total_Lanes-CA$6)-1)^2+8*($BL65/(Total_Lanes-CA$6))/(Peak_Time_Mor*$N51*(Total_Lanes-CA$6)))),"-")</f>
        <v>-</v>
      </c>
      <c r="CB65" s="165" t="str">
        <f aca="false">IF(CB$6&lt;Total_Lanes,900*Peak_Time_Mor*($BL65/(Total_Lanes-CB$6)-1+SQRT(($BL65/(Total_Lanes-CB$6)-1)^2+8*($BL65/(Total_Lanes-CB$6))/(Peak_Time_Mor*$N51*(Total_Lanes-CB$6)))),"-")</f>
        <v>-</v>
      </c>
      <c r="CC65" s="165" t="str">
        <f aca="false">IF(CC$6&lt;Total_Lanes,900*Peak_Time_Mor*($BL65/(Total_Lanes-CC$6)-1+SQRT(($BL65/(Total_Lanes-CC$6)-1)^2+8*($BL65/(Total_Lanes-CC$6))/(Peak_Time_Mor*$N51*(Total_Lanes-CC$6)))),"-")</f>
        <v>-</v>
      </c>
      <c r="CD65" s="165" t="str">
        <f aca="false">IF(CD$6&lt;Total_Lanes,900*Peak_Time_Mor*($BL65/(Total_Lanes-CD$6)-1+SQRT(($BL65/(Total_Lanes-CD$6)-1)^2+8*($BL65/(Total_Lanes-CD$6))/(Peak_Time_Mor*$N51*(Total_Lanes-CD$6)))),"-")</f>
        <v>-</v>
      </c>
      <c r="CE65" s="165" t="str">
        <f aca="false">IF(CE$6&lt;Total_Lanes,900*Peak_Time_Mor*($BL65/(Total_Lanes-CE$6)-1+SQRT(($BL65/(Total_Lanes-CE$6)-1)^2+8*($BL65/(Total_Lanes-CE$6))/(Peak_Time_Mor*$N51*(Total_Lanes-CE$6)))),"-")</f>
        <v>-</v>
      </c>
      <c r="CF65" s="165" t="str">
        <f aca="false">IF(CF$6&lt;Total_Lanes,900*Peak_Time_Mor*($BL65/(Total_Lanes-CF$6)-1+SQRT(($BL65/(Total_Lanes-CF$6)-1)^2+8*($BL65/(Total_Lanes-CF$6))/(Peak_Time_Mor*$N51*(Total_Lanes-CF$6)))),"-")</f>
        <v>-</v>
      </c>
      <c r="CG65" s="166" t="str">
        <f aca="false">IF(CG$6&lt;Total_Lanes,900*Peak_Time_Mor*($BL65/(Total_Lanes-CG$6)-1+SQRT(($BL65/(Total_Lanes-CG$6)-1)^2+8*($BL65/(Total_Lanes-CG$6))/(Peak_Time_Mor*$N51*(Total_Lanes-CG$6)))),"-")</f>
        <v>-</v>
      </c>
      <c r="CH65" s="234" t="n">
        <f aca="false">3600/N51</f>
        <v>6.80875</v>
      </c>
      <c r="CJ65" s="50" t="n">
        <v>11</v>
      </c>
      <c r="CK65" s="131" t="n">
        <f aca="false">$X65</f>
        <v>0.57370976448128</v>
      </c>
      <c r="CL65" s="150" t="n">
        <f aca="false">$AC65</f>
        <v>3241.49888155729</v>
      </c>
      <c r="CM65" s="150" t="n">
        <f aca="false">CL65*CK65</f>
        <v>1859.67955990457</v>
      </c>
      <c r="CN65" s="161" t="n">
        <f aca="false">CM65/O51</f>
        <v>1.23978637326971</v>
      </c>
      <c r="CO65" s="165" t="n">
        <f aca="false">IF(CO$53&lt;Total_Lanes,900*Peak_Time_Mor*($CN65/CO$53-1+SQRT(($CN65/CO$53-1)^2+8*($CN65/CO$53)/(Peak_Time_Mor*$O51*CO$53))),"-")</f>
        <v>875.466426414115</v>
      </c>
      <c r="CP65" s="165" t="n">
        <f aca="false">IF(CP$53&lt;Total_Lanes,900*Peak_Time_Mor*($CN65/CP$53-1+SQRT(($CN65/CP$53-1)^2+8*($CN65/CP$53)/(Peak_Time_Mor*$O51*CP$53))),"-")</f>
        <v>1.95421648611634</v>
      </c>
      <c r="CQ65" s="165" t="n">
        <f aca="false">IF(CQ$53&lt;Total_Lanes,900*Peak_Time_Mor*($CN65/CQ$53-1+SQRT(($CN65/CQ$53-1)^2+8*($CN65/CQ$53)/(Peak_Time_Mor*$O51*CQ$53))),"-")</f>
        <v>0.563320634368947</v>
      </c>
      <c r="CR65" s="165" t="n">
        <f aca="false">IF(CR$53&lt;Total_Lanes,900*Peak_Time_Mor*($CN65/CR$53-1+SQRT(($CN65/CR$53-1)^2+8*($CN65/CR$53)/(Peak_Time_Mor*$O51*CR$53))),"-")</f>
        <v>0.2694686872178</v>
      </c>
      <c r="CS65" s="165" t="n">
        <f aca="false">IF(CS$53&lt;Total_Lanes,900*Peak_Time_Mor*($CN65/CS$53-1+SQRT(($CN65/CS$53-1)^2+8*($CN65/CS$53)/(Peak_Time_Mor*$O51*CS$53))),"-")</f>
        <v>0.158252358821076</v>
      </c>
      <c r="CT65" s="165" t="n">
        <f aca="false">IF(CT$53&lt;Total_Lanes,900*Peak_Time_Mor*($CN65/CT$53-1+SQRT(($CN65/CT$53-1)^2+8*($CN65/CT$53)/(Peak_Time_Mor*$O51*CT$53))),"-")</f>
        <v>0.104175253616901</v>
      </c>
      <c r="CU65" s="165" t="n">
        <f aca="false">IF(CU$53&lt;Total_Lanes,900*Peak_Time_Mor*($CN65/CU$53-1+SQRT(($CN65/CU$53-1)^2+8*($CN65/CU$53)/(Peak_Time_Mor*$O51*CU$53))),"-")</f>
        <v>0.0737922329215435</v>
      </c>
      <c r="CV65" s="165" t="n">
        <f aca="false">IF(CV$53&lt;Total_Lanes,900*Peak_Time_Mor*($CN65/CV$53-1+SQRT(($CN65/CV$53-1)^2+8*($CN65/CV$53)/(Peak_Time_Mor*$O51*CV$53))),"-")</f>
        <v>0.0550173716466817</v>
      </c>
      <c r="CW65" s="165" t="n">
        <f aca="false">IF(CW$53&lt;Total_Lanes,900*Peak_Time_Mor*($CN65/CW$53-1+SQRT(($CN65/CW$53-1)^2+8*($CN65/CW$53)/(Peak_Time_Mor*$O51*CW$53))),"-")</f>
        <v>0.0426025851852252</v>
      </c>
      <c r="CX65" s="165" t="n">
        <f aca="false">IF(CX$53&lt;Total_Lanes,900*Peak_Time_Mor*($CN65/CX$53-1+SQRT(($CN65/CX$53-1)^2+8*($CN65/CX$53)/(Peak_Time_Mor*$O51*CX$53))),"-")</f>
        <v>0.033965555824711</v>
      </c>
      <c r="CY65" s="165" t="n">
        <f aca="false">IF(CY$53&lt;Total_Lanes,900*Peak_Time_Mor*($CN65/CY$53-1+SQRT(($CN65/CY$53-1)^2+8*($CN65/CY$53)/(Peak_Time_Mor*$O51*CY$53))),"-")</f>
        <v>0.0277141985330909</v>
      </c>
      <c r="CZ65" s="165" t="str">
        <f aca="false">IF(CZ$53&lt;Total_Lanes,900*Peak_Time_Mor*($CN65/CZ$53-1+SQRT(($CN65/CZ$53-1)^2+8*($CN65/CZ$53)/(Peak_Time_Mor*$O51*CZ$53))),"-")</f>
        <v>-</v>
      </c>
      <c r="DA65" s="165" t="str">
        <f aca="false">IF(DA$53&lt;Total_Lanes,900*Peak_Time_Mor*($CN65/DA$53-1+SQRT(($CN65/DA$53-1)^2+8*($CN65/DA$53)/(Peak_Time_Mor*$O51*DA$53))),"-")</f>
        <v>-</v>
      </c>
      <c r="DB65" s="165" t="str">
        <f aca="false">IF(DB$53&lt;Total_Lanes,900*Peak_Time_Mor*($CN65/DB$53-1+SQRT(($CN65/DB$53-1)^2+8*($CN65/DB$53)/(Peak_Time_Mor*$O51*DB$53))),"-")</f>
        <v>-</v>
      </c>
      <c r="DC65" s="165" t="str">
        <f aca="false">IF(DC$53&lt;Total_Lanes,900*Peak_Time_Mor*($CN65/DC$53-1+SQRT(($CN65/DC$53-1)^2+8*($CN65/DC$53)/(Peak_Time_Mor*$O51*DC$53))),"-")</f>
        <v>-</v>
      </c>
      <c r="DD65" s="165" t="str">
        <f aca="false">IF(DD$53&lt;Total_Lanes,900*Peak_Time_Mor*($CN65/DD$53-1+SQRT(($CN65/DD$53-1)^2+8*($CN65/DD$53)/(Peak_Time_Mor*$O51*DD$53))),"-")</f>
        <v>-</v>
      </c>
      <c r="DE65" s="165" t="str">
        <f aca="false">IF(DE$53&lt;Total_Lanes,900*Peak_Time_Mor*($CN65/DE$53-1+SQRT(($CN65/DE$53-1)^2+8*($CN65/DE$53)/(Peak_Time_Mor*$O51*DE$53))),"-")</f>
        <v>-</v>
      </c>
      <c r="DF65" s="165" t="str">
        <f aca="false">IF(DF$53&lt;Total_Lanes,900*Peak_Time_Mor*($CN65/DF$53-1+SQRT(($CN65/DF$53-1)^2+8*($CN65/DF$53)/(Peak_Time_Mor*$O51*DF$53))),"-")</f>
        <v>-</v>
      </c>
      <c r="DG65" s="165" t="str">
        <f aca="false">IF(DG$53&lt;Total_Lanes,900*Peak_Time_Mor*($CN65/DG$53-1+SQRT(($CN65/DG$53-1)^2+8*($CN65/DG$53)/(Peak_Time_Mor*$O51*DG$53))),"-")</f>
        <v>-</v>
      </c>
      <c r="DH65" s="165" t="str">
        <f aca="false">IF(DH$53&lt;Total_Lanes,900*Peak_Time_Mor*($CN65/DH$53-1+SQRT(($CN65/DH$53-1)^2+8*($CN65/DH$53)/(Peak_Time_Mor*$O51*DH$53))),"-")</f>
        <v>-</v>
      </c>
      <c r="DI65" s="166" t="str">
        <f aca="false">IF(DI$53&lt;Total_Lanes,900*Peak_Time_Mor*($CN65/DI$53-1+SQRT(($CN65/DI$53-1)^2+8*($CN65/DI$53)/(Peak_Time_Mor*$O51*DI$53))),"-")</f>
        <v>-</v>
      </c>
      <c r="DJ65" s="234" t="n">
        <f aca="false">3600/$O51</f>
        <v>2.4</v>
      </c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customFormat="false" ht="12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50" t="n">
        <v>12</v>
      </c>
      <c r="W66" s="124" t="n">
        <f aca="false">W19</f>
        <v>25606469.2</v>
      </c>
      <c r="X66" s="131" t="n">
        <f aca="false">X19</f>
        <v>0.614080811078137</v>
      </c>
      <c r="Y66" s="124" t="n">
        <f aca="false">Y19</f>
        <v>11041.8141147538</v>
      </c>
      <c r="Z66" s="133" t="n">
        <f aca="false">W66/Y66</f>
        <v>2319.04548780488</v>
      </c>
      <c r="AA66" s="233" t="n">
        <f aca="false">AA19</f>
        <v>2</v>
      </c>
      <c r="AB66" s="157" t="n">
        <f aca="false">1-AB19</f>
        <v>0.3</v>
      </c>
      <c r="AC66" s="128" t="n">
        <f aca="false">Y66*AB66</f>
        <v>3312.54423442614</v>
      </c>
      <c r="AD66" s="150" t="n">
        <f aca="false">Peak_Time_Mor*$BH66*(CH66+BK66)/3600</f>
        <v>12.8128355933179</v>
      </c>
      <c r="AE66" s="136" t="n">
        <f aca="false">IF(AE$53&lt;Total_Lanes,($BI66*($CH66+BM66)+$CM66*CO66)*Peak_Time_Mor/3600,"-")</f>
        <v>1464.02086709453</v>
      </c>
      <c r="AF66" s="136" t="n">
        <f aca="false">IF(AF$53&lt;Total_Lanes,($BI66*($CH66+BN66)+$CM66*CP66)*Peak_Time_Mor/3600,"-")</f>
        <v>7.85598360015095</v>
      </c>
      <c r="AG66" s="136" t="n">
        <f aca="false">IF(AG$53&lt;Total_Lanes,($BI66*($CH66+BO66)+$CM66*CQ66)*Peak_Time_Mor/3600,"-")</f>
        <v>5.79508467041848</v>
      </c>
      <c r="AH66" s="136" t="n">
        <f aca="false">IF(AH$53&lt;Total_Lanes,($BI66*($CH66+BP66)+$CM66*CR66)*Peak_Time_Mor/3600,"-")</f>
        <v>5.46222870934893</v>
      </c>
      <c r="AI66" s="136" t="n">
        <f aca="false">IF(AI$53&lt;Total_Lanes,($BI66*($CH66+BQ66)+$CM66*CS66)*Peak_Time_Mor/3600,"-")</f>
        <v>5.41989339197747</v>
      </c>
      <c r="AJ66" s="136" t="n">
        <f aca="false">IF(AJ$53&lt;Total_Lanes,($BI66*($CH66+BR66)+$CM66*CT66)*Peak_Time_Mor/3600,"-")</f>
        <v>5.53105049513428</v>
      </c>
      <c r="AK66" s="136" t="n">
        <f aca="false">IF(AK$53&lt;Total_Lanes,($BI66*($CH66+BS66)+$CM66*CU66)*Peak_Time_Mor/3600,"-")</f>
        <v>5.85707802271013</v>
      </c>
      <c r="AL66" s="136" t="n">
        <f aca="false">IF(AL$53&lt;Total_Lanes,($BI66*($CH66+BT66)+$CM66*CV66)*Peak_Time_Mor/3600,"-")</f>
        <v>6.78431331836963</v>
      </c>
      <c r="AM66" s="136" t="n">
        <f aca="false">IF(AM$53&lt;Total_Lanes,($BI66*($CH66+BU66)+$CM66*CW66)*Peak_Time_Mor/3600,"-")</f>
        <v>11.6360664313285</v>
      </c>
      <c r="AN66" s="136" t="n">
        <f aca="false">IF(AN$53&lt;Total_Lanes,($BI66*($CH66+BV66)+$CM66*CX66)*Peak_Time_Mor/3600,"-")</f>
        <v>562.15724709178</v>
      </c>
      <c r="AO66" s="136" t="n">
        <f aca="false">IF(AO$53&lt;Total_Lanes,($BI66*($CH66+BW66)+$CM66*CY66)*Peak_Time_Mor/3600,"-")</f>
        <v>3657.40882303575</v>
      </c>
      <c r="AP66" s="136" t="str">
        <f aca="false">IF(AP$53&lt;Total_Lanes,($BI66*($CH66+BX66)+$CM66*CZ66)*Peak_Time_Mor/3600,"-")</f>
        <v>-</v>
      </c>
      <c r="AQ66" s="136" t="str">
        <f aca="false">IF(AQ$53&lt;Total_Lanes,($BI66*($CH66+BY66)+$CM66*DA66)*Peak_Time_Mor/3600,"-")</f>
        <v>-</v>
      </c>
      <c r="AR66" s="136" t="str">
        <f aca="false">IF(AR$53&lt;Total_Lanes,($BI66*($CH66+BZ66)+$CM66*DB66)*Peak_Time_Mor/3600,"-")</f>
        <v>-</v>
      </c>
      <c r="AS66" s="136" t="str">
        <f aca="false">IF(AS$53&lt;Total_Lanes,($BI66*($CH66+CA66)+$CM66*DC66)*Peak_Time_Mor/3600,"-")</f>
        <v>-</v>
      </c>
      <c r="AT66" s="136" t="str">
        <f aca="false">IF(AT$53&lt;Total_Lanes,($BI66*($CH66+CB66)+$CM66*DD66)*Peak_Time_Mor/3600,"-")</f>
        <v>-</v>
      </c>
      <c r="AU66" s="136" t="str">
        <f aca="false">IF(AU$53&lt;Total_Lanes,($BI66*($CH66+CC66)+$CM66*DE66)*Peak_Time_Mor/3600,"-")</f>
        <v>-</v>
      </c>
      <c r="AV66" s="136" t="str">
        <f aca="false">IF(AV$53&lt;Total_Lanes,($BI66*($CH66+CD66)+$CM66*DF66)*Peak_Time_Mor/3600,"-")</f>
        <v>-</v>
      </c>
      <c r="AW66" s="136" t="str">
        <f aca="false">IF(AW$53&lt;Total_Lanes,($BI66*($CH66+CE66)+$CM66*DG66)*Peak_Time_Mor/3600,"-")</f>
        <v>-</v>
      </c>
      <c r="AX66" s="136" t="str">
        <f aca="false">IF(AX$53&lt;Total_Lanes,($BI66*($CH66+CF66)+$CM66*DH66)*Peak_Time_Mor/3600,"-")</f>
        <v>-</v>
      </c>
      <c r="AY66" s="137" t="str">
        <f aca="false">IF(AY$53&lt;Total_Lanes,($BI66*($CH66+CG66)+$CM66*DI66)*Peak_Time_Mor/3600,"-")</f>
        <v>-</v>
      </c>
      <c r="AZ66" s="158" t="n">
        <f aca="false">SUMIF(AE66:AY66,BA66,$AE$53:$AY$53)</f>
        <v>5</v>
      </c>
      <c r="BA66" s="159" t="n">
        <f aca="false">MIN(AE66:AY66)</f>
        <v>5.41989339197747</v>
      </c>
      <c r="BB66" s="158" t="n">
        <f aca="false">Price!X19</f>
        <v>5</v>
      </c>
      <c r="BC66" s="159" t="n">
        <f aca="false">SUMIF($AE$53:$AY$53,$BB66,$AE66:$AY66)</f>
        <v>5.41989339197747</v>
      </c>
      <c r="BF66" s="50" t="n">
        <v>12</v>
      </c>
      <c r="BG66" s="131" t="n">
        <f aca="false">$X66</f>
        <v>0.614080811078137</v>
      </c>
      <c r="BH66" s="57" t="n">
        <f aca="false">$AC66</f>
        <v>3312.54423442614</v>
      </c>
      <c r="BI66" s="135" t="n">
        <f aca="false">BH66*(1-BG66)</f>
        <v>1278.37438421753</v>
      </c>
      <c r="BJ66" s="143" t="n">
        <f aca="false">Peak_Arrival_Manual_Mor/K52</f>
        <v>2.33480877117507</v>
      </c>
      <c r="BK66" s="228" t="n">
        <f aca="false">900*Peak_Time_Mor*($BJ66/Total_Lanes-1+SQRT(($BJ66/Total_Lanes-1)^2+8*($BJ66/Total_Lanes)/(Peak_Time_Mor*$K52*Total_Lanes)))</f>
        <v>0.132353537285712</v>
      </c>
      <c r="BL66" s="143" t="n">
        <f aca="false">Peak_Arrival_Manual_Mor/N52</f>
        <v>2.42536029005714</v>
      </c>
      <c r="BM66" s="229" t="n">
        <f aca="false">IF(BM$6&lt;Total_Lanes,900*Peak_Time_Mor*($BL66/(Total_Lanes-BM$6)-1+SQRT(($BL66/(Total_Lanes-BM$6)-1)^2+8*($BL66/(Total_Lanes-BM$6))/(Peak_Time_Mor*$N52*(Total_Lanes-BM$6)))),"-")</f>
        <v>0.175614844317606</v>
      </c>
      <c r="BN66" s="165" t="n">
        <f aca="false">IF(BN$6&lt;Total_Lanes,900*Peak_Time_Mor*($BL66/(Total_Lanes-BN$6)-1+SQRT(($BL66/(Total_Lanes-BN$6)-1)^2+8*($BL66/(Total_Lanes-BN$6))/(Peak_Time_Mor*$N52*(Total_Lanes-BN$6)))),"-")</f>
        <v>0.218675516068712</v>
      </c>
      <c r="BO66" s="165" t="n">
        <f aca="false">IF(BO$6&lt;Total_Lanes,900*Peak_Time_Mor*($BL66/(Total_Lanes-BO$6)-1+SQRT(($BL66/(Total_Lanes-BO$6)-1)^2+8*($BL66/(Total_Lanes-BO$6))/(Peak_Time_Mor*$N52*(Total_Lanes-BO$6)))),"-")</f>
        <v>0.279921511556291</v>
      </c>
      <c r="BP66" s="165" t="n">
        <f aca="false">IF(BP$6&lt;Total_Lanes,900*Peak_Time_Mor*($BL66/(Total_Lanes-BP$6)-1+SQRT(($BL66/(Total_Lanes-BP$6)-1)^2+8*($BL66/(Total_Lanes-BP$6))/(Peak_Time_Mor*$N52*(Total_Lanes-BP$6)))),"-")</f>
        <v>0.371386304616128</v>
      </c>
      <c r="BQ66" s="165" t="n">
        <f aca="false">IF(BQ$6&lt;Total_Lanes,900*Peak_Time_Mor*($BL66/(Total_Lanes-BQ$6)-1+SQRT(($BL66/(Total_Lanes-BQ$6)-1)^2+8*($BL66/(Total_Lanes-BQ$6))/(Peak_Time_Mor*$N52*(Total_Lanes-BQ$6)))),"-")</f>
        <v>0.517185774364282</v>
      </c>
      <c r="BR66" s="165" t="n">
        <f aca="false">IF(BR$6&lt;Total_Lanes,900*Peak_Time_Mor*($BL66/(Total_Lanes-BR$6)-1+SQRT(($BL66/(Total_Lanes-BR$6)-1)^2+8*($BL66/(Total_Lanes-BR$6))/(Peak_Time_Mor*$N52*(Total_Lanes-BR$6)))),"-")</f>
        <v>0.772070809527103</v>
      </c>
      <c r="BS66" s="165" t="n">
        <f aca="false">IF(BS$6&lt;Total_Lanes,900*Peak_Time_Mor*($BL66/(Total_Lanes-BS$6)-1+SQRT(($BL66/(Total_Lanes-BS$6)-1)^2+8*($BL66/(Total_Lanes-BS$6))/(Peak_Time_Mor*$N52*(Total_Lanes-BS$6)))),"-")</f>
        <v>1.28590634995271</v>
      </c>
      <c r="BT66" s="165" t="n">
        <f aca="false">IF(BT$6&lt;Total_Lanes,900*Peak_Time_Mor*($BL66/(Total_Lanes-BT$6)-1+SQRT(($BL66/(Total_Lanes-BT$6)-1)^2+8*($BL66/(Total_Lanes-BT$6))/(Peak_Time_Mor*$N52*(Total_Lanes-BT$6)))),"-")</f>
        <v>2.62513743141806</v>
      </c>
      <c r="BU66" s="165" t="n">
        <f aca="false">IF(BU$6&lt;Total_Lanes,900*Peak_Time_Mor*($BL66/(Total_Lanes-BU$6)-1+SQRT(($BL66/(Total_Lanes-BU$6)-1)^2+8*($BL66/(Total_Lanes-BU$6))/(Peak_Time_Mor*$N52*(Total_Lanes-BU$6)))),"-")</f>
        <v>9.47874750203446</v>
      </c>
      <c r="BV66" s="165" t="n">
        <f aca="false">IF(BV$6&lt;Total_Lanes,900*Peak_Time_Mor*($BL66/(Total_Lanes-BV$6)-1+SQRT(($BL66/(Total_Lanes-BV$6)-1)^2+8*($BL66/(Total_Lanes-BV$6))/(Peak_Time_Mor*$N52*(Total_Lanes-BV$6)))),"-")</f>
        <v>784.648979744236</v>
      </c>
      <c r="BW66" s="230" t="n">
        <f aca="false">IF(BW$6&lt;Total_Lanes,900*Peak_Time_Mor*($BL66/(Total_Lanes-BW$6)-1+SQRT(($BL66/(Total_Lanes-BW$6)-1)^2+8*($BL66/(Total_Lanes-BW$6))/(Peak_Time_Mor*$N52*(Total_Lanes-BW$6)))),"-")</f>
        <v>5142.89261178092</v>
      </c>
      <c r="BX66" s="165" t="str">
        <f aca="false">IF(BX$6&lt;Total_Lanes,900*Peak_Time_Mor*($BL66/(Total_Lanes-BX$6)-1+SQRT(($BL66/(Total_Lanes-BX$6)-1)^2+8*($BL66/(Total_Lanes-BX$6))/(Peak_Time_Mor*$N52*(Total_Lanes-BX$6)))),"-")</f>
        <v>-</v>
      </c>
      <c r="BY66" s="165" t="str">
        <f aca="false">IF(BY$6&lt;Total_Lanes,900*Peak_Time_Mor*($BL66/(Total_Lanes-BY$6)-1+SQRT(($BL66/(Total_Lanes-BY$6)-1)^2+8*($BL66/(Total_Lanes-BY$6))/(Peak_Time_Mor*$N52*(Total_Lanes-BY$6)))),"-")</f>
        <v>-</v>
      </c>
      <c r="BZ66" s="165" t="str">
        <f aca="false">IF(BZ$6&lt;Total_Lanes,900*Peak_Time_Mor*($BL66/(Total_Lanes-BZ$6)-1+SQRT(($BL66/(Total_Lanes-BZ$6)-1)^2+8*($BL66/(Total_Lanes-BZ$6))/(Peak_Time_Mor*$N52*(Total_Lanes-BZ$6)))),"-")</f>
        <v>-</v>
      </c>
      <c r="CA66" s="165" t="str">
        <f aca="false">IF(CA$6&lt;Total_Lanes,900*Peak_Time_Mor*($BL66/(Total_Lanes-CA$6)-1+SQRT(($BL66/(Total_Lanes-CA$6)-1)^2+8*($BL66/(Total_Lanes-CA$6))/(Peak_Time_Mor*$N52*(Total_Lanes-CA$6)))),"-")</f>
        <v>-</v>
      </c>
      <c r="CB66" s="165" t="str">
        <f aca="false">IF(CB$6&lt;Total_Lanes,900*Peak_Time_Mor*($BL66/(Total_Lanes-CB$6)-1+SQRT(($BL66/(Total_Lanes-CB$6)-1)^2+8*($BL66/(Total_Lanes-CB$6))/(Peak_Time_Mor*$N52*(Total_Lanes-CB$6)))),"-")</f>
        <v>-</v>
      </c>
      <c r="CC66" s="165" t="str">
        <f aca="false">IF(CC$6&lt;Total_Lanes,900*Peak_Time_Mor*($BL66/(Total_Lanes-CC$6)-1+SQRT(($BL66/(Total_Lanes-CC$6)-1)^2+8*($BL66/(Total_Lanes-CC$6))/(Peak_Time_Mor*$N52*(Total_Lanes-CC$6)))),"-")</f>
        <v>-</v>
      </c>
      <c r="CD66" s="165" t="str">
        <f aca="false">IF(CD$6&lt;Total_Lanes,900*Peak_Time_Mor*($BL66/(Total_Lanes-CD$6)-1+SQRT(($BL66/(Total_Lanes-CD$6)-1)^2+8*($BL66/(Total_Lanes-CD$6))/(Peak_Time_Mor*$N52*(Total_Lanes-CD$6)))),"-")</f>
        <v>-</v>
      </c>
      <c r="CE66" s="165" t="str">
        <f aca="false">IF(CE$6&lt;Total_Lanes,900*Peak_Time_Mor*($BL66/(Total_Lanes-CE$6)-1+SQRT(($BL66/(Total_Lanes-CE$6)-1)^2+8*($BL66/(Total_Lanes-CE$6))/(Peak_Time_Mor*$N52*(Total_Lanes-CE$6)))),"-")</f>
        <v>-</v>
      </c>
      <c r="CF66" s="165" t="str">
        <f aca="false">IF(CF$6&lt;Total_Lanes,900*Peak_Time_Mor*($BL66/(Total_Lanes-CF$6)-1+SQRT(($BL66/(Total_Lanes-CF$6)-1)^2+8*($BL66/(Total_Lanes-CF$6))/(Peak_Time_Mor*$N52*(Total_Lanes-CF$6)))),"-")</f>
        <v>-</v>
      </c>
      <c r="CG66" s="166" t="str">
        <f aca="false">IF(CG$6&lt;Total_Lanes,900*Peak_Time_Mor*($BL66/(Total_Lanes-CG$6)-1+SQRT(($BL66/(Total_Lanes-CG$6)-1)^2+8*($BL66/(Total_Lanes-CG$6))/(Peak_Time_Mor*$N52*(Total_Lanes-CG$6)))),"-")</f>
        <v>-</v>
      </c>
      <c r="CH66" s="234" t="n">
        <f aca="false">3600/N52</f>
        <v>6.83</v>
      </c>
      <c r="CJ66" s="50" t="n">
        <v>12</v>
      </c>
      <c r="CK66" s="131" t="n">
        <f aca="false">$X66</f>
        <v>0.614080811078137</v>
      </c>
      <c r="CL66" s="150" t="n">
        <f aca="false">$AC66</f>
        <v>3312.54423442614</v>
      </c>
      <c r="CM66" s="150" t="n">
        <f aca="false">CL66*CK66</f>
        <v>2034.16985020861</v>
      </c>
      <c r="CN66" s="161" t="n">
        <f aca="false">CM66/O52</f>
        <v>1.35611323347241</v>
      </c>
      <c r="CO66" s="165" t="n">
        <f aca="false">IF(CO$53&lt;Total_Lanes,900*Peak_Time_Mor*($CN66/CO$53-1+SQRT(($CN66/CO$53-1)^2+8*($CN66/CO$53)/(Peak_Time_Mor*$O52*CO$53))),"-")</f>
        <v>1291.08282768922</v>
      </c>
      <c r="CP66" s="165" t="n">
        <f aca="false">IF(CP$53&lt;Total_Lanes,900*Peak_Time_Mor*($CN66/CP$53-1+SQRT(($CN66/CP$53-1)^2+8*($CN66/CP$53)/(Peak_Time_Mor*$O52*CP$53))),"-")</f>
        <v>2.52187606523718</v>
      </c>
      <c r="CQ66" s="165" t="n">
        <f aca="false">IF(CQ$53&lt;Total_Lanes,900*Peak_Time_Mor*($CN66/CQ$53-1+SQRT(($CN66/CQ$53-1)^2+8*($CN66/CQ$53)/(Peak_Time_Mor*$O52*CQ$53))),"-")</f>
        <v>0.659733931483109</v>
      </c>
      <c r="CR66" s="165" t="n">
        <f aca="false">IF(CR$53&lt;Total_Lanes,900*Peak_Time_Mor*($CN66/CR$53-1+SQRT(($CN66/CR$53-1)^2+8*($CN66/CR$53)/(Peak_Time_Mor*$O52*CR$53))),"-")</f>
        <v>0.307714665069736</v>
      </c>
      <c r="CS66" s="165" t="n">
        <f aca="false">IF(CS$53&lt;Total_Lanes,900*Peak_Time_Mor*($CN66/CS$53-1+SQRT(($CN66/CS$53-1)^2+8*($CN66/CS$53)/(Peak_Time_Mor*$O52*CS$53))),"-")</f>
        <v>0.178625209437389</v>
      </c>
      <c r="CT66" s="165" t="n">
        <f aca="false">IF(CT$53&lt;Total_Lanes,900*Peak_Time_Mor*($CN66/CT$53-1+SQRT(($CN66/CT$53-1)^2+8*($CN66/CT$53)/(Peak_Time_Mor*$O52*CT$53))),"-")</f>
        <v>0.11680357041477</v>
      </c>
      <c r="CU66" s="165" t="n">
        <f aca="false">IF(CU$53&lt;Total_Lanes,900*Peak_Time_Mor*($CN66/CU$53-1+SQRT(($CN66/CU$53-1)^2+8*($CN66/CU$53)/(Peak_Time_Mor*$O52*CU$53))),"-")</f>
        <v>0.0823793835962761</v>
      </c>
      <c r="CV66" s="165" t="n">
        <f aca="false">IF(CV$53&lt;Total_Lanes,900*Peak_Time_Mor*($CN66/CV$53-1+SQRT(($CN66/CV$53-1)^2+8*($CN66/CV$53)/(Peak_Time_Mor*$O52*CV$53))),"-")</f>
        <v>0.0612330781873505</v>
      </c>
      <c r="CW66" s="165" t="n">
        <f aca="false">IF(CW$53&lt;Total_Lanes,900*Peak_Time_Mor*($CN66/CW$53-1+SQRT(($CN66/CW$53-1)^2+8*($CN66/CW$53)/(Peak_Time_Mor*$O52*CW$53))),"-")</f>
        <v>0.0473089949243555</v>
      </c>
      <c r="CX66" s="165" t="n">
        <f aca="false">IF(CX$53&lt;Total_Lanes,900*Peak_Time_Mor*($CN66/CX$53-1+SQRT(($CN66/CX$53-1)^2+8*($CN66/CX$53)/(Peak_Time_Mor*$O52*CX$53))),"-")</f>
        <v>0.0376524180330407</v>
      </c>
      <c r="CY66" s="165" t="n">
        <f aca="false">IF(CY$53&lt;Total_Lanes,900*Peak_Time_Mor*($CN66/CY$53-1+SQRT(($CN66/CY$53-1)^2+8*($CN66/CY$53)/(Peak_Time_Mor*$O52*CY$53))),"-")</f>
        <v>0.0306802000049178</v>
      </c>
      <c r="CZ66" s="165" t="str">
        <f aca="false">IF(CZ$53&lt;Total_Lanes,900*Peak_Time_Mor*($CN66/CZ$53-1+SQRT(($CN66/CZ$53-1)^2+8*($CN66/CZ$53)/(Peak_Time_Mor*$O52*CZ$53))),"-")</f>
        <v>-</v>
      </c>
      <c r="DA66" s="165" t="str">
        <f aca="false">IF(DA$53&lt;Total_Lanes,900*Peak_Time_Mor*($CN66/DA$53-1+SQRT(($CN66/DA$53-1)^2+8*($CN66/DA$53)/(Peak_Time_Mor*$O52*DA$53))),"-")</f>
        <v>-</v>
      </c>
      <c r="DB66" s="165" t="str">
        <f aca="false">IF(DB$53&lt;Total_Lanes,900*Peak_Time_Mor*($CN66/DB$53-1+SQRT(($CN66/DB$53-1)^2+8*($CN66/DB$53)/(Peak_Time_Mor*$O52*DB$53))),"-")</f>
        <v>-</v>
      </c>
      <c r="DC66" s="165" t="str">
        <f aca="false">IF(DC$53&lt;Total_Lanes,900*Peak_Time_Mor*($CN66/DC$53-1+SQRT(($CN66/DC$53-1)^2+8*($CN66/DC$53)/(Peak_Time_Mor*$O52*DC$53))),"-")</f>
        <v>-</v>
      </c>
      <c r="DD66" s="165" t="str">
        <f aca="false">IF(DD$53&lt;Total_Lanes,900*Peak_Time_Mor*($CN66/DD$53-1+SQRT(($CN66/DD$53-1)^2+8*($CN66/DD$53)/(Peak_Time_Mor*$O52*DD$53))),"-")</f>
        <v>-</v>
      </c>
      <c r="DE66" s="165" t="str">
        <f aca="false">IF(DE$53&lt;Total_Lanes,900*Peak_Time_Mor*($CN66/DE$53-1+SQRT(($CN66/DE$53-1)^2+8*($CN66/DE$53)/(Peak_Time_Mor*$O52*DE$53))),"-")</f>
        <v>-</v>
      </c>
      <c r="DF66" s="165" t="str">
        <f aca="false">IF(DF$53&lt;Total_Lanes,900*Peak_Time_Mor*($CN66/DF$53-1+SQRT(($CN66/DF$53-1)^2+8*($CN66/DF$53)/(Peak_Time_Mor*$O52*DF$53))),"-")</f>
        <v>-</v>
      </c>
      <c r="DG66" s="165" t="str">
        <f aca="false">IF(DG$53&lt;Total_Lanes,900*Peak_Time_Mor*($CN66/DG$53-1+SQRT(($CN66/DG$53-1)^2+8*($CN66/DG$53)/(Peak_Time_Mor*$O52*DG$53))),"-")</f>
        <v>-</v>
      </c>
      <c r="DH66" s="165" t="str">
        <f aca="false">IF(DH$53&lt;Total_Lanes,900*Peak_Time_Mor*($CN66/DH$53-1+SQRT(($CN66/DH$53-1)^2+8*($CN66/DH$53)/(Peak_Time_Mor*$O52*DH$53))),"-")</f>
        <v>-</v>
      </c>
      <c r="DI66" s="166" t="str">
        <f aca="false">IF(DI$53&lt;Total_Lanes,900*Peak_Time_Mor*($CN66/DI$53-1+SQRT(($CN66/DI$53-1)^2+8*($CN66/DI$53)/(Peak_Time_Mor*$O52*DI$53))),"-")</f>
        <v>-</v>
      </c>
      <c r="DJ66" s="234" t="n">
        <f aca="false">3600/$O52</f>
        <v>2.4</v>
      </c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</row>
    <row r="67" customFormat="false" ht="12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0" t="n">
        <v>13</v>
      </c>
      <c r="W67" s="124" t="n">
        <f aca="false">W20</f>
        <v>26155660.55</v>
      </c>
      <c r="X67" s="131" t="n">
        <f aca="false">X20</f>
        <v>0.652377141057342</v>
      </c>
      <c r="Y67" s="124" t="n">
        <f aca="false">Y20</f>
        <v>11278.6319576499</v>
      </c>
      <c r="Z67" s="133" t="n">
        <f aca="false">W67/Y67</f>
        <v>2319.04548780488</v>
      </c>
      <c r="AA67" s="233" t="n">
        <f aca="false">AA20</f>
        <v>2</v>
      </c>
      <c r="AB67" s="157" t="n">
        <f aca="false">1-AB20</f>
        <v>0.3</v>
      </c>
      <c r="AC67" s="128" t="n">
        <f aca="false">Y67*AB67</f>
        <v>3383.58958729498</v>
      </c>
      <c r="AD67" s="150" t="n">
        <f aca="false">Peak_Time_Mor*$BH67*(CH67+BK67)/3600</f>
        <v>13.1033656544877</v>
      </c>
      <c r="AE67" s="136" t="n">
        <f aca="false">IF(AE$53&lt;Total_Lanes,($BI67*($CH67+BM67)+$CM67*CO67)*Peak_Time_Mor/3600,"-")</f>
        <v>2095.65332505074</v>
      </c>
      <c r="AF67" s="136" t="n">
        <f aca="false">IF(AF$53&lt;Total_Lanes,($BI67*($CH67+BN67)+$CM67*CP67)*Peak_Time_Mor/3600,"-")</f>
        <v>8.68998594312006</v>
      </c>
      <c r="AG67" s="136" t="n">
        <f aca="false">IF(AG$53&lt;Total_Lanes,($BI67*($CH67+BO67)+$CM67*CQ67)*Peak_Time_Mor/3600,"-")</f>
        <v>5.58581020865526</v>
      </c>
      <c r="AH67" s="136" t="n">
        <f aca="false">IF(AH$53&lt;Total_Lanes,($BI67*($CH67+BP67)+$CM67*CR67)*Peak_Time_Mor/3600,"-")</f>
        <v>5.12253708144144</v>
      </c>
      <c r="AI67" s="136" t="n">
        <f aca="false">IF(AI$53&lt;Total_Lanes,($BI67*($CH67+BQ67)+$CM67*CS67)*Peak_Time_Mor/3600,"-")</f>
        <v>5.02305674375754</v>
      </c>
      <c r="AJ67" s="136" t="n">
        <f aca="false">IF(AJ$53&lt;Total_Lanes,($BI67*($CH67+BR67)+$CM67*CT67)*Peak_Time_Mor/3600,"-")</f>
        <v>5.0802651023635</v>
      </c>
      <c r="AK67" s="136" t="n">
        <f aca="false">IF(AK$53&lt;Total_Lanes,($BI67*($CH67+BS67)+$CM67*CU67)*Peak_Time_Mor/3600,"-")</f>
        <v>5.31427349189204</v>
      </c>
      <c r="AL67" s="136" t="n">
        <f aca="false">IF(AL$53&lt;Total_Lanes,($BI67*($CH67+BT67)+$CM67*CV67)*Peak_Time_Mor/3600,"-")</f>
        <v>5.98023346161796</v>
      </c>
      <c r="AM67" s="136" t="n">
        <f aca="false">IF(AM$53&lt;Total_Lanes,($BI67*($CH67+BU67)+$CM67*CW67)*Peak_Time_Mor/3600,"-")</f>
        <v>8.89578645695407</v>
      </c>
      <c r="AN67" s="136" t="n">
        <f aca="false">IF(AN$53&lt;Total_Lanes,($BI67*($CH67+BV67)+$CM67*CX67)*Peak_Time_Mor/3600,"-")</f>
        <v>304.668337104448</v>
      </c>
      <c r="AO67" s="136" t="n">
        <f aca="false">IF(AO$53&lt;Total_Lanes,($BI67*($CH67+BW67)+$CM67*CY67)*Peak_Time_Mor/3600,"-")</f>
        <v>2926.02178516968</v>
      </c>
      <c r="AP67" s="136" t="str">
        <f aca="false">IF(AP$53&lt;Total_Lanes,($BI67*($CH67+BX67)+$CM67*CZ67)*Peak_Time_Mor/3600,"-")</f>
        <v>-</v>
      </c>
      <c r="AQ67" s="136" t="str">
        <f aca="false">IF(AQ$53&lt;Total_Lanes,($BI67*($CH67+BY67)+$CM67*DA67)*Peak_Time_Mor/3600,"-")</f>
        <v>-</v>
      </c>
      <c r="AR67" s="136" t="str">
        <f aca="false">IF(AR$53&lt;Total_Lanes,($BI67*($CH67+BZ67)+$CM67*DB67)*Peak_Time_Mor/3600,"-")</f>
        <v>-</v>
      </c>
      <c r="AS67" s="136" t="str">
        <f aca="false">IF(AS$53&lt;Total_Lanes,($BI67*($CH67+CA67)+$CM67*DC67)*Peak_Time_Mor/3600,"-")</f>
        <v>-</v>
      </c>
      <c r="AT67" s="136" t="str">
        <f aca="false">IF(AT$53&lt;Total_Lanes,($BI67*($CH67+CB67)+$CM67*DD67)*Peak_Time_Mor/3600,"-")</f>
        <v>-</v>
      </c>
      <c r="AU67" s="136" t="str">
        <f aca="false">IF(AU$53&lt;Total_Lanes,($BI67*($CH67+CC67)+$CM67*DE67)*Peak_Time_Mor/3600,"-")</f>
        <v>-</v>
      </c>
      <c r="AV67" s="136" t="str">
        <f aca="false">IF(AV$53&lt;Total_Lanes,($BI67*($CH67+CD67)+$CM67*DF67)*Peak_Time_Mor/3600,"-")</f>
        <v>-</v>
      </c>
      <c r="AW67" s="136" t="str">
        <f aca="false">IF(AW$53&lt;Total_Lanes,($BI67*($CH67+CE67)+$CM67*DG67)*Peak_Time_Mor/3600,"-")</f>
        <v>-</v>
      </c>
      <c r="AX67" s="136" t="str">
        <f aca="false">IF(AX$53&lt;Total_Lanes,($BI67*($CH67+CF67)+$CM67*DH67)*Peak_Time_Mor/3600,"-")</f>
        <v>-</v>
      </c>
      <c r="AY67" s="137" t="str">
        <f aca="false">IF(AY$53&lt;Total_Lanes,($BI67*($CH67+CG67)+$CM67*DI67)*Peak_Time_Mor/3600,"-")</f>
        <v>-</v>
      </c>
      <c r="AZ67" s="158" t="n">
        <f aca="false">SUMIF(AE67:AY67,BA67,$AE$53:$AY$53)</f>
        <v>5</v>
      </c>
      <c r="BA67" s="159" t="n">
        <f aca="false">MIN(AE67:AY67)</f>
        <v>5.02305674375754</v>
      </c>
      <c r="BB67" s="158" t="n">
        <f aca="false">Price!X20</f>
        <v>5</v>
      </c>
      <c r="BC67" s="159" t="n">
        <f aca="false">SUMIF($AE$53:$AY$53,$BB67,$AE67:$AY67)</f>
        <v>5.02305674375754</v>
      </c>
      <c r="BF67" s="50" t="n">
        <v>13</v>
      </c>
      <c r="BG67" s="131" t="n">
        <f aca="false">$X67</f>
        <v>0.652377141057342</v>
      </c>
      <c r="BH67" s="57" t="n">
        <f aca="false">$AC67</f>
        <v>3383.58958729498</v>
      </c>
      <c r="BI67" s="135" t="n">
        <f aca="false">BH67*(1-BG67)</f>
        <v>1176.21308582409</v>
      </c>
      <c r="BJ67" s="143" t="n">
        <f aca="false">Peak_Arrival_Manual_Mor/K53</f>
        <v>2.14822251091483</v>
      </c>
      <c r="BK67" s="228" t="n">
        <f aca="false">900*Peak_Time_Mor*($BJ67/Total_Lanes-1+SQRT(($BJ67/Total_Lanes-1)^2+8*($BJ67/Total_Lanes)/(Peak_Time_Mor*$K53*Total_Lanes)))</f>
        <v>0.119470759586493</v>
      </c>
      <c r="BL67" s="143" t="n">
        <f aca="false">Peak_Arrival_Manual_Mor/N53</f>
        <v>2.23848052895897</v>
      </c>
      <c r="BM67" s="229" t="n">
        <f aca="false">IF(BM$6&lt;Total_Lanes,900*Peak_Time_Mor*($BL67/(Total_Lanes-BM$6)-1+SQRT(($BL67/(Total_Lanes-BM$6)-1)^2+8*($BL67/(Total_Lanes-BM$6))/(Peak_Time_Mor*$N53*(Total_Lanes-BM$6)))),"-")</f>
        <v>0.159120788048006</v>
      </c>
      <c r="BN67" s="165" t="n">
        <f aca="false">IF(BN$6&lt;Total_Lanes,900*Peak_Time_Mor*($BL67/(Total_Lanes-BN$6)-1+SQRT(($BL67/(Total_Lanes-BN$6)-1)^2+8*($BL67/(Total_Lanes-BN$6))/(Peak_Time_Mor*$N53*(Total_Lanes-BN$6)))),"-")</f>
        <v>0.197581225981436</v>
      </c>
      <c r="BO67" s="165" t="n">
        <f aca="false">IF(BO$6&lt;Total_Lanes,900*Peak_Time_Mor*($BL67/(Total_Lanes-BO$6)-1+SQRT(($BL67/(Total_Lanes-BO$6)-1)^2+8*($BL67/(Total_Lanes-BO$6))/(Peak_Time_Mor*$N53*(Total_Lanes-BO$6)))),"-")</f>
        <v>0.251997284543792</v>
      </c>
      <c r="BP67" s="165" t="n">
        <f aca="false">IF(BP$6&lt;Total_Lanes,900*Peak_Time_Mor*($BL67/(Total_Lanes-BP$6)-1+SQRT(($BL67/(Total_Lanes-BP$6)-1)^2+8*($BL67/(Total_Lanes-BP$6))/(Peak_Time_Mor*$N53*(Total_Lanes-BP$6)))),"-")</f>
        <v>0.332690493019339</v>
      </c>
      <c r="BQ67" s="165" t="n">
        <f aca="false">IF(BQ$6&lt;Total_Lanes,900*Peak_Time_Mor*($BL67/(Total_Lanes-BQ$6)-1+SQRT(($BL67/(Total_Lanes-BQ$6)-1)^2+8*($BL67/(Total_Lanes-BQ$6))/(Peak_Time_Mor*$N53*(Total_Lanes-BQ$6)))),"-")</f>
        <v>0.460042494958568</v>
      </c>
      <c r="BR67" s="165" t="n">
        <f aca="false">IF(BR$6&lt;Total_Lanes,900*Peak_Time_Mor*($BL67/(Total_Lanes-BR$6)-1+SQRT(($BL67/(Total_Lanes-BR$6)-1)^2+8*($BL67/(Total_Lanes-BR$6))/(Peak_Time_Mor*$N53*(Total_Lanes-BR$6)))),"-")</f>
        <v>0.679325425612709</v>
      </c>
      <c r="BS67" s="165" t="n">
        <f aca="false">IF(BS$6&lt;Total_Lanes,900*Peak_Time_Mor*($BL67/(Total_Lanes-BS$6)-1+SQRT(($BL67/(Total_Lanes-BS$6)-1)^2+8*($BL67/(Total_Lanes-BS$6))/(Peak_Time_Mor*$N53*(Total_Lanes-BS$6)))),"-")</f>
        <v>1.11010131000946</v>
      </c>
      <c r="BT67" s="165" t="n">
        <f aca="false">IF(BT$6&lt;Total_Lanes,900*Peak_Time_Mor*($BL67/(Total_Lanes-BT$6)-1+SQRT(($BL67/(Total_Lanes-BT$6)-1)^2+8*($BL67/(Total_Lanes-BT$6))/(Peak_Time_Mor*$N53*(Total_Lanes-BT$6)))),"-")</f>
        <v>2.17360522163965</v>
      </c>
      <c r="BU67" s="165" t="n">
        <f aca="false">IF(BU$6&lt;Total_Lanes,900*Peak_Time_Mor*($BL67/(Total_Lanes-BU$6)-1+SQRT(($BL67/(Total_Lanes-BU$6)-1)^2+8*($BL67/(Total_Lanes-BU$6))/(Peak_Time_Mor*$N53*(Total_Lanes-BU$6)))),"-")</f>
        <v>6.66446172328929</v>
      </c>
      <c r="BV67" s="165" t="n">
        <f aca="false">IF(BV$6&lt;Total_Lanes,900*Peak_Time_Mor*($BL67/(Total_Lanes-BV$6)-1+SQRT(($BL67/(Total_Lanes-BV$6)-1)^2+8*($BL67/(Total_Lanes-BV$6))/(Peak_Time_Mor*$N53*(Total_Lanes-BV$6)))),"-")</f>
        <v>459.315639628929</v>
      </c>
      <c r="BW67" s="230" t="n">
        <f aca="false">IF(BW$6&lt;Total_Lanes,900*Peak_Time_Mor*($BL67/(Total_Lanes-BW$6)-1+SQRT(($BL67/(Total_Lanes-BW$6)-1)^2+8*($BL67/(Total_Lanes-BW$6))/(Peak_Time_Mor*$N53*(Total_Lanes-BW$6)))),"-")</f>
        <v>4470.87893088889</v>
      </c>
      <c r="BX67" s="165" t="str">
        <f aca="false">IF(BX$6&lt;Total_Lanes,900*Peak_Time_Mor*($BL67/(Total_Lanes-BX$6)-1+SQRT(($BL67/(Total_Lanes-BX$6)-1)^2+8*($BL67/(Total_Lanes-BX$6))/(Peak_Time_Mor*$N53*(Total_Lanes-BX$6)))),"-")</f>
        <v>-</v>
      </c>
      <c r="BY67" s="165" t="str">
        <f aca="false">IF(BY$6&lt;Total_Lanes,900*Peak_Time_Mor*($BL67/(Total_Lanes-BY$6)-1+SQRT(($BL67/(Total_Lanes-BY$6)-1)^2+8*($BL67/(Total_Lanes-BY$6))/(Peak_Time_Mor*$N53*(Total_Lanes-BY$6)))),"-")</f>
        <v>-</v>
      </c>
      <c r="BZ67" s="165" t="str">
        <f aca="false">IF(BZ$6&lt;Total_Lanes,900*Peak_Time_Mor*($BL67/(Total_Lanes-BZ$6)-1+SQRT(($BL67/(Total_Lanes-BZ$6)-1)^2+8*($BL67/(Total_Lanes-BZ$6))/(Peak_Time_Mor*$N53*(Total_Lanes-BZ$6)))),"-")</f>
        <v>-</v>
      </c>
      <c r="CA67" s="165" t="str">
        <f aca="false">IF(CA$6&lt;Total_Lanes,900*Peak_Time_Mor*($BL67/(Total_Lanes-CA$6)-1+SQRT(($BL67/(Total_Lanes-CA$6)-1)^2+8*($BL67/(Total_Lanes-CA$6))/(Peak_Time_Mor*$N53*(Total_Lanes-CA$6)))),"-")</f>
        <v>-</v>
      </c>
      <c r="CB67" s="165" t="str">
        <f aca="false">IF(CB$6&lt;Total_Lanes,900*Peak_Time_Mor*($BL67/(Total_Lanes-CB$6)-1+SQRT(($BL67/(Total_Lanes-CB$6)-1)^2+8*($BL67/(Total_Lanes-CB$6))/(Peak_Time_Mor*$N53*(Total_Lanes-CB$6)))),"-")</f>
        <v>-</v>
      </c>
      <c r="CC67" s="165" t="str">
        <f aca="false">IF(CC$6&lt;Total_Lanes,900*Peak_Time_Mor*($BL67/(Total_Lanes-CC$6)-1+SQRT(($BL67/(Total_Lanes-CC$6)-1)^2+8*($BL67/(Total_Lanes-CC$6))/(Peak_Time_Mor*$N53*(Total_Lanes-CC$6)))),"-")</f>
        <v>-</v>
      </c>
      <c r="CD67" s="165" t="str">
        <f aca="false">IF(CD$6&lt;Total_Lanes,900*Peak_Time_Mor*($BL67/(Total_Lanes-CD$6)-1+SQRT(($BL67/(Total_Lanes-CD$6)-1)^2+8*($BL67/(Total_Lanes-CD$6))/(Peak_Time_Mor*$N53*(Total_Lanes-CD$6)))),"-")</f>
        <v>-</v>
      </c>
      <c r="CE67" s="165" t="str">
        <f aca="false">IF(CE$6&lt;Total_Lanes,900*Peak_Time_Mor*($BL67/(Total_Lanes-CE$6)-1+SQRT(($BL67/(Total_Lanes-CE$6)-1)^2+8*($BL67/(Total_Lanes-CE$6))/(Peak_Time_Mor*$N53*(Total_Lanes-CE$6)))),"-")</f>
        <v>-</v>
      </c>
      <c r="CF67" s="165" t="str">
        <f aca="false">IF(CF$6&lt;Total_Lanes,900*Peak_Time_Mor*($BL67/(Total_Lanes-CF$6)-1+SQRT(($BL67/(Total_Lanes-CF$6)-1)^2+8*($BL67/(Total_Lanes-CF$6))/(Peak_Time_Mor*$N53*(Total_Lanes-CF$6)))),"-")</f>
        <v>-</v>
      </c>
      <c r="CG67" s="166" t="str">
        <f aca="false">IF(CG$6&lt;Total_Lanes,900*Peak_Time_Mor*($BL67/(Total_Lanes-CG$6)-1+SQRT(($BL67/(Total_Lanes-CG$6)-1)^2+8*($BL67/(Total_Lanes-CG$6))/(Peak_Time_Mor*$N53*(Total_Lanes-CG$6)))),"-")</f>
        <v>-</v>
      </c>
      <c r="CH67" s="234" t="n">
        <f aca="false">3600/N53</f>
        <v>6.85125</v>
      </c>
      <c r="CJ67" s="50" t="n">
        <v>13</v>
      </c>
      <c r="CK67" s="131" t="n">
        <f aca="false">$X67</f>
        <v>0.652377141057342</v>
      </c>
      <c r="CL67" s="150" t="n">
        <f aca="false">$AC67</f>
        <v>3383.58958729498</v>
      </c>
      <c r="CM67" s="150" t="n">
        <f aca="false">CL67*CK67</f>
        <v>2207.37650147089</v>
      </c>
      <c r="CN67" s="161" t="n">
        <f aca="false">CM67/O53</f>
        <v>1.47158433431393</v>
      </c>
      <c r="CO67" s="165" t="n">
        <f aca="false">IF(CO$53&lt;Total_Lanes,900*Peak_Time_Mor*($CN67/CO$53-1+SQRT(($CN67/CO$53-1)^2+8*($CN67/CO$53)/(Peak_Time_Mor*$O53*CO$53))),"-")</f>
        <v>1705.16008153835</v>
      </c>
      <c r="CP67" s="165" t="n">
        <f aca="false">IF(CP$53&lt;Total_Lanes,900*Peak_Time_Mor*($CN67/CP$53-1+SQRT(($CN67/CP$53-1)^2+8*($CN67/CP$53)/(Peak_Time_Mor*$O53*CP$53))),"-")</f>
        <v>3.33021900203834</v>
      </c>
      <c r="CQ67" s="165" t="n">
        <f aca="false">IF(CQ$53&lt;Total_Lanes,900*Peak_Time_Mor*($CN67/CQ$53-1+SQRT(($CN67/CQ$53-1)^2+8*($CN67/CQ$53)/(Peak_Time_Mor*$O53*CQ$53))),"-")</f>
        <v>0.769930261793639</v>
      </c>
      <c r="CR67" s="165" t="n">
        <f aca="false">IF(CR$53&lt;Total_Lanes,900*Peak_Time_Mor*($CN67/CR$53-1+SQRT(($CN67/CR$53-1)^2+8*($CN67/CR$53)/(Peak_Time_Mor*$O53*CR$53))),"-")</f>
        <v>0.349157441157</v>
      </c>
      <c r="CS67" s="165" t="n">
        <f aca="false">IF(CS$53&lt;Total_Lanes,900*Peak_Time_Mor*($CN67/CS$53-1+SQRT(($CN67/CS$53-1)^2+8*($CN67/CS$53)/(Peak_Time_Mor*$O53*CS$53))),"-")</f>
        <v>0.200176196317847</v>
      </c>
      <c r="CT67" s="165" t="n">
        <f aca="false">IF(CT$53&lt;Total_Lanes,900*Peak_Time_Mor*($CN67/CT$53-1+SQRT(($CN67/CT$53-1)^2+8*($CN67/CT$53)/(Peak_Time_Mor*$O53*CT$53))),"-")</f>
        <v>0.129980465349755</v>
      </c>
      <c r="CU67" s="165" t="n">
        <f aca="false">IF(CU$53&lt;Total_Lanes,900*Peak_Time_Mor*($CN67/CU$53-1+SQRT(($CN67/CU$53-1)^2+8*($CN67/CU$53)/(Peak_Time_Mor*$O53*CU$53))),"-")</f>
        <v>0.091260685975203</v>
      </c>
      <c r="CV67" s="165" t="n">
        <f aca="false">IF(CV$53&lt;Total_Lanes,900*Peak_Time_Mor*($CN67/CV$53-1+SQRT(($CN67/CV$53-1)^2+8*($CN67/CV$53)/(Peak_Time_Mor*$O53*CV$53))),"-")</f>
        <v>0.0676220941250527</v>
      </c>
      <c r="CW67" s="165" t="n">
        <f aca="false">IF(CW$53&lt;Total_Lanes,900*Peak_Time_Mor*($CN67/CW$53-1+SQRT(($CN67/CW$53-1)^2+8*($CN67/CW$53)/(Peak_Time_Mor*$O53*CW$53))),"-")</f>
        <v>0.0521246055132485</v>
      </c>
      <c r="CX67" s="165" t="n">
        <f aca="false">IF(CX$53&lt;Total_Lanes,900*Peak_Time_Mor*($CN67/CX$53-1+SQRT(($CN67/CX$53-1)^2+8*($CN67/CX$53)/(Peak_Time_Mor*$O53*CX$53))),"-")</f>
        <v>0.0414116162259726</v>
      </c>
      <c r="CY67" s="165" t="n">
        <f aca="false">IF(CY$53&lt;Total_Lanes,900*Peak_Time_Mor*($CN67/CY$53-1+SQRT(($CN67/CY$53-1)^2+8*($CN67/CY$53)/(Peak_Time_Mor*$O53*CY$53))),"-")</f>
        <v>0.033695998116956</v>
      </c>
      <c r="CZ67" s="165" t="str">
        <f aca="false">IF(CZ$53&lt;Total_Lanes,900*Peak_Time_Mor*($CN67/CZ$53-1+SQRT(($CN67/CZ$53-1)^2+8*($CN67/CZ$53)/(Peak_Time_Mor*$O53*CZ$53))),"-")</f>
        <v>-</v>
      </c>
      <c r="DA67" s="165" t="str">
        <f aca="false">IF(DA$53&lt;Total_Lanes,900*Peak_Time_Mor*($CN67/DA$53-1+SQRT(($CN67/DA$53-1)^2+8*($CN67/DA$53)/(Peak_Time_Mor*$O53*DA$53))),"-")</f>
        <v>-</v>
      </c>
      <c r="DB67" s="165" t="str">
        <f aca="false">IF(DB$53&lt;Total_Lanes,900*Peak_Time_Mor*($CN67/DB$53-1+SQRT(($CN67/DB$53-1)^2+8*($CN67/DB$53)/(Peak_Time_Mor*$O53*DB$53))),"-")</f>
        <v>-</v>
      </c>
      <c r="DC67" s="165" t="str">
        <f aca="false">IF(DC$53&lt;Total_Lanes,900*Peak_Time_Mor*($CN67/DC$53-1+SQRT(($CN67/DC$53-1)^2+8*($CN67/DC$53)/(Peak_Time_Mor*$O53*DC$53))),"-")</f>
        <v>-</v>
      </c>
      <c r="DD67" s="165" t="str">
        <f aca="false">IF(DD$53&lt;Total_Lanes,900*Peak_Time_Mor*($CN67/DD$53-1+SQRT(($CN67/DD$53-1)^2+8*($CN67/DD$53)/(Peak_Time_Mor*$O53*DD$53))),"-")</f>
        <v>-</v>
      </c>
      <c r="DE67" s="165" t="str">
        <f aca="false">IF(DE$53&lt;Total_Lanes,900*Peak_Time_Mor*($CN67/DE$53-1+SQRT(($CN67/DE$53-1)^2+8*($CN67/DE$53)/(Peak_Time_Mor*$O53*DE$53))),"-")</f>
        <v>-</v>
      </c>
      <c r="DF67" s="165" t="str">
        <f aca="false">IF(DF$53&lt;Total_Lanes,900*Peak_Time_Mor*($CN67/DF$53-1+SQRT(($CN67/DF$53-1)^2+8*($CN67/DF$53)/(Peak_Time_Mor*$O53*DF$53))),"-")</f>
        <v>-</v>
      </c>
      <c r="DG67" s="165" t="str">
        <f aca="false">IF(DG$53&lt;Total_Lanes,900*Peak_Time_Mor*($CN67/DG$53-1+SQRT(($CN67/DG$53-1)^2+8*($CN67/DG$53)/(Peak_Time_Mor*$O53*DG$53))),"-")</f>
        <v>-</v>
      </c>
      <c r="DH67" s="165" t="str">
        <f aca="false">IF(DH$53&lt;Total_Lanes,900*Peak_Time_Mor*($CN67/DH$53-1+SQRT(($CN67/DH$53-1)^2+8*($CN67/DH$53)/(Peak_Time_Mor*$O53*DH$53))),"-")</f>
        <v>-</v>
      </c>
      <c r="DI67" s="166" t="str">
        <f aca="false">IF(DI$53&lt;Total_Lanes,900*Peak_Time_Mor*($CN67/DI$53-1+SQRT(($CN67/DI$53-1)^2+8*($CN67/DI$53)/(Peak_Time_Mor*$O53*DI$53))),"-")</f>
        <v>-</v>
      </c>
      <c r="DJ67" s="234" t="n">
        <f aca="false">3600/$O53</f>
        <v>2.4</v>
      </c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customFormat="false" ht="12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50" t="n">
        <v>14</v>
      </c>
      <c r="W68" s="124" t="n">
        <f aca="false">W21</f>
        <v>26704851.9</v>
      </c>
      <c r="X68" s="131" t="n">
        <f aca="false">X21</f>
        <v>0.688560291874923</v>
      </c>
      <c r="Y68" s="124" t="n">
        <f aca="false">Y21</f>
        <v>11515.4498005461</v>
      </c>
      <c r="Z68" s="133" t="n">
        <f aca="false">W68/Y68</f>
        <v>2319.04548780488</v>
      </c>
      <c r="AA68" s="233" t="n">
        <f aca="false">AA21</f>
        <v>2</v>
      </c>
      <c r="AB68" s="157" t="n">
        <f aca="false">1-AB21</f>
        <v>0.3</v>
      </c>
      <c r="AC68" s="128" t="n">
        <f aca="false">Y68*AB68</f>
        <v>3454.63494016383</v>
      </c>
      <c r="AD68" s="150" t="n">
        <f aca="false">Peak_Time_Mor*$BH68*(CH68+BK68)/3600</f>
        <v>13.3959003145157</v>
      </c>
      <c r="AE68" s="136" t="n">
        <f aca="false">IF(AE$53&lt;Total_Lanes,($BI68*($CH68+BM68)+$CM68*CO68)*Peak_Time_Mor/3600,"-")</f>
        <v>2799.74408669198</v>
      </c>
      <c r="AF68" s="136" t="n">
        <f aca="false">IF(AF$53&lt;Total_Lanes,($BI68*($CH68+BN68)+$CM68*CP68)*Peak_Time_Mor/3600,"-")</f>
        <v>10.2488321307881</v>
      </c>
      <c r="AG68" s="136" t="n">
        <f aca="false">IF(AG$53&lt;Total_Lanes,($BI68*($CH68+BO68)+$CM68*CQ68)*Peak_Time_Mor/3600,"-")</f>
        <v>5.42773492939102</v>
      </c>
      <c r="AH68" s="136" t="n">
        <f aca="false">IF(AH$53&lt;Total_Lanes,($BI68*($CH68+BP68)+$CM68*CR68)*Peak_Time_Mor/3600,"-")</f>
        <v>4.80598636453821</v>
      </c>
      <c r="AI68" s="136" t="n">
        <f aca="false">IF(AI$53&lt;Total_Lanes,($BI68*($CH68+BQ68)+$CM68*CS68)*Peak_Time_Mor/3600,"-")</f>
        <v>4.64614825915463</v>
      </c>
      <c r="AJ68" s="136" t="n">
        <f aca="false">IF(AJ$53&lt;Total_Lanes,($BI68*($CH68+BR68)+$CM68*CT68)*Peak_Time_Mor/3600,"-")</f>
        <v>4.65405270021587</v>
      </c>
      <c r="AK68" s="136" t="n">
        <f aca="false">IF(AK$53&lt;Total_Lanes,($BI68*($CH68+BS68)+$CM68*CU68)*Peak_Time_Mor/3600,"-")</f>
        <v>4.81312333108034</v>
      </c>
      <c r="AL68" s="136" t="n">
        <f aca="false">IF(AL$53&lt;Total_Lanes,($BI68*($CH68+BT68)+$CM68*CV68)*Peak_Time_Mor/3600,"-")</f>
        <v>5.28868633996204</v>
      </c>
      <c r="AM68" s="136" t="n">
        <f aca="false">IF(AM$53&lt;Total_Lanes,($BI68*($CH68+BU68)+$CM68*CW68)*Peak_Time_Mor/3600,"-")</f>
        <v>7.14316663107652</v>
      </c>
      <c r="AN68" s="136" t="n">
        <f aca="false">IF(AN$53&lt;Total_Lanes,($BI68*($CH68+BV68)+$CM68*CX68)*Peak_Time_Mor/3600,"-")</f>
        <v>106.542049379992</v>
      </c>
      <c r="AO68" s="136" t="n">
        <f aca="false">IF(AO$53&lt;Total_Lanes,($BI68*($CH68+BW68)+$CM68*CY68)*Peak_Time_Mor/3600,"-")</f>
        <v>2280.03064606577</v>
      </c>
      <c r="AP68" s="136" t="str">
        <f aca="false">IF(AP$53&lt;Total_Lanes,($BI68*($CH68+BX68)+$CM68*CZ68)*Peak_Time_Mor/3600,"-")</f>
        <v>-</v>
      </c>
      <c r="AQ68" s="136" t="str">
        <f aca="false">IF(AQ$53&lt;Total_Lanes,($BI68*($CH68+BY68)+$CM68*DA68)*Peak_Time_Mor/3600,"-")</f>
        <v>-</v>
      </c>
      <c r="AR68" s="136" t="str">
        <f aca="false">IF(AR$53&lt;Total_Lanes,($BI68*($CH68+BZ68)+$CM68*DB68)*Peak_Time_Mor/3600,"-")</f>
        <v>-</v>
      </c>
      <c r="AS68" s="136" t="str">
        <f aca="false">IF(AS$53&lt;Total_Lanes,($BI68*($CH68+CA68)+$CM68*DC68)*Peak_Time_Mor/3600,"-")</f>
        <v>-</v>
      </c>
      <c r="AT68" s="136" t="str">
        <f aca="false">IF(AT$53&lt;Total_Lanes,($BI68*($CH68+CB68)+$CM68*DD68)*Peak_Time_Mor/3600,"-")</f>
        <v>-</v>
      </c>
      <c r="AU68" s="136" t="str">
        <f aca="false">IF(AU$53&lt;Total_Lanes,($BI68*($CH68+CC68)+$CM68*DE68)*Peak_Time_Mor/3600,"-")</f>
        <v>-</v>
      </c>
      <c r="AV68" s="136" t="str">
        <f aca="false">IF(AV$53&lt;Total_Lanes,($BI68*($CH68+CD68)+$CM68*DF68)*Peak_Time_Mor/3600,"-")</f>
        <v>-</v>
      </c>
      <c r="AW68" s="136" t="str">
        <f aca="false">IF(AW$53&lt;Total_Lanes,($BI68*($CH68+CE68)+$CM68*DG68)*Peak_Time_Mor/3600,"-")</f>
        <v>-</v>
      </c>
      <c r="AX68" s="136" t="str">
        <f aca="false">IF(AX$53&lt;Total_Lanes,($BI68*($CH68+CF68)+$CM68*DH68)*Peak_Time_Mor/3600,"-")</f>
        <v>-</v>
      </c>
      <c r="AY68" s="137" t="str">
        <f aca="false">IF(AY$53&lt;Total_Lanes,($BI68*($CH68+CG68)+$CM68*DI68)*Peak_Time_Mor/3600,"-")</f>
        <v>-</v>
      </c>
      <c r="AZ68" s="158" t="n">
        <f aca="false">SUMIF(AE68:AY68,BA68,$AE$53:$AY$53)</f>
        <v>5</v>
      </c>
      <c r="BA68" s="159" t="n">
        <f aca="false">MIN(AE68:AY68)</f>
        <v>4.64614825915463</v>
      </c>
      <c r="BB68" s="158" t="n">
        <f aca="false">Price!X21</f>
        <v>6</v>
      </c>
      <c r="BC68" s="159" t="n">
        <f aca="false">SUMIF($AE$53:$AY$53,$BB68,$AE68:$AY68)</f>
        <v>4.65405270021587</v>
      </c>
      <c r="BF68" s="50" t="n">
        <v>14</v>
      </c>
      <c r="BG68" s="131" t="n">
        <f aca="false">$X68</f>
        <v>0.688560291874923</v>
      </c>
      <c r="BH68" s="57" t="n">
        <f aca="false">$AC68</f>
        <v>3454.63494016383</v>
      </c>
      <c r="BI68" s="135" t="n">
        <f aca="false">BH68*(1-BG68)</f>
        <v>1075.91049744332</v>
      </c>
      <c r="BJ68" s="143" t="n">
        <f aca="false">Peak_Arrival_Manual_Mor/K54</f>
        <v>1.96503097796939</v>
      </c>
      <c r="BK68" s="228" t="n">
        <f aca="false">900*Peak_Time_Mor*($BJ68/Total_Lanes-1+SQRT(($BJ68/Total_Lanes-1)^2+8*($BJ68/Total_Lanes)/(Peak_Time_Mor*$K54*Total_Lanes)))</f>
        <v>0.107288308684428</v>
      </c>
      <c r="BL68" s="143" t="n">
        <f aca="false">Peak_Arrival_Manual_Mor/N54</f>
        <v>2.053943026022</v>
      </c>
      <c r="BM68" s="229" t="n">
        <f aca="false">IF(BM$6&lt;Total_Lanes,900*Peak_Time_Mor*($BL68/(Total_Lanes-BM$6)-1+SQRT(($BL68/(Total_Lanes-BM$6)-1)^2+8*($BL68/(Total_Lanes-BM$6))/(Peak_Time_Mor*$N54*(Total_Lanes-BM$6)))),"-")</f>
        <v>0.143435786883317</v>
      </c>
      <c r="BN68" s="165" t="n">
        <f aca="false">IF(BN$6&lt;Total_Lanes,900*Peak_Time_Mor*($BL68/(Total_Lanes-BN$6)-1+SQRT(($BL68/(Total_Lanes-BN$6)-1)^2+8*($BL68/(Total_Lanes-BN$6))/(Peak_Time_Mor*$N54*(Total_Lanes-BN$6)))),"-")</f>
        <v>0.177633346998407</v>
      </c>
      <c r="BO68" s="165" t="n">
        <f aca="false">IF(BO$6&lt;Total_Lanes,900*Peak_Time_Mor*($BL68/(Total_Lanes-BO$6)-1+SQRT(($BL68/(Total_Lanes-BO$6)-1)^2+8*($BL68/(Total_Lanes-BO$6))/(Peak_Time_Mor*$N54*(Total_Lanes-BO$6)))),"-")</f>
        <v>0.225780796171793</v>
      </c>
      <c r="BP68" s="165" t="n">
        <f aca="false">IF(BP$6&lt;Total_Lanes,900*Peak_Time_Mor*($BL68/(Total_Lanes-BP$6)-1+SQRT(($BL68/(Total_Lanes-BP$6)-1)^2+8*($BL68/(Total_Lanes-BP$6))/(Peak_Time_Mor*$N54*(Total_Lanes-BP$6)))),"-")</f>
        <v>0.296712560567292</v>
      </c>
      <c r="BQ68" s="165" t="n">
        <f aca="false">IF(BQ$6&lt;Total_Lanes,900*Peak_Time_Mor*($BL68/(Total_Lanes-BQ$6)-1+SQRT(($BL68/(Total_Lanes-BQ$6)-1)^2+8*($BL68/(Total_Lanes-BQ$6))/(Peak_Time_Mor*$N54*(Total_Lanes-BQ$6)))),"-")</f>
        <v>0.407639625474254</v>
      </c>
      <c r="BR68" s="165" t="n">
        <f aca="false">IF(BR$6&lt;Total_Lanes,900*Peak_Time_Mor*($BL68/(Total_Lanes-BR$6)-1+SQRT(($BL68/(Total_Lanes-BR$6)-1)^2+8*($BL68/(Total_Lanes-BR$6))/(Peak_Time_Mor*$N54*(Total_Lanes-BR$6)))),"-")</f>
        <v>0.596045235373355</v>
      </c>
      <c r="BS68" s="165" t="n">
        <f aca="false">IF(BS$6&lt;Total_Lanes,900*Peak_Time_Mor*($BL68/(Total_Lanes-BS$6)-1+SQRT(($BL68/(Total_Lanes-BS$6)-1)^2+8*($BL68/(Total_Lanes-BS$6))/(Peak_Time_Mor*$N54*(Total_Lanes-BS$6)))),"-")</f>
        <v>0.957846521761163</v>
      </c>
      <c r="BT68" s="165" t="n">
        <f aca="false">IF(BT$6&lt;Total_Lanes,900*Peak_Time_Mor*($BL68/(Total_Lanes-BT$6)-1+SQRT(($BL68/(Total_Lanes-BT$6)-1)^2+8*($BL68/(Total_Lanes-BT$6))/(Peak_Time_Mor*$N54*(Total_Lanes-BT$6)))),"-")</f>
        <v>1.81150128521661</v>
      </c>
      <c r="BU68" s="165" t="n">
        <f aca="false">IF(BU$6&lt;Total_Lanes,900*Peak_Time_Mor*($BL68/(Total_Lanes-BU$6)-1+SQRT(($BL68/(Total_Lanes-BU$6)-1)^2+8*($BL68/(Total_Lanes-BU$6))/(Peak_Time_Mor*$N54*(Total_Lanes-BU$6)))),"-")</f>
        <v>4.9519284931773</v>
      </c>
      <c r="BV68" s="165" t="n">
        <f aca="false">IF(BV$6&lt;Total_Lanes,900*Peak_Time_Mor*($BL68/(Total_Lanes-BV$6)-1+SQRT(($BL68/(Total_Lanes-BV$6)-1)^2+8*($BL68/(Total_Lanes-BV$6))/(Peak_Time_Mor*$N54*(Total_Lanes-BV$6)))),"-")</f>
        <v>171.272517556856</v>
      </c>
      <c r="BW68" s="230" t="n">
        <f aca="false">IF(BW$6&lt;Total_Lanes,900*Peak_Time_Mor*($BL68/(Total_Lanes-BW$6)-1+SQRT(($BL68/(Total_Lanes-BW$6)-1)^2+8*($BL68/(Total_Lanes-BW$6))/(Peak_Time_Mor*$N54*(Total_Lanes-BW$6)))),"-")</f>
        <v>3807.54119822621</v>
      </c>
      <c r="BX68" s="165" t="str">
        <f aca="false">IF(BX$6&lt;Total_Lanes,900*Peak_Time_Mor*($BL68/(Total_Lanes-BX$6)-1+SQRT(($BL68/(Total_Lanes-BX$6)-1)^2+8*($BL68/(Total_Lanes-BX$6))/(Peak_Time_Mor*$N54*(Total_Lanes-BX$6)))),"-")</f>
        <v>-</v>
      </c>
      <c r="BY68" s="165" t="str">
        <f aca="false">IF(BY$6&lt;Total_Lanes,900*Peak_Time_Mor*($BL68/(Total_Lanes-BY$6)-1+SQRT(($BL68/(Total_Lanes-BY$6)-1)^2+8*($BL68/(Total_Lanes-BY$6))/(Peak_Time_Mor*$N54*(Total_Lanes-BY$6)))),"-")</f>
        <v>-</v>
      </c>
      <c r="BZ68" s="165" t="str">
        <f aca="false">IF(BZ$6&lt;Total_Lanes,900*Peak_Time_Mor*($BL68/(Total_Lanes-BZ$6)-1+SQRT(($BL68/(Total_Lanes-BZ$6)-1)^2+8*($BL68/(Total_Lanes-BZ$6))/(Peak_Time_Mor*$N54*(Total_Lanes-BZ$6)))),"-")</f>
        <v>-</v>
      </c>
      <c r="CA68" s="165" t="str">
        <f aca="false">IF(CA$6&lt;Total_Lanes,900*Peak_Time_Mor*($BL68/(Total_Lanes-CA$6)-1+SQRT(($BL68/(Total_Lanes-CA$6)-1)^2+8*($BL68/(Total_Lanes-CA$6))/(Peak_Time_Mor*$N54*(Total_Lanes-CA$6)))),"-")</f>
        <v>-</v>
      </c>
      <c r="CB68" s="165" t="str">
        <f aca="false">IF(CB$6&lt;Total_Lanes,900*Peak_Time_Mor*($BL68/(Total_Lanes-CB$6)-1+SQRT(($BL68/(Total_Lanes-CB$6)-1)^2+8*($BL68/(Total_Lanes-CB$6))/(Peak_Time_Mor*$N54*(Total_Lanes-CB$6)))),"-")</f>
        <v>-</v>
      </c>
      <c r="CC68" s="165" t="str">
        <f aca="false">IF(CC$6&lt;Total_Lanes,900*Peak_Time_Mor*($BL68/(Total_Lanes-CC$6)-1+SQRT(($BL68/(Total_Lanes-CC$6)-1)^2+8*($BL68/(Total_Lanes-CC$6))/(Peak_Time_Mor*$N54*(Total_Lanes-CC$6)))),"-")</f>
        <v>-</v>
      </c>
      <c r="CD68" s="165" t="str">
        <f aca="false">IF(CD$6&lt;Total_Lanes,900*Peak_Time_Mor*($BL68/(Total_Lanes-CD$6)-1+SQRT(($BL68/(Total_Lanes-CD$6)-1)^2+8*($BL68/(Total_Lanes-CD$6))/(Peak_Time_Mor*$N54*(Total_Lanes-CD$6)))),"-")</f>
        <v>-</v>
      </c>
      <c r="CE68" s="165" t="str">
        <f aca="false">IF(CE$6&lt;Total_Lanes,900*Peak_Time_Mor*($BL68/(Total_Lanes-CE$6)-1+SQRT(($BL68/(Total_Lanes-CE$6)-1)^2+8*($BL68/(Total_Lanes-CE$6))/(Peak_Time_Mor*$N54*(Total_Lanes-CE$6)))),"-")</f>
        <v>-</v>
      </c>
      <c r="CF68" s="165" t="str">
        <f aca="false">IF(CF$6&lt;Total_Lanes,900*Peak_Time_Mor*($BL68/(Total_Lanes-CF$6)-1+SQRT(($BL68/(Total_Lanes-CF$6)-1)^2+8*($BL68/(Total_Lanes-CF$6))/(Peak_Time_Mor*$N54*(Total_Lanes-CF$6)))),"-")</f>
        <v>-</v>
      </c>
      <c r="CG68" s="166" t="str">
        <f aca="false">IF(CG$6&lt;Total_Lanes,900*Peak_Time_Mor*($BL68/(Total_Lanes-CG$6)-1+SQRT(($BL68/(Total_Lanes-CG$6)-1)^2+8*($BL68/(Total_Lanes-CG$6))/(Peak_Time_Mor*$N54*(Total_Lanes-CG$6)))),"-")</f>
        <v>-</v>
      </c>
      <c r="CH68" s="234" t="n">
        <f aca="false">3600/N54</f>
        <v>6.8725</v>
      </c>
      <c r="CJ68" s="50" t="n">
        <v>14</v>
      </c>
      <c r="CK68" s="131" t="n">
        <f aca="false">$X68</f>
        <v>0.688560291874923</v>
      </c>
      <c r="CL68" s="150" t="n">
        <f aca="false">$AC68</f>
        <v>3454.63494016383</v>
      </c>
      <c r="CM68" s="150" t="n">
        <f aca="false">CL68*CK68</f>
        <v>2378.72444272051</v>
      </c>
      <c r="CN68" s="161" t="n">
        <f aca="false">CM68/O54</f>
        <v>1.58581629514701</v>
      </c>
      <c r="CO68" s="165" t="n">
        <f aca="false">IF(CO$53&lt;Total_Lanes,900*Peak_Time_Mor*($CN68/CO$53-1+SQRT(($CN68/CO$53-1)^2+8*($CN68/CO$53)/(Peak_Time_Mor*$O54*CO$53))),"-")</f>
        <v>2115.41561801419</v>
      </c>
      <c r="CP68" s="165" t="n">
        <f aca="false">IF(CP$53&lt;Total_Lanes,900*Peak_Time_Mor*($CN68/CP$53-1+SQRT(($CN68/CP$53-1)^2+8*($CN68/CP$53)/(Peak_Time_Mor*$O54*CP$53))),"-")</f>
        <v>4.56655893550432</v>
      </c>
      <c r="CQ68" s="165" t="n">
        <f aca="false">IF(CQ$53&lt;Total_Lanes,900*Peak_Time_Mor*($CN68/CQ$53-1+SQRT(($CN68/CQ$53-1)^2+8*($CN68/CQ$53)/(Peak_Time_Mor*$O54*CQ$53))),"-")</f>
        <v>0.89661837756333</v>
      </c>
      <c r="CR68" s="165" t="n">
        <f aca="false">IF(CR$53&lt;Total_Lanes,900*Peak_Time_Mor*($CN68/CR$53-1+SQRT(($CN68/CR$53-1)^2+8*($CN68/CR$53)/(Peak_Time_Mor*$O54*CR$53))),"-")</f>
        <v>0.394053378784776</v>
      </c>
      <c r="CS68" s="165" t="n">
        <f aca="false">IF(CS$53&lt;Total_Lanes,900*Peak_Time_Mor*($CN68/CS$53-1+SQRT(($CN68/CS$53-1)^2+8*($CN68/CS$53)/(Peak_Time_Mor*$O54*CS$53))),"-")</f>
        <v>0.222929655513626</v>
      </c>
      <c r="CT68" s="165" t="n">
        <f aca="false">IF(CT$53&lt;Total_Lanes,900*Peak_Time_Mor*($CN68/CT$53-1+SQRT(($CN68/CT$53-1)^2+8*($CN68/CT$53)/(Peak_Time_Mor*$O54*CT$53))),"-")</f>
        <v>0.143694088681068</v>
      </c>
      <c r="CU68" s="165" t="n">
        <f aca="false">IF(CU$53&lt;Total_Lanes,900*Peak_Time_Mor*($CN68/CU$53-1+SQRT(($CN68/CU$53-1)^2+8*($CN68/CU$53)/(Peak_Time_Mor*$O54*CU$53))),"-")</f>
        <v>0.100419355127079</v>
      </c>
      <c r="CV68" s="165" t="n">
        <f aca="false">IF(CV$53&lt;Total_Lanes,900*Peak_Time_Mor*($CN68/CV$53-1+SQRT(($CN68/CV$53-1)^2+8*($CN68/CV$53)/(Peak_Time_Mor*$O54*CV$53))),"-")</f>
        <v>0.0741688554535047</v>
      </c>
      <c r="CW68" s="165" t="n">
        <f aca="false">IF(CW$53&lt;Total_Lanes,900*Peak_Time_Mor*($CN68/CW$53-1+SQRT(($CN68/CW$53-1)^2+8*($CN68/CW$53)/(Peak_Time_Mor*$O54*CW$53))),"-")</f>
        <v>0.0570361120539209</v>
      </c>
      <c r="CX68" s="165" t="n">
        <f aca="false">IF(CX$53&lt;Total_Lanes,900*Peak_Time_Mor*($CN68/CX$53-1+SQRT(($CN68/CX$53-1)^2+8*($CN68/CX$53)/(Peak_Time_Mor*$O54*CX$53))),"-")</f>
        <v>0.0452319845916316</v>
      </c>
      <c r="CY68" s="165" t="n">
        <f aca="false">IF(CY$53&lt;Total_Lanes,900*Peak_Time_Mor*($CN68/CY$53-1+SQRT(($CN68/CY$53-1)^2+8*($CN68/CY$53)/(Peak_Time_Mor*$O54*CY$53))),"-")</f>
        <v>0.0367522205011239</v>
      </c>
      <c r="CZ68" s="165" t="str">
        <f aca="false">IF(CZ$53&lt;Total_Lanes,900*Peak_Time_Mor*($CN68/CZ$53-1+SQRT(($CN68/CZ$53-1)^2+8*($CN68/CZ$53)/(Peak_Time_Mor*$O54*CZ$53))),"-")</f>
        <v>-</v>
      </c>
      <c r="DA68" s="165" t="str">
        <f aca="false">IF(DA$53&lt;Total_Lanes,900*Peak_Time_Mor*($CN68/DA$53-1+SQRT(($CN68/DA$53-1)^2+8*($CN68/DA$53)/(Peak_Time_Mor*$O54*DA$53))),"-")</f>
        <v>-</v>
      </c>
      <c r="DB68" s="165" t="str">
        <f aca="false">IF(DB$53&lt;Total_Lanes,900*Peak_Time_Mor*($CN68/DB$53-1+SQRT(($CN68/DB$53-1)^2+8*($CN68/DB$53)/(Peak_Time_Mor*$O54*DB$53))),"-")</f>
        <v>-</v>
      </c>
      <c r="DC68" s="165" t="str">
        <f aca="false">IF(DC$53&lt;Total_Lanes,900*Peak_Time_Mor*($CN68/DC$53-1+SQRT(($CN68/DC$53-1)^2+8*($CN68/DC$53)/(Peak_Time_Mor*$O54*DC$53))),"-")</f>
        <v>-</v>
      </c>
      <c r="DD68" s="165" t="str">
        <f aca="false">IF(DD$53&lt;Total_Lanes,900*Peak_Time_Mor*($CN68/DD$53-1+SQRT(($CN68/DD$53-1)^2+8*($CN68/DD$53)/(Peak_Time_Mor*$O54*DD$53))),"-")</f>
        <v>-</v>
      </c>
      <c r="DE68" s="165" t="str">
        <f aca="false">IF(DE$53&lt;Total_Lanes,900*Peak_Time_Mor*($CN68/DE$53-1+SQRT(($CN68/DE$53-1)^2+8*($CN68/DE$53)/(Peak_Time_Mor*$O54*DE$53))),"-")</f>
        <v>-</v>
      </c>
      <c r="DF68" s="165" t="str">
        <f aca="false">IF(DF$53&lt;Total_Lanes,900*Peak_Time_Mor*($CN68/DF$53-1+SQRT(($CN68/DF$53-1)^2+8*($CN68/DF$53)/(Peak_Time_Mor*$O54*DF$53))),"-")</f>
        <v>-</v>
      </c>
      <c r="DG68" s="165" t="str">
        <f aca="false">IF(DG$53&lt;Total_Lanes,900*Peak_Time_Mor*($CN68/DG$53-1+SQRT(($CN68/DG$53-1)^2+8*($CN68/DG$53)/(Peak_Time_Mor*$O54*DG$53))),"-")</f>
        <v>-</v>
      </c>
      <c r="DH68" s="165" t="str">
        <f aca="false">IF(DH$53&lt;Total_Lanes,900*Peak_Time_Mor*($CN68/DH$53-1+SQRT(($CN68/DH$53-1)^2+8*($CN68/DH$53)/(Peak_Time_Mor*$O54*DH$53))),"-")</f>
        <v>-</v>
      </c>
      <c r="DI68" s="166" t="str">
        <f aca="false">IF(DI$53&lt;Total_Lanes,900*Peak_Time_Mor*($CN68/DI$53-1+SQRT(($CN68/DI$53-1)^2+8*($CN68/DI$53)/(Peak_Time_Mor*$O54*DI$53))),"-")</f>
        <v>-</v>
      </c>
      <c r="DJ68" s="234" t="n">
        <f aca="false">3600/$O54</f>
        <v>2.4</v>
      </c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customFormat="false" ht="12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50" t="n">
        <v>15</v>
      </c>
      <c r="W69" s="124" t="n">
        <f aca="false">W22</f>
        <v>27254043.25</v>
      </c>
      <c r="X69" s="131" t="n">
        <f aca="false">X22</f>
        <v>0.72219473716396</v>
      </c>
      <c r="Y69" s="124" t="n">
        <f aca="false">Y22</f>
        <v>11752.2676434422</v>
      </c>
      <c r="Z69" s="133" t="n">
        <f aca="false">W69/Y69</f>
        <v>2319.04548780488</v>
      </c>
      <c r="AA69" s="233" t="n">
        <f aca="false">AA22</f>
        <v>2</v>
      </c>
      <c r="AB69" s="157" t="n">
        <f aca="false">1-AB22</f>
        <v>0.3</v>
      </c>
      <c r="AC69" s="128" t="n">
        <f aca="false">Y69*AB69</f>
        <v>3525.68029303267</v>
      </c>
      <c r="AD69" s="150" t="n">
        <f aca="false">Peak_Time_Mor*$BH69*(CH69+BK69)/3600</f>
        <v>13.6908727502698</v>
      </c>
      <c r="AE69" s="136" t="n">
        <f aca="false">IF(AE$53&lt;Total_Lanes,($BI69*($CH69+BM69)+$CM69*CO69)*Peak_Time_Mor/3600,"-")</f>
        <v>3563.97673125498</v>
      </c>
      <c r="AF69" s="136" t="n">
        <f aca="false">IF(AF$53&lt;Total_Lanes,($BI69*($CH69+BN69)+$CM69*CP69)*Peak_Time_Mor/3600,"-")</f>
        <v>13.2478099013577</v>
      </c>
      <c r="AG69" s="136" t="n">
        <f aca="false">IF(AG$53&lt;Total_Lanes,($BI69*($CH69+BO69)+$CM69*CQ69)*Peak_Time_Mor/3600,"-")</f>
        <v>5.33472004255796</v>
      </c>
      <c r="AH69" s="136" t="n">
        <f aca="false">IF(AH$53&lt;Total_Lanes,($BI69*($CH69+BP69)+$CM69*CR69)*Peak_Time_Mor/3600,"-")</f>
        <v>4.5203371518097</v>
      </c>
      <c r="AI69" s="136" t="n">
        <f aca="false">IF(AI$53&lt;Total_Lanes,($BI69*($CH69+BQ69)+$CM69*CS69)*Peak_Time_Mor/3600,"-")</f>
        <v>4.29624298085101</v>
      </c>
      <c r="AJ69" s="136" t="n">
        <f aca="false">IF(AJ$53&lt;Total_Lanes,($BI69*($CH69+BR69)+$CM69*CT69)*Peak_Time_Mor/3600,"-")</f>
        <v>4.25863966927356</v>
      </c>
      <c r="AK69" s="136" t="n">
        <f aca="false">IF(AK$53&lt;Total_Lanes,($BI69*($CH69+BS69)+$CM69*CU69)*Peak_Time_Mor/3600,"-")</f>
        <v>4.35662052629876</v>
      </c>
      <c r="AL69" s="136" t="n">
        <f aca="false">IF(AL$53&lt;Total_Lanes,($BI69*($CH69+BT69)+$CM69*CV69)*Peak_Time_Mor/3600,"-")</f>
        <v>4.69275224166062</v>
      </c>
      <c r="AM69" s="136" t="n">
        <f aca="false">IF(AM$53&lt;Total_Lanes,($BI69*($CH69+BU69)+$CM69*CW69)*Peak_Time_Mor/3600,"-")</f>
        <v>5.91867147788635</v>
      </c>
      <c r="AN69" s="136" t="n">
        <f aca="false">IF(AN$53&lt;Total_Lanes,($BI69*($CH69+BV69)+$CM69*CX69)*Peak_Time_Mor/3600,"-")</f>
        <v>27.4955273440484</v>
      </c>
      <c r="AO69" s="136" t="n">
        <f aca="false">IF(AO$53&lt;Total_Lanes,($BI69*($CH69+BW69)+$CM69*CY69)*Peak_Time_Mor/3600,"-")</f>
        <v>1726.99070491483</v>
      </c>
      <c r="AP69" s="136" t="str">
        <f aca="false">IF(AP$53&lt;Total_Lanes,($BI69*($CH69+BX69)+$CM69*CZ69)*Peak_Time_Mor/3600,"-")</f>
        <v>-</v>
      </c>
      <c r="AQ69" s="136" t="str">
        <f aca="false">IF(AQ$53&lt;Total_Lanes,($BI69*($CH69+BY69)+$CM69*DA69)*Peak_Time_Mor/3600,"-")</f>
        <v>-</v>
      </c>
      <c r="AR69" s="136" t="str">
        <f aca="false">IF(AR$53&lt;Total_Lanes,($BI69*($CH69+BZ69)+$CM69*DB69)*Peak_Time_Mor/3600,"-")</f>
        <v>-</v>
      </c>
      <c r="AS69" s="136" t="str">
        <f aca="false">IF(AS$53&lt;Total_Lanes,($BI69*($CH69+CA69)+$CM69*DC69)*Peak_Time_Mor/3600,"-")</f>
        <v>-</v>
      </c>
      <c r="AT69" s="136" t="str">
        <f aca="false">IF(AT$53&lt;Total_Lanes,($BI69*($CH69+CB69)+$CM69*DD69)*Peak_Time_Mor/3600,"-")</f>
        <v>-</v>
      </c>
      <c r="AU69" s="136" t="str">
        <f aca="false">IF(AU$53&lt;Total_Lanes,($BI69*($CH69+CC69)+$CM69*DE69)*Peak_Time_Mor/3600,"-")</f>
        <v>-</v>
      </c>
      <c r="AV69" s="136" t="str">
        <f aca="false">IF(AV$53&lt;Total_Lanes,($BI69*($CH69+CD69)+$CM69*DF69)*Peak_Time_Mor/3600,"-")</f>
        <v>-</v>
      </c>
      <c r="AW69" s="136" t="str">
        <f aca="false">IF(AW$53&lt;Total_Lanes,($BI69*($CH69+CE69)+$CM69*DG69)*Peak_Time_Mor/3600,"-")</f>
        <v>-</v>
      </c>
      <c r="AX69" s="136" t="str">
        <f aca="false">IF(AX$53&lt;Total_Lanes,($BI69*($CH69+CF69)+$CM69*DH69)*Peak_Time_Mor/3600,"-")</f>
        <v>-</v>
      </c>
      <c r="AY69" s="137" t="str">
        <f aca="false">IF(AY$53&lt;Total_Lanes,($BI69*($CH69+CG69)+$CM69*DI69)*Peak_Time_Mor/3600,"-")</f>
        <v>-</v>
      </c>
      <c r="AZ69" s="158" t="n">
        <f aca="false">SUMIF(AE69:AY69,BA69,$AE$53:$AY$53)</f>
        <v>6</v>
      </c>
      <c r="BA69" s="159" t="n">
        <f aca="false">MIN(AE69:AY69)</f>
        <v>4.25863966927356</v>
      </c>
      <c r="BB69" s="158" t="n">
        <f aca="false">Price!X22</f>
        <v>6</v>
      </c>
      <c r="BC69" s="159" t="n">
        <f aca="false">SUMIF($AE$53:$AY$53,$BB69,$AE69:$AY69)</f>
        <v>4.25863966927356</v>
      </c>
      <c r="BF69" s="50" t="n">
        <v>15</v>
      </c>
      <c r="BG69" s="131" t="n">
        <f aca="false">$X69</f>
        <v>0.72219473716396</v>
      </c>
      <c r="BH69" s="57" t="n">
        <f aca="false">$AC69</f>
        <v>3525.68029303267</v>
      </c>
      <c r="BI69" s="135" t="n">
        <f aca="false">BH69*(1-BG69)</f>
        <v>979.452540481788</v>
      </c>
      <c r="BJ69" s="143" t="n">
        <f aca="false">Peak_Arrival_Manual_Mor/K55</f>
        <v>1.78886123712993</v>
      </c>
      <c r="BK69" s="228" t="n">
        <f aca="false">900*Peak_Time_Mor*($BJ69/Total_Lanes-1+SQRT(($BJ69/Total_Lanes-1)^2+8*($BJ69/Total_Lanes)/(Peak_Time_Mor*$K55*Total_Lanes)))</f>
        <v>0.0959850021172937</v>
      </c>
      <c r="BL69" s="143" t="n">
        <f aca="false">Peak_Arrival_Manual_Mor/N55</f>
        <v>1.87558359748509</v>
      </c>
      <c r="BM69" s="229" t="n">
        <f aca="false">IF(BM$6&lt;Total_Lanes,900*Peak_Time_Mor*($BL69/(Total_Lanes-BM$6)-1+SQRT(($BL69/(Total_Lanes-BM$6)-1)^2+8*($BL69/(Total_Lanes-BM$6))/(Peak_Time_Mor*$N55*(Total_Lanes-BM$6)))),"-")</f>
        <v>0.128817670107062</v>
      </c>
      <c r="BN69" s="165" t="n">
        <f aca="false">IF(BN$6&lt;Total_Lanes,900*Peak_Time_Mor*($BL69/(Total_Lanes-BN$6)-1+SQRT(($BL69/(Total_Lanes-BN$6)-1)^2+8*($BL69/(Total_Lanes-BN$6))/(Peak_Time_Mor*$N55*(Total_Lanes-BN$6)))),"-")</f>
        <v>0.159138826812488</v>
      </c>
      <c r="BO69" s="165" t="n">
        <f aca="false">IF(BO$6&lt;Total_Lanes,900*Peak_Time_Mor*($BL69/(Total_Lanes-BO$6)-1+SQRT(($BL69/(Total_Lanes-BO$6)-1)^2+8*($BL69/(Total_Lanes-BO$6))/(Peak_Time_Mor*$N55*(Total_Lanes-BO$6)))),"-")</f>
        <v>0.201636627008228</v>
      </c>
      <c r="BP69" s="165" t="n">
        <f aca="false">IF(BP$6&lt;Total_Lanes,900*Peak_Time_Mor*($BL69/(Total_Lanes-BP$6)-1+SQRT(($BL69/(Total_Lanes-BP$6)-1)^2+8*($BL69/(Total_Lanes-BP$6))/(Peak_Time_Mor*$N55*(Total_Lanes-BP$6)))),"-")</f>
        <v>0.26387343958918</v>
      </c>
      <c r="BQ69" s="165" t="n">
        <f aca="false">IF(BQ$6&lt;Total_Lanes,900*Peak_Time_Mor*($BL69/(Total_Lanes-BQ$6)-1+SQRT(($BL69/(Total_Lanes-BQ$6)-1)^2+8*($BL69/(Total_Lanes-BQ$6))/(Peak_Time_Mor*$N55*(Total_Lanes-BQ$6)))),"-")</f>
        <v>0.360404425850369</v>
      </c>
      <c r="BR69" s="165" t="n">
        <f aca="false">IF(BR$6&lt;Total_Lanes,900*Peak_Time_Mor*($BL69/(Total_Lanes-BR$6)-1+SQRT(($BL69/(Total_Lanes-BR$6)-1)^2+8*($BL69/(Total_Lanes-BR$6))/(Peak_Time_Mor*$N55*(Total_Lanes-BR$6)))),"-")</f>
        <v>0.522379990889177</v>
      </c>
      <c r="BS69" s="165" t="n">
        <f aca="false">IF(BS$6&lt;Total_Lanes,900*Peak_Time_Mor*($BL69/(Total_Lanes-BS$6)-1+SQRT(($BL69/(Total_Lanes-BS$6)-1)^2+8*($BL69/(Total_Lanes-BS$6))/(Peak_Time_Mor*$N55*(Total_Lanes-BS$6)))),"-")</f>
        <v>0.827357761765235</v>
      </c>
      <c r="BT69" s="165" t="n">
        <f aca="false">IF(BT$6&lt;Total_Lanes,900*Peak_Time_Mor*($BL69/(Total_Lanes-BT$6)-1+SQRT(($BL69/(Total_Lanes-BT$6)-1)^2+8*($BL69/(Total_Lanes-BT$6))/(Peak_Time_Mor*$N55*(Total_Lanes-BT$6)))),"-")</f>
        <v>1.52036237678355</v>
      </c>
      <c r="BU69" s="165" t="n">
        <f aca="false">IF(BU$6&lt;Total_Lanes,900*Peak_Time_Mor*($BL69/(Total_Lanes-BU$6)-1+SQRT(($BL69/(Total_Lanes-BU$6)-1)^2+8*($BL69/(Total_Lanes-BU$6))/(Peak_Time_Mor*$N55*(Total_Lanes-BU$6)))),"-")</f>
        <v>3.82221422961661</v>
      </c>
      <c r="BV69" s="165" t="n">
        <f aca="false">IF(BV$6&lt;Total_Lanes,900*Peak_Time_Mor*($BL69/(Total_Lanes-BV$6)-1+SQRT(($BL69/(Total_Lanes-BV$6)-1)^2+8*($BL69/(Total_Lanes-BV$6))/(Peak_Time_Mor*$N55*(Total_Lanes-BV$6)))),"-")</f>
        <v>43.5089068680875</v>
      </c>
      <c r="BW69" s="230" t="n">
        <f aca="false">IF(BW$6&lt;Total_Lanes,900*Peak_Time_Mor*($BL69/(Total_Lanes-BW$6)-1+SQRT(($BL69/(Total_Lanes-BW$6)-1)^2+8*($BL69/(Total_Lanes-BW$6))/(Peak_Time_Mor*$N55*(Total_Lanes-BW$6)))),"-")</f>
        <v>3166.79948055529</v>
      </c>
      <c r="BX69" s="165" t="str">
        <f aca="false">IF(BX$6&lt;Total_Lanes,900*Peak_Time_Mor*($BL69/(Total_Lanes-BX$6)-1+SQRT(($BL69/(Total_Lanes-BX$6)-1)^2+8*($BL69/(Total_Lanes-BX$6))/(Peak_Time_Mor*$N55*(Total_Lanes-BX$6)))),"-")</f>
        <v>-</v>
      </c>
      <c r="BY69" s="165" t="str">
        <f aca="false">IF(BY$6&lt;Total_Lanes,900*Peak_Time_Mor*($BL69/(Total_Lanes-BY$6)-1+SQRT(($BL69/(Total_Lanes-BY$6)-1)^2+8*($BL69/(Total_Lanes-BY$6))/(Peak_Time_Mor*$N55*(Total_Lanes-BY$6)))),"-")</f>
        <v>-</v>
      </c>
      <c r="BZ69" s="165" t="str">
        <f aca="false">IF(BZ$6&lt;Total_Lanes,900*Peak_Time_Mor*($BL69/(Total_Lanes-BZ$6)-1+SQRT(($BL69/(Total_Lanes-BZ$6)-1)^2+8*($BL69/(Total_Lanes-BZ$6))/(Peak_Time_Mor*$N55*(Total_Lanes-BZ$6)))),"-")</f>
        <v>-</v>
      </c>
      <c r="CA69" s="165" t="str">
        <f aca="false">IF(CA$6&lt;Total_Lanes,900*Peak_Time_Mor*($BL69/(Total_Lanes-CA$6)-1+SQRT(($BL69/(Total_Lanes-CA$6)-1)^2+8*($BL69/(Total_Lanes-CA$6))/(Peak_Time_Mor*$N55*(Total_Lanes-CA$6)))),"-")</f>
        <v>-</v>
      </c>
      <c r="CB69" s="165" t="str">
        <f aca="false">IF(CB$6&lt;Total_Lanes,900*Peak_Time_Mor*($BL69/(Total_Lanes-CB$6)-1+SQRT(($BL69/(Total_Lanes-CB$6)-1)^2+8*($BL69/(Total_Lanes-CB$6))/(Peak_Time_Mor*$N55*(Total_Lanes-CB$6)))),"-")</f>
        <v>-</v>
      </c>
      <c r="CC69" s="165" t="str">
        <f aca="false">IF(CC$6&lt;Total_Lanes,900*Peak_Time_Mor*($BL69/(Total_Lanes-CC$6)-1+SQRT(($BL69/(Total_Lanes-CC$6)-1)^2+8*($BL69/(Total_Lanes-CC$6))/(Peak_Time_Mor*$N55*(Total_Lanes-CC$6)))),"-")</f>
        <v>-</v>
      </c>
      <c r="CD69" s="165" t="str">
        <f aca="false">IF(CD$6&lt;Total_Lanes,900*Peak_Time_Mor*($BL69/(Total_Lanes-CD$6)-1+SQRT(($BL69/(Total_Lanes-CD$6)-1)^2+8*($BL69/(Total_Lanes-CD$6))/(Peak_Time_Mor*$N55*(Total_Lanes-CD$6)))),"-")</f>
        <v>-</v>
      </c>
      <c r="CE69" s="165" t="str">
        <f aca="false">IF(CE$6&lt;Total_Lanes,900*Peak_Time_Mor*($BL69/(Total_Lanes-CE$6)-1+SQRT(($BL69/(Total_Lanes-CE$6)-1)^2+8*($BL69/(Total_Lanes-CE$6))/(Peak_Time_Mor*$N55*(Total_Lanes-CE$6)))),"-")</f>
        <v>-</v>
      </c>
      <c r="CF69" s="165" t="str">
        <f aca="false">IF(CF$6&lt;Total_Lanes,900*Peak_Time_Mor*($BL69/(Total_Lanes-CF$6)-1+SQRT(($BL69/(Total_Lanes-CF$6)-1)^2+8*($BL69/(Total_Lanes-CF$6))/(Peak_Time_Mor*$N55*(Total_Lanes-CF$6)))),"-")</f>
        <v>-</v>
      </c>
      <c r="CG69" s="166" t="str">
        <f aca="false">IF(CG$6&lt;Total_Lanes,900*Peak_Time_Mor*($BL69/(Total_Lanes-CG$6)-1+SQRT(($BL69/(Total_Lanes-CG$6)-1)^2+8*($BL69/(Total_Lanes-CG$6))/(Peak_Time_Mor*$N55*(Total_Lanes-CG$6)))),"-")</f>
        <v>-</v>
      </c>
      <c r="CH69" s="234" t="n">
        <f aca="false">3600/N55</f>
        <v>6.89375</v>
      </c>
      <c r="CJ69" s="50" t="n">
        <v>15</v>
      </c>
      <c r="CK69" s="131" t="n">
        <f aca="false">$X69</f>
        <v>0.72219473716396</v>
      </c>
      <c r="CL69" s="150" t="n">
        <f aca="false">$AC69</f>
        <v>3525.68029303267</v>
      </c>
      <c r="CM69" s="150" t="n">
        <f aca="false">CL69*CK69</f>
        <v>2546.22775255089</v>
      </c>
      <c r="CN69" s="161" t="n">
        <f aca="false">CM69/O55</f>
        <v>1.69748516836726</v>
      </c>
      <c r="CO69" s="165" t="n">
        <f aca="false">IF(CO$53&lt;Total_Lanes,900*Peak_Time_Mor*($CN69/CO$53-1+SQRT(($CN69/CO$53-1)^2+8*($CN69/CO$53)/(Peak_Time_Mor*$O55*CO$53))),"-")</f>
        <v>2516.77401524422</v>
      </c>
      <c r="CP69" s="165" t="n">
        <f aca="false">IF(CP$53&lt;Total_Lanes,900*Peak_Time_Mor*($CN69/CP$53-1+SQRT(($CN69/CP$53-1)^2+8*($CN69/CP$53)/(Peak_Time_Mor*$O55*CP$53))),"-")</f>
        <v>6.65222815449941</v>
      </c>
      <c r="CQ69" s="165" t="n">
        <f aca="false">IF(CQ$53&lt;Total_Lanes,900*Peak_Time_Mor*($CN69/CQ$53-1+SQRT(($CN69/CQ$53-1)^2+8*($CN69/CQ$53)/(Peak_Time_Mor*$O55*CQ$53))),"-")</f>
        <v>1.04189486444127</v>
      </c>
      <c r="CR69" s="165" t="n">
        <f aca="false">IF(CR$53&lt;Total_Lanes,900*Peak_Time_Mor*($CN69/CR$53-1+SQRT(($CN69/CR$53-1)^2+8*($CN69/CR$53)/(Peak_Time_Mor*$O55*CR$53))),"-")</f>
        <v>0.442244182756912</v>
      </c>
      <c r="CS69" s="165" t="n">
        <f aca="false">IF(CS$53&lt;Total_Lanes,900*Peak_Time_Mor*($CN69/CS$53-1+SQRT(($CN69/CS$53-1)^2+8*($CN69/CS$53)/(Peak_Time_Mor*$O55*CS$53))),"-")</f>
        <v>0.246693322487035</v>
      </c>
      <c r="CT69" s="165" t="n">
        <f aca="false">IF(CT$53&lt;Total_Lanes,900*Peak_Time_Mor*($CN69/CT$53-1+SQRT(($CN69/CT$53-1)^2+8*($CN69/CT$53)/(Peak_Time_Mor*$O55*CT$53))),"-")</f>
        <v>0.157803654512168</v>
      </c>
      <c r="CU69" s="165" t="n">
        <f aca="false">IF(CU$53&lt;Total_Lanes,900*Peak_Time_Mor*($CN69/CU$53-1+SQRT(($CN69/CU$53-1)^2+8*($CN69/CU$53)/(Peak_Time_Mor*$O55*CU$53))),"-")</f>
        <v>0.109753864108653</v>
      </c>
      <c r="CV69" s="165" t="n">
        <f aca="false">IF(CV$53&lt;Total_Lanes,900*Peak_Time_Mor*($CN69/CV$53-1+SQRT(($CN69/CV$53-1)^2+8*($CN69/CV$53)/(Peak_Time_Mor*$O55*CV$53))),"-")</f>
        <v>0.0807980713599221</v>
      </c>
      <c r="CW69" s="165" t="n">
        <f aca="false">IF(CW$53&lt;Total_Lanes,900*Peak_Time_Mor*($CN69/CW$53-1+SQRT(($CN69/CW$53-1)^2+8*($CN69/CW$53)/(Peak_Time_Mor*$O55*CW$53))),"-")</f>
        <v>0.0619859207910078</v>
      </c>
      <c r="CX69" s="165" t="n">
        <f aca="false">IF(CX$53&lt;Total_Lanes,900*Peak_Time_Mor*($CN69/CX$53-1+SQRT(($CN69/CX$53-1)^2+8*($CN69/CX$53)/(Peak_Time_Mor*$O55*CX$53))),"-")</f>
        <v>0.0490682354246319</v>
      </c>
      <c r="CY69" s="165" t="n">
        <f aca="false">IF(CY$53&lt;Total_Lanes,900*Peak_Time_Mor*($CN69/CY$53-1+SQRT(($CN69/CY$53-1)^2+8*($CN69/CY$53)/(Peak_Time_Mor*$O55*CY$53))),"-")</f>
        <v>0.0398124124425747</v>
      </c>
      <c r="CZ69" s="165" t="str">
        <f aca="false">IF(CZ$53&lt;Total_Lanes,900*Peak_Time_Mor*($CN69/CZ$53-1+SQRT(($CN69/CZ$53-1)^2+8*($CN69/CZ$53)/(Peak_Time_Mor*$O55*CZ$53))),"-")</f>
        <v>-</v>
      </c>
      <c r="DA69" s="165" t="str">
        <f aca="false">IF(DA$53&lt;Total_Lanes,900*Peak_Time_Mor*($CN69/DA$53-1+SQRT(($CN69/DA$53-1)^2+8*($CN69/DA$53)/(Peak_Time_Mor*$O55*DA$53))),"-")</f>
        <v>-</v>
      </c>
      <c r="DB69" s="165" t="str">
        <f aca="false">IF(DB$53&lt;Total_Lanes,900*Peak_Time_Mor*($CN69/DB$53-1+SQRT(($CN69/DB$53-1)^2+8*($CN69/DB$53)/(Peak_Time_Mor*$O55*DB$53))),"-")</f>
        <v>-</v>
      </c>
      <c r="DC69" s="165" t="str">
        <f aca="false">IF(DC$53&lt;Total_Lanes,900*Peak_Time_Mor*($CN69/DC$53-1+SQRT(($CN69/DC$53-1)^2+8*($CN69/DC$53)/(Peak_Time_Mor*$O55*DC$53))),"-")</f>
        <v>-</v>
      </c>
      <c r="DD69" s="165" t="str">
        <f aca="false">IF(DD$53&lt;Total_Lanes,900*Peak_Time_Mor*($CN69/DD$53-1+SQRT(($CN69/DD$53-1)^2+8*($CN69/DD$53)/(Peak_Time_Mor*$O55*DD$53))),"-")</f>
        <v>-</v>
      </c>
      <c r="DE69" s="165" t="str">
        <f aca="false">IF(DE$53&lt;Total_Lanes,900*Peak_Time_Mor*($CN69/DE$53-1+SQRT(($CN69/DE$53-1)^2+8*($CN69/DE$53)/(Peak_Time_Mor*$O55*DE$53))),"-")</f>
        <v>-</v>
      </c>
      <c r="DF69" s="165" t="str">
        <f aca="false">IF(DF$53&lt;Total_Lanes,900*Peak_Time_Mor*($CN69/DF$53-1+SQRT(($CN69/DF$53-1)^2+8*($CN69/DF$53)/(Peak_Time_Mor*$O55*DF$53))),"-")</f>
        <v>-</v>
      </c>
      <c r="DG69" s="165" t="str">
        <f aca="false">IF(DG$53&lt;Total_Lanes,900*Peak_Time_Mor*($CN69/DG$53-1+SQRT(($CN69/DG$53-1)^2+8*($CN69/DG$53)/(Peak_Time_Mor*$O55*DG$53))),"-")</f>
        <v>-</v>
      </c>
      <c r="DH69" s="165" t="str">
        <f aca="false">IF(DH$53&lt;Total_Lanes,900*Peak_Time_Mor*($CN69/DH$53-1+SQRT(($CN69/DH$53-1)^2+8*($CN69/DH$53)/(Peak_Time_Mor*$O55*DH$53))),"-")</f>
        <v>-</v>
      </c>
      <c r="DI69" s="166" t="str">
        <f aca="false">IF(DI$53&lt;Total_Lanes,900*Peak_Time_Mor*($CN69/DI$53-1+SQRT(($CN69/DI$53-1)^2+8*($CN69/DI$53)/(Peak_Time_Mor*$O55*DI$53))),"-")</f>
        <v>-</v>
      </c>
      <c r="DJ69" s="234" t="n">
        <f aca="false">3600/$O55</f>
        <v>2.4</v>
      </c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customFormat="false" ht="12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50" t="n">
        <v>16</v>
      </c>
      <c r="W70" s="124" t="n">
        <f aca="false">W23</f>
        <v>27803234.6</v>
      </c>
      <c r="X70" s="131" t="n">
        <f aca="false">X23</f>
        <v>0.753205951403196</v>
      </c>
      <c r="Y70" s="124" t="n">
        <f aca="false">Y23</f>
        <v>11989.0854863384</v>
      </c>
      <c r="Z70" s="133" t="n">
        <f aca="false">W70/Y70</f>
        <v>2319.04548780488</v>
      </c>
      <c r="AA70" s="233" t="n">
        <f aca="false">AA23</f>
        <v>2</v>
      </c>
      <c r="AB70" s="157" t="n">
        <f aca="false">1-AB23</f>
        <v>0.3</v>
      </c>
      <c r="AC70" s="128" t="n">
        <f aca="false">Y70*AB70</f>
        <v>3596.72564590152</v>
      </c>
      <c r="AD70" s="150" t="n">
        <f aca="false">Peak_Time_Mor*$BH70*(CH70+BK70)/3600</f>
        <v>13.9884325078358</v>
      </c>
      <c r="AE70" s="136" t="n">
        <f aca="false">IF(AE$53&lt;Total_Lanes,($BI70*($CH70+BM70)+$CM70*CO70)*Peak_Time_Mor/3600,"-")</f>
        <v>4378.84596780422</v>
      </c>
      <c r="AF70" s="136" t="n">
        <f aca="false">IF(AF$53&lt;Total_Lanes,($BI70*($CH70+BN70)+$CM70*CP70)*Peak_Time_Mor/3600,"-")</f>
        <v>19.791603060111</v>
      </c>
      <c r="AG70" s="136" t="n">
        <f aca="false">IF(AG$53&lt;Total_Lanes,($BI70*($CH70+BO70)+$CM70*CQ70)*Peak_Time_Mor/3600,"-")</f>
        <v>5.31837709925234</v>
      </c>
      <c r="AH70" s="136" t="n">
        <f aca="false">IF(AH$53&lt;Total_Lanes,($BI70*($CH70+BP70)+$CM70*CR70)*Peak_Time_Mor/3600,"-")</f>
        <v>4.26868238436803</v>
      </c>
      <c r="AI70" s="136" t="n">
        <f aca="false">IF(AI$53&lt;Total_Lanes,($BI70*($CH70+BQ70)+$CM70*CS70)*Peak_Time_Mor/3600,"-")</f>
        <v>3.97535724778281</v>
      </c>
      <c r="AJ70" s="136" t="n">
        <f aca="false">IF(AJ$53&lt;Total_Lanes,($BI70*($CH70+BR70)+$CM70*CT70)*Peak_Time_Mor/3600,"-")</f>
        <v>3.89486949929617</v>
      </c>
      <c r="AK70" s="136" t="n">
        <f aca="false">IF(AK$53&lt;Total_Lanes,($BI70*($CH70+BS70)+$CM70*CU70)*Peak_Time_Mor/3600,"-")</f>
        <v>3.94228863617223</v>
      </c>
      <c r="AL70" s="136" t="n">
        <f aca="false">IF(AL$53&lt;Total_Lanes,($BI70*($CH70+BT70)+$CM70*CV70)*Peak_Time_Mor/3600,"-")</f>
        <v>4.17468109840711</v>
      </c>
      <c r="AM70" s="136" t="n">
        <f aca="false">IF(AM$53&lt;Total_Lanes,($BI70*($CH70+BU70)+$CM70*CW70)*Peak_Time_Mor/3600,"-")</f>
        <v>5.00452276564121</v>
      </c>
      <c r="AN70" s="136" t="n">
        <f aca="false">IF(AN$53&lt;Total_Lanes,($BI70*($CH70+BV70)+$CM70*CX70)*Peak_Time_Mor/3600,"-")</f>
        <v>12.9998542182403</v>
      </c>
      <c r="AO70" s="136" t="n">
        <f aca="false">IF(AO$53&lt;Total_Lanes,($BI70*($CH70+BW70)+$CM70*CY70)*Peak_Time_Mor/3600,"-")</f>
        <v>1263.30577342898</v>
      </c>
      <c r="AP70" s="136" t="str">
        <f aca="false">IF(AP$53&lt;Total_Lanes,($BI70*($CH70+BX70)+$CM70*CZ70)*Peak_Time_Mor/3600,"-")</f>
        <v>-</v>
      </c>
      <c r="AQ70" s="136" t="str">
        <f aca="false">IF(AQ$53&lt;Total_Lanes,($BI70*($CH70+BY70)+$CM70*DA70)*Peak_Time_Mor/3600,"-")</f>
        <v>-</v>
      </c>
      <c r="AR70" s="136" t="str">
        <f aca="false">IF(AR$53&lt;Total_Lanes,($BI70*($CH70+BZ70)+$CM70*DB70)*Peak_Time_Mor/3600,"-")</f>
        <v>-</v>
      </c>
      <c r="AS70" s="136" t="str">
        <f aca="false">IF(AS$53&lt;Total_Lanes,($BI70*($CH70+CA70)+$CM70*DC70)*Peak_Time_Mor/3600,"-")</f>
        <v>-</v>
      </c>
      <c r="AT70" s="136" t="str">
        <f aca="false">IF(AT$53&lt;Total_Lanes,($BI70*($CH70+CB70)+$CM70*DD70)*Peak_Time_Mor/3600,"-")</f>
        <v>-</v>
      </c>
      <c r="AU70" s="136" t="str">
        <f aca="false">IF(AU$53&lt;Total_Lanes,($BI70*($CH70+CC70)+$CM70*DE70)*Peak_Time_Mor/3600,"-")</f>
        <v>-</v>
      </c>
      <c r="AV70" s="136" t="str">
        <f aca="false">IF(AV$53&lt;Total_Lanes,($BI70*($CH70+CD70)+$CM70*DF70)*Peak_Time_Mor/3600,"-")</f>
        <v>-</v>
      </c>
      <c r="AW70" s="136" t="str">
        <f aca="false">IF(AW$53&lt;Total_Lanes,($BI70*($CH70+CE70)+$CM70*DG70)*Peak_Time_Mor/3600,"-")</f>
        <v>-</v>
      </c>
      <c r="AX70" s="136" t="str">
        <f aca="false">IF(AX$53&lt;Total_Lanes,($BI70*($CH70+CF70)+$CM70*DH70)*Peak_Time_Mor/3600,"-")</f>
        <v>-</v>
      </c>
      <c r="AY70" s="137" t="str">
        <f aca="false">IF(AY$53&lt;Total_Lanes,($BI70*($CH70+CG70)+$CM70*DI70)*Peak_Time_Mor/3600,"-")</f>
        <v>-</v>
      </c>
      <c r="AZ70" s="158" t="n">
        <f aca="false">SUMIF(AE70:AY70,BA70,$AE$53:$AY$53)</f>
        <v>6</v>
      </c>
      <c r="BA70" s="159" t="n">
        <f aca="false">MIN(AE70:AY70)</f>
        <v>3.89486949929617</v>
      </c>
      <c r="BB70" s="158" t="n">
        <f aca="false">Price!X23</f>
        <v>6</v>
      </c>
      <c r="BC70" s="159" t="n">
        <f aca="false">SUMIF($AE$53:$AY$53,$BB70,$AE70:$AY70)</f>
        <v>3.89486949929617</v>
      </c>
      <c r="BF70" s="50" t="n">
        <v>16</v>
      </c>
      <c r="BG70" s="131" t="n">
        <f aca="false">$X70</f>
        <v>0.753205951403196</v>
      </c>
      <c r="BH70" s="57" t="n">
        <f aca="false">$AC70</f>
        <v>3596.72564590152</v>
      </c>
      <c r="BI70" s="135" t="n">
        <f aca="false">BH70*(1-BG70)</f>
        <v>887.65048384399</v>
      </c>
      <c r="BJ70" s="143" t="n">
        <f aca="false">Peak_Arrival_Manual_Mor/K56</f>
        <v>1.62119498090951</v>
      </c>
      <c r="BK70" s="228" t="n">
        <f aca="false">900*Peak_Time_Mor*($BJ70/Total_Lanes-1+SQRT(($BJ70/Total_Lanes-1)^2+8*($BJ70/Total_Lanes)/(Peak_Time_Mor*$K56*Total_Lanes)))</f>
        <v>0.0855835843488029</v>
      </c>
      <c r="BL70" s="143" t="n">
        <f aca="false">Peak_Arrival_Manual_Mor/N56</f>
        <v>1.705028637717</v>
      </c>
      <c r="BM70" s="229" t="n">
        <f aca="false">IF(BM$6&lt;Total_Lanes,900*Peak_Time_Mor*($BL70/(Total_Lanes-BM$6)-1+SQRT(($BL70/(Total_Lanes-BM$6)-1)^2+8*($BL70/(Total_Lanes-BM$6))/(Peak_Time_Mor*$N56*(Total_Lanes-BM$6)))),"-")</f>
        <v>0.115309916848338</v>
      </c>
      <c r="BN70" s="165" t="n">
        <f aca="false">IF(BN$6&lt;Total_Lanes,900*Peak_Time_Mor*($BL70/(Total_Lanes-BN$6)-1+SQRT(($BL70/(Total_Lanes-BN$6)-1)^2+8*($BL70/(Total_Lanes-BN$6))/(Peak_Time_Mor*$N56*(Total_Lanes-BN$6)))),"-")</f>
        <v>0.142130832900844</v>
      </c>
      <c r="BO70" s="165" t="n">
        <f aca="false">IF(BO$6&lt;Total_Lanes,900*Peak_Time_Mor*($BL70/(Total_Lanes-BO$6)-1+SQRT(($BL70/(Total_Lanes-BO$6)-1)^2+8*($BL70/(Total_Lanes-BO$6))/(Peak_Time_Mor*$N56*(Total_Lanes-BO$6)))),"-")</f>
        <v>0.179568864516266</v>
      </c>
      <c r="BP70" s="165" t="n">
        <f aca="false">IF(BP$6&lt;Total_Lanes,900*Peak_Time_Mor*($BL70/(Total_Lanes-BP$6)-1+SQRT(($BL70/(Total_Lanes-BP$6)-1)^2+8*($BL70/(Total_Lanes-BP$6))/(Peak_Time_Mor*$N56*(Total_Lanes-BP$6)))),"-")</f>
        <v>0.234101516641627</v>
      </c>
      <c r="BQ70" s="165" t="n">
        <f aca="false">IF(BQ$6&lt;Total_Lanes,900*Peak_Time_Mor*($BL70/(Total_Lanes-BQ$6)-1+SQRT(($BL70/(Total_Lanes-BQ$6)-1)^2+8*($BL70/(Total_Lanes-BQ$6))/(Peak_Time_Mor*$N56*(Total_Lanes-BQ$6)))),"-")</f>
        <v>0.318061779169065</v>
      </c>
      <c r="BR70" s="165" t="n">
        <f aca="false">IF(BR$6&lt;Total_Lanes,900*Peak_Time_Mor*($BL70/(Total_Lanes-BR$6)-1+SQRT(($BL70/(Total_Lanes-BR$6)-1)^2+8*($BL70/(Total_Lanes-BR$6))/(Peak_Time_Mor*$N56*(Total_Lanes-BR$6)))),"-")</f>
        <v>0.457441176016316</v>
      </c>
      <c r="BS70" s="165" t="n">
        <f aca="false">IF(BS$6&lt;Total_Lanes,900*Peak_Time_Mor*($BL70/(Total_Lanes-BS$6)-1+SQRT(($BL70/(Total_Lanes-BS$6)-1)^2+8*($BL70/(Total_Lanes-BS$6))/(Peak_Time_Mor*$N56*(Total_Lanes-BS$6)))),"-")</f>
        <v>0.715436780563405</v>
      </c>
      <c r="BT70" s="165" t="n">
        <f aca="false">IF(BT$6&lt;Total_Lanes,900*Peak_Time_Mor*($BL70/(Total_Lanes-BT$6)-1+SQRT(($BL70/(Total_Lanes-BT$6)-1)^2+8*($BL70/(Total_Lanes-BT$6))/(Peak_Time_Mor*$N56*(Total_Lanes-BT$6)))),"-")</f>
        <v>1.28356184127831</v>
      </c>
      <c r="BU70" s="165" t="n">
        <f aca="false">IF(BU$6&lt;Total_Lanes,900*Peak_Time_Mor*($BL70/(Total_Lanes-BU$6)-1+SQRT(($BL70/(Total_Lanes-BU$6)-1)^2+8*($BL70/(Total_Lanes-BU$6))/(Peak_Time_Mor*$N56*(Total_Lanes-BU$6)))),"-")</f>
        <v>3.02898234853577</v>
      </c>
      <c r="BV70" s="165" t="n">
        <f aca="false">IF(BV$6&lt;Total_Lanes,900*Peak_Time_Mor*($BL70/(Total_Lanes-BV$6)-1+SQRT(($BL70/(Total_Lanes-BV$6)-1)^2+8*($BL70/(Total_Lanes-BV$6))/(Peak_Time_Mor*$N56*(Total_Lanes-BV$6)))),"-")</f>
        <v>19.2849887675312</v>
      </c>
      <c r="BW70" s="230" t="n">
        <f aca="false">IF(BW$6&lt;Total_Lanes,900*Peak_Time_Mor*($BL70/(Total_Lanes-BW$6)-1+SQRT(($BL70/(Total_Lanes-BW$6)-1)^2+8*($BL70/(Total_Lanes-BW$6))/(Peak_Time_Mor*$N56*(Total_Lanes-BW$6)))),"-")</f>
        <v>2554.7174508805</v>
      </c>
      <c r="BX70" s="165" t="str">
        <f aca="false">IF(BX$6&lt;Total_Lanes,900*Peak_Time_Mor*($BL70/(Total_Lanes-BX$6)-1+SQRT(($BL70/(Total_Lanes-BX$6)-1)^2+8*($BL70/(Total_Lanes-BX$6))/(Peak_Time_Mor*$N56*(Total_Lanes-BX$6)))),"-")</f>
        <v>-</v>
      </c>
      <c r="BY70" s="165" t="str">
        <f aca="false">IF(BY$6&lt;Total_Lanes,900*Peak_Time_Mor*($BL70/(Total_Lanes-BY$6)-1+SQRT(($BL70/(Total_Lanes-BY$6)-1)^2+8*($BL70/(Total_Lanes-BY$6))/(Peak_Time_Mor*$N56*(Total_Lanes-BY$6)))),"-")</f>
        <v>-</v>
      </c>
      <c r="BZ70" s="165" t="str">
        <f aca="false">IF(BZ$6&lt;Total_Lanes,900*Peak_Time_Mor*($BL70/(Total_Lanes-BZ$6)-1+SQRT(($BL70/(Total_Lanes-BZ$6)-1)^2+8*($BL70/(Total_Lanes-BZ$6))/(Peak_Time_Mor*$N56*(Total_Lanes-BZ$6)))),"-")</f>
        <v>-</v>
      </c>
      <c r="CA70" s="165" t="str">
        <f aca="false">IF(CA$6&lt;Total_Lanes,900*Peak_Time_Mor*($BL70/(Total_Lanes-CA$6)-1+SQRT(($BL70/(Total_Lanes-CA$6)-1)^2+8*($BL70/(Total_Lanes-CA$6))/(Peak_Time_Mor*$N56*(Total_Lanes-CA$6)))),"-")</f>
        <v>-</v>
      </c>
      <c r="CB70" s="165" t="str">
        <f aca="false">IF(CB$6&lt;Total_Lanes,900*Peak_Time_Mor*($BL70/(Total_Lanes-CB$6)-1+SQRT(($BL70/(Total_Lanes-CB$6)-1)^2+8*($BL70/(Total_Lanes-CB$6))/(Peak_Time_Mor*$N56*(Total_Lanes-CB$6)))),"-")</f>
        <v>-</v>
      </c>
      <c r="CC70" s="165" t="str">
        <f aca="false">IF(CC$6&lt;Total_Lanes,900*Peak_Time_Mor*($BL70/(Total_Lanes-CC$6)-1+SQRT(($BL70/(Total_Lanes-CC$6)-1)^2+8*($BL70/(Total_Lanes-CC$6))/(Peak_Time_Mor*$N56*(Total_Lanes-CC$6)))),"-")</f>
        <v>-</v>
      </c>
      <c r="CD70" s="165" t="str">
        <f aca="false">IF(CD$6&lt;Total_Lanes,900*Peak_Time_Mor*($BL70/(Total_Lanes-CD$6)-1+SQRT(($BL70/(Total_Lanes-CD$6)-1)^2+8*($BL70/(Total_Lanes-CD$6))/(Peak_Time_Mor*$N56*(Total_Lanes-CD$6)))),"-")</f>
        <v>-</v>
      </c>
      <c r="CE70" s="165" t="str">
        <f aca="false">IF(CE$6&lt;Total_Lanes,900*Peak_Time_Mor*($BL70/(Total_Lanes-CE$6)-1+SQRT(($BL70/(Total_Lanes-CE$6)-1)^2+8*($BL70/(Total_Lanes-CE$6))/(Peak_Time_Mor*$N56*(Total_Lanes-CE$6)))),"-")</f>
        <v>-</v>
      </c>
      <c r="CF70" s="165" t="str">
        <f aca="false">IF(CF$6&lt;Total_Lanes,900*Peak_Time_Mor*($BL70/(Total_Lanes-CF$6)-1+SQRT(($BL70/(Total_Lanes-CF$6)-1)^2+8*($BL70/(Total_Lanes-CF$6))/(Peak_Time_Mor*$N56*(Total_Lanes-CF$6)))),"-")</f>
        <v>-</v>
      </c>
      <c r="CG70" s="166" t="str">
        <f aca="false">IF(CG$6&lt;Total_Lanes,900*Peak_Time_Mor*($BL70/(Total_Lanes-CG$6)-1+SQRT(($BL70/(Total_Lanes-CG$6)-1)^2+8*($BL70/(Total_Lanes-CG$6))/(Peak_Time_Mor*$N56*(Total_Lanes-CG$6)))),"-")</f>
        <v>-</v>
      </c>
      <c r="CH70" s="234" t="n">
        <f aca="false">3600/N56</f>
        <v>6.915</v>
      </c>
      <c r="CJ70" s="50" t="n">
        <v>16</v>
      </c>
      <c r="CK70" s="131" t="n">
        <f aca="false">$X70</f>
        <v>0.753205951403196</v>
      </c>
      <c r="CL70" s="150" t="n">
        <f aca="false">$AC70</f>
        <v>3596.72564590152</v>
      </c>
      <c r="CM70" s="150" t="n">
        <f aca="false">CL70*CK70</f>
        <v>2709.07516205753</v>
      </c>
      <c r="CN70" s="161" t="n">
        <f aca="false">CM70/O56</f>
        <v>1.80605010803835</v>
      </c>
      <c r="CO70" s="165" t="n">
        <f aca="false">IF(CO$53&lt;Total_Lanes,900*Peak_Time_Mor*($CN70/CO$53-1+SQRT(($CN70/CO$53-1)^2+8*($CN70/CO$53)/(Peak_Time_Mor*$O56*CO$53))),"-")</f>
        <v>2907.14794271961</v>
      </c>
      <c r="CP70" s="165" t="n">
        <f aca="false">IF(CP$53&lt;Total_Lanes,900*Peak_Time_Mor*($CN70/CP$53-1+SQRT(($CN70/CP$53-1)^2+8*($CN70/CP$53)/(Peak_Time_Mor*$O56*CP$53))),"-")</f>
        <v>10.8378757153145</v>
      </c>
      <c r="CQ70" s="165" t="n">
        <f aca="false">IF(CQ$53&lt;Total_Lanes,900*Peak_Time_Mor*($CN70/CQ$53-1+SQRT(($CN70/CQ$53-1)^2+8*($CN70/CQ$53)/(Peak_Time_Mor*$O56*CQ$53))),"-")</f>
        <v>1.20911421701347</v>
      </c>
      <c r="CR70" s="165" t="n">
        <f aca="false">IF(CR$53&lt;Total_Lanes,900*Peak_Time_Mor*($CN70/CR$53-1+SQRT(($CN70/CR$53-1)^2+8*($CN70/CR$53)/(Peak_Time_Mor*$O56*CR$53))),"-")</f>
        <v>0.49379393023179</v>
      </c>
      <c r="CS70" s="165" t="n">
        <f aca="false">IF(CS$53&lt;Total_Lanes,900*Peak_Time_Mor*($CN70/CS$53-1+SQRT(($CN70/CS$53-1)^2+8*($CN70/CS$53)/(Peak_Time_Mor*$O56*CS$53))),"-")</f>
        <v>0.27138865261227</v>
      </c>
      <c r="CT70" s="165" t="n">
        <f aca="false">IF(CT$53&lt;Total_Lanes,900*Peak_Time_Mor*($CN70/CT$53-1+SQRT(($CN70/CT$53-1)^2+8*($CN70/CT$53)/(Peak_Time_Mor*$O56*CT$53))),"-")</f>
        <v>0.172241113227911</v>
      </c>
      <c r="CU70" s="165" t="n">
        <f aca="false">IF(CU$53&lt;Total_Lanes,900*Peak_Time_Mor*($CN70/CU$53-1+SQRT(($CN70/CU$53-1)^2+8*($CN70/CU$53)/(Peak_Time_Mor*$O56*CU$53))),"-")</f>
        <v>0.119213615563418</v>
      </c>
      <c r="CV70" s="165" t="n">
        <f aca="false">IF(CV$53&lt;Total_Lanes,900*Peak_Time_Mor*($CN70/CV$53-1+SQRT(($CN70/CV$53-1)^2+8*($CN70/CV$53)/(Peak_Time_Mor*$O56*CV$53))),"-")</f>
        <v>0.0874721363276043</v>
      </c>
      <c r="CW70" s="165" t="n">
        <f aca="false">IF(CW$53&lt;Total_Lanes,900*Peak_Time_Mor*($CN70/CW$53-1+SQRT(($CN70/CW$53-1)^2+8*($CN70/CW$53)/(Peak_Time_Mor*$O56*CW$53))),"-")</f>
        <v>0.0669454423710247</v>
      </c>
      <c r="CX70" s="165" t="n">
        <f aca="false">IF(CX$53&lt;Total_Lanes,900*Peak_Time_Mor*($CN70/CX$53-1+SQRT(($CN70/CX$53-1)^2+8*($CN70/CX$53)/(Peak_Time_Mor*$O56*CX$53))),"-")</f>
        <v>0.0528980844213711</v>
      </c>
      <c r="CY70" s="165" t="n">
        <f aca="false">IF(CY$53&lt;Total_Lanes,900*Peak_Time_Mor*($CN70/CY$53-1+SQRT(($CN70/CY$53-1)^2+8*($CN70/CY$53)/(Peak_Time_Mor*$O56*CY$53))),"-")</f>
        <v>0.0428588026093024</v>
      </c>
      <c r="CZ70" s="165" t="str">
        <f aca="false">IF(CZ$53&lt;Total_Lanes,900*Peak_Time_Mor*($CN70/CZ$53-1+SQRT(($CN70/CZ$53-1)^2+8*($CN70/CZ$53)/(Peak_Time_Mor*$O56*CZ$53))),"-")</f>
        <v>-</v>
      </c>
      <c r="DA70" s="165" t="str">
        <f aca="false">IF(DA$53&lt;Total_Lanes,900*Peak_Time_Mor*($CN70/DA$53-1+SQRT(($CN70/DA$53-1)^2+8*($CN70/DA$53)/(Peak_Time_Mor*$O56*DA$53))),"-")</f>
        <v>-</v>
      </c>
      <c r="DB70" s="165" t="str">
        <f aca="false">IF(DB$53&lt;Total_Lanes,900*Peak_Time_Mor*($CN70/DB$53-1+SQRT(($CN70/DB$53-1)^2+8*($CN70/DB$53)/(Peak_Time_Mor*$O56*DB$53))),"-")</f>
        <v>-</v>
      </c>
      <c r="DC70" s="165" t="str">
        <f aca="false">IF(DC$53&lt;Total_Lanes,900*Peak_Time_Mor*($CN70/DC$53-1+SQRT(($CN70/DC$53-1)^2+8*($CN70/DC$53)/(Peak_Time_Mor*$O56*DC$53))),"-")</f>
        <v>-</v>
      </c>
      <c r="DD70" s="165" t="str">
        <f aca="false">IF(DD$53&lt;Total_Lanes,900*Peak_Time_Mor*($CN70/DD$53-1+SQRT(($CN70/DD$53-1)^2+8*($CN70/DD$53)/(Peak_Time_Mor*$O56*DD$53))),"-")</f>
        <v>-</v>
      </c>
      <c r="DE70" s="165" t="str">
        <f aca="false">IF(DE$53&lt;Total_Lanes,900*Peak_Time_Mor*($CN70/DE$53-1+SQRT(($CN70/DE$53-1)^2+8*($CN70/DE$53)/(Peak_Time_Mor*$O56*DE$53))),"-")</f>
        <v>-</v>
      </c>
      <c r="DF70" s="165" t="str">
        <f aca="false">IF(DF$53&lt;Total_Lanes,900*Peak_Time_Mor*($CN70/DF$53-1+SQRT(($CN70/DF$53-1)^2+8*($CN70/DF$53)/(Peak_Time_Mor*$O56*DF$53))),"-")</f>
        <v>-</v>
      </c>
      <c r="DG70" s="165" t="str">
        <f aca="false">IF(DG$53&lt;Total_Lanes,900*Peak_Time_Mor*($CN70/DG$53-1+SQRT(($CN70/DG$53-1)^2+8*($CN70/DG$53)/(Peak_Time_Mor*$O56*DG$53))),"-")</f>
        <v>-</v>
      </c>
      <c r="DH70" s="165" t="str">
        <f aca="false">IF(DH$53&lt;Total_Lanes,900*Peak_Time_Mor*($CN70/DH$53-1+SQRT(($CN70/DH$53-1)^2+8*($CN70/DH$53)/(Peak_Time_Mor*$O56*DH$53))),"-")</f>
        <v>-</v>
      </c>
      <c r="DI70" s="166" t="str">
        <f aca="false">IF(DI$53&lt;Total_Lanes,900*Peak_Time_Mor*($CN70/DI$53-1+SQRT(($CN70/DI$53-1)^2+8*($CN70/DI$53)/(Peak_Time_Mor*$O56*DI$53))),"-")</f>
        <v>-</v>
      </c>
      <c r="DJ70" s="234" t="n">
        <f aca="false">3600/$O56</f>
        <v>2.4</v>
      </c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</row>
    <row r="71" customFormat="false" ht="12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50" t="n">
        <v>17</v>
      </c>
      <c r="W71" s="124" t="n">
        <f aca="false">W24</f>
        <v>28352425.95</v>
      </c>
      <c r="X71" s="131" t="n">
        <f aca="false">X24</f>
        <v>0.781651485932894</v>
      </c>
      <c r="Y71" s="124" t="n">
        <f aca="false">Y24</f>
        <v>12225.9033292345</v>
      </c>
      <c r="Z71" s="133" t="n">
        <f aca="false">W71/Y71</f>
        <v>2319.04548780488</v>
      </c>
      <c r="AA71" s="233" t="n">
        <f aca="false">AA24</f>
        <v>2</v>
      </c>
      <c r="AB71" s="157" t="n">
        <f aca="false">1-AB24</f>
        <v>0.3</v>
      </c>
      <c r="AC71" s="128" t="n">
        <f aca="false">Y71*AB71</f>
        <v>3667.77099877036</v>
      </c>
      <c r="AD71" s="150" t="n">
        <f aca="false">Peak_Time_Mor*$BH71*(CH71+BK71)/3600</f>
        <v>14.288624080715</v>
      </c>
      <c r="AE71" s="136" t="n">
        <f aca="false">IF(AE$53&lt;Total_Lanes,($BI71*($CH71+BM71)+$CM71*CO71)*Peak_Time_Mor/3600,"-")</f>
        <v>5236.26294940912</v>
      </c>
      <c r="AF71" s="136" t="n">
        <f aca="false">IF(AF$53&lt;Total_Lanes,($BI71*($CH71+BN71)+$CM71*CP71)*Peak_Time_Mor/3600,"-")</f>
        <v>39.2036913744749</v>
      </c>
      <c r="AG71" s="136" t="n">
        <f aca="false">IF(AG$53&lt;Total_Lanes,($BI71*($CH71+BO71)+$CM71*CQ71)*Peak_Time_Mor/3600,"-")</f>
        <v>5.39148090889984</v>
      </c>
      <c r="AH71" s="136" t="n">
        <f aca="false">IF(AH$53&lt;Total_Lanes,($BI71*($CH71+BP71)+$CM71*CR71)*Peak_Time_Mor/3600,"-")</f>
        <v>4.05244125312018</v>
      </c>
      <c r="AI71" s="136" t="n">
        <f aca="false">IF(AI$53&lt;Total_Lanes,($BI71*($CH71+BQ71)+$CM71*CS71)*Peak_Time_Mor/3600,"-")</f>
        <v>3.6837219591026</v>
      </c>
      <c r="AJ71" s="136" t="n">
        <f aca="false">IF(AJ$53&lt;Total_Lanes,($BI71*($CH71+BR71)+$CM71*CT71)*Peak_Time_Mor/3600,"-")</f>
        <v>3.56189217584323</v>
      </c>
      <c r="AK71" s="136" t="n">
        <f aca="false">IF(AK$53&lt;Total_Lanes,($BI71*($CH71+BS71)+$CM71*CU71)*Peak_Time_Mor/3600,"-")</f>
        <v>3.56658157709466</v>
      </c>
      <c r="AL71" s="136" t="n">
        <f aca="false">IF(AL$53&lt;Total_Lanes,($BI71*($CH71+BT71)+$CM71*CV71)*Peak_Time_Mor/3600,"-")</f>
        <v>3.72033763173245</v>
      </c>
      <c r="AM71" s="136" t="n">
        <f aca="false">IF(AM$53&lt;Total_Lanes,($BI71*($CH71+BU71)+$CM71*CW71)*Peak_Time_Mor/3600,"-")</f>
        <v>4.28850561854291</v>
      </c>
      <c r="AN71" s="136" t="n">
        <f aca="false">IF(AN$53&lt;Total_Lanes,($BI71*($CH71+BV71)+$CM71*CX71)*Peak_Time_Mor/3600,"-")</f>
        <v>8.31454399686823</v>
      </c>
      <c r="AO71" s="136" t="n">
        <f aca="false">IF(AO$53&lt;Total_Lanes,($BI71*($CH71+BW71)+$CM71*CY71)*Peak_Time_Mor/3600,"-")</f>
        <v>881.617082383499</v>
      </c>
      <c r="AP71" s="136" t="str">
        <f aca="false">IF(AP$53&lt;Total_Lanes,($BI71*($CH71+BX71)+$CM71*CZ71)*Peak_Time_Mor/3600,"-")</f>
        <v>-</v>
      </c>
      <c r="AQ71" s="136" t="str">
        <f aca="false">IF(AQ$53&lt;Total_Lanes,($BI71*($CH71+BY71)+$CM71*DA71)*Peak_Time_Mor/3600,"-")</f>
        <v>-</v>
      </c>
      <c r="AR71" s="136" t="str">
        <f aca="false">IF(AR$53&lt;Total_Lanes,($BI71*($CH71+BZ71)+$CM71*DB71)*Peak_Time_Mor/3600,"-")</f>
        <v>-</v>
      </c>
      <c r="AS71" s="136" t="str">
        <f aca="false">IF(AS$53&lt;Total_Lanes,($BI71*($CH71+CA71)+$CM71*DC71)*Peak_Time_Mor/3600,"-")</f>
        <v>-</v>
      </c>
      <c r="AT71" s="136" t="str">
        <f aca="false">IF(AT$53&lt;Total_Lanes,($BI71*($CH71+CB71)+$CM71*DD71)*Peak_Time_Mor/3600,"-")</f>
        <v>-</v>
      </c>
      <c r="AU71" s="136" t="str">
        <f aca="false">IF(AU$53&lt;Total_Lanes,($BI71*($CH71+CC71)+$CM71*DE71)*Peak_Time_Mor/3600,"-")</f>
        <v>-</v>
      </c>
      <c r="AV71" s="136" t="str">
        <f aca="false">IF(AV$53&lt;Total_Lanes,($BI71*($CH71+CD71)+$CM71*DF71)*Peak_Time_Mor/3600,"-")</f>
        <v>-</v>
      </c>
      <c r="AW71" s="136" t="str">
        <f aca="false">IF(AW$53&lt;Total_Lanes,($BI71*($CH71+CE71)+$CM71*DG71)*Peak_Time_Mor/3600,"-")</f>
        <v>-</v>
      </c>
      <c r="AX71" s="136" t="str">
        <f aca="false">IF(AX$53&lt;Total_Lanes,($BI71*($CH71+CF71)+$CM71*DH71)*Peak_Time_Mor/3600,"-")</f>
        <v>-</v>
      </c>
      <c r="AY71" s="137" t="str">
        <f aca="false">IF(AY$53&lt;Total_Lanes,($BI71*($CH71+CG71)+$CM71*DI71)*Peak_Time_Mor/3600,"-")</f>
        <v>-</v>
      </c>
      <c r="AZ71" s="158" t="n">
        <f aca="false">SUMIF(AE71:AY71,BA71,$AE$53:$AY$53)</f>
        <v>6</v>
      </c>
      <c r="BA71" s="159" t="n">
        <f aca="false">MIN(AE71:AY71)</f>
        <v>3.56189217584323</v>
      </c>
      <c r="BB71" s="158" t="n">
        <f aca="false">Price!X24</f>
        <v>7</v>
      </c>
      <c r="BC71" s="159" t="n">
        <f aca="false">SUMIF($AE$53:$AY$53,$BB71,$AE71:$AY71)</f>
        <v>3.56658157709466</v>
      </c>
      <c r="BF71" s="50" t="n">
        <v>17</v>
      </c>
      <c r="BG71" s="131" t="n">
        <f aca="false">$X71</f>
        <v>0.781651485932894</v>
      </c>
      <c r="BH71" s="57" t="n">
        <f aca="false">$AC71</f>
        <v>3667.77099877036</v>
      </c>
      <c r="BI71" s="135" t="n">
        <f aca="false">BH71*(1-BG71)</f>
        <v>800.852347519935</v>
      </c>
      <c r="BJ71" s="143" t="n">
        <f aca="false">Peak_Arrival_Manual_Mor/K57</f>
        <v>1.46266782915099</v>
      </c>
      <c r="BK71" s="228" t="n">
        <f aca="false">900*Peak_Time_Mor*($BJ71/Total_Lanes-1+SQRT(($BJ71/Total_Lanes-1)^2+8*($BJ71/Total_Lanes)/(Peak_Time_Mor*$K57*Total_Lanes)))</f>
        <v>0.0760534818448511</v>
      </c>
      <c r="BL71" s="143" t="n">
        <f aca="false">Peak_Arrival_Manual_Mor/N57</f>
        <v>1.54303113763476</v>
      </c>
      <c r="BM71" s="229" t="n">
        <f aca="false">IF(BM$6&lt;Total_Lanes,900*Peak_Time_Mor*($BL71/(Total_Lanes-BM$6)-1+SQRT(($BL71/(Total_Lanes-BM$6)-1)^2+8*($BL71/(Total_Lanes-BM$6))/(Peak_Time_Mor*$N57*(Total_Lanes-BM$6)))),"-")</f>
        <v>0.102882224823864</v>
      </c>
      <c r="BN71" s="165" t="n">
        <f aca="false">IF(BN$6&lt;Total_Lanes,900*Peak_Time_Mor*($BL71/(Total_Lanes-BN$6)-1+SQRT(($BL71/(Total_Lanes-BN$6)-1)^2+8*($BL71/(Total_Lanes-BN$6))/(Peak_Time_Mor*$N57*(Total_Lanes-BN$6)))),"-")</f>
        <v>0.126551309753875</v>
      </c>
      <c r="BO71" s="165" t="n">
        <f aca="false">IF(BO$6&lt;Total_Lanes,900*Peak_Time_Mor*($BL71/(Total_Lanes-BO$6)-1+SQRT(($BL71/(Total_Lanes-BO$6)-1)^2+8*($BL71/(Total_Lanes-BO$6))/(Peak_Time_Mor*$N57*(Total_Lanes-BO$6)))),"-")</f>
        <v>0.159467200796692</v>
      </c>
      <c r="BP71" s="165" t="n">
        <f aca="false">IF(BP$6&lt;Total_Lanes,900*Peak_Time_Mor*($BL71/(Total_Lanes-BP$6)-1+SQRT(($BL71/(Total_Lanes-BP$6)-1)^2+8*($BL71/(Total_Lanes-BP$6))/(Peak_Time_Mor*$N57*(Total_Lanes-BP$6)))),"-")</f>
        <v>0.207180932421602</v>
      </c>
      <c r="BQ71" s="165" t="n">
        <f aca="false">IF(BQ$6&lt;Total_Lanes,900*Peak_Time_Mor*($BL71/(Total_Lanes-BQ$6)-1+SQRT(($BL71/(Total_Lanes-BQ$6)-1)^2+8*($BL71/(Total_Lanes-BQ$6))/(Peak_Time_Mor*$N57*(Total_Lanes-BQ$6)))),"-")</f>
        <v>0.280160278017294</v>
      </c>
      <c r="BR71" s="165" t="n">
        <f aca="false">IF(BR$6&lt;Total_Lanes,900*Peak_Time_Mor*($BL71/(Total_Lanes-BR$6)-1+SQRT(($BL71/(Total_Lanes-BR$6)-1)^2+8*($BL71/(Total_Lanes-BR$6))/(Peak_Time_Mor*$N57*(Total_Lanes-BR$6)))),"-")</f>
        <v>0.400169139814977</v>
      </c>
      <c r="BS71" s="165" t="n">
        <f aca="false">IF(BS$6&lt;Total_Lanes,900*Peak_Time_Mor*($BL71/(Total_Lanes-BS$6)-1+SQRT(($BL71/(Total_Lanes-BS$6)-1)^2+8*($BL71/(Total_Lanes-BS$6))/(Peak_Time_Mor*$N57*(Total_Lanes-BS$6)))),"-")</f>
        <v>0.619050323071968</v>
      </c>
      <c r="BT71" s="165" t="n">
        <f aca="false">IF(BT$6&lt;Total_Lanes,900*Peak_Time_Mor*($BL71/(Total_Lanes-BT$6)-1+SQRT(($BL71/(Total_Lanes-BT$6)-1)^2+8*($BL71/(Total_Lanes-BT$6))/(Peak_Time_Mor*$N57*(Total_Lanes-BT$6)))),"-")</f>
        <v>1.08849404125784</v>
      </c>
      <c r="BU71" s="165" t="n">
        <f aca="false">IF(BU$6&lt;Total_Lanes,900*Peak_Time_Mor*($BL71/(Total_Lanes-BU$6)-1+SQRT(($BL71/(Total_Lanes-BU$6)-1)^2+8*($BL71/(Total_Lanes-BU$6))/(Peak_Time_Mor*$N57*(Total_Lanes-BU$6)))),"-")</f>
        <v>2.44523683074744</v>
      </c>
      <c r="BV71" s="165" t="n">
        <f aca="false">IF(BV$6&lt;Total_Lanes,900*Peak_Time_Mor*($BL71/(Total_Lanes-BV$6)-1+SQRT(($BL71/(Total_Lanes-BV$6)-1)^2+8*($BL71/(Total_Lanes-BV$6))/(Peak_Time_Mor*$N57*(Total_Lanes-BV$6)))),"-")</f>
        <v>11.5485568452592</v>
      </c>
      <c r="BW71" s="230" t="n">
        <f aca="false">IF(BW$6&lt;Total_Lanes,900*Peak_Time_Mor*($BL71/(Total_Lanes-BW$6)-1+SQRT(($BL71/(Total_Lanes-BW$6)-1)^2+8*($BL71/(Total_Lanes-BW$6))/(Peak_Time_Mor*$N57*(Total_Lanes-BW$6)))),"-")</f>
        <v>1974.42675157035</v>
      </c>
      <c r="BX71" s="165" t="str">
        <f aca="false">IF(BX$6&lt;Total_Lanes,900*Peak_Time_Mor*($BL71/(Total_Lanes-BX$6)-1+SQRT(($BL71/(Total_Lanes-BX$6)-1)^2+8*($BL71/(Total_Lanes-BX$6))/(Peak_Time_Mor*$N57*(Total_Lanes-BX$6)))),"-")</f>
        <v>-</v>
      </c>
      <c r="BY71" s="165" t="str">
        <f aca="false">IF(BY$6&lt;Total_Lanes,900*Peak_Time_Mor*($BL71/(Total_Lanes-BY$6)-1+SQRT(($BL71/(Total_Lanes-BY$6)-1)^2+8*($BL71/(Total_Lanes-BY$6))/(Peak_Time_Mor*$N57*(Total_Lanes-BY$6)))),"-")</f>
        <v>-</v>
      </c>
      <c r="BZ71" s="165" t="str">
        <f aca="false">IF(BZ$6&lt;Total_Lanes,900*Peak_Time_Mor*($BL71/(Total_Lanes-BZ$6)-1+SQRT(($BL71/(Total_Lanes-BZ$6)-1)^2+8*($BL71/(Total_Lanes-BZ$6))/(Peak_Time_Mor*$N57*(Total_Lanes-BZ$6)))),"-")</f>
        <v>-</v>
      </c>
      <c r="CA71" s="165" t="str">
        <f aca="false">IF(CA$6&lt;Total_Lanes,900*Peak_Time_Mor*($BL71/(Total_Lanes-CA$6)-1+SQRT(($BL71/(Total_Lanes-CA$6)-1)^2+8*($BL71/(Total_Lanes-CA$6))/(Peak_Time_Mor*$N57*(Total_Lanes-CA$6)))),"-")</f>
        <v>-</v>
      </c>
      <c r="CB71" s="165" t="str">
        <f aca="false">IF(CB$6&lt;Total_Lanes,900*Peak_Time_Mor*($BL71/(Total_Lanes-CB$6)-1+SQRT(($BL71/(Total_Lanes-CB$6)-1)^2+8*($BL71/(Total_Lanes-CB$6))/(Peak_Time_Mor*$N57*(Total_Lanes-CB$6)))),"-")</f>
        <v>-</v>
      </c>
      <c r="CC71" s="165" t="str">
        <f aca="false">IF(CC$6&lt;Total_Lanes,900*Peak_Time_Mor*($BL71/(Total_Lanes-CC$6)-1+SQRT(($BL71/(Total_Lanes-CC$6)-1)^2+8*($BL71/(Total_Lanes-CC$6))/(Peak_Time_Mor*$N57*(Total_Lanes-CC$6)))),"-")</f>
        <v>-</v>
      </c>
      <c r="CD71" s="165" t="str">
        <f aca="false">IF(CD$6&lt;Total_Lanes,900*Peak_Time_Mor*($BL71/(Total_Lanes-CD$6)-1+SQRT(($BL71/(Total_Lanes-CD$6)-1)^2+8*($BL71/(Total_Lanes-CD$6))/(Peak_Time_Mor*$N57*(Total_Lanes-CD$6)))),"-")</f>
        <v>-</v>
      </c>
      <c r="CE71" s="165" t="str">
        <f aca="false">IF(CE$6&lt;Total_Lanes,900*Peak_Time_Mor*($BL71/(Total_Lanes-CE$6)-1+SQRT(($BL71/(Total_Lanes-CE$6)-1)^2+8*($BL71/(Total_Lanes-CE$6))/(Peak_Time_Mor*$N57*(Total_Lanes-CE$6)))),"-")</f>
        <v>-</v>
      </c>
      <c r="CF71" s="165" t="str">
        <f aca="false">IF(CF$6&lt;Total_Lanes,900*Peak_Time_Mor*($BL71/(Total_Lanes-CF$6)-1+SQRT(($BL71/(Total_Lanes-CF$6)-1)^2+8*($BL71/(Total_Lanes-CF$6))/(Peak_Time_Mor*$N57*(Total_Lanes-CF$6)))),"-")</f>
        <v>-</v>
      </c>
      <c r="CG71" s="166" t="str">
        <f aca="false">IF(CG$6&lt;Total_Lanes,900*Peak_Time_Mor*($BL71/(Total_Lanes-CG$6)-1+SQRT(($BL71/(Total_Lanes-CG$6)-1)^2+8*($BL71/(Total_Lanes-CG$6))/(Peak_Time_Mor*$N57*(Total_Lanes-CG$6)))),"-")</f>
        <v>-</v>
      </c>
      <c r="CH71" s="234" t="n">
        <f aca="false">3600/N57</f>
        <v>6.93625</v>
      </c>
      <c r="CJ71" s="50" t="n">
        <v>17</v>
      </c>
      <c r="CK71" s="131" t="n">
        <f aca="false">$X71</f>
        <v>0.781651485932894</v>
      </c>
      <c r="CL71" s="150" t="n">
        <f aca="false">$AC71</f>
        <v>3667.77099877036</v>
      </c>
      <c r="CM71" s="150" t="n">
        <f aca="false">CL71*CK71</f>
        <v>2866.91865125043</v>
      </c>
      <c r="CN71" s="161" t="n">
        <f aca="false">CM71/O57</f>
        <v>1.91127910083362</v>
      </c>
      <c r="CO71" s="165" t="n">
        <f aca="false">IF(CO$53&lt;Total_Lanes,900*Peak_Time_Mor*($CN71/CO$53-1+SQRT(($CN71/CO$53-1)^2+8*($CN71/CO$53)/(Peak_Time_Mor*$O57*CO$53))),"-")</f>
        <v>3285.63072386488</v>
      </c>
      <c r="CP71" s="165" t="n">
        <f aca="false">IF(CP$53&lt;Total_Lanes,900*Peak_Time_Mor*($CN71/CP$53-1+SQRT(($CN71/CP$53-1)^2+8*($CN71/CP$53)/(Peak_Time_Mor*$O57*CP$53))),"-")</f>
        <v>22.6411668279323</v>
      </c>
      <c r="CQ71" s="165" t="n">
        <f aca="false">IF(CQ$53&lt;Total_Lanes,900*Peak_Time_Mor*($CN71/CQ$53-1+SQRT(($CN71/CQ$53-1)^2+8*($CN71/CQ$53)/(Peak_Time_Mor*$O57*CQ$53))),"-")</f>
        <v>1.40291523677166</v>
      </c>
      <c r="CR71" s="165" t="n">
        <f aca="false">IF(CR$53&lt;Total_Lanes,900*Peak_Time_Mor*($CN71/CR$53-1+SQRT(($CN71/CR$53-1)^2+8*($CN71/CR$53)/(Peak_Time_Mor*$O57*CR$53))),"-")</f>
        <v>0.548868320122598</v>
      </c>
      <c r="CS71" s="165" t="n">
        <f aca="false">IF(CS$53&lt;Total_Lanes,900*Peak_Time_Mor*($CN71/CS$53-1+SQRT(($CN71/CS$53-1)^2+8*($CN71/CS$53)/(Peak_Time_Mor*$O57*CS$53))),"-")</f>
        <v>0.296981016254572</v>
      </c>
      <c r="CT71" s="165" t="n">
        <f aca="false">IF(CT$53&lt;Total_Lanes,900*Peak_Time_Mor*($CN71/CT$53-1+SQRT(($CN71/CT$53-1)^2+8*($CN71/CT$53)/(Peak_Time_Mor*$O57*CT$53))),"-")</f>
        <v>0.186966388381138</v>
      </c>
      <c r="CU71" s="165" t="n">
        <f aca="false">IF(CU$53&lt;Total_Lanes,900*Peak_Time_Mor*($CN71/CU$53-1+SQRT(($CN71/CU$53-1)^2+8*($CN71/CU$53)/(Peak_Time_Mor*$O57*CU$53))),"-")</f>
        <v>0.128767810924479</v>
      </c>
      <c r="CV71" s="165" t="n">
        <f aca="false">IF(CV$53&lt;Total_Lanes,900*Peak_Time_Mor*($CN71/CV$53-1+SQRT(($CN71/CV$53-1)^2+8*($CN71/CV$53)/(Peak_Time_Mor*$O57*CV$53))),"-")</f>
        <v>0.094168222496549</v>
      </c>
      <c r="CW71" s="165" t="n">
        <f aca="false">IF(CW$53&lt;Total_Lanes,900*Peak_Time_Mor*($CN71/CW$53-1+SQRT(($CN71/CW$53-1)^2+8*($CN71/CW$53)/(Peak_Time_Mor*$O57*CW$53))),"-")</f>
        <v>0.0718975272130162</v>
      </c>
      <c r="CX71" s="165" t="n">
        <f aca="false">IF(CX$53&lt;Total_Lanes,900*Peak_Time_Mor*($CN71/CX$53-1+SQRT(($CN71/CX$53-1)^2+8*($CN71/CX$53)/(Peak_Time_Mor*$O57*CX$53))),"-")</f>
        <v>0.056708354390711</v>
      </c>
      <c r="CY71" s="165" t="n">
        <f aca="false">IF(CY$53&lt;Total_Lanes,900*Peak_Time_Mor*($CN71/CY$53-1+SQRT(($CN71/CY$53-1)^2+8*($CN71/CY$53)/(Peak_Time_Mor*$O57*CY$53))),"-")</f>
        <v>0.0458810344978522</v>
      </c>
      <c r="CZ71" s="165" t="str">
        <f aca="false">IF(CZ$53&lt;Total_Lanes,900*Peak_Time_Mor*($CN71/CZ$53-1+SQRT(($CN71/CZ$53-1)^2+8*($CN71/CZ$53)/(Peak_Time_Mor*$O57*CZ$53))),"-")</f>
        <v>-</v>
      </c>
      <c r="DA71" s="165" t="str">
        <f aca="false">IF(DA$53&lt;Total_Lanes,900*Peak_Time_Mor*($CN71/DA$53-1+SQRT(($CN71/DA$53-1)^2+8*($CN71/DA$53)/(Peak_Time_Mor*$O57*DA$53))),"-")</f>
        <v>-</v>
      </c>
      <c r="DB71" s="165" t="str">
        <f aca="false">IF(DB$53&lt;Total_Lanes,900*Peak_Time_Mor*($CN71/DB$53-1+SQRT(($CN71/DB$53-1)^2+8*($CN71/DB$53)/(Peak_Time_Mor*$O57*DB$53))),"-")</f>
        <v>-</v>
      </c>
      <c r="DC71" s="165" t="str">
        <f aca="false">IF(DC$53&lt;Total_Lanes,900*Peak_Time_Mor*($CN71/DC$53-1+SQRT(($CN71/DC$53-1)^2+8*($CN71/DC$53)/(Peak_Time_Mor*$O57*DC$53))),"-")</f>
        <v>-</v>
      </c>
      <c r="DD71" s="165" t="str">
        <f aca="false">IF(DD$53&lt;Total_Lanes,900*Peak_Time_Mor*($CN71/DD$53-1+SQRT(($CN71/DD$53-1)^2+8*($CN71/DD$53)/(Peak_Time_Mor*$O57*DD$53))),"-")</f>
        <v>-</v>
      </c>
      <c r="DE71" s="165" t="str">
        <f aca="false">IF(DE$53&lt;Total_Lanes,900*Peak_Time_Mor*($CN71/DE$53-1+SQRT(($CN71/DE$53-1)^2+8*($CN71/DE$53)/(Peak_Time_Mor*$O57*DE$53))),"-")</f>
        <v>-</v>
      </c>
      <c r="DF71" s="165" t="str">
        <f aca="false">IF(DF$53&lt;Total_Lanes,900*Peak_Time_Mor*($CN71/DF$53-1+SQRT(($CN71/DF$53-1)^2+8*($CN71/DF$53)/(Peak_Time_Mor*$O57*DF$53))),"-")</f>
        <v>-</v>
      </c>
      <c r="DG71" s="165" t="str">
        <f aca="false">IF(DG$53&lt;Total_Lanes,900*Peak_Time_Mor*($CN71/DG$53-1+SQRT(($CN71/DG$53-1)^2+8*($CN71/DG$53)/(Peak_Time_Mor*$O57*DG$53))),"-")</f>
        <v>-</v>
      </c>
      <c r="DH71" s="165" t="str">
        <f aca="false">IF(DH$53&lt;Total_Lanes,900*Peak_Time_Mor*($CN71/DH$53-1+SQRT(($CN71/DH$53-1)^2+8*($CN71/DH$53)/(Peak_Time_Mor*$O57*DH$53))),"-")</f>
        <v>-</v>
      </c>
      <c r="DI71" s="166" t="str">
        <f aca="false">IF(DI$53&lt;Total_Lanes,900*Peak_Time_Mor*($CN71/DI$53-1+SQRT(($CN71/DI$53-1)^2+8*($CN71/DI$53)/(Peak_Time_Mor*$O57*DI$53))),"-")</f>
        <v>-</v>
      </c>
      <c r="DJ71" s="234" t="n">
        <f aca="false">3600/$O57</f>
        <v>2.4</v>
      </c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</row>
    <row r="72" customFormat="false" ht="12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50" t="n">
        <v>18</v>
      </c>
      <c r="W72" s="124" t="n">
        <f aca="false">W25</f>
        <v>28901617.3</v>
      </c>
      <c r="X72" s="131" t="n">
        <f aca="false">X25</f>
        <v>0.807356047331459</v>
      </c>
      <c r="Y72" s="124" t="n">
        <f aca="false">Y25</f>
        <v>12462.7211721307</v>
      </c>
      <c r="Z72" s="133" t="n">
        <f aca="false">W72/Y72</f>
        <v>2319.04548780488</v>
      </c>
      <c r="AA72" s="233" t="n">
        <f aca="false">AA25</f>
        <v>2</v>
      </c>
      <c r="AB72" s="157" t="n">
        <f aca="false">1-AB25</f>
        <v>0.3</v>
      </c>
      <c r="AC72" s="128" t="n">
        <f aca="false">Y72*AB72</f>
        <v>3738.81635163921</v>
      </c>
      <c r="AD72" s="150" t="n">
        <f aca="false">Peak_Time_Mor*$BH72*(CH72+BK72)/3600</f>
        <v>14.5916819662348</v>
      </c>
      <c r="AE72" s="136" t="n">
        <f aca="false">IF(AE$53&lt;Total_Lanes,($BI72*($CH72+BM72)+$CM72*CO72)*Peak_Time_Mor/3600,"-")</f>
        <v>6122.60557830799</v>
      </c>
      <c r="AF72" s="136" t="n">
        <f aca="false">IF(AF$53&lt;Total_Lanes,($BI72*($CH72+BN72)+$CM72*CP72)*Peak_Time_Mor/3600,"-")</f>
        <v>133.62761815198</v>
      </c>
      <c r="AG72" s="136" t="n">
        <f aca="false">IF(AG$53&lt;Total_Lanes,($BI72*($CH72+BO72)+$CM72*CQ72)*Peak_Time_Mor/3600,"-")</f>
        <v>5.57042506094284</v>
      </c>
      <c r="AH72" s="136" t="n">
        <f aca="false">IF(AH$53&lt;Total_Lanes,($BI72*($CH72+BP72)+$CM72*CR72)*Peak_Time_Mor/3600,"-")</f>
        <v>3.87567400065567</v>
      </c>
      <c r="AI72" s="136" t="n">
        <f aca="false">IF(AI$53&lt;Total_Lanes,($BI72*($CH72+BQ72)+$CM72*CS72)*Peak_Time_Mor/3600,"-")</f>
        <v>3.42482350389288</v>
      </c>
      <c r="AJ72" s="136" t="n">
        <f aca="false">IF(AJ$53&lt;Total_Lanes,($BI72*($CH72+BR72)+$CM72*CT72)*Peak_Time_Mor/3600,"-")</f>
        <v>3.26264401724256</v>
      </c>
      <c r="AK72" s="136" t="n">
        <f aca="false">IF(AK$53&lt;Total_Lanes,($BI72*($CH72+BS72)+$CM72*CU72)*Peak_Time_Mor/3600,"-")</f>
        <v>3.23075098226712</v>
      </c>
      <c r="AL72" s="136" t="n">
        <f aca="false">IF(AL$53&lt;Total_Lanes,($BI72*($CH72+BT72)+$CM72*CV72)*Peak_Time_Mor/3600,"-")</f>
        <v>3.32442346759375</v>
      </c>
      <c r="AM72" s="136" t="n">
        <f aca="false">IF(AM$53&lt;Total_Lanes,($BI72*($CH72+BU72)+$CM72*CW72)*Peak_Time_Mor/3600,"-")</f>
        <v>3.71530472592625</v>
      </c>
      <c r="AN72" s="136" t="n">
        <f aca="false">IF(AN$53&lt;Total_Lanes,($BI72*($CH72+BV72)+$CM72*CX72)*Peak_Time_Mor/3600,"-")</f>
        <v>6.04951854505873</v>
      </c>
      <c r="AO72" s="136" t="n">
        <f aca="false">IF(AO$53&lt;Total_Lanes,($BI72*($CH72+BW72)+$CM72*CY72)*Peak_Time_Mor/3600,"-")</f>
        <v>577.27337380743</v>
      </c>
      <c r="AP72" s="136" t="str">
        <f aca="false">IF(AP$53&lt;Total_Lanes,($BI72*($CH72+BX72)+$CM72*CZ72)*Peak_Time_Mor/3600,"-")</f>
        <v>-</v>
      </c>
      <c r="AQ72" s="136" t="str">
        <f aca="false">IF(AQ$53&lt;Total_Lanes,($BI72*($CH72+BY72)+$CM72*DA72)*Peak_Time_Mor/3600,"-")</f>
        <v>-</v>
      </c>
      <c r="AR72" s="136" t="str">
        <f aca="false">IF(AR$53&lt;Total_Lanes,($BI72*($CH72+BZ72)+$CM72*DB72)*Peak_Time_Mor/3600,"-")</f>
        <v>-</v>
      </c>
      <c r="AS72" s="136" t="str">
        <f aca="false">IF(AS$53&lt;Total_Lanes,($BI72*($CH72+CA72)+$CM72*DC72)*Peak_Time_Mor/3600,"-")</f>
        <v>-</v>
      </c>
      <c r="AT72" s="136" t="str">
        <f aca="false">IF(AT$53&lt;Total_Lanes,($BI72*($CH72+CB72)+$CM72*DD72)*Peak_Time_Mor/3600,"-")</f>
        <v>-</v>
      </c>
      <c r="AU72" s="136" t="str">
        <f aca="false">IF(AU$53&lt;Total_Lanes,($BI72*($CH72+CC72)+$CM72*DE72)*Peak_Time_Mor/3600,"-")</f>
        <v>-</v>
      </c>
      <c r="AV72" s="136" t="str">
        <f aca="false">IF(AV$53&lt;Total_Lanes,($BI72*($CH72+CD72)+$CM72*DF72)*Peak_Time_Mor/3600,"-")</f>
        <v>-</v>
      </c>
      <c r="AW72" s="136" t="str">
        <f aca="false">IF(AW$53&lt;Total_Lanes,($BI72*($CH72+CE72)+$CM72*DG72)*Peak_Time_Mor/3600,"-")</f>
        <v>-</v>
      </c>
      <c r="AX72" s="136" t="str">
        <f aca="false">IF(AX$53&lt;Total_Lanes,($BI72*($CH72+CF72)+$CM72*DH72)*Peak_Time_Mor/3600,"-")</f>
        <v>-</v>
      </c>
      <c r="AY72" s="137" t="str">
        <f aca="false">IF(AY$53&lt;Total_Lanes,($BI72*($CH72+CG72)+$CM72*DI72)*Peak_Time_Mor/3600,"-")</f>
        <v>-</v>
      </c>
      <c r="AZ72" s="158" t="n">
        <f aca="false">SUMIF(AE72:AY72,BA72,$AE$53:$AY$53)</f>
        <v>7</v>
      </c>
      <c r="BA72" s="159" t="n">
        <f aca="false">MIN(AE72:AY72)</f>
        <v>3.23075098226712</v>
      </c>
      <c r="BB72" s="158" t="n">
        <f aca="false">Price!X25</f>
        <v>7</v>
      </c>
      <c r="BC72" s="159" t="n">
        <f aca="false">SUMIF($AE$53:$AY$53,$BB72,$AE72:$AY72)</f>
        <v>3.23075098226712</v>
      </c>
      <c r="BF72" s="50" t="n">
        <v>18</v>
      </c>
      <c r="BG72" s="131" t="n">
        <f aca="false">$X72</f>
        <v>0.807356047331459</v>
      </c>
      <c r="BH72" s="57" t="n">
        <f aca="false">$AC72</f>
        <v>3738.81635163921</v>
      </c>
      <c r="BI72" s="135" t="n">
        <f aca="false">BH72*(1-BG72)</f>
        <v>720.260360281552</v>
      </c>
      <c r="BJ72" s="143" t="n">
        <f aca="false">Peak_Arrival_Manual_Mor/K58</f>
        <v>1.31547551912533</v>
      </c>
      <c r="BK72" s="228" t="n">
        <f aca="false">900*Peak_Time_Mor*($BJ72/Total_Lanes-1+SQRT(($BJ72/Total_Lanes-1)^2+8*($BJ72/Total_Lanes)/(Peak_Time_Mor*$K58*Total_Lanes)))</f>
        <v>0.0674579195585112</v>
      </c>
      <c r="BL72" s="143" t="n">
        <f aca="false">Peak_Arrival_Manual_Mor/N58</f>
        <v>1.39200318240525</v>
      </c>
      <c r="BM72" s="229" t="n">
        <f aca="false">IF(BM$6&lt;Total_Lanes,900*Peak_Time_Mor*($BL72/(Total_Lanes-BM$6)-1+SQRT(($BL72/(Total_Lanes-BM$6)-1)^2+8*($BL72/(Total_Lanes-BM$6))/(Peak_Time_Mor*$N58*(Total_Lanes-BM$6)))),"-")</f>
        <v>0.0916337060568262</v>
      </c>
      <c r="BN72" s="165" t="n">
        <f aca="false">IF(BN$6&lt;Total_Lanes,900*Peak_Time_Mor*($BL72/(Total_Lanes-BN$6)-1+SQRT(($BL72/(Total_Lanes-BN$6)-1)^2+8*($BL72/(Total_Lanes-BN$6))/(Peak_Time_Mor*$N58*(Total_Lanes-BN$6)))),"-")</f>
        <v>0.112505972608745</v>
      </c>
      <c r="BO72" s="165" t="n">
        <f aca="false">IF(BO$6&lt;Total_Lanes,900*Peak_Time_Mor*($BL72/(Total_Lanes-BO$6)-1+SQRT(($BL72/(Total_Lanes-BO$6)-1)^2+8*($BL72/(Total_Lanes-BO$6))/(Peak_Time_Mor*$N58*(Total_Lanes-BO$6)))),"-")</f>
        <v>0.141436150519825</v>
      </c>
      <c r="BP72" s="165" t="n">
        <f aca="false">IF(BP$6&lt;Total_Lanes,900*Peak_Time_Mor*($BL72/(Total_Lanes-BP$6)-1+SQRT(($BL72/(Total_Lanes-BP$6)-1)^2+8*($BL72/(Total_Lanes-BP$6))/(Peak_Time_Mor*$N58*(Total_Lanes-BP$6)))),"-")</f>
        <v>0.183192157130807</v>
      </c>
      <c r="BQ72" s="165" t="n">
        <f aca="false">IF(BQ$6&lt;Total_Lanes,900*Peak_Time_Mor*($BL72/(Total_Lanes-BQ$6)-1+SQRT(($BL72/(Total_Lanes-BQ$6)-1)^2+8*($BL72/(Total_Lanes-BQ$6))/(Peak_Time_Mor*$N58*(Total_Lanes-BQ$6)))),"-")</f>
        <v>0.246689406048861</v>
      </c>
      <c r="BR72" s="165" t="n">
        <f aca="false">IF(BR$6&lt;Total_Lanes,900*Peak_Time_Mor*($BL72/(Total_Lanes-BR$6)-1+SQRT(($BL72/(Total_Lanes-BR$6)-1)^2+8*($BL72/(Total_Lanes-BR$6))/(Peak_Time_Mor*$N58*(Total_Lanes-BR$6)))),"-")</f>
        <v>0.350247471659659</v>
      </c>
      <c r="BS72" s="165" t="n">
        <f aca="false">IF(BS$6&lt;Total_Lanes,900*Peak_Time_Mor*($BL72/(Total_Lanes-BS$6)-1+SQRT(($BL72/(Total_Lanes-BS$6)-1)^2+8*($BL72/(Total_Lanes-BS$6))/(Peak_Time_Mor*$N58*(Total_Lanes-BS$6)))),"-")</f>
        <v>0.536744458161831</v>
      </c>
      <c r="BT72" s="165" t="n">
        <f aca="false">IF(BT$6&lt;Total_Lanes,900*Peak_Time_Mor*($BL72/(Total_Lanes-BT$6)-1+SQRT(($BL72/(Total_Lanes-BT$6)-1)^2+8*($BL72/(Total_Lanes-BT$6))/(Peak_Time_Mor*$N58*(Total_Lanes-BT$6)))),"-")</f>
        <v>0.928014412531053</v>
      </c>
      <c r="BU72" s="165" t="n">
        <f aca="false">IF(BU$6&lt;Total_Lanes,900*Peak_Time_Mor*($BL72/(Total_Lanes-BU$6)-1+SQRT(($BL72/(Total_Lanes-BU$6)-1)^2+8*($BL72/(Total_Lanes-BU$6))/(Peak_Time_Mor*$N58*(Total_Lanes-BU$6)))),"-")</f>
        <v>2.00556086301178</v>
      </c>
      <c r="BV72" s="165" t="n">
        <f aca="false">IF(BV$6&lt;Total_Lanes,900*Peak_Time_Mor*($BL72/(Total_Lanes-BV$6)-1+SQRT(($BL72/(Total_Lanes-BV$6)-1)^2+8*($BL72/(Total_Lanes-BV$6))/(Peak_Time_Mor*$N58*(Total_Lanes-BV$6)))),"-")</f>
        <v>7.90743214606887</v>
      </c>
      <c r="BW72" s="230" t="n">
        <f aca="false">IF(BW$6&lt;Total_Lanes,900*Peak_Time_Mor*($BL72/(Total_Lanes-BW$6)-1+SQRT(($BL72/(Total_Lanes-BW$6)-1)^2+8*($BL72/(Total_Lanes-BW$6))/(Peak_Time_Mor*$N58*(Total_Lanes-BW$6)))),"-")</f>
        <v>1435.49952030266</v>
      </c>
      <c r="BX72" s="165" t="str">
        <f aca="false">IF(BX$6&lt;Total_Lanes,900*Peak_Time_Mor*($BL72/(Total_Lanes-BX$6)-1+SQRT(($BL72/(Total_Lanes-BX$6)-1)^2+8*($BL72/(Total_Lanes-BX$6))/(Peak_Time_Mor*$N58*(Total_Lanes-BX$6)))),"-")</f>
        <v>-</v>
      </c>
      <c r="BY72" s="165" t="str">
        <f aca="false">IF(BY$6&lt;Total_Lanes,900*Peak_Time_Mor*($BL72/(Total_Lanes-BY$6)-1+SQRT(($BL72/(Total_Lanes-BY$6)-1)^2+8*($BL72/(Total_Lanes-BY$6))/(Peak_Time_Mor*$N58*(Total_Lanes-BY$6)))),"-")</f>
        <v>-</v>
      </c>
      <c r="BZ72" s="165" t="str">
        <f aca="false">IF(BZ$6&lt;Total_Lanes,900*Peak_Time_Mor*($BL72/(Total_Lanes-BZ$6)-1+SQRT(($BL72/(Total_Lanes-BZ$6)-1)^2+8*($BL72/(Total_Lanes-BZ$6))/(Peak_Time_Mor*$N58*(Total_Lanes-BZ$6)))),"-")</f>
        <v>-</v>
      </c>
      <c r="CA72" s="165" t="str">
        <f aca="false">IF(CA$6&lt;Total_Lanes,900*Peak_Time_Mor*($BL72/(Total_Lanes-CA$6)-1+SQRT(($BL72/(Total_Lanes-CA$6)-1)^2+8*($BL72/(Total_Lanes-CA$6))/(Peak_Time_Mor*$N58*(Total_Lanes-CA$6)))),"-")</f>
        <v>-</v>
      </c>
      <c r="CB72" s="165" t="str">
        <f aca="false">IF(CB$6&lt;Total_Lanes,900*Peak_Time_Mor*($BL72/(Total_Lanes-CB$6)-1+SQRT(($BL72/(Total_Lanes-CB$6)-1)^2+8*($BL72/(Total_Lanes-CB$6))/(Peak_Time_Mor*$N58*(Total_Lanes-CB$6)))),"-")</f>
        <v>-</v>
      </c>
      <c r="CC72" s="165" t="str">
        <f aca="false">IF(CC$6&lt;Total_Lanes,900*Peak_Time_Mor*($BL72/(Total_Lanes-CC$6)-1+SQRT(($BL72/(Total_Lanes-CC$6)-1)^2+8*($BL72/(Total_Lanes-CC$6))/(Peak_Time_Mor*$N58*(Total_Lanes-CC$6)))),"-")</f>
        <v>-</v>
      </c>
      <c r="CD72" s="165" t="str">
        <f aca="false">IF(CD$6&lt;Total_Lanes,900*Peak_Time_Mor*($BL72/(Total_Lanes-CD$6)-1+SQRT(($BL72/(Total_Lanes-CD$6)-1)^2+8*($BL72/(Total_Lanes-CD$6))/(Peak_Time_Mor*$N58*(Total_Lanes-CD$6)))),"-")</f>
        <v>-</v>
      </c>
      <c r="CE72" s="165" t="str">
        <f aca="false">IF(CE$6&lt;Total_Lanes,900*Peak_Time_Mor*($BL72/(Total_Lanes-CE$6)-1+SQRT(($BL72/(Total_Lanes-CE$6)-1)^2+8*($BL72/(Total_Lanes-CE$6))/(Peak_Time_Mor*$N58*(Total_Lanes-CE$6)))),"-")</f>
        <v>-</v>
      </c>
      <c r="CF72" s="165" t="str">
        <f aca="false">IF(CF$6&lt;Total_Lanes,900*Peak_Time_Mor*($BL72/(Total_Lanes-CF$6)-1+SQRT(($BL72/(Total_Lanes-CF$6)-1)^2+8*($BL72/(Total_Lanes-CF$6))/(Peak_Time_Mor*$N58*(Total_Lanes-CF$6)))),"-")</f>
        <v>-</v>
      </c>
      <c r="CG72" s="166" t="str">
        <f aca="false">IF(CG$6&lt;Total_Lanes,900*Peak_Time_Mor*($BL72/(Total_Lanes-CG$6)-1+SQRT(($BL72/(Total_Lanes-CG$6)-1)^2+8*($BL72/(Total_Lanes-CG$6))/(Peak_Time_Mor*$N58*(Total_Lanes-CG$6)))),"-")</f>
        <v>-</v>
      </c>
      <c r="CH72" s="234" t="n">
        <f aca="false">3600/N58</f>
        <v>6.9575</v>
      </c>
      <c r="CJ72" s="50" t="n">
        <v>18</v>
      </c>
      <c r="CK72" s="131" t="n">
        <f aca="false">$X72</f>
        <v>0.807356047331459</v>
      </c>
      <c r="CL72" s="150" t="n">
        <f aca="false">$AC72</f>
        <v>3738.81635163921</v>
      </c>
      <c r="CM72" s="150" t="n">
        <f aca="false">CL72*CK72</f>
        <v>3018.55599135766</v>
      </c>
      <c r="CN72" s="161" t="n">
        <f aca="false">CM72/O58</f>
        <v>2.0123706609051</v>
      </c>
      <c r="CO72" s="165" t="n">
        <f aca="false">IF(CO$53&lt;Total_Lanes,900*Peak_Time_Mor*($CN72/CO$53-1+SQRT(($CN72/CO$53-1)^2+8*($CN72/CO$53)/(Peak_Time_Mor*$O58*CO$53))),"-")</f>
        <v>3649.29882397745</v>
      </c>
      <c r="CP72" s="165" t="n">
        <f aca="false">IF(CP$53&lt;Total_Lanes,900*Peak_Time_Mor*($CN72/CP$53-1+SQRT(($CN72/CP$53-1)^2+8*($CN72/CP$53)/(Peak_Time_Mor*$O58*CP$53))),"-")</f>
        <v>77.9967203850498</v>
      </c>
      <c r="CQ72" s="165" t="n">
        <f aca="false">IF(CQ$53&lt;Total_Lanes,900*Peak_Time_Mor*($CN72/CQ$53-1+SQRT(($CN72/CQ$53-1)^2+8*($CN72/CQ$53)/(Peak_Time_Mor*$O58*CQ$53))),"-")</f>
        <v>1.62782562734506</v>
      </c>
      <c r="CR72" s="165" t="n">
        <f aca="false">IF(CR$53&lt;Total_Lanes,900*Peak_Time_Mor*($CN72/CR$53-1+SQRT(($CN72/CR$53-1)^2+8*($CN72/CR$53)/(Peak_Time_Mor*$O58*CR$53))),"-")</f>
        <v>0.60726244624042</v>
      </c>
      <c r="CS72" s="165" t="n">
        <f aca="false">IF(CS$53&lt;Total_Lanes,900*Peak_Time_Mor*($CN72/CS$53-1+SQRT(($CN72/CS$53-1)^2+8*($CN72/CS$53)/(Peak_Time_Mor*$O58*CS$53))),"-")</f>
        <v>0.323263922439621</v>
      </c>
      <c r="CT72" s="165" t="n">
        <f aca="false">IF(CT$53&lt;Total_Lanes,900*Peak_Time_Mor*($CN72/CT$53-1+SQRT(($CN72/CT$53-1)^2+8*($CN72/CT$53)/(Peak_Time_Mor*$O58*CT$53))),"-")</f>
        <v>0.201844327551592</v>
      </c>
      <c r="CU72" s="165" t="n">
        <f aca="false">IF(CU$53&lt;Total_Lanes,900*Peak_Time_Mor*($CN72/CU$53-1+SQRT(($CN72/CU$53-1)^2+8*($CN72/CU$53)/(Peak_Time_Mor*$O58*CU$53))),"-")</f>
        <v>0.138325926635985</v>
      </c>
      <c r="CV72" s="165" t="n">
        <f aca="false">IF(CV$53&lt;Total_Lanes,900*Peak_Time_Mor*($CN72/CV$53-1+SQRT(($CN72/CV$53-1)^2+8*($CN72/CV$53)/(Peak_Time_Mor*$O58*CV$53))),"-")</f>
        <v>0.100822641940423</v>
      </c>
      <c r="CW72" s="165" t="n">
        <f aca="false">IF(CW$53&lt;Total_Lanes,900*Peak_Time_Mor*($CN72/CW$53-1+SQRT(($CN72/CW$53-1)^2+8*($CN72/CW$53)/(Peak_Time_Mor*$O58*CW$53))),"-")</f>
        <v>0.076795348806713</v>
      </c>
      <c r="CX72" s="165" t="n">
        <f aca="false">IF(CX$53&lt;Total_Lanes,900*Peak_Time_Mor*($CN72/CX$53-1+SQRT(($CN72/CX$53-1)^2+8*($CN72/CX$53)/(Peak_Time_Mor*$O58*CX$53))),"-")</f>
        <v>0.0604633468916482</v>
      </c>
      <c r="CY72" s="165" t="n">
        <f aca="false">IF(CY$53&lt;Total_Lanes,900*Peak_Time_Mor*($CN72/CY$53-1+SQRT(($CN72/CY$53-1)^2+8*($CN72/CY$53)/(Peak_Time_Mor*$O58*CY$53))),"-")</f>
        <v>0.0488510797701736</v>
      </c>
      <c r="CZ72" s="165" t="str">
        <f aca="false">IF(CZ$53&lt;Total_Lanes,900*Peak_Time_Mor*($CN72/CZ$53-1+SQRT(($CN72/CZ$53-1)^2+8*($CN72/CZ$53)/(Peak_Time_Mor*$O58*CZ$53))),"-")</f>
        <v>-</v>
      </c>
      <c r="DA72" s="165" t="str">
        <f aca="false">IF(DA$53&lt;Total_Lanes,900*Peak_Time_Mor*($CN72/DA$53-1+SQRT(($CN72/DA$53-1)^2+8*($CN72/DA$53)/(Peak_Time_Mor*$O58*DA$53))),"-")</f>
        <v>-</v>
      </c>
      <c r="DB72" s="165" t="str">
        <f aca="false">IF(DB$53&lt;Total_Lanes,900*Peak_Time_Mor*($CN72/DB$53-1+SQRT(($CN72/DB$53-1)^2+8*($CN72/DB$53)/(Peak_Time_Mor*$O58*DB$53))),"-")</f>
        <v>-</v>
      </c>
      <c r="DC72" s="165" t="str">
        <f aca="false">IF(DC$53&lt;Total_Lanes,900*Peak_Time_Mor*($CN72/DC$53-1+SQRT(($CN72/DC$53-1)^2+8*($CN72/DC$53)/(Peak_Time_Mor*$O58*DC$53))),"-")</f>
        <v>-</v>
      </c>
      <c r="DD72" s="165" t="str">
        <f aca="false">IF(DD$53&lt;Total_Lanes,900*Peak_Time_Mor*($CN72/DD$53-1+SQRT(($CN72/DD$53-1)^2+8*($CN72/DD$53)/(Peak_Time_Mor*$O58*DD$53))),"-")</f>
        <v>-</v>
      </c>
      <c r="DE72" s="165" t="str">
        <f aca="false">IF(DE$53&lt;Total_Lanes,900*Peak_Time_Mor*($CN72/DE$53-1+SQRT(($CN72/DE$53-1)^2+8*($CN72/DE$53)/(Peak_Time_Mor*$O58*DE$53))),"-")</f>
        <v>-</v>
      </c>
      <c r="DF72" s="165" t="str">
        <f aca="false">IF(DF$53&lt;Total_Lanes,900*Peak_Time_Mor*($CN72/DF$53-1+SQRT(($CN72/DF$53-1)^2+8*($CN72/DF$53)/(Peak_Time_Mor*$O58*DF$53))),"-")</f>
        <v>-</v>
      </c>
      <c r="DG72" s="165" t="str">
        <f aca="false">IF(DG$53&lt;Total_Lanes,900*Peak_Time_Mor*($CN72/DG$53-1+SQRT(($CN72/DG$53-1)^2+8*($CN72/DG$53)/(Peak_Time_Mor*$O58*DG$53))),"-")</f>
        <v>-</v>
      </c>
      <c r="DH72" s="165" t="str">
        <f aca="false">IF(DH$53&lt;Total_Lanes,900*Peak_Time_Mor*($CN72/DH$53-1+SQRT(($CN72/DH$53-1)^2+8*($CN72/DH$53)/(Peak_Time_Mor*$O58*DH$53))),"-")</f>
        <v>-</v>
      </c>
      <c r="DI72" s="166" t="str">
        <f aca="false">IF(DI$53&lt;Total_Lanes,900*Peak_Time_Mor*($CN72/DI$53-1+SQRT(($CN72/DI$53-1)^2+8*($CN72/DI$53)/(Peak_Time_Mor*$O58*DI$53))),"-")</f>
        <v>-</v>
      </c>
      <c r="DJ72" s="234" t="n">
        <f aca="false">3600/$O58</f>
        <v>2.4</v>
      </c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</row>
    <row r="73" customFormat="false" ht="12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50" t="n">
        <v>19</v>
      </c>
      <c r="W73" s="124" t="n">
        <f aca="false">W26</f>
        <v>29450808.65</v>
      </c>
      <c r="X73" s="131" t="n">
        <f aca="false">X26</f>
        <v>0.830563950021381</v>
      </c>
      <c r="Y73" s="124" t="n">
        <f aca="false">Y26</f>
        <v>12699.5390150268</v>
      </c>
      <c r="Z73" s="133" t="n">
        <f aca="false">W73/Y73</f>
        <v>2319.04548780488</v>
      </c>
      <c r="AA73" s="233" t="n">
        <f aca="false">AA26</f>
        <v>2</v>
      </c>
      <c r="AB73" s="157" t="n">
        <f aca="false">1-AB26</f>
        <v>0.3</v>
      </c>
      <c r="AC73" s="128" t="n">
        <f aca="false">Y73*AB73</f>
        <v>3809.86170450805</v>
      </c>
      <c r="AD73" s="150" t="n">
        <f aca="false">Peak_Time_Mor*$BH73*(CH73+BK73)/3600</f>
        <v>14.897503723643</v>
      </c>
      <c r="AE73" s="136" t="n">
        <f aca="false">IF(AE$53&lt;Total_Lanes,($BI73*($CH73+BM73)+$CM73*CO73)*Peak_Time_Mor/3600,"-")</f>
        <v>7032.55463879269</v>
      </c>
      <c r="AF73" s="136" t="n">
        <f aca="false">IF(AF$53&lt;Total_Lanes,($BI73*($CH73+BN73)+$CM73*CP73)*Peak_Time_Mor/3600,"-")</f>
        <v>385.939080472809</v>
      </c>
      <c r="AG73" s="136" t="n">
        <f aca="false">IF(AG$53&lt;Total_Lanes,($BI73*($CH73+BO73)+$CM73*CQ73)*Peak_Time_Mor/3600,"-")</f>
        <v>5.87362472875905</v>
      </c>
      <c r="AH73" s="136" t="n">
        <f aca="false">IF(AH$53&lt;Total_Lanes,($BI73*($CH73+BP73)+$CM73*CR73)*Peak_Time_Mor/3600,"-")</f>
        <v>3.7373418206544</v>
      </c>
      <c r="AI73" s="136" t="n">
        <f aca="false">IF(AI$53&lt;Total_Lanes,($BI73*($CH73+BQ73)+$CM73*CS73)*Peak_Time_Mor/3600,"-")</f>
        <v>3.19634009965697</v>
      </c>
      <c r="AJ73" s="136" t="n">
        <f aca="false">IF(AJ$53&lt;Total_Lanes,($BI73*($CH73+BR73)+$CM73*CT73)*Peak_Time_Mor/3600,"-")</f>
        <v>2.99393758143039</v>
      </c>
      <c r="AK73" s="136" t="n">
        <f aca="false">IF(AK$53&lt;Total_Lanes,($BI73*($CH73+BS73)+$CM73*CU73)*Peak_Time_Mor/3600,"-")</f>
        <v>2.92981406099283</v>
      </c>
      <c r="AL73" s="136" t="n">
        <f aca="false">IF(AL$53&lt;Total_Lanes,($BI73*($CH73+BT73)+$CM73*CV73)*Peak_Time_Mor/3600,"-")</f>
        <v>2.97640429399156</v>
      </c>
      <c r="AM73" s="136" t="n">
        <f aca="false">IF(AM$53&lt;Total_Lanes,($BI73*($CH73+BU73)+$CM73*CW73)*Peak_Time_Mor/3600,"-")</f>
        <v>3.24283912714279</v>
      </c>
      <c r="AN73" s="136" t="n">
        <f aca="false">IF(AN$53&lt;Total_Lanes,($BI73*($CH73+BV73)+$CM73*CX73)*Peak_Time_Mor/3600,"-")</f>
        <v>4.69838812325289</v>
      </c>
      <c r="AO73" s="136" t="n">
        <f aca="false">IF(AO$53&lt;Total_Lanes,($BI73*($CH73+BW73)+$CM73*CY73)*Peak_Time_Mor/3600,"-")</f>
        <v>339.156992960695</v>
      </c>
      <c r="AP73" s="136" t="str">
        <f aca="false">IF(AP$53&lt;Total_Lanes,($BI73*($CH73+BX73)+$CM73*CZ73)*Peak_Time_Mor/3600,"-")</f>
        <v>-</v>
      </c>
      <c r="AQ73" s="136" t="str">
        <f aca="false">IF(AQ$53&lt;Total_Lanes,($BI73*($CH73+BY73)+$CM73*DA73)*Peak_Time_Mor/3600,"-")</f>
        <v>-</v>
      </c>
      <c r="AR73" s="136" t="str">
        <f aca="false">IF(AR$53&lt;Total_Lanes,($BI73*($CH73+BZ73)+$CM73*DB73)*Peak_Time_Mor/3600,"-")</f>
        <v>-</v>
      </c>
      <c r="AS73" s="136" t="str">
        <f aca="false">IF(AS$53&lt;Total_Lanes,($BI73*($CH73+CA73)+$CM73*DC73)*Peak_Time_Mor/3600,"-")</f>
        <v>-</v>
      </c>
      <c r="AT73" s="136" t="str">
        <f aca="false">IF(AT$53&lt;Total_Lanes,($BI73*($CH73+CB73)+$CM73*DD73)*Peak_Time_Mor/3600,"-")</f>
        <v>-</v>
      </c>
      <c r="AU73" s="136" t="str">
        <f aca="false">IF(AU$53&lt;Total_Lanes,($BI73*($CH73+CC73)+$CM73*DE73)*Peak_Time_Mor/3600,"-")</f>
        <v>-</v>
      </c>
      <c r="AV73" s="136" t="str">
        <f aca="false">IF(AV$53&lt;Total_Lanes,($BI73*($CH73+CD73)+$CM73*DF73)*Peak_Time_Mor/3600,"-")</f>
        <v>-</v>
      </c>
      <c r="AW73" s="136" t="str">
        <f aca="false">IF(AW$53&lt;Total_Lanes,($BI73*($CH73+CE73)+$CM73*DG73)*Peak_Time_Mor/3600,"-")</f>
        <v>-</v>
      </c>
      <c r="AX73" s="136" t="str">
        <f aca="false">IF(AX$53&lt;Total_Lanes,($BI73*($CH73+CF73)+$CM73*DH73)*Peak_Time_Mor/3600,"-")</f>
        <v>-</v>
      </c>
      <c r="AY73" s="137" t="str">
        <f aca="false">IF(AY$53&lt;Total_Lanes,($BI73*($CH73+CG73)+$CM73*DI73)*Peak_Time_Mor/3600,"-")</f>
        <v>-</v>
      </c>
      <c r="AZ73" s="158" t="n">
        <f aca="false">SUMIF(AE73:AY73,BA73,$AE$53:$AY$53)</f>
        <v>7</v>
      </c>
      <c r="BA73" s="159" t="n">
        <f aca="false">MIN(AE73:AY73)</f>
        <v>2.92981406099283</v>
      </c>
      <c r="BB73" s="158" t="n">
        <f aca="false">Price!X26</f>
        <v>8</v>
      </c>
      <c r="BC73" s="159" t="n">
        <f aca="false">SUMIF($AE$53:$AY$53,$BB73,$AE73:$AY73)</f>
        <v>2.97640429399156</v>
      </c>
      <c r="BF73" s="50" t="n">
        <v>19</v>
      </c>
      <c r="BG73" s="131" t="n">
        <f aca="false">$X73</f>
        <v>0.830563950021381</v>
      </c>
      <c r="BH73" s="57" t="n">
        <f aca="false">$AC73</f>
        <v>3809.86170450805</v>
      </c>
      <c r="BI73" s="135" t="n">
        <f aca="false">BH73*(1-BG73)</f>
        <v>645.527918176654</v>
      </c>
      <c r="BJ73" s="143" t="n">
        <f aca="false">Peak_Arrival_Manual_Mor/K59</f>
        <v>1.17898501722542</v>
      </c>
      <c r="BK73" s="228" t="n">
        <f aca="false">900*Peak_Time_Mor*($BJ73/Total_Lanes-1+SQRT(($BJ73/Total_Lanes-1)^2+8*($BJ73/Total_Lanes)/(Peak_Time_Mor*$K59*Total_Lanes)))</f>
        <v>0.0596962173069926</v>
      </c>
      <c r="BL73" s="143" t="n">
        <f aca="false">Peak_Arrival_Manual_Mor/N59</f>
        <v>1.25138276638203</v>
      </c>
      <c r="BM73" s="229" t="n">
        <f aca="false">IF(BM$6&lt;Total_Lanes,900*Peak_Time_Mor*($BL73/(Total_Lanes-BM$6)-1+SQRT(($BL73/(Total_Lanes-BM$6)-1)^2+8*($BL73/(Total_Lanes-BM$6))/(Peak_Time_Mor*$N59*(Total_Lanes-BM$6)))),"-")</f>
        <v>0.0814368602604976</v>
      </c>
      <c r="BN73" s="165" t="n">
        <f aca="false">IF(BN$6&lt;Total_Lanes,900*Peak_Time_Mor*($BL73/(Total_Lanes-BN$6)-1+SQRT(($BL73/(Total_Lanes-BN$6)-1)^2+8*($BL73/(Total_Lanes-BN$6))/(Peak_Time_Mor*$N59*(Total_Lanes-BN$6)))),"-")</f>
        <v>0.0998193254173607</v>
      </c>
      <c r="BO73" s="165" t="n">
        <f aca="false">IF(BO$6&lt;Total_Lanes,900*Peak_Time_Mor*($BL73/(Total_Lanes-BO$6)-1+SQRT(($BL73/(Total_Lanes-BO$6)-1)^2+8*($BL73/(Total_Lanes-BO$6))/(Peak_Time_Mor*$N59*(Total_Lanes-BO$6)))),"-")</f>
        <v>0.12522283941494</v>
      </c>
      <c r="BP73" s="165" t="n">
        <f aca="false">IF(BP$6&lt;Total_Lanes,900*Peak_Time_Mor*($BL73/(Total_Lanes-BP$6)-1+SQRT(($BL73/(Total_Lanes-BP$6)-1)^2+8*($BL73/(Total_Lanes-BP$6))/(Peak_Time_Mor*$N59*(Total_Lanes-BP$6)))),"-")</f>
        <v>0.161748363903502</v>
      </c>
      <c r="BQ73" s="165" t="n">
        <f aca="false">IF(BQ$6&lt;Total_Lanes,900*Peak_Time_Mor*($BL73/(Total_Lanes-BQ$6)-1+SQRT(($BL73/(Total_Lanes-BQ$6)-1)^2+8*($BL73/(Total_Lanes-BQ$6))/(Peak_Time_Mor*$N59*(Total_Lanes-BQ$6)))),"-")</f>
        <v>0.217007378813583</v>
      </c>
      <c r="BR73" s="165" t="n">
        <f aca="false">IF(BR$6&lt;Total_Lanes,900*Peak_Time_Mor*($BL73/(Total_Lanes-BR$6)-1+SQRT(($BL73/(Total_Lanes-BR$6)-1)^2+8*($BL73/(Total_Lanes-BR$6))/(Peak_Time_Mor*$N59*(Total_Lanes-BR$6)))),"-")</f>
        <v>0.306480383272367</v>
      </c>
      <c r="BS73" s="165" t="n">
        <f aca="false">IF(BS$6&lt;Total_Lanes,900*Peak_Time_Mor*($BL73/(Total_Lanes-BS$6)-1+SQRT(($BL73/(Total_Lanes-BS$6)-1)^2+8*($BL73/(Total_Lanes-BS$6))/(Peak_Time_Mor*$N59*(Total_Lanes-BS$6)))),"-")</f>
        <v>0.46585606587064</v>
      </c>
      <c r="BT73" s="165" t="n">
        <f aca="false">IF(BT$6&lt;Total_Lanes,900*Peak_Time_Mor*($BL73/(Total_Lanes-BT$6)-1+SQRT(($BL73/(Total_Lanes-BT$6)-1)^2+8*($BL73/(Total_Lanes-BT$6))/(Peak_Time_Mor*$N59*(Total_Lanes-BT$6)))),"-")</f>
        <v>0.794061555922365</v>
      </c>
      <c r="BU73" s="165" t="n">
        <f aca="false">IF(BU$6&lt;Total_Lanes,900*Peak_Time_Mor*($BL73/(Total_Lanes-BU$6)-1+SQRT(($BL73/(Total_Lanes-BU$6)-1)^2+8*($BL73/(Total_Lanes-BU$6))/(Peak_Time_Mor*$N59*(Total_Lanes-BU$6)))),"-")</f>
        <v>1.66344196911001</v>
      </c>
      <c r="BV73" s="165" t="n">
        <f aca="false">IF(BV$6&lt;Total_Lanes,900*Peak_Time_Mor*($BL73/(Total_Lanes-BV$6)-1+SQRT(($BL73/(Total_Lanes-BV$6)-1)^2+8*($BL73/(Total_Lanes-BV$6))/(Peak_Time_Mor*$N59*(Total_Lanes-BV$6)))),"-")</f>
        <v>5.80778063979338</v>
      </c>
      <c r="BW73" s="230" t="n">
        <f aca="false">IF(BW$6&lt;Total_Lanes,900*Peak_Time_Mor*($BL73/(Total_Lanes-BW$6)-1+SQRT(($BL73/(Total_Lanes-BW$6)-1)^2+8*($BL73/(Total_Lanes-BW$6))/(Peak_Time_Mor*$N59*(Total_Lanes-BW$6)))),"-")</f>
        <v>938.478065259125</v>
      </c>
      <c r="BX73" s="165" t="str">
        <f aca="false">IF(BX$6&lt;Total_Lanes,900*Peak_Time_Mor*($BL73/(Total_Lanes-BX$6)-1+SQRT(($BL73/(Total_Lanes-BX$6)-1)^2+8*($BL73/(Total_Lanes-BX$6))/(Peak_Time_Mor*$N59*(Total_Lanes-BX$6)))),"-")</f>
        <v>-</v>
      </c>
      <c r="BY73" s="165" t="str">
        <f aca="false">IF(BY$6&lt;Total_Lanes,900*Peak_Time_Mor*($BL73/(Total_Lanes-BY$6)-1+SQRT(($BL73/(Total_Lanes-BY$6)-1)^2+8*($BL73/(Total_Lanes-BY$6))/(Peak_Time_Mor*$N59*(Total_Lanes-BY$6)))),"-")</f>
        <v>-</v>
      </c>
      <c r="BZ73" s="165" t="str">
        <f aca="false">IF(BZ$6&lt;Total_Lanes,900*Peak_Time_Mor*($BL73/(Total_Lanes-BZ$6)-1+SQRT(($BL73/(Total_Lanes-BZ$6)-1)^2+8*($BL73/(Total_Lanes-BZ$6))/(Peak_Time_Mor*$N59*(Total_Lanes-BZ$6)))),"-")</f>
        <v>-</v>
      </c>
      <c r="CA73" s="165" t="str">
        <f aca="false">IF(CA$6&lt;Total_Lanes,900*Peak_Time_Mor*($BL73/(Total_Lanes-CA$6)-1+SQRT(($BL73/(Total_Lanes-CA$6)-1)^2+8*($BL73/(Total_Lanes-CA$6))/(Peak_Time_Mor*$N59*(Total_Lanes-CA$6)))),"-")</f>
        <v>-</v>
      </c>
      <c r="CB73" s="165" t="str">
        <f aca="false">IF(CB$6&lt;Total_Lanes,900*Peak_Time_Mor*($BL73/(Total_Lanes-CB$6)-1+SQRT(($BL73/(Total_Lanes-CB$6)-1)^2+8*($BL73/(Total_Lanes-CB$6))/(Peak_Time_Mor*$N59*(Total_Lanes-CB$6)))),"-")</f>
        <v>-</v>
      </c>
      <c r="CC73" s="165" t="str">
        <f aca="false">IF(CC$6&lt;Total_Lanes,900*Peak_Time_Mor*($BL73/(Total_Lanes-CC$6)-1+SQRT(($BL73/(Total_Lanes-CC$6)-1)^2+8*($BL73/(Total_Lanes-CC$6))/(Peak_Time_Mor*$N59*(Total_Lanes-CC$6)))),"-")</f>
        <v>-</v>
      </c>
      <c r="CD73" s="165" t="str">
        <f aca="false">IF(CD$6&lt;Total_Lanes,900*Peak_Time_Mor*($BL73/(Total_Lanes-CD$6)-1+SQRT(($BL73/(Total_Lanes-CD$6)-1)^2+8*($BL73/(Total_Lanes-CD$6))/(Peak_Time_Mor*$N59*(Total_Lanes-CD$6)))),"-")</f>
        <v>-</v>
      </c>
      <c r="CE73" s="165" t="str">
        <f aca="false">IF(CE$6&lt;Total_Lanes,900*Peak_Time_Mor*($BL73/(Total_Lanes-CE$6)-1+SQRT(($BL73/(Total_Lanes-CE$6)-1)^2+8*($BL73/(Total_Lanes-CE$6))/(Peak_Time_Mor*$N59*(Total_Lanes-CE$6)))),"-")</f>
        <v>-</v>
      </c>
      <c r="CF73" s="165" t="str">
        <f aca="false">IF(CF$6&lt;Total_Lanes,900*Peak_Time_Mor*($BL73/(Total_Lanes-CF$6)-1+SQRT(($BL73/(Total_Lanes-CF$6)-1)^2+8*($BL73/(Total_Lanes-CF$6))/(Peak_Time_Mor*$N59*(Total_Lanes-CF$6)))),"-")</f>
        <v>-</v>
      </c>
      <c r="CG73" s="166" t="str">
        <f aca="false">IF(CG$6&lt;Total_Lanes,900*Peak_Time_Mor*($BL73/(Total_Lanes-CG$6)-1+SQRT(($BL73/(Total_Lanes-CG$6)-1)^2+8*($BL73/(Total_Lanes-CG$6))/(Peak_Time_Mor*$N59*(Total_Lanes-CG$6)))),"-")</f>
        <v>-</v>
      </c>
      <c r="CH73" s="234" t="n">
        <f aca="false">3600/N59</f>
        <v>6.97875</v>
      </c>
      <c r="CJ73" s="50" t="n">
        <v>19</v>
      </c>
      <c r="CK73" s="131" t="n">
        <f aca="false">$X73</f>
        <v>0.830563950021381</v>
      </c>
      <c r="CL73" s="150" t="n">
        <f aca="false">$AC73</f>
        <v>3809.86170450805</v>
      </c>
      <c r="CM73" s="150" t="n">
        <f aca="false">CL73*CK73</f>
        <v>3164.3337863314</v>
      </c>
      <c r="CN73" s="161" t="n">
        <f aca="false">CM73/O59</f>
        <v>2.10955585755427</v>
      </c>
      <c r="CO73" s="165" t="n">
        <f aca="false">IF(CO$53&lt;Total_Lanes,900*Peak_Time_Mor*($CN73/CO$53-1+SQRT(($CN73/CO$53-1)^2+8*($CN73/CO$53)/(Peak_Time_Mor*$O59*CO$53))),"-")</f>
        <v>3998.95891411999</v>
      </c>
      <c r="CP73" s="165" t="n">
        <f aca="false">IF(CP$53&lt;Total_Lanes,900*Peak_Time_Mor*($CN73/CP$53-1+SQRT(($CN73/CP$53-1)^2+8*($CN73/CP$53)/(Peak_Time_Mor*$O59*CP$53))),"-")</f>
        <v>218.093594838757</v>
      </c>
      <c r="CQ73" s="165" t="n">
        <f aca="false">IF(CQ$53&lt;Total_Lanes,900*Peak_Time_Mor*($CN73/CQ$53-1+SQRT(($CN73/CQ$53-1)^2+8*($CN73/CQ$53)/(Peak_Time_Mor*$O59*CQ$53))),"-")</f>
        <v>1.89193432747689</v>
      </c>
      <c r="CR73" s="165" t="n">
        <f aca="false">IF(CR$53&lt;Total_Lanes,900*Peak_Time_Mor*($CN73/CR$53-1+SQRT(($CN73/CR$53-1)^2+8*($CN73/CR$53)/(Peak_Time_Mor*$O59*CR$53))),"-")</f>
        <v>0.669279657769228</v>
      </c>
      <c r="CS73" s="165" t="n">
        <f aca="false">IF(CS$53&lt;Total_Lanes,900*Peak_Time_Mor*($CN73/CS$53-1+SQRT(($CN73/CS$53-1)^2+8*($CN73/CS$53)/(Peak_Time_Mor*$O59*CS$53))),"-")</f>
        <v>0.350263269861206</v>
      </c>
      <c r="CT73" s="165" t="n">
        <f aca="false">IF(CT$53&lt;Total_Lanes,900*Peak_Time_Mor*($CN73/CT$53-1+SQRT(($CN73/CT$53-1)^2+8*($CN73/CT$53)/(Peak_Time_Mor*$O59*CT$53))),"-")</f>
        <v>0.216875996706789</v>
      </c>
      <c r="CU73" s="165" t="n">
        <f aca="false">IF(CU$53&lt;Total_Lanes,900*Peak_Time_Mor*($CN73/CU$53-1+SQRT(($CN73/CU$53-1)^2+8*($CN73/CU$53)/(Peak_Time_Mor*$O59*CU$53))),"-")</f>
        <v>0.147887133924285</v>
      </c>
      <c r="CV73" s="165" t="n">
        <f aca="false">IF(CV$53&lt;Total_Lanes,900*Peak_Time_Mor*($CN73/CV$53-1+SQRT(($CN73/CV$53-1)^2+8*($CN73/CV$53)/(Peak_Time_Mor*$O59*CV$53))),"-")</f>
        <v>0.107435210716167</v>
      </c>
      <c r="CW73" s="165" t="n">
        <f aca="false">IF(CW$53&lt;Total_Lanes,900*Peak_Time_Mor*($CN73/CW$53-1+SQRT(($CN73/CW$53-1)^2+8*($CN73/CW$53)/(Peak_Time_Mor*$O59*CW$53))),"-")</f>
        <v>0.0816393768793722</v>
      </c>
      <c r="CX73" s="165" t="n">
        <f aca="false">IF(CX$53&lt;Total_Lanes,900*Peak_Time_Mor*($CN73/CX$53-1+SQRT(($CN73/CX$53-1)^2+8*($CN73/CX$53)/(Peak_Time_Mor*$O59*CX$53))),"-")</f>
        <v>0.0641639381169012</v>
      </c>
      <c r="CY73" s="165" t="n">
        <f aca="false">IF(CY$53&lt;Total_Lanes,900*Peak_Time_Mor*($CN73/CY$53-1+SQRT(($CN73/CY$53-1)^2+8*($CN73/CY$53)/(Peak_Time_Mor*$O59*CY$53))),"-")</f>
        <v>0.0517700281200018</v>
      </c>
      <c r="CZ73" s="165" t="str">
        <f aca="false">IF(CZ$53&lt;Total_Lanes,900*Peak_Time_Mor*($CN73/CZ$53-1+SQRT(($CN73/CZ$53-1)^2+8*($CN73/CZ$53)/(Peak_Time_Mor*$O59*CZ$53))),"-")</f>
        <v>-</v>
      </c>
      <c r="DA73" s="165" t="str">
        <f aca="false">IF(DA$53&lt;Total_Lanes,900*Peak_Time_Mor*($CN73/DA$53-1+SQRT(($CN73/DA$53-1)^2+8*($CN73/DA$53)/(Peak_Time_Mor*$O59*DA$53))),"-")</f>
        <v>-</v>
      </c>
      <c r="DB73" s="165" t="str">
        <f aca="false">IF(DB$53&lt;Total_Lanes,900*Peak_Time_Mor*($CN73/DB$53-1+SQRT(($CN73/DB$53-1)^2+8*($CN73/DB$53)/(Peak_Time_Mor*$O59*DB$53))),"-")</f>
        <v>-</v>
      </c>
      <c r="DC73" s="165" t="str">
        <f aca="false">IF(DC$53&lt;Total_Lanes,900*Peak_Time_Mor*($CN73/DC$53-1+SQRT(($CN73/DC$53-1)^2+8*($CN73/DC$53)/(Peak_Time_Mor*$O59*DC$53))),"-")</f>
        <v>-</v>
      </c>
      <c r="DD73" s="165" t="str">
        <f aca="false">IF(DD$53&lt;Total_Lanes,900*Peak_Time_Mor*($CN73/DD$53-1+SQRT(($CN73/DD$53-1)^2+8*($CN73/DD$53)/(Peak_Time_Mor*$O59*DD$53))),"-")</f>
        <v>-</v>
      </c>
      <c r="DE73" s="165" t="str">
        <f aca="false">IF(DE$53&lt;Total_Lanes,900*Peak_Time_Mor*($CN73/DE$53-1+SQRT(($CN73/DE$53-1)^2+8*($CN73/DE$53)/(Peak_Time_Mor*$O59*DE$53))),"-")</f>
        <v>-</v>
      </c>
      <c r="DF73" s="165" t="str">
        <f aca="false">IF(DF$53&lt;Total_Lanes,900*Peak_Time_Mor*($CN73/DF$53-1+SQRT(($CN73/DF$53-1)^2+8*($CN73/DF$53)/(Peak_Time_Mor*$O59*DF$53))),"-")</f>
        <v>-</v>
      </c>
      <c r="DG73" s="165" t="str">
        <f aca="false">IF(DG$53&lt;Total_Lanes,900*Peak_Time_Mor*($CN73/DG$53-1+SQRT(($CN73/DG$53-1)^2+8*($CN73/DG$53)/(Peak_Time_Mor*$O59*DG$53))),"-")</f>
        <v>-</v>
      </c>
      <c r="DH73" s="165" t="str">
        <f aca="false">IF(DH$53&lt;Total_Lanes,900*Peak_Time_Mor*($CN73/DH$53-1+SQRT(($CN73/DH$53-1)^2+8*($CN73/DH$53)/(Peak_Time_Mor*$O59*DH$53))),"-")</f>
        <v>-</v>
      </c>
      <c r="DI73" s="166" t="str">
        <f aca="false">IF(DI$53&lt;Total_Lanes,900*Peak_Time_Mor*($CN73/DI$53-1+SQRT(($CN73/DI$53-1)^2+8*($CN73/DI$53)/(Peak_Time_Mor*$O59*DI$53))),"-")</f>
        <v>-</v>
      </c>
      <c r="DJ73" s="234" t="n">
        <f aca="false">3600/$O59</f>
        <v>2.4</v>
      </c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</row>
    <row r="74" customFormat="false" ht="12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82" t="n">
        <v>20</v>
      </c>
      <c r="W74" s="174" t="n">
        <f aca="false">W27</f>
        <v>30000000</v>
      </c>
      <c r="X74" s="169" t="n">
        <f aca="false">X27</f>
        <v>0.85118550512719</v>
      </c>
      <c r="Y74" s="174" t="n">
        <f aca="false">Y27</f>
        <v>12936.356857923</v>
      </c>
      <c r="Z74" s="175" t="n">
        <f aca="false">W74/Y74</f>
        <v>2319.04548780488</v>
      </c>
      <c r="AA74" s="174" t="n">
        <f aca="false">AA27</f>
        <v>2</v>
      </c>
      <c r="AB74" s="177" t="n">
        <f aca="false">1-AB27</f>
        <v>0.3</v>
      </c>
      <c r="AC74" s="239" t="n">
        <f aca="false">Y74*AB74</f>
        <v>3880.9070573769</v>
      </c>
      <c r="AD74" s="170" t="n">
        <f aca="false">Peak_Time_Mor*$BH74*(CH74+BK74)/3600</f>
        <v>15.2062619868251</v>
      </c>
      <c r="AE74" s="178" t="n">
        <f aca="false">IF(AE$53&lt;Total_Lanes,($BI74*($CH74+BM74)+$CM74*CO74)*Peak_Time_Mor/3600,"-")</f>
        <v>7953.27268212849</v>
      </c>
      <c r="AF74" s="178" t="n">
        <f aca="false">IF(AF$53&lt;Total_Lanes,($BI74*($CH74+BN74)+$CM74*CP74)*Peak_Time_Mor/3600,"-")</f>
        <v>693.550358914883</v>
      </c>
      <c r="AG74" s="178" t="n">
        <f aca="false">IF(AG$53&lt;Total_Lanes,($BI74*($CH74+BO74)+$CM74*CQ74)*Peak_Time_Mor/3600,"-")</f>
        <v>6.32520739712852</v>
      </c>
      <c r="AH74" s="178" t="n">
        <f aca="false">IF(AH$53&lt;Total_Lanes,($BI74*($CH74+BP74)+$CM74*CR74)*Peak_Time_Mor/3600,"-")</f>
        <v>3.64007836863464</v>
      </c>
      <c r="AI74" s="178" t="n">
        <f aca="false">IF(AI$53&lt;Total_Lanes,($BI74*($CH74+BQ74)+$CM74*CS74)*Peak_Time_Mor/3600,"-")</f>
        <v>3.0005442070968</v>
      </c>
      <c r="AJ74" s="178" t="n">
        <f aca="false">IF(AJ$53&lt;Total_Lanes,($BI74*($CH74+BR74)+$CM74*CT74)*Peak_Time_Mor/3600,"-")</f>
        <v>2.75779348315629</v>
      </c>
      <c r="AK74" s="178" t="n">
        <f aca="false">IF(AK$53&lt;Total_Lanes,($BI74*($CH74+BS74)+$CM74*CU74)*Peak_Time_Mor/3600,"-")</f>
        <v>2.66486249220657</v>
      </c>
      <c r="AL74" s="178" t="n">
        <f aca="false">IF(AL$53&lt;Total_Lanes,($BI74*($CH74+BT74)+$CM74*CV74)*Peak_Time_Mor/3600,"-")</f>
        <v>2.67419906396563</v>
      </c>
      <c r="AM74" s="178" t="n">
        <f aca="false">IF(AM$53&lt;Total_Lanes,($BI74*($CH74+BU74)+$CM74*CW74)*Peak_Time_Mor/3600,"-")</f>
        <v>2.85214200786196</v>
      </c>
      <c r="AN74" s="178" t="n">
        <f aca="false">IF(AN$53&lt;Total_Lanes,($BI74*($CH74+BV74)+$CM74*CX74)*Peak_Time_Mor/3600,"-")</f>
        <v>3.80424132160925</v>
      </c>
      <c r="AO74" s="178" t="n">
        <f aca="false">IF(AO$53&lt;Total_Lanes,($BI74*($CH74+BW74)+$CM74*CY74)*Peak_Time_Mor/3600,"-")</f>
        <v>162.583888143374</v>
      </c>
      <c r="AP74" s="178" t="str">
        <f aca="false">IF(AP$53&lt;Total_Lanes,($BI74*($CH74+BX74)+$CM74*CZ74)*Peak_Time_Mor/3600,"-")</f>
        <v>-</v>
      </c>
      <c r="AQ74" s="178" t="str">
        <f aca="false">IF(AQ$53&lt;Total_Lanes,($BI74*($CH74+BY74)+$CM74*DA74)*Peak_Time_Mor/3600,"-")</f>
        <v>-</v>
      </c>
      <c r="AR74" s="178" t="str">
        <f aca="false">IF(AR$53&lt;Total_Lanes,($BI74*($CH74+BZ74)+$CM74*DB74)*Peak_Time_Mor/3600,"-")</f>
        <v>-</v>
      </c>
      <c r="AS74" s="178" t="str">
        <f aca="false">IF(AS$53&lt;Total_Lanes,($BI74*($CH74+CA74)+$CM74*DC74)*Peak_Time_Mor/3600,"-")</f>
        <v>-</v>
      </c>
      <c r="AT74" s="178" t="str">
        <f aca="false">IF(AT$53&lt;Total_Lanes,($BI74*($CH74+CB74)+$CM74*DD74)*Peak_Time_Mor/3600,"-")</f>
        <v>-</v>
      </c>
      <c r="AU74" s="178" t="str">
        <f aca="false">IF(AU$53&lt;Total_Lanes,($BI74*($CH74+CC74)+$CM74*DE74)*Peak_Time_Mor/3600,"-")</f>
        <v>-</v>
      </c>
      <c r="AV74" s="178" t="str">
        <f aca="false">IF(AV$53&lt;Total_Lanes,($BI74*($CH74+CD74)+$CM74*DF74)*Peak_Time_Mor/3600,"-")</f>
        <v>-</v>
      </c>
      <c r="AW74" s="178" t="str">
        <f aca="false">IF(AW$53&lt;Total_Lanes,($BI74*($CH74+CE74)+$CM74*DG74)*Peak_Time_Mor/3600,"-")</f>
        <v>-</v>
      </c>
      <c r="AX74" s="178" t="str">
        <f aca="false">IF(AX$53&lt;Total_Lanes,($BI74*($CH74+CF74)+$CM74*DH74)*Peak_Time_Mor/3600,"-")</f>
        <v>-</v>
      </c>
      <c r="AY74" s="179" t="str">
        <f aca="false">IF(AY$53&lt;Total_Lanes,($BI74*($CH74+CG74)+$CM74*DI74)*Peak_Time_Mor/3600,"-")</f>
        <v>-</v>
      </c>
      <c r="AZ74" s="180" t="n">
        <f aca="false">SUMIF(AE74:AY74,BA74,$AE$53:$AY$53)</f>
        <v>7</v>
      </c>
      <c r="BA74" s="181" t="n">
        <f aca="false">MIN(AE74:AY74)</f>
        <v>2.66486249220657</v>
      </c>
      <c r="BB74" s="180" t="n">
        <f aca="false">Price!X27</f>
        <v>8</v>
      </c>
      <c r="BC74" s="181" t="n">
        <f aca="false">SUMIF($AE$53:$AY$53,$BB74,$AE74:$AY74)</f>
        <v>2.67419906396563</v>
      </c>
      <c r="BF74" s="82" t="n">
        <v>20</v>
      </c>
      <c r="BG74" s="169" t="n">
        <f aca="false">$X74</f>
        <v>0.85118550512719</v>
      </c>
      <c r="BH74" s="89" t="n">
        <f aca="false">$AC74</f>
        <v>3880.9070573769</v>
      </c>
      <c r="BI74" s="172" t="n">
        <f aca="false">BH74*(1-BG74)</f>
        <v>577.535223391866</v>
      </c>
      <c r="BJ74" s="183" t="n">
        <f aca="false">Peak_Arrival_Manual_Mor/K60</f>
        <v>1.05480391494487</v>
      </c>
      <c r="BK74" s="240" t="n">
        <f aca="false">900*Peak_Time_Mor*($BJ74/Total_Lanes-1+SQRT(($BJ74/Total_Lanes-1)^2+8*($BJ74/Total_Lanes)/(Peak_Time_Mor*$K60*Total_Lanes)))</f>
        <v>0.0528026493850975</v>
      </c>
      <c r="BL74" s="183" t="n">
        <f aca="false">Peak_Arrival_Manual_Mor/N60</f>
        <v>1.12298515659529</v>
      </c>
      <c r="BM74" s="241" t="n">
        <f aca="false">IF(BM$6&lt;Total_Lanes,900*Peak_Time_Mor*($BL74/(Total_Lanes-BM$6)-1+SQRT(($BL74/(Total_Lanes-BM$6)-1)^2+8*($BL74/(Total_Lanes-BM$6))/(Peak_Time_Mor*$N60*(Total_Lanes-BM$6)))),"-")</f>
        <v>0.072350900994933</v>
      </c>
      <c r="BN74" s="191" t="n">
        <f aca="false">IF(BN$6&lt;Total_Lanes,900*Peak_Time_Mor*($BL74/(Total_Lanes-BN$6)-1+SQRT(($BL74/(Total_Lanes-BN$6)-1)^2+8*($BL74/(Total_Lanes-BN$6))/(Peak_Time_Mor*$N60*(Total_Lanes-BN$6)))),"-")</f>
        <v>0.0885509196718592</v>
      </c>
      <c r="BO74" s="191" t="n">
        <f aca="false">IF(BO$6&lt;Total_Lanes,900*Peak_Time_Mor*($BL74/(Total_Lanes-BO$6)-1+SQRT(($BL74/(Total_Lanes-BO$6)-1)^2+8*($BL74/(Total_Lanes-BO$6))/(Peak_Time_Mor*$N60*(Total_Lanes-BO$6)))),"-")</f>
        <v>0.110879842311928</v>
      </c>
      <c r="BP74" s="191" t="n">
        <f aca="false">IF(BP$6&lt;Total_Lanes,900*Peak_Time_Mor*($BL74/(Total_Lanes-BP$6)-1+SQRT(($BL74/(Total_Lanes-BP$6)-1)^2+8*($BL74/(Total_Lanes-BP$6))/(Peak_Time_Mor*$N60*(Total_Lanes-BP$6)))),"-")</f>
        <v>0.142876912492951</v>
      </c>
      <c r="BQ74" s="191" t="n">
        <f aca="false">IF(BQ$6&lt;Total_Lanes,900*Peak_Time_Mor*($BL74/(Total_Lanes-BQ$6)-1+SQRT(($BL74/(Total_Lanes-BQ$6)-1)^2+8*($BL74/(Total_Lanes-BQ$6))/(Peak_Time_Mor*$N60*(Total_Lanes-BQ$6)))),"-")</f>
        <v>0.191068799403626</v>
      </c>
      <c r="BR74" s="191" t="n">
        <f aca="false">IF(BR$6&lt;Total_Lanes,900*Peak_Time_Mor*($BL74/(Total_Lanes-BR$6)-1+SQRT(($BL74/(Total_Lanes-BR$6)-1)^2+8*($BL74/(Total_Lanes-BR$6))/(Peak_Time_Mor*$N60*(Total_Lanes-BR$6)))),"-")</f>
        <v>0.268612898793474</v>
      </c>
      <c r="BS74" s="191" t="n">
        <f aca="false">IF(BS$6&lt;Total_Lanes,900*Peak_Time_Mor*($BL74/(Total_Lanes-BS$6)-1+SQRT(($BL74/(Total_Lanes-BS$6)-1)^2+8*($BL74/(Total_Lanes-BS$6))/(Peak_Time_Mor*$N60*(Total_Lanes-BS$6)))),"-")</f>
        <v>0.405453927640331</v>
      </c>
      <c r="BT74" s="191" t="n">
        <f aca="false">IF(BT$6&lt;Total_Lanes,900*Peak_Time_Mor*($BL74/(Total_Lanes-BT$6)-1+SQRT(($BL74/(Total_Lanes-BT$6)-1)^2+8*($BL74/(Total_Lanes-BT$6))/(Peak_Time_Mor*$N60*(Total_Lanes-BT$6)))),"-")</f>
        <v>0.682897366066126</v>
      </c>
      <c r="BU74" s="191" t="n">
        <f aca="false">IF(BU$6&lt;Total_Lanes,900*Peak_Time_Mor*($BL74/(Total_Lanes-BU$6)-1+SQRT(($BL74/(Total_Lanes-BU$6)-1)^2+8*($BL74/(Total_Lanes-BU$6))/(Peak_Time_Mor*$N60*(Total_Lanes-BU$6)))),"-")</f>
        <v>1.39512839862888</v>
      </c>
      <c r="BV74" s="191" t="n">
        <f aca="false">IF(BV$6&lt;Total_Lanes,900*Peak_Time_Mor*($BL74/(Total_Lanes-BV$6)-1+SQRT(($BL74/(Total_Lanes-BV$6)-1)^2+8*($BL74/(Total_Lanes-BV$6))/(Peak_Time_Mor*$N60*(Total_Lanes-BV$6)))),"-")</f>
        <v>4.46896959004814</v>
      </c>
      <c r="BW74" s="242" t="n">
        <f aca="false">IF(BW$6&lt;Total_Lanes,900*Peak_Time_Mor*($BL74/(Total_Lanes-BW$6)-1+SQRT(($BL74/(Total_Lanes-BW$6)-1)^2+8*($BL74/(Total_Lanes-BW$6))/(Peak_Time_Mor*$N60*(Total_Lanes-BW$6)))),"-")</f>
        <v>499.411689061568</v>
      </c>
      <c r="BX74" s="191" t="str">
        <f aca="false">IF(BX$6&lt;Total_Lanes,900*Peak_Time_Mor*($BL74/(Total_Lanes-BX$6)-1+SQRT(($BL74/(Total_Lanes-BX$6)-1)^2+8*($BL74/(Total_Lanes-BX$6))/(Peak_Time_Mor*$N60*(Total_Lanes-BX$6)))),"-")</f>
        <v>-</v>
      </c>
      <c r="BY74" s="191" t="str">
        <f aca="false">IF(BY$6&lt;Total_Lanes,900*Peak_Time_Mor*($BL74/(Total_Lanes-BY$6)-1+SQRT(($BL74/(Total_Lanes-BY$6)-1)^2+8*($BL74/(Total_Lanes-BY$6))/(Peak_Time_Mor*$N60*(Total_Lanes-BY$6)))),"-")</f>
        <v>-</v>
      </c>
      <c r="BZ74" s="191" t="str">
        <f aca="false">IF(BZ$6&lt;Total_Lanes,900*Peak_Time_Mor*($BL74/(Total_Lanes-BZ$6)-1+SQRT(($BL74/(Total_Lanes-BZ$6)-1)^2+8*($BL74/(Total_Lanes-BZ$6))/(Peak_Time_Mor*$N60*(Total_Lanes-BZ$6)))),"-")</f>
        <v>-</v>
      </c>
      <c r="CA74" s="191" t="str">
        <f aca="false">IF(CA$6&lt;Total_Lanes,900*Peak_Time_Mor*($BL74/(Total_Lanes-CA$6)-1+SQRT(($BL74/(Total_Lanes-CA$6)-1)^2+8*($BL74/(Total_Lanes-CA$6))/(Peak_Time_Mor*$N60*(Total_Lanes-CA$6)))),"-")</f>
        <v>-</v>
      </c>
      <c r="CB74" s="191" t="str">
        <f aca="false">IF(CB$6&lt;Total_Lanes,900*Peak_Time_Mor*($BL74/(Total_Lanes-CB$6)-1+SQRT(($BL74/(Total_Lanes-CB$6)-1)^2+8*($BL74/(Total_Lanes-CB$6))/(Peak_Time_Mor*$N60*(Total_Lanes-CB$6)))),"-")</f>
        <v>-</v>
      </c>
      <c r="CC74" s="191" t="str">
        <f aca="false">IF(CC$6&lt;Total_Lanes,900*Peak_Time_Mor*($BL74/(Total_Lanes-CC$6)-1+SQRT(($BL74/(Total_Lanes-CC$6)-1)^2+8*($BL74/(Total_Lanes-CC$6))/(Peak_Time_Mor*$N60*(Total_Lanes-CC$6)))),"-")</f>
        <v>-</v>
      </c>
      <c r="CD74" s="191" t="str">
        <f aca="false">IF(CD$6&lt;Total_Lanes,900*Peak_Time_Mor*($BL74/(Total_Lanes-CD$6)-1+SQRT(($BL74/(Total_Lanes-CD$6)-1)^2+8*($BL74/(Total_Lanes-CD$6))/(Peak_Time_Mor*$N60*(Total_Lanes-CD$6)))),"-")</f>
        <v>-</v>
      </c>
      <c r="CE74" s="191" t="str">
        <f aca="false">IF(CE$6&lt;Total_Lanes,900*Peak_Time_Mor*($BL74/(Total_Lanes-CE$6)-1+SQRT(($BL74/(Total_Lanes-CE$6)-1)^2+8*($BL74/(Total_Lanes-CE$6))/(Peak_Time_Mor*$N60*(Total_Lanes-CE$6)))),"-")</f>
        <v>-</v>
      </c>
      <c r="CF74" s="191" t="str">
        <f aca="false">IF(CF$6&lt;Total_Lanes,900*Peak_Time_Mor*($BL74/(Total_Lanes-CF$6)-1+SQRT(($BL74/(Total_Lanes-CF$6)-1)^2+8*($BL74/(Total_Lanes-CF$6))/(Peak_Time_Mor*$N60*(Total_Lanes-CF$6)))),"-")</f>
        <v>-</v>
      </c>
      <c r="CG74" s="192" t="str">
        <f aca="false">IF(CG$6&lt;Total_Lanes,900*Peak_Time_Mor*($BL74/(Total_Lanes-CG$6)-1+SQRT(($BL74/(Total_Lanes-CG$6)-1)^2+8*($BL74/(Total_Lanes-CG$6))/(Peak_Time_Mor*$N60*(Total_Lanes-CG$6)))),"-")</f>
        <v>-</v>
      </c>
      <c r="CH74" s="243" t="n">
        <f aca="false">3600/N60</f>
        <v>7</v>
      </c>
      <c r="CJ74" s="82" t="n">
        <v>20</v>
      </c>
      <c r="CK74" s="169" t="n">
        <f aca="false">$X74</f>
        <v>0.85118550512719</v>
      </c>
      <c r="CL74" s="170" t="n">
        <f aca="false">$AC74</f>
        <v>3880.9070573769</v>
      </c>
      <c r="CM74" s="170" t="n">
        <f aca="false">CL74*CK74</f>
        <v>3303.37183398503</v>
      </c>
      <c r="CN74" s="189" t="n">
        <f aca="false">CM74/O60</f>
        <v>2.20224788932336</v>
      </c>
      <c r="CO74" s="191" t="n">
        <f aca="false">IF(CO$53&lt;Total_Lanes,900*Peak_Time_Mor*($CN74/CO$53-1+SQRT(($CN74/CO$53-1)^2+8*($CN74/CO$53)/(Peak_Time_Mor*$O60*CO$53))),"-")</f>
        <v>4332.48420563321</v>
      </c>
      <c r="CP74" s="191" t="n">
        <f aca="false">IF(CP$53&lt;Total_Lanes,900*Peak_Time_Mor*($CN74/CP$53-1+SQRT(($CN74/CP$53-1)^2+8*($CN74/CP$53)/(Peak_Time_Mor*$O60*CP$53))),"-")</f>
        <v>376.674749541232</v>
      </c>
      <c r="CQ74" s="191" t="n">
        <f aca="false">IF(CQ$53&lt;Total_Lanes,900*Peak_Time_Mor*($CN74/CQ$53-1+SQRT(($CN74/CQ$53-1)^2+8*($CN74/CQ$53)/(Peak_Time_Mor*$O60*CQ$53))),"-")</f>
        <v>2.20338190866284</v>
      </c>
      <c r="CR74" s="191" t="n">
        <f aca="false">IF(CR$53&lt;Total_Lanes,900*Peak_Time_Mor*($CN74/CR$53-1+SQRT(($CN74/CR$53-1)^2+8*($CN74/CR$53)/(Peak_Time_Mor*$O60*CR$53))),"-")</f>
        <v>0.734666931908012</v>
      </c>
      <c r="CS74" s="191" t="n">
        <f aca="false">IF(CS$53&lt;Total_Lanes,900*Peak_Time_Mor*($CN74/CS$53-1+SQRT(($CN74/CS$53-1)^2+8*($CN74/CS$53)/(Peak_Time_Mor*$O60*CS$53))),"-")</f>
        <v>0.377760697250662</v>
      </c>
      <c r="CT74" s="191" t="n">
        <f aca="false">IF(CT$53&lt;Total_Lanes,900*Peak_Time_Mor*($CN74/CT$53-1+SQRT(($CN74/CT$53-1)^2+8*($CN74/CT$53)/(Peak_Time_Mor*$O60*CT$53))),"-")</f>
        <v>0.231929172352174</v>
      </c>
      <c r="CU74" s="191" t="n">
        <f aca="false">IF(CU$53&lt;Total_Lanes,900*Peak_Time_Mor*($CN74/CU$53-1+SQRT(($CN74/CU$53-1)^2+8*($CN74/CU$53)/(Peak_Time_Mor*$O60*CU$53))),"-")</f>
        <v>0.157367085414295</v>
      </c>
      <c r="CV74" s="191" t="n">
        <f aca="false">IF(CV$53&lt;Total_Lanes,900*Peak_Time_Mor*($CN74/CV$53-1+SQRT(($CN74/CV$53-1)^2+8*($CN74/CV$53)/(Peak_Time_Mor*$O60*CV$53))),"-")</f>
        <v>0.113948561484301</v>
      </c>
      <c r="CW74" s="191" t="n">
        <f aca="false">IF(CW$53&lt;Total_Lanes,900*Peak_Time_Mor*($CN74/CW$53-1+SQRT(($CN74/CW$53-1)^2+8*($CN74/CW$53)/(Peak_Time_Mor*$O60*CW$53))),"-")</f>
        <v>0.0863884761957756</v>
      </c>
      <c r="CX74" s="191" t="n">
        <f aca="false">IF(CX$53&lt;Total_Lanes,900*Peak_Time_Mor*($CN74/CX$53-1+SQRT(($CN74/CX$53-1)^2+8*($CN74/CX$53)/(Peak_Time_Mor*$O60*CX$53))),"-")</f>
        <v>0.067779370862886</v>
      </c>
      <c r="CY74" s="191" t="n">
        <f aca="false">IF(CY$53&lt;Total_Lanes,900*Peak_Time_Mor*($CN74/CY$53-1+SQRT(($CN74/CY$53-1)^2+8*($CN74/CY$53)/(Peak_Time_Mor*$O60*CY$53))),"-")</f>
        <v>0.0546141024126756</v>
      </c>
      <c r="CZ74" s="191" t="str">
        <f aca="false">IF(CZ$53&lt;Total_Lanes,900*Peak_Time_Mor*($CN74/CZ$53-1+SQRT(($CN74/CZ$53-1)^2+8*($CN74/CZ$53)/(Peak_Time_Mor*$O60*CZ$53))),"-")</f>
        <v>-</v>
      </c>
      <c r="DA74" s="191" t="str">
        <f aca="false">IF(DA$53&lt;Total_Lanes,900*Peak_Time_Mor*($CN74/DA$53-1+SQRT(($CN74/DA$53-1)^2+8*($CN74/DA$53)/(Peak_Time_Mor*$O60*DA$53))),"-")</f>
        <v>-</v>
      </c>
      <c r="DB74" s="191" t="str">
        <f aca="false">IF(DB$53&lt;Total_Lanes,900*Peak_Time_Mor*($CN74/DB$53-1+SQRT(($CN74/DB$53-1)^2+8*($CN74/DB$53)/(Peak_Time_Mor*$O60*DB$53))),"-")</f>
        <v>-</v>
      </c>
      <c r="DC74" s="191" t="str">
        <f aca="false">IF(DC$53&lt;Total_Lanes,900*Peak_Time_Mor*($CN74/DC$53-1+SQRT(($CN74/DC$53-1)^2+8*($CN74/DC$53)/(Peak_Time_Mor*$O60*DC$53))),"-")</f>
        <v>-</v>
      </c>
      <c r="DD74" s="191" t="str">
        <f aca="false">IF(DD$53&lt;Total_Lanes,900*Peak_Time_Mor*($CN74/DD$53-1+SQRT(($CN74/DD$53-1)^2+8*($CN74/DD$53)/(Peak_Time_Mor*$O60*DD$53))),"-")</f>
        <v>-</v>
      </c>
      <c r="DE74" s="191" t="str">
        <f aca="false">IF(DE$53&lt;Total_Lanes,900*Peak_Time_Mor*($CN74/DE$53-1+SQRT(($CN74/DE$53-1)^2+8*($CN74/DE$53)/(Peak_Time_Mor*$O60*DE$53))),"-")</f>
        <v>-</v>
      </c>
      <c r="DF74" s="191" t="str">
        <f aca="false">IF(DF$53&lt;Total_Lanes,900*Peak_Time_Mor*($CN74/DF$53-1+SQRT(($CN74/DF$53-1)^2+8*($CN74/DF$53)/(Peak_Time_Mor*$O60*DF$53))),"-")</f>
        <v>-</v>
      </c>
      <c r="DG74" s="191" t="str">
        <f aca="false">IF(DG$53&lt;Total_Lanes,900*Peak_Time_Mor*($CN74/DG$53-1+SQRT(($CN74/DG$53-1)^2+8*($CN74/DG$53)/(Peak_Time_Mor*$O60*DG$53))),"-")</f>
        <v>-</v>
      </c>
      <c r="DH74" s="191" t="str">
        <f aca="false">IF(DH$53&lt;Total_Lanes,900*Peak_Time_Mor*($CN74/DH$53-1+SQRT(($CN74/DH$53-1)^2+8*($CN74/DH$53)/(Peak_Time_Mor*$O60*DH$53))),"-")</f>
        <v>-</v>
      </c>
      <c r="DI74" s="192" t="str">
        <f aca="false">IF(DI$53&lt;Total_Lanes,900*Peak_Time_Mor*($CN74/DI$53-1+SQRT(($CN74/DI$53-1)^2+8*($CN74/DI$53)/(Peak_Time_Mor*$O60*DI$53))),"-")</f>
        <v>-</v>
      </c>
      <c r="DJ74" s="243" t="n">
        <f aca="false">3600/$O60</f>
        <v>2.4</v>
      </c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</row>
    <row r="75" customFormat="false" ht="12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CF75" s="4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</row>
    <row r="76" customFormat="false" ht="13.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CF76" s="4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</row>
    <row r="77" customFormat="false" ht="13.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244" t="s">
        <v>94</v>
      </c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6"/>
      <c r="CF77" s="4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</row>
    <row r="78" customFormat="false" ht="13.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247" t="s">
        <v>95</v>
      </c>
      <c r="W78" s="248"/>
      <c r="X78" s="248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48"/>
      <c r="AZ78" s="248"/>
      <c r="BA78" s="248"/>
      <c r="BB78" s="248"/>
      <c r="BC78" s="249"/>
      <c r="CF78" s="4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</row>
    <row r="79" customFormat="false" ht="13.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CF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</row>
    <row r="80" customFormat="false" ht="12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CF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</row>
    <row r="81" customFormat="false" ht="12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CF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</row>
    <row r="82" customFormat="false" ht="12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CF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</row>
    <row r="83" customFormat="false" ht="12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CF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customFormat="false" ht="12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CF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customFormat="false" ht="12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CF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customFormat="false" ht="12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CF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</row>
    <row r="87" customFormat="false" ht="12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CF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</row>
    <row r="88" customFormat="false" ht="12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CF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</row>
    <row r="89" customFormat="false" ht="12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CF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</row>
    <row r="90" customFormat="false" ht="12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CF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</row>
    <row r="91" customFormat="false" ht="12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CF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</row>
    <row r="92" customFormat="false" ht="12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CF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</row>
    <row r="93" customFormat="false" ht="12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CF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</row>
    <row r="94" customFormat="false" ht="12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CF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</row>
    <row r="95" customFormat="false" ht="12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CF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</row>
    <row r="96" customFormat="false" ht="12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CF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</row>
    <row r="97" customFormat="false" ht="12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CF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</row>
    <row r="98" customFormat="false" ht="12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CF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</row>
    <row r="99" customFormat="false" ht="12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CF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</row>
    <row r="100" customFormat="false" ht="12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CF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</row>
    <row r="101" customFormat="false" ht="12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CF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</row>
    <row r="102" customFormat="false" ht="12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CF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</row>
    <row r="103" customFormat="false" ht="12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CF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</row>
    <row r="104" customFormat="false" ht="12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CF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</row>
    <row r="105" customFormat="false" ht="12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CF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</row>
    <row r="106" customFormat="false" ht="12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CF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</row>
    <row r="107" customFormat="false" ht="12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CF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</row>
    <row r="108" customFormat="false" ht="12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CF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</row>
    <row r="109" customFormat="false" ht="12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CF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</row>
    <row r="110" customFormat="false" ht="12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CF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</row>
    <row r="111" customFormat="false" ht="12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CF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</row>
    <row r="112" customFormat="false" ht="12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CF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</row>
    <row r="113" customFormat="false" ht="12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CF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</row>
    <row r="114" customFormat="false" ht="12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CF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</row>
    <row r="115" customFormat="false" ht="12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CF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</row>
    <row r="116" customFormat="false" ht="12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CF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</row>
    <row r="117" customFormat="false" ht="12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CF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</row>
    <row r="118" customFormat="false" ht="12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CF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</row>
    <row r="119" customFormat="false" ht="12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CF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</row>
    <row r="120" customFormat="false" ht="12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CF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</row>
    <row r="121" customFormat="false" ht="12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CF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</row>
    <row r="122" customFormat="false" ht="12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CF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</row>
    <row r="123" customFormat="false" ht="12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CF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</row>
    <row r="124" customFormat="false" ht="12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CF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</row>
    <row r="125" customFormat="false" ht="12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CF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</row>
    <row r="126" customFormat="false" ht="12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CF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</row>
    <row r="127" customFormat="false" ht="12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CF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</row>
    <row r="128" customFormat="false" ht="12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CF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</row>
    <row r="129" customFormat="false" ht="12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CF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</row>
    <row r="130" customFormat="false" ht="12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CF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</row>
    <row r="131" customFormat="false" ht="12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CF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</row>
    <row r="132" customFormat="false" ht="12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CF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</row>
    <row r="133" customFormat="false" ht="12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CF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</row>
    <row r="134" customFormat="false" ht="12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CF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</row>
    <row r="135" customFormat="false" ht="12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CF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</row>
    <row r="136" customFormat="false" ht="12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CF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</row>
    <row r="137" customFormat="false" ht="12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CF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</row>
    <row r="138" customFormat="false" ht="12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CF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</row>
    <row r="139" customFormat="false" ht="12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CF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</row>
    <row r="140" customFormat="false" ht="12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CF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</row>
    <row r="141" customFormat="false" ht="12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CF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</row>
    <row r="142" customFormat="false" ht="12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CF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</row>
    <row r="143" customFormat="false" ht="12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CF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</row>
    <row r="144" customFormat="false" ht="12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CF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</row>
    <row r="145" customFormat="false" ht="12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CF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</row>
    <row r="146" customFormat="false" ht="12.75" hidden="false" customHeight="false" outlineLevel="0" collapsed="false">
      <c r="A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CF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</row>
    <row r="147" customFormat="false" ht="12.75" hidden="false" customHeight="false" outlineLevel="0" collapsed="false">
      <c r="A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CF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</row>
    <row r="148" customFormat="false" ht="12.75" hidden="false" customHeight="false" outlineLevel="0" collapsed="false">
      <c r="A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CF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</row>
    <row r="149" customFormat="false" ht="12.75" hidden="false" customHeight="false" outlineLevel="0" collapsed="false">
      <c r="A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CF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</row>
    <row r="150" customFormat="false" ht="12.75" hidden="false" customHeight="false" outlineLevel="0" collapsed="false">
      <c r="A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CF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</row>
    <row r="151" customFormat="false" ht="12.75" hidden="false" customHeight="false" outlineLevel="0" collapsed="false">
      <c r="A151" s="4"/>
      <c r="F151" s="4"/>
      <c r="G151" s="4"/>
      <c r="H151" s="4"/>
      <c r="I151" s="4"/>
      <c r="J151" s="4"/>
      <c r="K151" s="4"/>
      <c r="L151" s="4"/>
      <c r="M151" s="4"/>
      <c r="O151" s="4"/>
      <c r="P151" s="4"/>
      <c r="Q151" s="4"/>
      <c r="CF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</row>
  </sheetData>
  <mergeCells count="62">
    <mergeCell ref="H5:H6"/>
    <mergeCell ref="I5:I6"/>
    <mergeCell ref="J5:J6"/>
    <mergeCell ref="K5:K6"/>
    <mergeCell ref="L5:N5"/>
    <mergeCell ref="O5:O6"/>
    <mergeCell ref="P5:R5"/>
    <mergeCell ref="S5:S6"/>
    <mergeCell ref="V5:V6"/>
    <mergeCell ref="W5:W6"/>
    <mergeCell ref="X5:X6"/>
    <mergeCell ref="Y5:Y6"/>
    <mergeCell ref="Z5:Z6"/>
    <mergeCell ref="AA5:AA6"/>
    <mergeCell ref="AB5:AB6"/>
    <mergeCell ref="AC5:AC6"/>
    <mergeCell ref="AD5:AY5"/>
    <mergeCell ref="AZ5:AZ6"/>
    <mergeCell ref="BA5:BA6"/>
    <mergeCell ref="BB5:BB6"/>
    <mergeCell ref="BC5:BC6"/>
    <mergeCell ref="BF5:BF6"/>
    <mergeCell ref="BG5:BG6"/>
    <mergeCell ref="BH5:BH6"/>
    <mergeCell ref="BI5:BI6"/>
    <mergeCell ref="BJ5:CG5"/>
    <mergeCell ref="CH5:CH6"/>
    <mergeCell ref="CJ5:CJ6"/>
    <mergeCell ref="CK5:CK6"/>
    <mergeCell ref="CL5:CL6"/>
    <mergeCell ref="CM5:CM6"/>
    <mergeCell ref="CN5:DI5"/>
    <mergeCell ref="DJ5:DJ6"/>
    <mergeCell ref="H38:H39"/>
    <mergeCell ref="I38:K38"/>
    <mergeCell ref="L38:N38"/>
    <mergeCell ref="O38:O39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Y52"/>
    <mergeCell ref="AZ52:AZ53"/>
    <mergeCell ref="BA52:BA53"/>
    <mergeCell ref="BB52:BB53"/>
    <mergeCell ref="BC52:BC53"/>
    <mergeCell ref="BF52:BF53"/>
    <mergeCell ref="BG52:BG53"/>
    <mergeCell ref="BH52:BH53"/>
    <mergeCell ref="BI52:BI53"/>
    <mergeCell ref="BJ52:CG52"/>
    <mergeCell ref="CH52:CH53"/>
    <mergeCell ref="CJ52:CJ53"/>
    <mergeCell ref="CK52:CK53"/>
    <mergeCell ref="CL52:CL53"/>
    <mergeCell ref="CM52:CM53"/>
    <mergeCell ref="CN52:DI52"/>
    <mergeCell ref="DJ52:DJ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J6" colorId="64" zoomScale="100" zoomScaleNormal="100" zoomScalePageLayoutView="100" workbookViewId="0">
      <selection pane="topLeft" activeCell="R8" activeCellId="0" sqref="R8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3.85"/>
    <col collapsed="false" customWidth="true" hidden="false" outlineLevel="0" max="3" min="3" style="1" width="42.41"/>
    <col collapsed="false" customWidth="true" hidden="false" outlineLevel="0" max="4" min="4" style="1" width="10.56"/>
    <col collapsed="false" customWidth="true" hidden="false" outlineLevel="0" max="5" min="5" style="1" width="5.13"/>
    <col collapsed="false" customWidth="false" hidden="false" outlineLevel="0" max="7" min="6" style="3" width="8.85"/>
    <col collapsed="false" customWidth="true" hidden="false" outlineLevel="0" max="8" min="8" style="3" width="10.71"/>
    <col collapsed="false" customWidth="true" hidden="false" outlineLevel="0" max="9" min="9" style="3" width="9.85"/>
    <col collapsed="false" customWidth="true" hidden="false" outlineLevel="0" max="10" min="10" style="3" width="9.14"/>
    <col collapsed="false" customWidth="true" hidden="false" outlineLevel="0" max="11" min="11" style="3" width="14.85"/>
    <col collapsed="false" customWidth="false" hidden="false" outlineLevel="0" max="13" min="12" style="3" width="8.85"/>
    <col collapsed="false" customWidth="true" hidden="false" outlineLevel="0" max="14" min="14" style="3" width="9.56"/>
    <col collapsed="false" customWidth="true" hidden="false" outlineLevel="0" max="15" min="15" style="3" width="14.41"/>
    <col collapsed="false" customWidth="true" hidden="false" outlineLevel="0" max="16" min="16" style="3" width="14.28"/>
    <col collapsed="false" customWidth="false" hidden="false" outlineLevel="0" max="17" min="17" style="3" width="8.85"/>
    <col collapsed="false" customWidth="true" hidden="false" outlineLevel="0" max="18" min="18" style="3" width="9.56"/>
    <col collapsed="false" customWidth="false" hidden="false" outlineLevel="0" max="21" min="19" style="3" width="8.85"/>
    <col collapsed="false" customWidth="true" hidden="false" outlineLevel="0" max="22" min="22" style="3" width="18.28"/>
    <col collapsed="false" customWidth="true" hidden="false" outlineLevel="0" max="23" min="23" style="3" width="12.85"/>
    <col collapsed="false" customWidth="true" hidden="false" outlineLevel="0" max="24" min="24" style="3" width="14.99"/>
    <col collapsed="false" customWidth="true" hidden="false" outlineLevel="0" max="25" min="25" style="3" width="11.42"/>
    <col collapsed="false" customWidth="false" hidden="false" outlineLevel="0" max="26" min="26" style="3" width="8.85"/>
    <col collapsed="false" customWidth="true" hidden="false" outlineLevel="0" max="27" min="27" style="3" width="12.7"/>
    <col collapsed="false" customWidth="true" hidden="false" outlineLevel="0" max="28" min="28" style="3" width="14.99"/>
    <col collapsed="false" customWidth="true" hidden="false" outlineLevel="0" max="29" min="29" style="3" width="9.56"/>
    <col collapsed="false" customWidth="false" hidden="false" outlineLevel="0" max="257" min="30" style="3" width="8.85"/>
  </cols>
  <sheetData>
    <row r="1" customFormat="false" ht="12.75" hidden="false" customHeight="false" outlineLevel="0" collapsed="false">
      <c r="B1" s="3"/>
      <c r="C1" s="3"/>
      <c r="D1" s="3"/>
      <c r="E1" s="3"/>
    </row>
    <row r="2" customFormat="false" ht="12.75" hidden="false" customHeight="false" outlineLevel="0" collapsed="false">
      <c r="B2" s="645" t="s">
        <v>389</v>
      </c>
      <c r="C2" s="645"/>
      <c r="D2" s="645"/>
      <c r="E2" s="645"/>
      <c r="J2" s="1"/>
      <c r="K2" s="623" t="s">
        <v>390</v>
      </c>
      <c r="L2" s="1"/>
      <c r="N2" s="1"/>
      <c r="O2" s="1"/>
      <c r="P2" s="1"/>
      <c r="Q2" s="1"/>
      <c r="R2" s="1"/>
      <c r="Y2" s="623" t="s">
        <v>391</v>
      </c>
    </row>
    <row r="3" customFormat="false" ht="13.5" hidden="false" customHeight="false" outlineLevel="0" collapsed="false">
      <c r="C3" s="3"/>
      <c r="D3" s="3"/>
      <c r="E3" s="3"/>
      <c r="J3" s="1"/>
      <c r="K3" s="1"/>
      <c r="L3" s="1"/>
      <c r="N3" s="1"/>
      <c r="O3" s="1"/>
      <c r="P3" s="1"/>
      <c r="Q3" s="1"/>
      <c r="R3" s="1"/>
    </row>
    <row r="4" customFormat="false" ht="15.75" hidden="false" customHeight="true" outlineLevel="0" collapsed="false">
      <c r="B4" s="646"/>
      <c r="C4" s="647"/>
      <c r="D4" s="647"/>
      <c r="E4" s="648"/>
      <c r="G4" s="649" t="s">
        <v>4</v>
      </c>
      <c r="H4" s="649" t="s">
        <v>392</v>
      </c>
      <c r="I4" s="650" t="s">
        <v>393</v>
      </c>
      <c r="J4" s="651" t="s">
        <v>303</v>
      </c>
      <c r="K4" s="651"/>
      <c r="L4" s="651"/>
      <c r="M4" s="652" t="s">
        <v>10</v>
      </c>
      <c r="N4" s="649" t="s">
        <v>394</v>
      </c>
      <c r="O4" s="653" t="s">
        <v>304</v>
      </c>
      <c r="P4" s="653"/>
      <c r="Q4" s="653"/>
      <c r="R4" s="649" t="s">
        <v>395</v>
      </c>
      <c r="U4" s="654" t="s">
        <v>4</v>
      </c>
      <c r="V4" s="655" t="s">
        <v>392</v>
      </c>
      <c r="W4" s="651" t="s">
        <v>303</v>
      </c>
      <c r="X4" s="651"/>
      <c r="Y4" s="651"/>
      <c r="Z4" s="656" t="s">
        <v>10</v>
      </c>
      <c r="AA4" s="653" t="s">
        <v>304</v>
      </c>
      <c r="AB4" s="653"/>
      <c r="AC4" s="653"/>
    </row>
    <row r="5" customFormat="false" ht="42" hidden="false" customHeight="true" outlineLevel="0" collapsed="false">
      <c r="A5" s="80"/>
      <c r="B5" s="657" t="s">
        <v>252</v>
      </c>
      <c r="C5" s="658"/>
      <c r="D5" s="659"/>
      <c r="E5" s="660"/>
      <c r="F5" s="80"/>
      <c r="G5" s="649"/>
      <c r="H5" s="649"/>
      <c r="I5" s="650"/>
      <c r="J5" s="661" t="s">
        <v>396</v>
      </c>
      <c r="K5" s="662" t="s">
        <v>397</v>
      </c>
      <c r="L5" s="663" t="s">
        <v>398</v>
      </c>
      <c r="M5" s="652"/>
      <c r="N5" s="649"/>
      <c r="O5" s="662" t="s">
        <v>399</v>
      </c>
      <c r="P5" s="662" t="s">
        <v>400</v>
      </c>
      <c r="Q5" s="662" t="s">
        <v>398</v>
      </c>
      <c r="R5" s="649"/>
      <c r="S5" s="80"/>
      <c r="T5" s="80"/>
      <c r="U5" s="654"/>
      <c r="V5" s="655"/>
      <c r="W5" s="661" t="s">
        <v>401</v>
      </c>
      <c r="X5" s="662" t="s">
        <v>402</v>
      </c>
      <c r="Y5" s="664" t="s">
        <v>60</v>
      </c>
      <c r="Z5" s="656"/>
      <c r="AA5" s="662" t="s">
        <v>401</v>
      </c>
      <c r="AB5" s="662" t="s">
        <v>402</v>
      </c>
      <c r="AC5" s="665" t="s">
        <v>60</v>
      </c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/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/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/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/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80"/>
      <c r="HE5" s="80"/>
      <c r="HF5" s="80"/>
      <c r="HG5" s="80"/>
      <c r="HH5" s="80"/>
      <c r="HI5" s="80"/>
      <c r="HJ5" s="80"/>
      <c r="HK5" s="80"/>
      <c r="HL5" s="80"/>
      <c r="HM5" s="80"/>
      <c r="HN5" s="80"/>
      <c r="HO5" s="80"/>
      <c r="HP5" s="80"/>
      <c r="HQ5" s="80"/>
      <c r="HR5" s="80"/>
      <c r="HS5" s="80"/>
      <c r="HT5" s="80"/>
      <c r="HU5" s="80"/>
      <c r="HV5" s="80"/>
      <c r="HW5" s="80"/>
      <c r="HX5" s="80"/>
      <c r="HY5" s="80"/>
      <c r="HZ5" s="80"/>
      <c r="IA5" s="80"/>
      <c r="IB5" s="80"/>
      <c r="IC5" s="80"/>
      <c r="ID5" s="80"/>
      <c r="IE5" s="80"/>
      <c r="IF5" s="80"/>
      <c r="IG5" s="80"/>
      <c r="IH5" s="80"/>
      <c r="II5" s="80"/>
      <c r="IJ5" s="80"/>
      <c r="IK5" s="80"/>
      <c r="IL5" s="80"/>
      <c r="IM5" s="80"/>
      <c r="IN5" s="80"/>
      <c r="IO5" s="80"/>
      <c r="IP5" s="80"/>
      <c r="IQ5" s="80"/>
      <c r="IR5" s="80"/>
      <c r="IS5" s="80"/>
      <c r="IT5" s="80"/>
      <c r="IU5" s="80"/>
      <c r="IV5" s="80"/>
      <c r="IW5" s="80"/>
    </row>
    <row r="6" customFormat="false" ht="15.75" hidden="false" customHeight="true" outlineLevel="0" collapsed="false">
      <c r="B6" s="666"/>
      <c r="C6" s="30" t="s">
        <v>254</v>
      </c>
      <c r="D6" s="667" t="n">
        <f aca="false">'Input-Detail'!BV33</f>
        <v>1768</v>
      </c>
      <c r="E6" s="668"/>
      <c r="G6" s="215" t="s">
        <v>64</v>
      </c>
      <c r="H6" s="669" t="n">
        <f aca="false">Delay!W7</f>
        <v>19016173</v>
      </c>
      <c r="I6" s="670" t="n">
        <f aca="false">H6/365</f>
        <v>52099.104109589</v>
      </c>
      <c r="J6" s="671" t="n">
        <f aca="false">(Delay!AC7*Delay!AA7+Delay!AC54*Delay!AA54)*$Q$33</f>
        <v>4264000</v>
      </c>
      <c r="K6" s="672" t="n">
        <f aca="false">H6-J6</f>
        <v>14752173</v>
      </c>
      <c r="L6" s="673" t="n">
        <f aca="false">'Input-Detail'!BV35</f>
        <v>61.5</v>
      </c>
      <c r="M6" s="674" t="n">
        <f aca="false">Delay!X7</f>
        <v>0</v>
      </c>
      <c r="N6" s="672"/>
      <c r="O6" s="672" t="n">
        <f aca="false">J6*(1-M6)</f>
        <v>4264000</v>
      </c>
      <c r="P6" s="672" t="n">
        <f aca="false">K6*(1-M6)</f>
        <v>14752173</v>
      </c>
      <c r="Q6" s="675" t="n">
        <f aca="false">AC6</f>
        <v>61.5</v>
      </c>
      <c r="R6" s="676" t="n">
        <f aca="false">L6-Q6</f>
        <v>0</v>
      </c>
      <c r="U6" s="215" t="s">
        <v>64</v>
      </c>
      <c r="V6" s="677" t="n">
        <f aca="false">Delay!W7</f>
        <v>19016173</v>
      </c>
      <c r="W6" s="678" t="n">
        <f aca="false">(Delay!AA7+Delay!AA54)*$Q$33*$D$10/$D$6</f>
        <v>7.05882352941176</v>
      </c>
      <c r="X6" s="675" t="n">
        <f aca="false">Y6-W6</f>
        <v>54.4411764705882</v>
      </c>
      <c r="Y6" s="679" t="n">
        <f aca="false">L6</f>
        <v>61.5</v>
      </c>
      <c r="Z6" s="674" t="n">
        <f aca="false">Delay!X7</f>
        <v>0</v>
      </c>
      <c r="AA6" s="680" t="n">
        <f aca="false">W6</f>
        <v>7.05882352941176</v>
      </c>
      <c r="AB6" s="675" t="n">
        <f aca="false">AC6-AA6</f>
        <v>54.4411764705882</v>
      </c>
      <c r="AC6" s="681" t="n">
        <f aca="false">Y6</f>
        <v>61.5</v>
      </c>
    </row>
    <row r="7" customFormat="false" ht="12.75" hidden="false" customHeight="false" outlineLevel="0" collapsed="false">
      <c r="B7" s="666"/>
      <c r="C7" s="30" t="s">
        <v>403</v>
      </c>
      <c r="D7" s="682" t="n">
        <f aca="false">'Input-Detail'!BV34</f>
        <v>0.11</v>
      </c>
      <c r="E7" s="668"/>
      <c r="G7" s="215" t="n">
        <v>1</v>
      </c>
      <c r="H7" s="683" t="n">
        <f aca="false">Delay!W8</f>
        <v>19565364.35</v>
      </c>
      <c r="I7" s="670" t="n">
        <f aca="false">H7/365</f>
        <v>53603.7379452055</v>
      </c>
      <c r="J7" s="671" t="n">
        <f aca="false">(Delay!AC8*Delay!AA8+Delay!AC55*Delay!AA55)*$Q$33</f>
        <v>4387145.278306</v>
      </c>
      <c r="K7" s="672" t="n">
        <f aca="false">H7-J7</f>
        <v>15178219.071694</v>
      </c>
      <c r="L7" s="684" t="n">
        <f aca="false">Y7</f>
        <v>63.0722734117675</v>
      </c>
      <c r="M7" s="674" t="n">
        <f aca="false">Delay!X8</f>
        <v>0.0699842202922738</v>
      </c>
      <c r="N7" s="672" t="n">
        <f aca="false">Delay!BB8</f>
        <v>1</v>
      </c>
      <c r="O7" s="672" t="n">
        <f aca="false">J7*(1-M7)</f>
        <v>4080114.33669482</v>
      </c>
      <c r="P7" s="672" t="n">
        <f aca="false">K7*(1-M7)</f>
        <v>14115983.2445362</v>
      </c>
      <c r="Q7" s="675" t="n">
        <f aca="false">AC7</f>
        <v>58.5639805017528</v>
      </c>
      <c r="R7" s="676" t="n">
        <f aca="false">L7-Q7</f>
        <v>4.50829291001467</v>
      </c>
      <c r="U7" s="215" t="n">
        <v>1</v>
      </c>
      <c r="V7" s="685" t="n">
        <f aca="false">Delay!W8</f>
        <v>19565364.35</v>
      </c>
      <c r="W7" s="678" t="n">
        <f aca="false">(Delay!AA8+Delay!AA55)*$Q$33*$D$10/$D$6</f>
        <v>7.05882352941176</v>
      </c>
      <c r="X7" s="675" t="n">
        <f aca="false">X$6*K7/K$6</f>
        <v>56.0134498823557</v>
      </c>
      <c r="Y7" s="686" t="n">
        <f aca="false">W7+X7</f>
        <v>63.0722734117675</v>
      </c>
      <c r="Z7" s="674" t="n">
        <f aca="false">Delay!X8</f>
        <v>0.0699842202922738</v>
      </c>
      <c r="AA7" s="680" t="n">
        <f aca="false">(Delay!AA8+Delay!AA55)*(PY!$D$10-PY!$N7)*PY!$Q$33/PY!$D$6</f>
        <v>6.47058823529412</v>
      </c>
      <c r="AB7" s="675" t="n">
        <f aca="false">AB$6*P7/P$6</f>
        <v>52.0933922664587</v>
      </c>
      <c r="AC7" s="687" t="n">
        <f aca="false">AA7+AB7</f>
        <v>58.5639805017528</v>
      </c>
    </row>
    <row r="8" customFormat="false" ht="12.75" hidden="false" customHeight="false" outlineLevel="0" collapsed="false">
      <c r="B8" s="666"/>
      <c r="C8" s="30" t="s">
        <v>404</v>
      </c>
      <c r="D8" s="682" t="n">
        <f aca="false">'Input-Detail'!AF14/D9-D7</f>
        <v>61.5</v>
      </c>
      <c r="E8" s="668"/>
      <c r="G8" s="215" t="n">
        <v>2</v>
      </c>
      <c r="H8" s="683" t="n">
        <f aca="false">Delay!W9</f>
        <v>20114555.7</v>
      </c>
      <c r="I8" s="670" t="n">
        <f aca="false">H8/365</f>
        <v>55108.3717808219</v>
      </c>
      <c r="J8" s="671" t="n">
        <f aca="false">(Delay!AC9*Delay!AA9+Delay!AC56*Delay!AA56)*$Q$33</f>
        <v>4510290.556612</v>
      </c>
      <c r="K8" s="672" t="n">
        <f aca="false">H8-J8</f>
        <v>15604265.143388</v>
      </c>
      <c r="L8" s="684" t="n">
        <f aca="false">Y8</f>
        <v>64.644546823535</v>
      </c>
      <c r="M8" s="674" t="n">
        <f aca="false">Delay!X9</f>
        <v>0.133486220755981</v>
      </c>
      <c r="N8" s="672" t="n">
        <f aca="false">Delay!BB9</f>
        <v>1</v>
      </c>
      <c r="O8" s="672" t="n">
        <f aca="false">J8*(1-M8)</f>
        <v>3908228.91569847</v>
      </c>
      <c r="P8" s="672" t="n">
        <f aca="false">K8*(1-M8)</f>
        <v>13521310.7617229</v>
      </c>
      <c r="Q8" s="675" t="n">
        <f aca="false">AC8</f>
        <v>56.3694109573852</v>
      </c>
      <c r="R8" s="676" t="n">
        <f aca="false">L8-Q8</f>
        <v>8.2751358661498</v>
      </c>
      <c r="U8" s="215" t="n">
        <v>2</v>
      </c>
      <c r="V8" s="685" t="n">
        <f aca="false">Delay!W9</f>
        <v>20114555.7</v>
      </c>
      <c r="W8" s="678" t="n">
        <f aca="false">(Delay!AA9+Delay!AA56)*$Q$33*$D$10/$D$6</f>
        <v>7.05882352941176</v>
      </c>
      <c r="X8" s="675" t="n">
        <f aca="false">X$6*K8/K$6</f>
        <v>57.5857232941232</v>
      </c>
      <c r="Y8" s="686" t="n">
        <f aca="false">W8+X8</f>
        <v>64.644546823535</v>
      </c>
      <c r="Z8" s="674" t="n">
        <f aca="false">Delay!X9</f>
        <v>0.133486220755981</v>
      </c>
      <c r="AA8" s="680" t="n">
        <f aca="false">(Delay!AA9+Delay!AA56)*(PY!$D$10-PY!$N8)*PY!$Q$33/PY!$D$6</f>
        <v>6.47058823529412</v>
      </c>
      <c r="AB8" s="675" t="n">
        <f aca="false">AB$6*P8/P$6</f>
        <v>49.898822722091</v>
      </c>
      <c r="AC8" s="687" t="n">
        <f aca="false">AA8+AB8</f>
        <v>56.3694109573852</v>
      </c>
    </row>
    <row r="9" customFormat="false" ht="12.75" hidden="false" customHeight="false" outlineLevel="0" collapsed="false">
      <c r="B9" s="666"/>
      <c r="C9" s="30" t="s">
        <v>257</v>
      </c>
      <c r="D9" s="688" t="n">
        <f aca="false">'Input-Detail'!BV36</f>
        <v>65000</v>
      </c>
      <c r="E9" s="668"/>
      <c r="G9" s="215" t="n">
        <v>3</v>
      </c>
      <c r="H9" s="683" t="n">
        <f aca="false">Delay!W10</f>
        <v>20663747.05</v>
      </c>
      <c r="I9" s="670" t="n">
        <f aca="false">H9/365</f>
        <v>56613.0056164384</v>
      </c>
      <c r="J9" s="671" t="n">
        <f aca="false">(Delay!AC10*Delay!AA10+Delay!AC57*Delay!AA57)*$Q$33</f>
        <v>4633435.83491799</v>
      </c>
      <c r="K9" s="672" t="n">
        <f aca="false">H9-J9</f>
        <v>16030311.215082</v>
      </c>
      <c r="L9" s="684" t="n">
        <f aca="false">Y9</f>
        <v>66.2168202353024</v>
      </c>
      <c r="M9" s="674" t="n">
        <f aca="false">Delay!X10</f>
        <v>0.192291508405303</v>
      </c>
      <c r="N9" s="672" t="n">
        <f aca="false">Delay!BB10</f>
        <v>2</v>
      </c>
      <c r="O9" s="672" t="n">
        <f aca="false">J9*(1-M9)</f>
        <v>3742465.46912243</v>
      </c>
      <c r="P9" s="672" t="n">
        <f aca="false">K9*(1-M9)</f>
        <v>12947818.4913274</v>
      </c>
      <c r="Q9" s="675" t="n">
        <f aca="false">AC9</f>
        <v>53.6647692262555</v>
      </c>
      <c r="R9" s="676" t="n">
        <f aca="false">L9-Q9</f>
        <v>12.5520510090469</v>
      </c>
      <c r="U9" s="215" t="n">
        <v>3</v>
      </c>
      <c r="V9" s="685" t="n">
        <f aca="false">Delay!W10</f>
        <v>20663747.05</v>
      </c>
      <c r="W9" s="678" t="n">
        <f aca="false">(Delay!AA10+Delay!AA57)*$Q$33*$D$10/$D$6</f>
        <v>7.05882352941176</v>
      </c>
      <c r="X9" s="675" t="n">
        <f aca="false">X$6*K9/K$6</f>
        <v>59.1579967058907</v>
      </c>
      <c r="Y9" s="686" t="n">
        <f aca="false">W9+X9</f>
        <v>66.2168202353024</v>
      </c>
      <c r="Z9" s="674" t="n">
        <f aca="false">Delay!X10</f>
        <v>0.192291508405303</v>
      </c>
      <c r="AA9" s="680" t="n">
        <f aca="false">(Delay!AA10+Delay!AA57)*(PY!$D$10-PY!$N9)*PY!$Q$33/PY!$D$6</f>
        <v>5.88235294117647</v>
      </c>
      <c r="AB9" s="675" t="n">
        <f aca="false">AB$6*P9/P$6</f>
        <v>47.782416285079</v>
      </c>
      <c r="AC9" s="687" t="n">
        <f aca="false">AA9+AB9</f>
        <v>53.6647692262555</v>
      </c>
    </row>
    <row r="10" customFormat="false" ht="12.75" hidden="false" customHeight="false" outlineLevel="0" collapsed="false">
      <c r="B10" s="666" t="s">
        <v>26</v>
      </c>
      <c r="C10" s="30"/>
      <c r="D10" s="689" t="n">
        <f aca="false">'Input-Detail'!AZ25</f>
        <v>12</v>
      </c>
      <c r="E10" s="668"/>
      <c r="G10" s="215" t="n">
        <v>4</v>
      </c>
      <c r="H10" s="683" t="n">
        <f aca="false">Delay!W11</f>
        <v>21212938.4</v>
      </c>
      <c r="I10" s="670" t="n">
        <f aca="false">H10/365</f>
        <v>58117.6394520548</v>
      </c>
      <c r="J10" s="671" t="n">
        <f aca="false">(Delay!AC11*Delay!AA11+Delay!AC58*Delay!AA58)*$Q$33</f>
        <v>4756581.11322399</v>
      </c>
      <c r="K10" s="672" t="n">
        <f aca="false">H10-J10</f>
        <v>16456357.286776</v>
      </c>
      <c r="L10" s="684" t="n">
        <f aca="false">Y10</f>
        <v>67.7890936470699</v>
      </c>
      <c r="M10" s="674" t="n">
        <f aca="false">Delay!X11</f>
        <v>0.247136906120865</v>
      </c>
      <c r="N10" s="672" t="n">
        <f aca="false">Delay!BB11</f>
        <v>2</v>
      </c>
      <c r="O10" s="672" t="n">
        <f aca="false">J10*(1-M10)</f>
        <v>3581054.37318887</v>
      </c>
      <c r="P10" s="672" t="n">
        <f aca="false">K10*(1-M10)</f>
        <v>12389384.0609026</v>
      </c>
      <c r="Q10" s="675" t="n">
        <f aca="false">AC10</f>
        <v>51.6039319940721</v>
      </c>
      <c r="R10" s="676" t="n">
        <f aca="false">L10-Q10</f>
        <v>16.1851616529978</v>
      </c>
      <c r="U10" s="215" t="n">
        <v>4</v>
      </c>
      <c r="V10" s="685" t="n">
        <f aca="false">Delay!W11</f>
        <v>21212938.4</v>
      </c>
      <c r="W10" s="678" t="n">
        <f aca="false">(Delay!AA11+Delay!AA58)*$Q$33*$D$10/$D$6</f>
        <v>7.05882352941176</v>
      </c>
      <c r="X10" s="675" t="n">
        <f aca="false">X$6*K10/K$6</f>
        <v>60.7302701176581</v>
      </c>
      <c r="Y10" s="686" t="n">
        <f aca="false">W10+X10</f>
        <v>67.7890936470699</v>
      </c>
      <c r="Z10" s="674" t="n">
        <f aca="false">Delay!X11</f>
        <v>0.247136906120865</v>
      </c>
      <c r="AA10" s="680" t="n">
        <f aca="false">(Delay!AA11+Delay!AA58)*(PY!$D$10-PY!$N10)*PY!$Q$33/PY!$D$6</f>
        <v>5.88235294117647</v>
      </c>
      <c r="AB10" s="675" t="n">
        <f aca="false">AB$6*P10/P$6</f>
        <v>45.7215790528957</v>
      </c>
      <c r="AC10" s="687" t="n">
        <f aca="false">AA10+AB10</f>
        <v>51.6039319940721</v>
      </c>
    </row>
    <row r="11" customFormat="false" ht="13.5" hidden="false" customHeight="false" outlineLevel="0" collapsed="false">
      <c r="B11" s="690"/>
      <c r="C11" s="691"/>
      <c r="D11" s="692"/>
      <c r="E11" s="693"/>
      <c r="G11" s="215" t="n">
        <v>5</v>
      </c>
      <c r="H11" s="683" t="n">
        <f aca="false">Delay!W12</f>
        <v>21762129.75</v>
      </c>
      <c r="I11" s="670" t="n">
        <f aca="false">H11/365</f>
        <v>59622.2732876712</v>
      </c>
      <c r="J11" s="671" t="n">
        <f aca="false">(Delay!AC12*Delay!AA12+Delay!AC59*Delay!AA59)*$Q$33</f>
        <v>4879726.39152999</v>
      </c>
      <c r="K11" s="672" t="n">
        <f aca="false">H11-J11</f>
        <v>16882403.35847</v>
      </c>
      <c r="L11" s="684" t="n">
        <f aca="false">Y11</f>
        <v>69.3613670588374</v>
      </c>
      <c r="M11" s="674" t="n">
        <f aca="false">Delay!X12</f>
        <v>0.298984514248523</v>
      </c>
      <c r="N11" s="672" t="n">
        <f aca="false">Delay!BB12</f>
        <v>2</v>
      </c>
      <c r="O11" s="672" t="n">
        <f aca="false">J11*(1-M11)</f>
        <v>3420763.7666927</v>
      </c>
      <c r="P11" s="672" t="n">
        <f aca="false">K11*(1-M11)</f>
        <v>11834826.1909902</v>
      </c>
      <c r="Q11" s="675" t="n">
        <f aca="false">AC11</f>
        <v>49.5574007570093</v>
      </c>
      <c r="R11" s="676" t="n">
        <f aca="false">L11-Q11</f>
        <v>19.8039663018281</v>
      </c>
      <c r="U11" s="215" t="n">
        <v>5</v>
      </c>
      <c r="V11" s="685" t="n">
        <f aca="false">Delay!W12</f>
        <v>21762129.75</v>
      </c>
      <c r="W11" s="678" t="n">
        <f aca="false">(Delay!AA12+Delay!AA59)*$Q$33*$D$10/$D$6</f>
        <v>7.05882352941176</v>
      </c>
      <c r="X11" s="675" t="n">
        <f aca="false">X$6*K11/K$6</f>
        <v>62.3025435294256</v>
      </c>
      <c r="Y11" s="686" t="n">
        <f aca="false">W11+X11</f>
        <v>69.3613670588374</v>
      </c>
      <c r="Z11" s="674" t="n">
        <f aca="false">Delay!X12</f>
        <v>0.298984514248523</v>
      </c>
      <c r="AA11" s="680" t="n">
        <f aca="false">(Delay!AA12+Delay!AA59)*(PY!$D$10-PY!$N11)*PY!$Q$33/PY!$D$6</f>
        <v>5.88235294117647</v>
      </c>
      <c r="AB11" s="675" t="n">
        <f aca="false">AB$6*P11/P$6</f>
        <v>43.6750478158328</v>
      </c>
      <c r="AC11" s="687" t="n">
        <f aca="false">AA11+AB11</f>
        <v>49.5574007570093</v>
      </c>
    </row>
    <row r="12" customFormat="false" ht="13.5" hidden="false" customHeight="false" outlineLevel="0" collapsed="false">
      <c r="G12" s="215" t="n">
        <v>6</v>
      </c>
      <c r="H12" s="683" t="n">
        <f aca="false">Delay!W13</f>
        <v>22311321.1</v>
      </c>
      <c r="I12" s="670" t="n">
        <f aca="false">H12/365</f>
        <v>61126.9071232877</v>
      </c>
      <c r="J12" s="671" t="n">
        <f aca="false">(Delay!AC13*Delay!AA13+Delay!AC60*Delay!AA60)*$Q$33</f>
        <v>5002871.66983599</v>
      </c>
      <c r="K12" s="672" t="n">
        <f aca="false">H12-J12</f>
        <v>17308449.430164</v>
      </c>
      <c r="L12" s="684" t="n">
        <f aca="false">Y12</f>
        <v>70.9336404706049</v>
      </c>
      <c r="M12" s="674" t="n">
        <f aca="false">Delay!X13</f>
        <v>0.34881248351123</v>
      </c>
      <c r="N12" s="672" t="n">
        <f aca="false">Delay!BB13</f>
        <v>3</v>
      </c>
      <c r="O12" s="672" t="n">
        <f aca="false">J12*(1-M12)</f>
        <v>3257807.57799252</v>
      </c>
      <c r="P12" s="672" t="n">
        <f aca="false">K12*(1-M12)</f>
        <v>11271046.1987</v>
      </c>
      <c r="Q12" s="675" t="n">
        <f aca="false">AC12</f>
        <v>46.8886010571692</v>
      </c>
      <c r="R12" s="676" t="n">
        <f aca="false">L12-Q12</f>
        <v>24.0450394134357</v>
      </c>
      <c r="U12" s="215" t="n">
        <v>6</v>
      </c>
      <c r="V12" s="685" t="n">
        <f aca="false">Delay!W13</f>
        <v>22311321.1</v>
      </c>
      <c r="W12" s="678" t="n">
        <f aca="false">(Delay!AA13+Delay!AA60)*$Q$33*$D$10/$D$6</f>
        <v>7.05882352941176</v>
      </c>
      <c r="X12" s="675" t="n">
        <f aca="false">X$6*K12/K$6</f>
        <v>63.8748169411931</v>
      </c>
      <c r="Y12" s="686" t="n">
        <f aca="false">W12+X12</f>
        <v>70.9336404706049</v>
      </c>
      <c r="Z12" s="674" t="n">
        <f aca="false">Delay!X13</f>
        <v>0.34881248351123</v>
      </c>
      <c r="AA12" s="680" t="n">
        <f aca="false">(Delay!AA13+Delay!AA60)*(PY!$D$10-PY!$N12)*PY!$Q$33/PY!$D$6</f>
        <v>5.29411764705882</v>
      </c>
      <c r="AB12" s="675" t="n">
        <f aca="false">AB$6*P12/P$6</f>
        <v>41.5944834101104</v>
      </c>
      <c r="AC12" s="687" t="n">
        <f aca="false">AA12+AB12</f>
        <v>46.8886010571692</v>
      </c>
    </row>
    <row r="13" customFormat="false" ht="12.75" hidden="false" customHeight="false" outlineLevel="0" collapsed="false">
      <c r="G13" s="215" t="n">
        <v>7</v>
      </c>
      <c r="H13" s="683" t="n">
        <f aca="false">Delay!W14</f>
        <v>22860512.45</v>
      </c>
      <c r="I13" s="670" t="n">
        <f aca="false">H13/365</f>
        <v>62631.5409589041</v>
      </c>
      <c r="J13" s="671" t="n">
        <f aca="false">(Delay!AC14*Delay!AA14+Delay!AC61*Delay!AA61)*$Q$33</f>
        <v>5126016.94814198</v>
      </c>
      <c r="K13" s="672" t="n">
        <f aca="false">H13-J13</f>
        <v>17734495.501858</v>
      </c>
      <c r="L13" s="684" t="n">
        <f aca="false">Y13</f>
        <v>72.5059138823723</v>
      </c>
      <c r="M13" s="674" t="n">
        <f aca="false">Delay!X14</f>
        <v>0.39671513105108</v>
      </c>
      <c r="N13" s="672" t="n">
        <f aca="false">Delay!BB14</f>
        <v>3</v>
      </c>
      <c r="O13" s="672" t="n">
        <f aca="false">J13*(1-M13)</f>
        <v>3092448.46278978</v>
      </c>
      <c r="P13" s="672" t="n">
        <f aca="false">K13*(1-M13)</f>
        <v>10698952.7947136</v>
      </c>
      <c r="Q13" s="675" t="n">
        <f aca="false">AC13</f>
        <v>44.7773569737328</v>
      </c>
      <c r="R13" s="676" t="n">
        <f aca="false">L13-Q13</f>
        <v>27.7285569086396</v>
      </c>
      <c r="U13" s="215" t="n">
        <v>7</v>
      </c>
      <c r="V13" s="685" t="n">
        <f aca="false">Delay!W14</f>
        <v>22860512.45</v>
      </c>
      <c r="W13" s="678" t="n">
        <f aca="false">(Delay!AA14+Delay!AA61)*$Q$33*$D$10/$D$6</f>
        <v>7.05882352941176</v>
      </c>
      <c r="X13" s="675" t="n">
        <f aca="false">X$6*K13/K$6</f>
        <v>65.4470903529606</v>
      </c>
      <c r="Y13" s="686" t="n">
        <f aca="false">W13+X13</f>
        <v>72.5059138823723</v>
      </c>
      <c r="Z13" s="674" t="n">
        <f aca="false">Delay!X14</f>
        <v>0.39671513105108</v>
      </c>
      <c r="AA13" s="680" t="n">
        <f aca="false">(Delay!AA14+Delay!AA61)*(PY!$D$10-PY!$N13)*PY!$Q$33/PY!$D$6</f>
        <v>5.29411764705882</v>
      </c>
      <c r="AB13" s="675" t="n">
        <f aca="false">AB$6*P13/P$6</f>
        <v>39.4832393266739</v>
      </c>
      <c r="AC13" s="687" t="n">
        <f aca="false">AA13+AB13</f>
        <v>44.7773569737328</v>
      </c>
    </row>
    <row r="14" customFormat="false" ht="12.75" hidden="false" customHeight="false" outlineLevel="0" collapsed="false">
      <c r="G14" s="215" t="n">
        <v>8</v>
      </c>
      <c r="H14" s="683" t="n">
        <f aca="false">Delay!W15</f>
        <v>23409703.8</v>
      </c>
      <c r="I14" s="670" t="n">
        <f aca="false">H14/365</f>
        <v>64136.1747945206</v>
      </c>
      <c r="J14" s="671" t="n">
        <f aca="false">(Delay!AC15*Delay!AA15+Delay!AC62*Delay!AA62)*$Q$33</f>
        <v>5249162.22644798</v>
      </c>
      <c r="K14" s="672" t="n">
        <f aca="false">H14-J14</f>
        <v>18160541.573552</v>
      </c>
      <c r="L14" s="684" t="n">
        <f aca="false">Y14</f>
        <v>74.0781872941398</v>
      </c>
      <c r="M14" s="674" t="n">
        <f aca="false">Delay!X15</f>
        <v>0.443037513897103</v>
      </c>
      <c r="N14" s="672" t="n">
        <f aca="false">Delay!BB15</f>
        <v>3</v>
      </c>
      <c r="O14" s="672" t="n">
        <f aca="false">J14*(1-M14)</f>
        <v>2923586.44359989</v>
      </c>
      <c r="P14" s="672" t="n">
        <f aca="false">K14*(1-M14)</f>
        <v>10114740.3837806</v>
      </c>
      <c r="Q14" s="675" t="n">
        <f aca="false">AC14</f>
        <v>42.6213891064962</v>
      </c>
      <c r="R14" s="676" t="n">
        <f aca="false">L14-Q14</f>
        <v>31.4567981876436</v>
      </c>
      <c r="U14" s="215" t="n">
        <v>8</v>
      </c>
      <c r="V14" s="685" t="n">
        <f aca="false">Delay!W15</f>
        <v>23409703.8</v>
      </c>
      <c r="W14" s="678" t="n">
        <f aca="false">(Delay!AA15+Delay!AA62)*$Q$33*$D$10/$D$6</f>
        <v>7.05882352941176</v>
      </c>
      <c r="X14" s="675" t="n">
        <f aca="false">X$6*K14/K$6</f>
        <v>67.0193637647281</v>
      </c>
      <c r="Y14" s="686" t="n">
        <f aca="false">W14+X14</f>
        <v>74.0781872941398</v>
      </c>
      <c r="Z14" s="674" t="n">
        <f aca="false">Delay!X15</f>
        <v>0.443037513897103</v>
      </c>
      <c r="AA14" s="680" t="n">
        <f aca="false">(Delay!AA15+Delay!AA62)*(PY!$D$10-PY!$N14)*PY!$Q$33/PY!$D$6</f>
        <v>5.29411764705882</v>
      </c>
      <c r="AB14" s="675" t="n">
        <f aca="false">AB$6*P14/P$6</f>
        <v>37.3272714594374</v>
      </c>
      <c r="AC14" s="687" t="n">
        <f aca="false">AA14+AB14</f>
        <v>42.6213891064962</v>
      </c>
    </row>
    <row r="15" customFormat="false" ht="12.75" hidden="false" customHeight="false" outlineLevel="0" collapsed="false">
      <c r="G15" s="215" t="n">
        <v>9</v>
      </c>
      <c r="H15" s="683" t="n">
        <f aca="false">Delay!W16</f>
        <v>23958895.15</v>
      </c>
      <c r="I15" s="670" t="n">
        <f aca="false">H15/365</f>
        <v>65640.808630137</v>
      </c>
      <c r="J15" s="671" t="n">
        <f aca="false">(Delay!AC16*Delay!AA16+Delay!AC63*Delay!AA63)*$Q$33</f>
        <v>5372307.50475398</v>
      </c>
      <c r="K15" s="672" t="n">
        <f aca="false">H15-J15</f>
        <v>18586587.645246</v>
      </c>
      <c r="L15" s="684" t="n">
        <f aca="false">Y15</f>
        <v>75.6504607059073</v>
      </c>
      <c r="M15" s="674" t="n">
        <f aca="false">Delay!X16</f>
        <v>0.488152689932575</v>
      </c>
      <c r="N15" s="672" t="n">
        <f aca="false">Delay!BB16</f>
        <v>4</v>
      </c>
      <c r="O15" s="672" t="n">
        <f aca="false">J15*(1-M15)</f>
        <v>2749801.14516336</v>
      </c>
      <c r="P15" s="672" t="n">
        <f aca="false">K15*(1-M15)</f>
        <v>9513494.8895516</v>
      </c>
      <c r="Q15" s="675" t="n">
        <f aca="false">AC15</f>
        <v>39.8143273348512</v>
      </c>
      <c r="R15" s="676" t="n">
        <f aca="false">L15-Q15</f>
        <v>35.8361333710561</v>
      </c>
      <c r="U15" s="215" t="n">
        <v>9</v>
      </c>
      <c r="V15" s="685" t="n">
        <f aca="false">Delay!W16</f>
        <v>23958895.15</v>
      </c>
      <c r="W15" s="678" t="n">
        <f aca="false">(Delay!AA16+Delay!AA63)*$Q$33*$D$10/$D$6</f>
        <v>7.05882352941176</v>
      </c>
      <c r="X15" s="675" t="n">
        <f aca="false">X$6*K15/K$6</f>
        <v>68.5916371764955</v>
      </c>
      <c r="Y15" s="686" t="n">
        <f aca="false">W15+X15</f>
        <v>75.6504607059073</v>
      </c>
      <c r="Z15" s="674" t="n">
        <f aca="false">Delay!X16</f>
        <v>0.488152689932575</v>
      </c>
      <c r="AA15" s="680" t="n">
        <f aca="false">(Delay!AA16+Delay!AA63)*(PY!$D$10-PY!$N15)*PY!$Q$33/PY!$D$6</f>
        <v>4.70588235294118</v>
      </c>
      <c r="AB15" s="675" t="n">
        <f aca="false">AB$6*P15/P$6</f>
        <v>35.10844498191</v>
      </c>
      <c r="AC15" s="687" t="n">
        <f aca="false">AA15+AB15</f>
        <v>39.8143273348512</v>
      </c>
    </row>
    <row r="16" customFormat="false" ht="12.75" hidden="false" customHeight="false" outlineLevel="0" collapsed="false">
      <c r="G16" s="215" t="n">
        <v>10</v>
      </c>
      <c r="H16" s="683" t="n">
        <f aca="false">Delay!W17</f>
        <v>24508086.5</v>
      </c>
      <c r="I16" s="670" t="n">
        <f aca="false">H16/365</f>
        <v>67145.4424657534</v>
      </c>
      <c r="J16" s="671" t="n">
        <f aca="false">(Delay!AC17*Delay!AA17+Delay!AC64*Delay!AA64)*$Q$33</f>
        <v>5495452.78305998</v>
      </c>
      <c r="K16" s="672" t="n">
        <f aca="false">H16-J16</f>
        <v>19012633.71694</v>
      </c>
      <c r="L16" s="684" t="n">
        <f aca="false">Y16</f>
        <v>77.2227341176748</v>
      </c>
      <c r="M16" s="674" t="n">
        <f aca="false">Delay!X17</f>
        <v>0.531731128248894</v>
      </c>
      <c r="N16" s="672" t="n">
        <f aca="false">Delay!BB17</f>
        <v>4</v>
      </c>
      <c r="O16" s="672" t="n">
        <f aca="false">J16*(1-M16)</f>
        <v>2573349.47448497</v>
      </c>
      <c r="P16" s="672" t="n">
        <f aca="false">K16*(1-M16)</f>
        <v>8903024.53964855</v>
      </c>
      <c r="Q16" s="675" t="n">
        <f aca="false">AC16</f>
        <v>37.5614576017526</v>
      </c>
      <c r="R16" s="676" t="n">
        <f aca="false">L16-Q16</f>
        <v>39.6612765159222</v>
      </c>
      <c r="U16" s="215" t="n">
        <v>10</v>
      </c>
      <c r="V16" s="685" t="n">
        <f aca="false">Delay!W17</f>
        <v>24508086.5</v>
      </c>
      <c r="W16" s="678" t="n">
        <f aca="false">(Delay!AA17+Delay!AA64)*$Q$33*$D$10/$D$6</f>
        <v>7.05882352941176</v>
      </c>
      <c r="X16" s="675" t="n">
        <f aca="false">X$6*K16/K$6</f>
        <v>70.163910588263</v>
      </c>
      <c r="Y16" s="686" t="n">
        <f aca="false">W16+X16</f>
        <v>77.2227341176748</v>
      </c>
      <c r="Z16" s="674" t="n">
        <f aca="false">Delay!X17</f>
        <v>0.531731128248894</v>
      </c>
      <c r="AA16" s="680" t="n">
        <f aca="false">(Delay!AA17+Delay!AA64)*(PY!$D$10-PY!$N16)*PY!$Q$33/PY!$D$6</f>
        <v>4.70588235294118</v>
      </c>
      <c r="AB16" s="675" t="n">
        <f aca="false">AB$6*P16/P$6</f>
        <v>32.8555752488114</v>
      </c>
      <c r="AC16" s="687" t="n">
        <f aca="false">AA16+AB16</f>
        <v>37.5614576017526</v>
      </c>
    </row>
    <row r="17" customFormat="false" ht="12.75" hidden="false" customHeight="false" outlineLevel="0" collapsed="false">
      <c r="G17" s="215" t="n">
        <v>11</v>
      </c>
      <c r="H17" s="683" t="n">
        <f aca="false">Delay!W18</f>
        <v>25057277.85</v>
      </c>
      <c r="I17" s="670" t="n">
        <f aca="false">H17/365</f>
        <v>68650.0763013699</v>
      </c>
      <c r="J17" s="671" t="n">
        <f aca="false">(Delay!AC18*Delay!AA18+Delay!AC65*Delay!AA65)*$Q$33</f>
        <v>5618598.06136598</v>
      </c>
      <c r="K17" s="672" t="n">
        <f aca="false">H17-J17</f>
        <v>19438679.788634</v>
      </c>
      <c r="L17" s="684" t="n">
        <f aca="false">Y17</f>
        <v>78.7950075294423</v>
      </c>
      <c r="M17" s="674" t="n">
        <f aca="false">Delay!X18</f>
        <v>0.57370976448128</v>
      </c>
      <c r="N17" s="672" t="n">
        <f aca="false">Delay!BB18</f>
        <v>4</v>
      </c>
      <c r="O17" s="672" t="n">
        <f aca="false">J17*(1-M17)</f>
        <v>2395153.49086472</v>
      </c>
      <c r="P17" s="672" t="n">
        <f aca="false">K17*(1-M17)</f>
        <v>8286519.38526977</v>
      </c>
      <c r="Q17" s="675" t="n">
        <f aca="false">AC17</f>
        <v>35.2863171255284</v>
      </c>
      <c r="R17" s="676" t="n">
        <f aca="false">L17-Q17</f>
        <v>43.5086904039139</v>
      </c>
      <c r="U17" s="215" t="n">
        <v>11</v>
      </c>
      <c r="V17" s="685" t="n">
        <f aca="false">Delay!W18</f>
        <v>25057277.85</v>
      </c>
      <c r="W17" s="678" t="n">
        <f aca="false">(Delay!AA18+Delay!AA65)*$Q$33*$D$10/$D$6</f>
        <v>7.05882352941176</v>
      </c>
      <c r="X17" s="675" t="n">
        <f aca="false">X$6*K17/K$6</f>
        <v>71.7361840000305</v>
      </c>
      <c r="Y17" s="686" t="n">
        <f aca="false">W17+X17</f>
        <v>78.7950075294423</v>
      </c>
      <c r="Z17" s="674" t="n">
        <f aca="false">Delay!X18</f>
        <v>0.57370976448128</v>
      </c>
      <c r="AA17" s="680" t="n">
        <f aca="false">(Delay!AA18+Delay!AA65)*(PY!$D$10-PY!$N17)*PY!$Q$33/PY!$D$6</f>
        <v>4.70588235294118</v>
      </c>
      <c r="AB17" s="675" t="n">
        <f aca="false">AB$6*P17/P$6</f>
        <v>30.5804347725872</v>
      </c>
      <c r="AC17" s="687" t="n">
        <f aca="false">AA17+AB17</f>
        <v>35.2863171255284</v>
      </c>
    </row>
    <row r="18" customFormat="false" ht="12.75" hidden="false" customHeight="false" outlineLevel="0" collapsed="false">
      <c r="G18" s="215" t="n">
        <v>12</v>
      </c>
      <c r="H18" s="683" t="n">
        <f aca="false">Delay!W19</f>
        <v>25606469.2</v>
      </c>
      <c r="I18" s="670" t="n">
        <f aca="false">H18/365</f>
        <v>70154.7101369863</v>
      </c>
      <c r="J18" s="671" t="n">
        <f aca="false">(Delay!AC19*Delay!AA19+Delay!AC66*Delay!AA66)*$Q$33</f>
        <v>5741743.33967197</v>
      </c>
      <c r="K18" s="672" t="n">
        <f aca="false">H18-J18</f>
        <v>19864725.860328</v>
      </c>
      <c r="L18" s="684" t="n">
        <f aca="false">Y18</f>
        <v>80.3672809412097</v>
      </c>
      <c r="M18" s="674" t="n">
        <f aca="false">Delay!X19</f>
        <v>0.614080811078137</v>
      </c>
      <c r="N18" s="672" t="n">
        <f aca="false">Delay!BB19</f>
        <v>5</v>
      </c>
      <c r="O18" s="672" t="n">
        <f aca="false">J18*(1-M18)</f>
        <v>2215848.93264371</v>
      </c>
      <c r="P18" s="672" t="n">
        <f aca="false">K18*(1-M18)</f>
        <v>7666178.89217294</v>
      </c>
      <c r="Q18" s="675" t="n">
        <f aca="false">AC18</f>
        <v>32.4087874842975</v>
      </c>
      <c r="R18" s="676" t="n">
        <f aca="false">L18-Q18</f>
        <v>47.9584934569122</v>
      </c>
      <c r="U18" s="215" t="n">
        <v>12</v>
      </c>
      <c r="V18" s="685" t="n">
        <f aca="false">Delay!W19</f>
        <v>25606469.2</v>
      </c>
      <c r="W18" s="678" t="n">
        <f aca="false">(Delay!AA19+Delay!AA66)*$Q$33*$D$10/$D$6</f>
        <v>7.05882352941176</v>
      </c>
      <c r="X18" s="675" t="n">
        <f aca="false">X$6*K18/K$6</f>
        <v>73.308457411798</v>
      </c>
      <c r="Y18" s="686" t="n">
        <f aca="false">W18+X18</f>
        <v>80.3672809412097</v>
      </c>
      <c r="Z18" s="674" t="n">
        <f aca="false">Delay!X19</f>
        <v>0.614080811078137</v>
      </c>
      <c r="AA18" s="680" t="n">
        <f aca="false">(Delay!AA19+Delay!AA66)*(PY!$D$10-PY!$N18)*PY!$Q$33/PY!$D$6</f>
        <v>4.11764705882353</v>
      </c>
      <c r="AB18" s="675" t="n">
        <f aca="false">AB$6*P18/P$6</f>
        <v>28.291140425474</v>
      </c>
      <c r="AC18" s="687" t="n">
        <f aca="false">AA18+AB18</f>
        <v>32.4087874842975</v>
      </c>
    </row>
    <row r="19" customFormat="false" ht="12.75" hidden="false" customHeight="false" outlineLevel="0" collapsed="false">
      <c r="G19" s="215" t="n">
        <v>13</v>
      </c>
      <c r="H19" s="683" t="n">
        <f aca="false">Delay!W20</f>
        <v>26155660.55</v>
      </c>
      <c r="I19" s="670" t="n">
        <f aca="false">H19/365</f>
        <v>71659.3439726027</v>
      </c>
      <c r="J19" s="671" t="n">
        <f aca="false">(Delay!AC20*Delay!AA20+Delay!AC67*Delay!AA67)*$Q$33</f>
        <v>5864888.61797797</v>
      </c>
      <c r="K19" s="672" t="n">
        <f aca="false">H19-J19</f>
        <v>20290771.932022</v>
      </c>
      <c r="L19" s="684" t="n">
        <f aca="false">Y19</f>
        <v>81.9395543529772</v>
      </c>
      <c r="M19" s="674" t="n">
        <f aca="false">Delay!X20</f>
        <v>0.652377141057342</v>
      </c>
      <c r="N19" s="672" t="n">
        <f aca="false">Delay!BB20</f>
        <v>5</v>
      </c>
      <c r="O19" s="672" t="n">
        <f aca="false">J19*(1-M19)</f>
        <v>2038769.34876176</v>
      </c>
      <c r="P19" s="672" t="n">
        <f aca="false">K19*(1-M19)</f>
        <v>7053536.14916294</v>
      </c>
      <c r="Q19" s="675" t="n">
        <f aca="false">AC19</f>
        <v>30.147900787427</v>
      </c>
      <c r="R19" s="676" t="n">
        <f aca="false">L19-Q19</f>
        <v>51.7916535655502</v>
      </c>
      <c r="U19" s="215" t="n">
        <v>13</v>
      </c>
      <c r="V19" s="685" t="n">
        <f aca="false">Delay!W20</f>
        <v>26155660.55</v>
      </c>
      <c r="W19" s="678" t="n">
        <f aca="false">(Delay!AA20+Delay!AA67)*$Q$33*$D$10/$D$6</f>
        <v>7.05882352941176</v>
      </c>
      <c r="X19" s="675" t="n">
        <f aca="false">X$6*K19/K$6</f>
        <v>74.8807308235654</v>
      </c>
      <c r="Y19" s="686" t="n">
        <f aca="false">W19+X19</f>
        <v>81.9395543529772</v>
      </c>
      <c r="Z19" s="674" t="n">
        <f aca="false">Delay!X20</f>
        <v>0.652377141057342</v>
      </c>
      <c r="AA19" s="680" t="n">
        <f aca="false">(Delay!AA20+Delay!AA67)*(PY!$D$10-PY!$N19)*PY!$Q$33/PY!$D$6</f>
        <v>4.11764705882353</v>
      </c>
      <c r="AB19" s="675" t="n">
        <f aca="false">AB$6*P19/P$6</f>
        <v>26.0302537286034</v>
      </c>
      <c r="AC19" s="687" t="n">
        <f aca="false">AA19+AB19</f>
        <v>30.147900787427</v>
      </c>
    </row>
    <row r="20" customFormat="false" ht="12.75" hidden="false" customHeight="false" outlineLevel="0" collapsed="false">
      <c r="G20" s="215" t="n">
        <v>14</v>
      </c>
      <c r="H20" s="683" t="n">
        <f aca="false">Delay!W21</f>
        <v>26704851.9</v>
      </c>
      <c r="I20" s="670" t="n">
        <f aca="false">H20/365</f>
        <v>73163.9778082192</v>
      </c>
      <c r="J20" s="671" t="n">
        <f aca="false">(Delay!AC21*Delay!AA21+Delay!AC68*Delay!AA68)*$Q$33</f>
        <v>5988033.89628397</v>
      </c>
      <c r="K20" s="672" t="n">
        <f aca="false">H20-J20</f>
        <v>20716818.003716</v>
      </c>
      <c r="L20" s="684" t="n">
        <f aca="false">Y20</f>
        <v>83.5118277647447</v>
      </c>
      <c r="M20" s="674" t="n">
        <f aca="false">Delay!X21</f>
        <v>0.688560291874923</v>
      </c>
      <c r="N20" s="672" t="n">
        <f aca="false">Delay!BB21</f>
        <v>6</v>
      </c>
      <c r="O20" s="672" t="n">
        <f aca="false">J20*(1-M20)</f>
        <v>1864911.52890175</v>
      </c>
      <c r="P20" s="672" t="n">
        <f aca="false">K20*(1-M20)</f>
        <v>6452039.75235767</v>
      </c>
      <c r="Q20" s="675" t="n">
        <f aca="false">AC20</f>
        <v>27.3399130890433</v>
      </c>
      <c r="R20" s="676" t="n">
        <f aca="false">L20-Q20</f>
        <v>56.1719146757014</v>
      </c>
      <c r="U20" s="215" t="n">
        <v>14</v>
      </c>
      <c r="V20" s="685" t="n">
        <f aca="false">Delay!W21</f>
        <v>26704851.9</v>
      </c>
      <c r="W20" s="678" t="n">
        <f aca="false">(Delay!AA21+Delay!AA68)*$Q$33*$D$10/$D$6</f>
        <v>7.05882352941176</v>
      </c>
      <c r="X20" s="675" t="n">
        <f aca="false">X$6*K20/K$6</f>
        <v>76.4530042353329</v>
      </c>
      <c r="Y20" s="686" t="n">
        <f aca="false">W20+X20</f>
        <v>83.5118277647447</v>
      </c>
      <c r="Z20" s="674" t="n">
        <f aca="false">Delay!X21</f>
        <v>0.688560291874923</v>
      </c>
      <c r="AA20" s="680" t="n">
        <f aca="false">(Delay!AA21+Delay!AA68)*(PY!$D$10-PY!$N20)*PY!$Q$33/PY!$D$6</f>
        <v>3.52941176470588</v>
      </c>
      <c r="AB20" s="675" t="n">
        <f aca="false">AB$6*P20/P$6</f>
        <v>23.8105013243374</v>
      </c>
      <c r="AC20" s="687" t="n">
        <f aca="false">AA20+AB20</f>
        <v>27.3399130890433</v>
      </c>
    </row>
    <row r="21" customFormat="false" ht="12.75" hidden="false" customHeight="false" outlineLevel="0" collapsed="false">
      <c r="G21" s="215" t="n">
        <v>15</v>
      </c>
      <c r="H21" s="683" t="n">
        <f aca="false">Delay!W22</f>
        <v>27254043.25</v>
      </c>
      <c r="I21" s="670" t="n">
        <f aca="false">H21/365</f>
        <v>74668.6116438356</v>
      </c>
      <c r="J21" s="671" t="n">
        <f aca="false">(Delay!AC22*Delay!AA22+Delay!AC69*Delay!AA69)*$Q$33</f>
        <v>6111179.17458997</v>
      </c>
      <c r="K21" s="672" t="n">
        <f aca="false">H21-J21</f>
        <v>21142864.07541</v>
      </c>
      <c r="L21" s="684" t="n">
        <f aca="false">Y21</f>
        <v>85.0841011765122</v>
      </c>
      <c r="M21" s="674" t="n">
        <f aca="false">Delay!X22</f>
        <v>0.72219473716396</v>
      </c>
      <c r="N21" s="672" t="n">
        <f aca="false">Delay!BB22</f>
        <v>6</v>
      </c>
      <c r="O21" s="672" t="n">
        <f aca="false">J21*(1-M21)</f>
        <v>1697717.7368351</v>
      </c>
      <c r="P21" s="672" t="n">
        <f aca="false">K21*(1-M21)</f>
        <v>5873598.91157595</v>
      </c>
      <c r="Q21" s="675" t="n">
        <f aca="false">AC21</f>
        <v>25.2052445293136</v>
      </c>
      <c r="R21" s="676" t="n">
        <f aca="false">L21-Q21</f>
        <v>59.8788566471986</v>
      </c>
      <c r="U21" s="215" t="n">
        <v>15</v>
      </c>
      <c r="V21" s="685" t="n">
        <f aca="false">Delay!W22</f>
        <v>27254043.25</v>
      </c>
      <c r="W21" s="678" t="n">
        <f aca="false">(Delay!AA22+Delay!AA69)*$Q$33*$D$10/$D$6</f>
        <v>7.05882352941176</v>
      </c>
      <c r="X21" s="675" t="n">
        <f aca="false">X$6*K21/K$6</f>
        <v>78.0252776471004</v>
      </c>
      <c r="Y21" s="686" t="n">
        <f aca="false">W21+X21</f>
        <v>85.0841011765122</v>
      </c>
      <c r="Z21" s="674" t="n">
        <f aca="false">Delay!X22</f>
        <v>0.72219473716396</v>
      </c>
      <c r="AA21" s="680" t="n">
        <f aca="false">(Delay!AA22+Delay!AA69)*(PY!$D$10-PY!$N21)*PY!$Q$33/PY!$D$6</f>
        <v>3.52941176470588</v>
      </c>
      <c r="AB21" s="675" t="n">
        <f aca="false">AB$6*P21/P$6</f>
        <v>21.6758327646077</v>
      </c>
      <c r="AC21" s="687" t="n">
        <f aca="false">AA21+AB21</f>
        <v>25.2052445293136</v>
      </c>
    </row>
    <row r="22" customFormat="false" ht="12.75" hidden="false" customHeight="false" outlineLevel="0" collapsed="false">
      <c r="G22" s="215" t="n">
        <v>16</v>
      </c>
      <c r="H22" s="683" t="n">
        <f aca="false">Delay!W23</f>
        <v>27803234.6</v>
      </c>
      <c r="I22" s="670" t="n">
        <f aca="false">H22/365</f>
        <v>76173.2454794521</v>
      </c>
      <c r="J22" s="671" t="n">
        <f aca="false">(Delay!AC23*Delay!AA23+Delay!AC70*Delay!AA70)*$Q$33</f>
        <v>6234324.45289596</v>
      </c>
      <c r="K22" s="672" t="n">
        <f aca="false">H22-J22</f>
        <v>21568910.147104</v>
      </c>
      <c r="L22" s="684" t="n">
        <f aca="false">Y22</f>
        <v>86.6563745882797</v>
      </c>
      <c r="M22" s="674" t="n">
        <f aca="false">Delay!X23</f>
        <v>0.753205951403196</v>
      </c>
      <c r="N22" s="672" t="n">
        <f aca="false">Delay!BB23</f>
        <v>6</v>
      </c>
      <c r="O22" s="672" t="n">
        <f aca="false">J22*(1-M22)</f>
        <v>1538594.17199625</v>
      </c>
      <c r="P22" s="672" t="n">
        <f aca="false">K22*(1-M22)</f>
        <v>5323078.65902449</v>
      </c>
      <c r="Q22" s="675" t="n">
        <f aca="false">AC22</f>
        <v>23.1736136489147</v>
      </c>
      <c r="R22" s="676" t="n">
        <f aca="false">L22-Q22</f>
        <v>63.4827609393649</v>
      </c>
      <c r="U22" s="215" t="n">
        <v>16</v>
      </c>
      <c r="V22" s="685" t="n">
        <f aca="false">Delay!W23</f>
        <v>27803234.6</v>
      </c>
      <c r="W22" s="678" t="n">
        <f aca="false">(Delay!AA23+Delay!AA70)*$Q$33*$D$10/$D$6</f>
        <v>7.05882352941176</v>
      </c>
      <c r="X22" s="675" t="n">
        <f aca="false">X$6*K22/K$6</f>
        <v>79.5975510588679</v>
      </c>
      <c r="Y22" s="686" t="n">
        <f aca="false">W22+X22</f>
        <v>86.6563745882797</v>
      </c>
      <c r="Z22" s="674" t="n">
        <f aca="false">Delay!X23</f>
        <v>0.753205951403196</v>
      </c>
      <c r="AA22" s="680" t="n">
        <f aca="false">(Delay!AA23+Delay!AA70)*(PY!$D$10-PY!$N22)*PY!$Q$33/PY!$D$6</f>
        <v>3.52941176470588</v>
      </c>
      <c r="AB22" s="675" t="n">
        <f aca="false">AB$6*P22/P$6</f>
        <v>19.6442018842088</v>
      </c>
      <c r="AC22" s="687" t="n">
        <f aca="false">AA22+AB22</f>
        <v>23.1736136489147</v>
      </c>
    </row>
    <row r="23" customFormat="false" ht="12.75" hidden="false" customHeight="false" outlineLevel="0" collapsed="false">
      <c r="G23" s="215" t="n">
        <v>17</v>
      </c>
      <c r="H23" s="683" t="n">
        <f aca="false">Delay!W24</f>
        <v>28352425.95</v>
      </c>
      <c r="I23" s="670" t="n">
        <f aca="false">H23/365</f>
        <v>77677.8793150685</v>
      </c>
      <c r="J23" s="671" t="n">
        <f aca="false">(Delay!AC24*Delay!AA24+Delay!AC71*Delay!AA71)*$Q$33</f>
        <v>6357469.73120196</v>
      </c>
      <c r="K23" s="672" t="n">
        <f aca="false">H23-J23</f>
        <v>21994956.218798</v>
      </c>
      <c r="L23" s="684" t="n">
        <f aca="false">Y23</f>
        <v>88.2286480000471</v>
      </c>
      <c r="M23" s="674" t="n">
        <f aca="false">Delay!X24</f>
        <v>0.781651485932894</v>
      </c>
      <c r="N23" s="672" t="n">
        <f aca="false">Delay!BB24</f>
        <v>7</v>
      </c>
      <c r="O23" s="672" t="n">
        <f aca="false">J23*(1-M23)</f>
        <v>1388144.06903455</v>
      </c>
      <c r="P23" s="672" t="n">
        <f aca="false">K23*(1-M23)</f>
        <v>4802566.00734561</v>
      </c>
      <c r="Q23" s="675" t="n">
        <f aca="false">AC23</f>
        <v>20.6644870308393</v>
      </c>
      <c r="R23" s="676" t="n">
        <f aca="false">L23-Q23</f>
        <v>67.5641609692078</v>
      </c>
      <c r="U23" s="215" t="n">
        <v>17</v>
      </c>
      <c r="V23" s="685" t="n">
        <f aca="false">Delay!W24</f>
        <v>28352425.95</v>
      </c>
      <c r="W23" s="678" t="n">
        <f aca="false">(Delay!AA24+Delay!AA71)*$Q$33*$D$10/$D$6</f>
        <v>7.05882352941176</v>
      </c>
      <c r="X23" s="675" t="n">
        <f aca="false">X$6*K23/K$6</f>
        <v>81.1698244706354</v>
      </c>
      <c r="Y23" s="686" t="n">
        <f aca="false">W23+X23</f>
        <v>88.2286480000471</v>
      </c>
      <c r="Z23" s="674" t="n">
        <f aca="false">Delay!X24</f>
        <v>0.781651485932894</v>
      </c>
      <c r="AA23" s="680" t="n">
        <f aca="false">(Delay!AA24+Delay!AA71)*(PY!$D$10-PY!$N23)*PY!$Q$33/PY!$D$6</f>
        <v>2.94117647058824</v>
      </c>
      <c r="AB23" s="675" t="n">
        <f aca="false">AB$6*P23/P$6</f>
        <v>17.7233105602511</v>
      </c>
      <c r="AC23" s="687" t="n">
        <f aca="false">AA23+AB23</f>
        <v>20.6644870308393</v>
      </c>
    </row>
    <row r="24" customFormat="false" ht="12.75" hidden="false" customHeight="false" outlineLevel="0" collapsed="false">
      <c r="G24" s="215" t="n">
        <v>18</v>
      </c>
      <c r="H24" s="683" t="n">
        <f aca="false">Delay!W25</f>
        <v>28901617.3</v>
      </c>
      <c r="I24" s="670" t="n">
        <f aca="false">H24/365</f>
        <v>79182.5131506849</v>
      </c>
      <c r="J24" s="671" t="n">
        <f aca="false">(Delay!AC25*Delay!AA25+Delay!AC72*Delay!AA72)*$Q$33</f>
        <v>6480615.00950796</v>
      </c>
      <c r="K24" s="672" t="n">
        <f aca="false">H24-J24</f>
        <v>22421002.290492</v>
      </c>
      <c r="L24" s="684" t="n">
        <f aca="false">Y24</f>
        <v>89.8009214118146</v>
      </c>
      <c r="M24" s="674" t="n">
        <f aca="false">Delay!X25</f>
        <v>0.807356047331459</v>
      </c>
      <c r="N24" s="672" t="n">
        <f aca="false">Delay!BB25</f>
        <v>7</v>
      </c>
      <c r="O24" s="672" t="n">
        <f aca="false">J24*(1-M24)</f>
        <v>1248451.29115469</v>
      </c>
      <c r="P24" s="672" t="n">
        <f aca="false">K24*(1-M24)</f>
        <v>4319270.50403081</v>
      </c>
      <c r="Q24" s="675" t="n">
        <f aca="false">AC24</f>
        <v>18.8809412587417</v>
      </c>
      <c r="R24" s="676" t="n">
        <f aca="false">L24-Q24</f>
        <v>70.9199801530729</v>
      </c>
      <c r="U24" s="215" t="n">
        <v>18</v>
      </c>
      <c r="V24" s="685" t="n">
        <f aca="false">Delay!W25</f>
        <v>28901617.3</v>
      </c>
      <c r="W24" s="678" t="n">
        <f aca="false">(Delay!AA25+Delay!AA72)*$Q$33*$D$10/$D$6</f>
        <v>7.05882352941176</v>
      </c>
      <c r="X24" s="675" t="n">
        <f aca="false">X$6*K24/K$6</f>
        <v>82.7420978824028</v>
      </c>
      <c r="Y24" s="686" t="n">
        <f aca="false">W24+X24</f>
        <v>89.8009214118146</v>
      </c>
      <c r="Z24" s="674" t="n">
        <f aca="false">Delay!X25</f>
        <v>0.807356047331459</v>
      </c>
      <c r="AA24" s="680" t="n">
        <f aca="false">(Delay!AA25+Delay!AA72)*(PY!$D$10-PY!$N24)*PY!$Q$33/PY!$D$6</f>
        <v>2.94117647058824</v>
      </c>
      <c r="AB24" s="675" t="n">
        <f aca="false">AB$6*P24/P$6</f>
        <v>15.9397647881534</v>
      </c>
      <c r="AC24" s="687" t="n">
        <f aca="false">AA24+AB24</f>
        <v>18.8809412587417</v>
      </c>
    </row>
    <row r="25" customFormat="false" ht="12.75" hidden="false" customHeight="false" outlineLevel="0" collapsed="false">
      <c r="G25" s="215" t="n">
        <v>19</v>
      </c>
      <c r="H25" s="683" t="n">
        <f aca="false">Delay!W26</f>
        <v>29450808.65</v>
      </c>
      <c r="I25" s="670" t="n">
        <f aca="false">H25/365</f>
        <v>80687.1469863014</v>
      </c>
      <c r="J25" s="671" t="n">
        <f aca="false">(Delay!AC26*Delay!AA26+Delay!AC73*Delay!AA73)*$Q$33</f>
        <v>6603760.28781396</v>
      </c>
      <c r="K25" s="672" t="n">
        <f aca="false">H25-J25</f>
        <v>22847048.362186</v>
      </c>
      <c r="L25" s="684" t="n">
        <f aca="false">Y25</f>
        <v>91.3731948235821</v>
      </c>
      <c r="M25" s="674" t="n">
        <f aca="false">Delay!X26</f>
        <v>0.830563950021381</v>
      </c>
      <c r="N25" s="672" t="n">
        <f aca="false">Delay!BB26</f>
        <v>8</v>
      </c>
      <c r="O25" s="672" t="n">
        <f aca="false">J25*(1-M25)</f>
        <v>1118915.05817287</v>
      </c>
      <c r="P25" s="672" t="n">
        <f aca="false">K25*(1-M25)</f>
        <v>3871113.62815928</v>
      </c>
      <c r="Q25" s="675" t="n">
        <f aca="false">AC25</f>
        <v>16.6388352049855</v>
      </c>
      <c r="R25" s="676" t="n">
        <f aca="false">L25-Q25</f>
        <v>74.7343596185966</v>
      </c>
      <c r="U25" s="215" t="n">
        <v>19</v>
      </c>
      <c r="V25" s="685" t="n">
        <f aca="false">Delay!W26</f>
        <v>29450808.65</v>
      </c>
      <c r="W25" s="678" t="n">
        <f aca="false">(Delay!AA26+Delay!AA73)*$Q$33*$D$10/$D$6</f>
        <v>7.05882352941176</v>
      </c>
      <c r="X25" s="675" t="n">
        <f aca="false">X$6*K25/K$6</f>
        <v>84.3143712941703</v>
      </c>
      <c r="Y25" s="686" t="n">
        <f aca="false">W25+X25</f>
        <v>91.3731948235821</v>
      </c>
      <c r="Z25" s="674" t="n">
        <f aca="false">Delay!X26</f>
        <v>0.830563950021381</v>
      </c>
      <c r="AA25" s="680" t="n">
        <f aca="false">(Delay!AA26+Delay!AA73)*(PY!$D$10-PY!$N25)*PY!$Q$33/PY!$D$6</f>
        <v>2.35294117647059</v>
      </c>
      <c r="AB25" s="675" t="n">
        <f aca="false">AB$6*P25/P$6</f>
        <v>14.2858940285149</v>
      </c>
      <c r="AC25" s="687" t="n">
        <f aca="false">AA25+AB25</f>
        <v>16.6388352049855</v>
      </c>
    </row>
    <row r="26" customFormat="false" ht="12.75" hidden="false" customHeight="false" outlineLevel="0" collapsed="false">
      <c r="B26" s="4"/>
      <c r="C26" s="4"/>
      <c r="D26" s="4"/>
      <c r="E26" s="4"/>
      <c r="G26" s="235" t="n">
        <v>20</v>
      </c>
      <c r="H26" s="694" t="n">
        <f aca="false">Delay!W27</f>
        <v>30000000</v>
      </c>
      <c r="I26" s="695" t="n">
        <f aca="false">H26/365</f>
        <v>82191.7808219178</v>
      </c>
      <c r="J26" s="696" t="n">
        <f aca="false">(Delay!AC27*Delay!AA27+Delay!AC74*Delay!AA74)*$Q$33</f>
        <v>6726905.56611996</v>
      </c>
      <c r="K26" s="697" t="n">
        <f aca="false">H26-J26</f>
        <v>23273094.43388</v>
      </c>
      <c r="L26" s="698" t="n">
        <f aca="false">Y26</f>
        <v>92.9454682353496</v>
      </c>
      <c r="M26" s="699" t="n">
        <f aca="false">Delay!X27</f>
        <v>0.85118550512719</v>
      </c>
      <c r="N26" s="697" t="n">
        <f aca="false">Delay!BB27</f>
        <v>8</v>
      </c>
      <c r="O26" s="697" t="n">
        <f aca="false">J26*(1-M26)</f>
        <v>1001061.05387923</v>
      </c>
      <c r="P26" s="697" t="n">
        <f aca="false">K26*(1-M26)</f>
        <v>3463373.79230506</v>
      </c>
      <c r="Q26" s="700" t="n">
        <f aca="false">AC26</f>
        <v>15.1341188247052</v>
      </c>
      <c r="R26" s="701" t="n">
        <f aca="false">L26-Q26</f>
        <v>77.8113494106444</v>
      </c>
      <c r="U26" s="235" t="n">
        <v>20</v>
      </c>
      <c r="V26" s="702" t="n">
        <f aca="false">Delay!W27</f>
        <v>30000000</v>
      </c>
      <c r="W26" s="703" t="n">
        <f aca="false">(Delay!AA27+Delay!AA74)*$Q$33*$D$10/$D$6</f>
        <v>7.05882352941176</v>
      </c>
      <c r="X26" s="700" t="n">
        <f aca="false">X$6*K26/K$6</f>
        <v>85.8866447059378</v>
      </c>
      <c r="Y26" s="704" t="n">
        <f aca="false">W26+X26</f>
        <v>92.9454682353496</v>
      </c>
      <c r="Z26" s="699" t="n">
        <f aca="false">Delay!X27</f>
        <v>0.85118550512719</v>
      </c>
      <c r="AA26" s="705" t="n">
        <f aca="false">(Delay!AA27+Delay!AA74)*(PY!$D$10-PY!$N26)*PY!$Q$33/PY!$D$6</f>
        <v>2.35294117647059</v>
      </c>
      <c r="AB26" s="700" t="n">
        <f aca="false">AB$6*P26/P$6</f>
        <v>12.7811776482346</v>
      </c>
      <c r="AC26" s="706" t="n">
        <f aca="false">AA26+AB26</f>
        <v>15.1341188247052</v>
      </c>
    </row>
    <row r="28" customFormat="false" ht="12.75" hidden="false" customHeight="false" outlineLevel="0" collapsed="false">
      <c r="B28" s="4"/>
      <c r="C28" s="4"/>
      <c r="D28" s="4"/>
      <c r="E28" s="4"/>
    </row>
    <row r="29" customFormat="false" ht="14.25" hidden="false" customHeight="false" outlineLevel="0" collapsed="false">
      <c r="B29" s="4"/>
      <c r="C29" s="4"/>
      <c r="D29" s="4"/>
      <c r="E29" s="4"/>
      <c r="G29" s="194" t="s">
        <v>65</v>
      </c>
      <c r="U29" s="194" t="s">
        <v>65</v>
      </c>
    </row>
    <row r="30" customFormat="false" ht="15" hidden="false" customHeight="false" outlineLevel="0" collapsed="false">
      <c r="B30" s="4"/>
      <c r="C30" s="4"/>
      <c r="D30" s="4"/>
      <c r="E30" s="4"/>
      <c r="G30" s="195" t="s">
        <v>66</v>
      </c>
      <c r="H30" s="196"/>
      <c r="I30" s="196"/>
      <c r="J30" s="196"/>
      <c r="K30" s="196"/>
      <c r="L30" s="196"/>
      <c r="M30" s="196"/>
      <c r="N30" s="196"/>
      <c r="O30" s="196"/>
      <c r="P30" s="196"/>
      <c r="Q30" s="197"/>
      <c r="U30" s="707" t="s">
        <v>405</v>
      </c>
      <c r="V30" s="708"/>
      <c r="W30" s="708"/>
      <c r="X30" s="708"/>
      <c r="Y30" s="708"/>
      <c r="Z30" s="708"/>
      <c r="AA30" s="708"/>
      <c r="AB30" s="708"/>
      <c r="AC30" s="709"/>
    </row>
    <row r="31" customFormat="false" ht="14.25" hidden="false" customHeight="false" outlineLevel="0" collapsed="false">
      <c r="B31" s="4"/>
      <c r="C31" s="4"/>
      <c r="D31" s="4"/>
      <c r="E31" s="4"/>
      <c r="G31" s="201" t="s">
        <v>68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3"/>
      <c r="U31" s="710" t="s">
        <v>406</v>
      </c>
      <c r="V31" s="711"/>
      <c r="W31" s="711"/>
      <c r="X31" s="711"/>
      <c r="Y31" s="711"/>
      <c r="Z31" s="711"/>
      <c r="AA31" s="711"/>
      <c r="AB31" s="711"/>
      <c r="AC31" s="712"/>
    </row>
    <row r="32" customFormat="false" ht="12.75" hidden="false" customHeight="false" outlineLevel="0" collapsed="false">
      <c r="B32" s="4"/>
      <c r="C32" s="4"/>
      <c r="D32" s="4"/>
      <c r="E32" s="4"/>
      <c r="G32" s="201" t="s">
        <v>70</v>
      </c>
      <c r="H32" s="202"/>
      <c r="I32" s="202"/>
      <c r="J32" s="202"/>
      <c r="K32" s="202"/>
      <c r="L32" s="205"/>
      <c r="M32" s="202"/>
      <c r="N32" s="202"/>
      <c r="O32" s="202"/>
      <c r="P32" s="205"/>
      <c r="Q32" s="713" t="n">
        <f aca="false">Delay!S33</f>
        <v>52</v>
      </c>
      <c r="U32" s="710" t="s">
        <v>407</v>
      </c>
      <c r="V32" s="711"/>
      <c r="W32" s="711"/>
      <c r="X32" s="711"/>
      <c r="Y32" s="711"/>
      <c r="Z32" s="711"/>
      <c r="AA32" s="711"/>
      <c r="AB32" s="711"/>
      <c r="AC32" s="712"/>
    </row>
    <row r="33" customFormat="false" ht="14.25" hidden="false" customHeight="true" outlineLevel="0" collapsed="false">
      <c r="A33" s="4"/>
      <c r="B33" s="4"/>
      <c r="C33" s="4"/>
      <c r="D33" s="4"/>
      <c r="E33" s="4"/>
      <c r="G33" s="208" t="s">
        <v>72</v>
      </c>
      <c r="H33" s="209"/>
      <c r="I33" s="209"/>
      <c r="J33" s="209"/>
      <c r="K33" s="209"/>
      <c r="L33" s="209"/>
      <c r="M33" s="209"/>
      <c r="N33" s="209"/>
      <c r="O33" s="209"/>
      <c r="P33" s="209"/>
      <c r="Q33" s="714" t="n">
        <f aca="false">Delay!S34</f>
        <v>260</v>
      </c>
      <c r="U33" s="710" t="s">
        <v>408</v>
      </c>
      <c r="V33" s="711"/>
      <c r="W33" s="711"/>
      <c r="X33" s="711"/>
      <c r="Y33" s="711"/>
      <c r="Z33" s="711"/>
      <c r="AA33" s="711"/>
      <c r="AB33" s="711"/>
      <c r="AC33" s="712"/>
    </row>
    <row r="34" customFormat="false" ht="15" hidden="false" customHeight="false" outlineLevel="0" collapsed="false">
      <c r="B34" s="4"/>
      <c r="C34" s="4"/>
      <c r="D34" s="4"/>
      <c r="E34" s="4"/>
      <c r="U34" s="710" t="s">
        <v>409</v>
      </c>
      <c r="V34" s="711"/>
      <c r="W34" s="711"/>
      <c r="X34" s="711"/>
      <c r="Y34" s="711"/>
      <c r="Z34" s="711"/>
      <c r="AA34" s="711"/>
      <c r="AB34" s="711"/>
      <c r="AC34" s="712"/>
    </row>
    <row r="35" customFormat="false" ht="14.25" hidden="false" customHeight="false" outlineLevel="0" collapsed="false">
      <c r="B35" s="4"/>
      <c r="C35" s="4"/>
      <c r="D35" s="4"/>
      <c r="E35" s="4"/>
      <c r="U35" s="710" t="s">
        <v>410</v>
      </c>
      <c r="V35" s="711"/>
      <c r="W35" s="711"/>
      <c r="X35" s="711"/>
      <c r="Y35" s="711"/>
      <c r="Z35" s="711"/>
      <c r="AA35" s="711"/>
      <c r="AB35" s="711"/>
      <c r="AC35" s="712"/>
    </row>
    <row r="36" customFormat="false" ht="14.25" hidden="false" customHeight="false" outlineLevel="0" collapsed="false">
      <c r="B36" s="4"/>
      <c r="C36" s="4"/>
      <c r="D36" s="4"/>
      <c r="E36" s="4"/>
      <c r="U36" s="710" t="s">
        <v>411</v>
      </c>
      <c r="V36" s="711"/>
      <c r="W36" s="711"/>
      <c r="X36" s="711"/>
      <c r="Y36" s="711"/>
      <c r="Z36" s="711"/>
      <c r="AA36" s="711"/>
      <c r="AB36" s="711"/>
      <c r="AC36" s="712"/>
    </row>
    <row r="37" customFormat="false" ht="14.25" hidden="false" customHeight="false" outlineLevel="0" collapsed="false">
      <c r="A37" s="4"/>
      <c r="B37" s="4"/>
      <c r="C37" s="4"/>
      <c r="D37" s="4"/>
      <c r="E37" s="4"/>
      <c r="U37" s="710" t="s">
        <v>412</v>
      </c>
      <c r="V37" s="711"/>
      <c r="W37" s="711"/>
      <c r="X37" s="711"/>
      <c r="Y37" s="711"/>
      <c r="Z37" s="711"/>
      <c r="AA37" s="711"/>
      <c r="AB37" s="711"/>
      <c r="AC37" s="712"/>
    </row>
    <row r="38" customFormat="false" ht="12.75" hidden="false" customHeight="true" outlineLevel="0" collapsed="false">
      <c r="A38" s="4"/>
      <c r="B38" s="4"/>
      <c r="C38" s="4"/>
      <c r="D38" s="4"/>
      <c r="E38" s="4"/>
      <c r="U38" s="710"/>
      <c r="V38" s="711"/>
      <c r="W38" s="711"/>
      <c r="X38" s="711"/>
      <c r="Y38" s="711"/>
      <c r="Z38" s="711"/>
      <c r="AA38" s="711"/>
      <c r="AB38" s="711"/>
      <c r="AC38" s="712"/>
    </row>
    <row r="39" customFormat="false" ht="14.25" hidden="false" customHeight="false" outlineLevel="0" collapsed="false">
      <c r="A39" s="4"/>
      <c r="B39" s="4"/>
      <c r="C39" s="4"/>
      <c r="D39" s="4"/>
      <c r="E39" s="4"/>
      <c r="U39" s="715" t="s">
        <v>413</v>
      </c>
      <c r="V39" s="711"/>
      <c r="W39" s="711"/>
      <c r="X39" s="711"/>
      <c r="Y39" s="711"/>
      <c r="Z39" s="711"/>
      <c r="AA39" s="711"/>
      <c r="AB39" s="711"/>
      <c r="AC39" s="712"/>
    </row>
    <row r="40" customFormat="false" ht="12.75" hidden="false" customHeight="false" outlineLevel="0" collapsed="false">
      <c r="A40" s="4"/>
      <c r="B40" s="4"/>
      <c r="C40" s="4"/>
      <c r="D40" s="4"/>
      <c r="E40" s="4"/>
      <c r="U40" s="710" t="s">
        <v>414</v>
      </c>
      <c r="V40" s="711"/>
      <c r="W40" s="711"/>
      <c r="X40" s="711"/>
      <c r="Y40" s="711"/>
      <c r="Z40" s="711"/>
      <c r="AA40" s="711"/>
      <c r="AB40" s="711"/>
      <c r="AC40" s="712"/>
    </row>
    <row r="41" customFormat="false" ht="12.75" hidden="false" customHeight="false" outlineLevel="0" collapsed="false">
      <c r="A41" s="4"/>
      <c r="B41" s="4"/>
      <c r="C41" s="4"/>
      <c r="D41" s="4"/>
      <c r="E41" s="4"/>
      <c r="U41" s="710" t="s">
        <v>415</v>
      </c>
      <c r="V41" s="711"/>
      <c r="W41" s="711"/>
      <c r="X41" s="711"/>
      <c r="Y41" s="711"/>
      <c r="Z41" s="711"/>
      <c r="AA41" s="711"/>
      <c r="AB41" s="711"/>
      <c r="AC41" s="712"/>
    </row>
    <row r="42" customFormat="false" ht="12.75" hidden="false" customHeight="false" outlineLevel="0" collapsed="false">
      <c r="A42" s="4"/>
      <c r="B42" s="4"/>
      <c r="C42" s="4"/>
      <c r="D42" s="4"/>
      <c r="E42" s="4"/>
      <c r="U42" s="710" t="s">
        <v>416</v>
      </c>
      <c r="V42" s="711"/>
      <c r="W42" s="711"/>
      <c r="X42" s="711"/>
      <c r="Y42" s="711"/>
      <c r="Z42" s="711"/>
      <c r="AA42" s="711"/>
      <c r="AB42" s="711"/>
      <c r="AC42" s="712"/>
    </row>
    <row r="43" customFormat="false" ht="12.75" hidden="false" customHeight="false" outlineLevel="0" collapsed="false">
      <c r="A43" s="4"/>
      <c r="B43" s="4"/>
      <c r="C43" s="4"/>
      <c r="D43" s="4"/>
      <c r="E43" s="4"/>
      <c r="U43" s="710" t="s">
        <v>417</v>
      </c>
      <c r="V43" s="711"/>
      <c r="W43" s="711"/>
      <c r="X43" s="711"/>
      <c r="Y43" s="711"/>
      <c r="Z43" s="711"/>
      <c r="AA43" s="711"/>
      <c r="AB43" s="711"/>
      <c r="AC43" s="712"/>
    </row>
    <row r="44" customFormat="false" ht="12.75" hidden="false" customHeight="false" outlineLevel="0" collapsed="false">
      <c r="A44" s="4"/>
      <c r="B44" s="4"/>
      <c r="C44" s="4"/>
      <c r="D44" s="4"/>
      <c r="E44" s="4"/>
      <c r="U44" s="710" t="s">
        <v>418</v>
      </c>
      <c r="V44" s="711"/>
      <c r="W44" s="711"/>
      <c r="X44" s="711"/>
      <c r="Y44" s="711"/>
      <c r="Z44" s="711"/>
      <c r="AA44" s="711"/>
      <c r="AB44" s="711"/>
      <c r="AC44" s="712"/>
    </row>
    <row r="45" customFormat="false" ht="14.25" hidden="false" customHeight="false" outlineLevel="0" collapsed="false">
      <c r="A45" s="4"/>
      <c r="B45" s="4"/>
      <c r="C45" s="4"/>
      <c r="D45" s="4"/>
      <c r="E45" s="4"/>
      <c r="U45" s="710" t="s">
        <v>419</v>
      </c>
      <c r="V45" s="711"/>
      <c r="W45" s="711"/>
      <c r="X45" s="711"/>
      <c r="Y45" s="711"/>
      <c r="Z45" s="711"/>
      <c r="AA45" s="711"/>
      <c r="AB45" s="711"/>
      <c r="AC45" s="712"/>
    </row>
    <row r="46" customFormat="false" ht="15" hidden="false" customHeight="false" outlineLevel="0" collapsed="false">
      <c r="A46" s="4"/>
      <c r="B46" s="4"/>
      <c r="C46" s="4"/>
      <c r="D46" s="4"/>
      <c r="E46" s="4"/>
      <c r="U46" s="716" t="s">
        <v>420</v>
      </c>
      <c r="V46" s="717"/>
      <c r="W46" s="717"/>
      <c r="X46" s="717"/>
      <c r="Y46" s="717"/>
      <c r="Z46" s="717"/>
      <c r="AA46" s="717"/>
      <c r="AB46" s="717"/>
      <c r="AC46" s="718"/>
    </row>
    <row r="47" customFormat="false" ht="13.5" hidden="false" customHeight="false" outlineLevel="0" collapsed="false">
      <c r="A47" s="4"/>
      <c r="B47" s="4"/>
      <c r="C47" s="4"/>
      <c r="D47" s="4"/>
      <c r="E47" s="4"/>
    </row>
    <row r="48" customFormat="false" ht="12.75" hidden="false" customHeight="false" outlineLevel="0" collapsed="false">
      <c r="A48" s="4"/>
      <c r="B48" s="4"/>
      <c r="C48" s="4"/>
      <c r="D48" s="4"/>
      <c r="E48" s="4"/>
    </row>
    <row r="49" customFormat="false" ht="12.75" hidden="false" customHeight="false" outlineLevel="0" collapsed="false">
      <c r="A49" s="4"/>
      <c r="B49" s="4"/>
      <c r="C49" s="4"/>
      <c r="D49" s="4"/>
      <c r="E49" s="4"/>
    </row>
    <row r="50" customFormat="false" ht="12.75" hidden="false" customHeight="false" outlineLevel="0" collapsed="false">
      <c r="A50" s="4"/>
      <c r="B50" s="4"/>
      <c r="C50" s="4"/>
      <c r="D50" s="4"/>
      <c r="E50" s="4"/>
    </row>
    <row r="51" customFormat="false" ht="12.75" hidden="false" customHeight="false" outlineLevel="0" collapsed="false">
      <c r="A51" s="4"/>
      <c r="B51" s="4"/>
      <c r="C51" s="4"/>
      <c r="D51" s="4"/>
      <c r="E51" s="4"/>
    </row>
    <row r="52" customFormat="false" ht="12.75" hidden="false" customHeight="false" outlineLevel="0" collapsed="false">
      <c r="A52" s="4"/>
      <c r="B52" s="4"/>
      <c r="C52" s="4"/>
      <c r="D52" s="4"/>
      <c r="E52" s="4"/>
    </row>
    <row r="53" customFormat="false" ht="12.75" hidden="false" customHeight="false" outlineLevel="0" collapsed="false">
      <c r="A53" s="4"/>
      <c r="B53" s="4"/>
      <c r="C53" s="4"/>
      <c r="D53" s="4"/>
      <c r="E53" s="4"/>
    </row>
    <row r="54" customFormat="false" ht="12.75" hidden="false" customHeight="false" outlineLevel="0" collapsed="false">
      <c r="A54" s="4"/>
      <c r="B54" s="4"/>
      <c r="C54" s="4"/>
      <c r="D54" s="4"/>
      <c r="E54" s="4"/>
    </row>
    <row r="55" customFormat="false" ht="12.75" hidden="false" customHeight="false" outlineLevel="0" collapsed="false">
      <c r="A55" s="4"/>
      <c r="B55" s="4"/>
      <c r="C55" s="4"/>
      <c r="D55" s="4"/>
      <c r="E55" s="4"/>
    </row>
    <row r="56" customFormat="false" ht="12.75" hidden="false" customHeight="false" outlineLevel="0" collapsed="false">
      <c r="A56" s="4"/>
      <c r="B56" s="4"/>
      <c r="C56" s="4"/>
      <c r="D56" s="4"/>
      <c r="E56" s="4"/>
    </row>
    <row r="57" customFormat="false" ht="12.75" hidden="false" customHeight="false" outlineLevel="0" collapsed="false">
      <c r="A57" s="4"/>
      <c r="B57" s="4"/>
      <c r="C57" s="4"/>
      <c r="D57" s="4"/>
      <c r="E57" s="4"/>
    </row>
    <row r="58" customFormat="false" ht="12.75" hidden="false" customHeight="false" outlineLevel="0" collapsed="false">
      <c r="A58" s="4"/>
      <c r="B58" s="4"/>
      <c r="C58" s="4"/>
      <c r="D58" s="4"/>
      <c r="E58" s="4"/>
    </row>
    <row r="59" customFormat="false" ht="12.75" hidden="false" customHeight="false" outlineLevel="0" collapsed="false">
      <c r="A59" s="4"/>
      <c r="B59" s="4"/>
      <c r="C59" s="4"/>
      <c r="D59" s="4"/>
      <c r="E59" s="4"/>
    </row>
    <row r="60" customFormat="false" ht="12.75" hidden="false" customHeight="false" outlineLevel="0" collapsed="false">
      <c r="A60" s="4"/>
      <c r="B60" s="4"/>
      <c r="C60" s="4"/>
      <c r="D60" s="4"/>
      <c r="E60" s="4"/>
    </row>
    <row r="61" customFormat="false" ht="12.75" hidden="false" customHeight="false" outlineLevel="0" collapsed="false">
      <c r="A61" s="4"/>
      <c r="B61" s="4"/>
      <c r="C61" s="4"/>
      <c r="D61" s="4"/>
      <c r="E61" s="4"/>
    </row>
    <row r="62" customFormat="false" ht="12.75" hidden="false" customHeight="false" outlineLevel="0" collapsed="false">
      <c r="A62" s="4"/>
      <c r="B62" s="4"/>
      <c r="C62" s="4"/>
      <c r="D62" s="4"/>
      <c r="E62" s="4"/>
    </row>
    <row r="63" customFormat="false" ht="12.75" hidden="false" customHeight="false" outlineLevel="0" collapsed="false">
      <c r="A63" s="4"/>
      <c r="B63" s="4"/>
      <c r="C63" s="4"/>
      <c r="D63" s="4"/>
      <c r="E63" s="4"/>
    </row>
    <row r="64" customFormat="false" ht="12.75" hidden="false" customHeight="false" outlineLevel="0" collapsed="false">
      <c r="A64" s="4"/>
      <c r="B64" s="4"/>
      <c r="C64" s="4"/>
      <c r="D64" s="4"/>
      <c r="E64" s="4"/>
    </row>
    <row r="65" customFormat="false" ht="12.75" hidden="false" customHeight="false" outlineLevel="0" collapsed="false">
      <c r="A65" s="4"/>
      <c r="B65" s="4"/>
      <c r="C65" s="4"/>
      <c r="D65" s="4"/>
      <c r="E65" s="4"/>
    </row>
    <row r="66" customFormat="false" ht="12.75" hidden="false" customHeight="false" outlineLevel="0" collapsed="false">
      <c r="A66" s="4"/>
      <c r="B66" s="4"/>
      <c r="C66" s="4"/>
      <c r="D66" s="4"/>
      <c r="E66" s="4"/>
    </row>
    <row r="67" customFormat="false" ht="12.75" hidden="false" customHeight="false" outlineLevel="0" collapsed="false">
      <c r="A67" s="4"/>
      <c r="B67" s="4"/>
      <c r="C67" s="4"/>
      <c r="D67" s="4"/>
      <c r="E67" s="4"/>
    </row>
    <row r="68" customFormat="false" ht="12.75" hidden="false" customHeight="false" outlineLevel="0" collapsed="false">
      <c r="A68" s="4"/>
      <c r="B68" s="4"/>
      <c r="C68" s="4"/>
      <c r="D68" s="4"/>
      <c r="E68" s="4"/>
    </row>
    <row r="69" customFormat="false" ht="12.75" hidden="false" customHeight="false" outlineLevel="0" collapsed="false">
      <c r="A69" s="4"/>
      <c r="B69" s="4"/>
      <c r="C69" s="4"/>
      <c r="D69" s="4"/>
      <c r="E69" s="4"/>
    </row>
    <row r="70" customFormat="false" ht="12.75" hidden="false" customHeight="false" outlineLevel="0" collapsed="false">
      <c r="A70" s="4"/>
      <c r="B70" s="4"/>
      <c r="C70" s="4"/>
      <c r="D70" s="4"/>
      <c r="E70" s="4"/>
    </row>
    <row r="71" customFormat="false" ht="12.75" hidden="false" customHeight="false" outlineLevel="0" collapsed="false">
      <c r="A71" s="4"/>
      <c r="B71" s="4"/>
      <c r="C71" s="4"/>
      <c r="D71" s="4"/>
      <c r="E71" s="4"/>
    </row>
    <row r="72" customFormat="false" ht="12.75" hidden="false" customHeight="false" outlineLevel="0" collapsed="false">
      <c r="A72" s="4"/>
      <c r="B72" s="4"/>
      <c r="C72" s="4"/>
      <c r="D72" s="4"/>
      <c r="E72" s="4"/>
    </row>
    <row r="73" customFormat="false" ht="12.75" hidden="false" customHeight="false" outlineLevel="0" collapsed="false">
      <c r="A73" s="4"/>
      <c r="B73" s="4"/>
      <c r="C73" s="4"/>
      <c r="D73" s="4"/>
      <c r="E73" s="4"/>
    </row>
    <row r="74" customFormat="false" ht="12.75" hidden="false" customHeight="false" outlineLevel="0" collapsed="false">
      <c r="A74" s="4"/>
      <c r="B74" s="4"/>
      <c r="C74" s="4"/>
      <c r="D74" s="4"/>
      <c r="E74" s="4"/>
    </row>
    <row r="75" customFormat="false" ht="12.75" hidden="false" customHeight="false" outlineLevel="0" collapsed="false">
      <c r="A75" s="4"/>
      <c r="B75" s="4"/>
      <c r="C75" s="4"/>
      <c r="D75" s="4"/>
      <c r="E75" s="4"/>
    </row>
    <row r="76" customFormat="false" ht="12.75" hidden="false" customHeight="false" outlineLevel="0" collapsed="false">
      <c r="A76" s="4"/>
      <c r="B76" s="4"/>
      <c r="C76" s="4"/>
      <c r="D76" s="4"/>
      <c r="E76" s="4"/>
    </row>
    <row r="77" customFormat="false" ht="12.75" hidden="false" customHeight="false" outlineLevel="0" collapsed="false">
      <c r="A77" s="4"/>
      <c r="B77" s="4"/>
      <c r="C77" s="4"/>
      <c r="D77" s="4"/>
      <c r="E77" s="4"/>
    </row>
    <row r="78" customFormat="false" ht="12.75" hidden="false" customHeight="false" outlineLevel="0" collapsed="false">
      <c r="A78" s="4"/>
      <c r="B78" s="4"/>
      <c r="C78" s="4"/>
      <c r="D78" s="4"/>
      <c r="E78" s="4"/>
    </row>
    <row r="79" customFormat="false" ht="12.75" hidden="false" customHeight="false" outlineLevel="0" collapsed="false">
      <c r="A79" s="4"/>
      <c r="B79" s="4"/>
      <c r="C79" s="4"/>
      <c r="D79" s="4"/>
      <c r="E79" s="4"/>
    </row>
    <row r="80" customFormat="false" ht="12.75" hidden="false" customHeight="false" outlineLevel="0" collapsed="false">
      <c r="A80" s="4"/>
      <c r="B80" s="4"/>
      <c r="C80" s="4"/>
      <c r="D80" s="4"/>
      <c r="E80" s="4"/>
    </row>
    <row r="81" customFormat="false" ht="12.75" hidden="false" customHeight="false" outlineLevel="0" collapsed="false">
      <c r="A81" s="4"/>
      <c r="B81" s="4"/>
      <c r="C81" s="4"/>
      <c r="D81" s="4"/>
      <c r="E81" s="4"/>
    </row>
    <row r="82" customFormat="false" ht="12.75" hidden="false" customHeight="false" outlineLevel="0" collapsed="false">
      <c r="A82" s="4"/>
      <c r="B82" s="4"/>
      <c r="C82" s="4"/>
      <c r="D82" s="4"/>
      <c r="E82" s="4"/>
    </row>
    <row r="83" customFormat="false" ht="12.75" hidden="false" customHeight="false" outlineLevel="0" collapsed="false">
      <c r="A83" s="4"/>
      <c r="B83" s="4"/>
      <c r="C83" s="4"/>
      <c r="D83" s="4"/>
      <c r="E83" s="4"/>
    </row>
    <row r="84" customFormat="false" ht="12.75" hidden="false" customHeight="false" outlineLevel="0" collapsed="false">
      <c r="A84" s="4"/>
      <c r="B84" s="4"/>
      <c r="C84" s="4"/>
      <c r="D84" s="4"/>
      <c r="E84" s="4"/>
    </row>
    <row r="85" customFormat="false" ht="12.75" hidden="false" customHeight="false" outlineLevel="0" collapsed="false">
      <c r="A85" s="4"/>
      <c r="B85" s="4"/>
      <c r="C85" s="4"/>
      <c r="D85" s="4"/>
      <c r="E85" s="4"/>
    </row>
    <row r="86" customFormat="false" ht="12.75" hidden="false" customHeight="false" outlineLevel="0" collapsed="false">
      <c r="A86" s="4"/>
      <c r="B86" s="4"/>
      <c r="C86" s="4"/>
      <c r="D86" s="4"/>
      <c r="E86" s="4"/>
    </row>
    <row r="87" customFormat="false" ht="12.75" hidden="false" customHeight="false" outlineLevel="0" collapsed="false">
      <c r="A87" s="4"/>
      <c r="B87" s="4"/>
      <c r="C87" s="4"/>
      <c r="D87" s="4"/>
      <c r="E87" s="4"/>
    </row>
    <row r="88" customFormat="false" ht="12.75" hidden="false" customHeight="false" outlineLevel="0" collapsed="false">
      <c r="A88" s="4"/>
      <c r="B88" s="4"/>
      <c r="C88" s="4"/>
      <c r="D88" s="4"/>
      <c r="E88" s="4"/>
    </row>
    <row r="89" customFormat="false" ht="12.75" hidden="false" customHeight="false" outlineLevel="0" collapsed="false">
      <c r="A89" s="4"/>
      <c r="B89" s="4"/>
      <c r="C89" s="4"/>
      <c r="D89" s="4"/>
      <c r="E89" s="4"/>
    </row>
    <row r="90" customFormat="false" ht="12.75" hidden="false" customHeight="false" outlineLevel="0" collapsed="false">
      <c r="A90" s="4"/>
      <c r="B90" s="4"/>
      <c r="C90" s="4"/>
      <c r="D90" s="4"/>
      <c r="E90" s="4"/>
    </row>
    <row r="91" customFormat="false" ht="12.75" hidden="false" customHeight="false" outlineLevel="0" collapsed="false">
      <c r="A91" s="4"/>
      <c r="B91" s="4"/>
      <c r="C91" s="4"/>
      <c r="D91" s="4"/>
      <c r="E91" s="4"/>
    </row>
    <row r="92" customFormat="false" ht="12.75" hidden="false" customHeight="false" outlineLevel="0" collapsed="false">
      <c r="A92" s="4"/>
      <c r="B92" s="4"/>
      <c r="C92" s="4"/>
      <c r="D92" s="4"/>
      <c r="E92" s="4"/>
    </row>
    <row r="93" customFormat="false" ht="12.75" hidden="false" customHeight="false" outlineLevel="0" collapsed="false">
      <c r="A93" s="4"/>
      <c r="B93" s="4"/>
      <c r="C93" s="4"/>
      <c r="D93" s="4"/>
      <c r="E93" s="4"/>
    </row>
    <row r="94" customFormat="false" ht="12.75" hidden="false" customHeight="false" outlineLevel="0" collapsed="false">
      <c r="A94" s="4"/>
      <c r="B94" s="4"/>
      <c r="C94" s="4"/>
      <c r="D94" s="4"/>
      <c r="E94" s="4"/>
    </row>
    <row r="95" customFormat="false" ht="12.75" hidden="false" customHeight="false" outlineLevel="0" collapsed="false">
      <c r="A95" s="4"/>
      <c r="B95" s="4"/>
      <c r="C95" s="4"/>
      <c r="D95" s="4"/>
      <c r="E95" s="4"/>
    </row>
    <row r="96" customFormat="false" ht="12.75" hidden="false" customHeight="false" outlineLevel="0" collapsed="false">
      <c r="A96" s="4"/>
      <c r="B96" s="4"/>
      <c r="C96" s="4"/>
      <c r="D96" s="4"/>
      <c r="E96" s="4"/>
    </row>
    <row r="97" customFormat="false" ht="12.75" hidden="false" customHeight="false" outlineLevel="0" collapsed="false">
      <c r="A97" s="4"/>
      <c r="B97" s="4"/>
      <c r="C97" s="4"/>
      <c r="D97" s="4"/>
      <c r="E97" s="4"/>
    </row>
    <row r="98" customFormat="false" ht="12.75" hidden="false" customHeight="false" outlineLevel="0" collapsed="false">
      <c r="A98" s="4"/>
      <c r="B98" s="4"/>
      <c r="C98" s="4"/>
      <c r="D98" s="4"/>
      <c r="E98" s="4"/>
    </row>
    <row r="99" customFormat="false" ht="12.75" hidden="false" customHeight="false" outlineLevel="0" collapsed="false">
      <c r="A99" s="4"/>
      <c r="B99" s="4"/>
      <c r="C99" s="4"/>
      <c r="D99" s="4"/>
      <c r="E99" s="4"/>
    </row>
    <row r="100" customFormat="false" ht="12.75" hidden="false" customHeight="false" outlineLevel="0" collapsed="false">
      <c r="A100" s="4"/>
      <c r="B100" s="4"/>
      <c r="C100" s="4"/>
      <c r="D100" s="4"/>
      <c r="E100" s="4"/>
    </row>
    <row r="101" customFormat="false" ht="12.75" hidden="false" customHeight="false" outlineLevel="0" collapsed="false">
      <c r="A101" s="4"/>
      <c r="B101" s="4"/>
      <c r="C101" s="4"/>
      <c r="D101" s="4"/>
      <c r="E101" s="4"/>
    </row>
    <row r="102" customFormat="false" ht="12.75" hidden="false" customHeight="false" outlineLevel="0" collapsed="false">
      <c r="A102" s="4"/>
      <c r="B102" s="4"/>
      <c r="C102" s="4"/>
      <c r="D102" s="4"/>
      <c r="E102" s="4"/>
    </row>
    <row r="103" customFormat="false" ht="12.75" hidden="false" customHeight="false" outlineLevel="0" collapsed="false">
      <c r="A103" s="4"/>
      <c r="B103" s="4"/>
      <c r="C103" s="4"/>
      <c r="D103" s="4"/>
      <c r="E103" s="4"/>
    </row>
    <row r="104" customFormat="false" ht="12.75" hidden="false" customHeight="false" outlineLevel="0" collapsed="false">
      <c r="A104" s="4"/>
      <c r="B104" s="4"/>
      <c r="C104" s="4"/>
      <c r="D104" s="4"/>
      <c r="E104" s="4"/>
    </row>
    <row r="105" customFormat="false" ht="12.75" hidden="false" customHeight="false" outlineLevel="0" collapsed="false">
      <c r="A105" s="4"/>
      <c r="B105" s="4"/>
      <c r="C105" s="4"/>
      <c r="D105" s="4"/>
      <c r="E105" s="4"/>
    </row>
    <row r="106" customFormat="false" ht="12.75" hidden="false" customHeight="false" outlineLevel="0" collapsed="false">
      <c r="A106" s="4"/>
      <c r="B106" s="4"/>
      <c r="C106" s="4"/>
      <c r="D106" s="4"/>
      <c r="E106" s="4"/>
    </row>
    <row r="107" customFormat="false" ht="12.75" hidden="false" customHeight="false" outlineLevel="0" collapsed="false">
      <c r="A107" s="4"/>
      <c r="B107" s="4"/>
      <c r="C107" s="4"/>
      <c r="D107" s="4"/>
      <c r="E107" s="4"/>
    </row>
    <row r="108" customFormat="false" ht="12.75" hidden="false" customHeight="false" outlineLevel="0" collapsed="false">
      <c r="A108" s="4"/>
      <c r="B108" s="4"/>
      <c r="C108" s="4"/>
      <c r="D108" s="4"/>
      <c r="E108" s="4"/>
    </row>
    <row r="109" customFormat="false" ht="12.75" hidden="false" customHeight="false" outlineLevel="0" collapsed="false">
      <c r="A109" s="4"/>
      <c r="B109" s="4"/>
      <c r="C109" s="4"/>
      <c r="D109" s="4"/>
      <c r="E109" s="4"/>
    </row>
    <row r="110" customFormat="false" ht="12.75" hidden="false" customHeight="false" outlineLevel="0" collapsed="false">
      <c r="A110" s="4"/>
      <c r="B110" s="4"/>
      <c r="C110" s="4"/>
      <c r="D110" s="4"/>
      <c r="E110" s="4"/>
    </row>
    <row r="111" customFormat="false" ht="12.75" hidden="false" customHeight="false" outlineLevel="0" collapsed="false">
      <c r="A111" s="4"/>
      <c r="B111" s="4"/>
      <c r="C111" s="4"/>
      <c r="D111" s="4"/>
      <c r="E111" s="4"/>
    </row>
    <row r="112" customFormat="false" ht="12.75" hidden="false" customHeight="false" outlineLevel="0" collapsed="false">
      <c r="A112" s="4"/>
      <c r="B112" s="4"/>
      <c r="C112" s="4"/>
      <c r="D112" s="4"/>
      <c r="E112" s="4"/>
    </row>
    <row r="113" customFormat="false" ht="12.75" hidden="false" customHeight="false" outlineLevel="0" collapsed="false">
      <c r="A113" s="4"/>
      <c r="B113" s="4"/>
      <c r="C113" s="4"/>
      <c r="D113" s="4"/>
      <c r="E113" s="4"/>
    </row>
    <row r="114" customFormat="false" ht="12.75" hidden="false" customHeight="false" outlineLevel="0" collapsed="false">
      <c r="A114" s="4"/>
      <c r="B114" s="4"/>
      <c r="C114" s="4"/>
      <c r="D114" s="4"/>
      <c r="E114" s="4"/>
    </row>
    <row r="115" customFormat="false" ht="12.75" hidden="false" customHeight="false" outlineLevel="0" collapsed="false">
      <c r="A115" s="4"/>
      <c r="B115" s="4"/>
      <c r="C115" s="4"/>
      <c r="D115" s="4"/>
      <c r="E115" s="4"/>
    </row>
    <row r="116" customFormat="false" ht="12.75" hidden="false" customHeight="false" outlineLevel="0" collapsed="false">
      <c r="A116" s="4"/>
      <c r="B116" s="4"/>
      <c r="C116" s="4"/>
      <c r="D116" s="4"/>
      <c r="E116" s="4"/>
    </row>
    <row r="117" customFormat="false" ht="12.75" hidden="false" customHeight="false" outlineLevel="0" collapsed="false">
      <c r="A117" s="4"/>
      <c r="B117" s="4"/>
      <c r="C117" s="4"/>
      <c r="D117" s="4"/>
      <c r="E117" s="4"/>
    </row>
    <row r="118" customFormat="false" ht="12.75" hidden="false" customHeight="false" outlineLevel="0" collapsed="false">
      <c r="A118" s="4"/>
      <c r="B118" s="4"/>
      <c r="C118" s="4"/>
      <c r="D118" s="4"/>
      <c r="E118" s="4"/>
    </row>
    <row r="119" customFormat="false" ht="12.75" hidden="false" customHeight="false" outlineLevel="0" collapsed="false">
      <c r="A119" s="4"/>
      <c r="B119" s="4"/>
      <c r="C119" s="4"/>
      <c r="D119" s="4"/>
      <c r="E119" s="4"/>
    </row>
    <row r="120" customFormat="false" ht="12.75" hidden="false" customHeight="false" outlineLevel="0" collapsed="false">
      <c r="A120" s="4"/>
      <c r="B120" s="4"/>
      <c r="C120" s="4"/>
      <c r="D120" s="4"/>
      <c r="E120" s="4"/>
    </row>
    <row r="121" customFormat="false" ht="12.75" hidden="false" customHeight="false" outlineLevel="0" collapsed="false">
      <c r="A121" s="4"/>
      <c r="B121" s="4"/>
      <c r="C121" s="4"/>
      <c r="D121" s="4"/>
      <c r="E121" s="4"/>
    </row>
    <row r="122" customFormat="false" ht="12.75" hidden="false" customHeight="false" outlineLevel="0" collapsed="false">
      <c r="A122" s="4"/>
      <c r="B122" s="4"/>
      <c r="C122" s="4"/>
      <c r="D122" s="4"/>
      <c r="E122" s="4"/>
    </row>
    <row r="123" customFormat="false" ht="12.75" hidden="false" customHeight="false" outlineLevel="0" collapsed="false">
      <c r="A123" s="4"/>
      <c r="B123" s="4"/>
      <c r="C123" s="4"/>
      <c r="D123" s="4"/>
      <c r="E123" s="4"/>
    </row>
    <row r="124" customFormat="false" ht="12.75" hidden="false" customHeight="false" outlineLevel="0" collapsed="false">
      <c r="A124" s="4"/>
      <c r="B124" s="4"/>
      <c r="C124" s="4"/>
      <c r="D124" s="4"/>
      <c r="E124" s="4"/>
    </row>
    <row r="125" customFormat="false" ht="12.75" hidden="false" customHeight="false" outlineLevel="0" collapsed="false">
      <c r="A125" s="4"/>
      <c r="B125" s="4"/>
      <c r="C125" s="4"/>
      <c r="D125" s="4"/>
      <c r="E125" s="4"/>
    </row>
    <row r="126" customFormat="false" ht="12.75" hidden="false" customHeight="false" outlineLevel="0" collapsed="false">
      <c r="A126" s="4"/>
      <c r="B126" s="4"/>
      <c r="C126" s="4"/>
      <c r="D126" s="4"/>
      <c r="E126" s="4"/>
    </row>
    <row r="127" customFormat="false" ht="12.75" hidden="false" customHeight="false" outlineLevel="0" collapsed="false">
      <c r="A127" s="4"/>
      <c r="B127" s="4"/>
      <c r="C127" s="4"/>
      <c r="D127" s="4"/>
      <c r="E127" s="4"/>
    </row>
    <row r="128" customFormat="false" ht="12.75" hidden="false" customHeight="false" outlineLevel="0" collapsed="false">
      <c r="A128" s="4"/>
      <c r="B128" s="4"/>
      <c r="C128" s="4"/>
      <c r="D128" s="4"/>
      <c r="E128" s="4"/>
    </row>
    <row r="129" customFormat="false" ht="12.75" hidden="false" customHeight="false" outlineLevel="0" collapsed="false">
      <c r="A129" s="4"/>
      <c r="B129" s="4"/>
      <c r="C129" s="4"/>
      <c r="D129" s="4"/>
      <c r="E129" s="4"/>
    </row>
    <row r="130" customFormat="false" ht="12.75" hidden="false" customHeight="false" outlineLevel="0" collapsed="false">
      <c r="A130" s="4"/>
      <c r="B130" s="4"/>
      <c r="C130" s="4"/>
      <c r="D130" s="4"/>
      <c r="E130" s="4"/>
    </row>
    <row r="131" customFormat="false" ht="12.75" hidden="false" customHeight="false" outlineLevel="0" collapsed="false">
      <c r="A131" s="4"/>
      <c r="B131" s="4"/>
      <c r="C131" s="4"/>
      <c r="D131" s="4"/>
      <c r="E131" s="4"/>
    </row>
    <row r="132" customFormat="false" ht="12.75" hidden="false" customHeight="false" outlineLevel="0" collapsed="false">
      <c r="A132" s="4"/>
      <c r="B132" s="4"/>
      <c r="C132" s="4"/>
      <c r="D132" s="4"/>
      <c r="E132" s="4"/>
    </row>
    <row r="133" customFormat="false" ht="12.75" hidden="false" customHeight="false" outlineLevel="0" collapsed="false">
      <c r="A133" s="4"/>
      <c r="B133" s="4"/>
      <c r="C133" s="4"/>
      <c r="D133" s="4"/>
      <c r="E133" s="4"/>
    </row>
    <row r="134" customFormat="false" ht="12.75" hidden="false" customHeight="false" outlineLevel="0" collapsed="false">
      <c r="A134" s="4"/>
      <c r="B134" s="4"/>
      <c r="C134" s="4"/>
      <c r="D134" s="4"/>
      <c r="E134" s="4"/>
    </row>
    <row r="135" customFormat="false" ht="12.75" hidden="false" customHeight="false" outlineLevel="0" collapsed="false">
      <c r="A135" s="4"/>
      <c r="B135" s="4"/>
      <c r="C135" s="4"/>
      <c r="D135" s="4"/>
      <c r="E135" s="4"/>
    </row>
    <row r="136" customFormat="false" ht="12.75" hidden="false" customHeight="false" outlineLevel="0" collapsed="false">
      <c r="A136" s="4"/>
      <c r="B136" s="4"/>
      <c r="C136" s="4"/>
      <c r="D136" s="4"/>
      <c r="E136" s="4"/>
    </row>
    <row r="137" customFormat="false" ht="12.75" hidden="false" customHeight="false" outlineLevel="0" collapsed="false">
      <c r="A137" s="4"/>
      <c r="B137" s="4"/>
      <c r="C137" s="4"/>
      <c r="D137" s="4"/>
      <c r="E137" s="4"/>
    </row>
    <row r="138" customFormat="false" ht="12.75" hidden="false" customHeight="false" outlineLevel="0" collapsed="false">
      <c r="A138" s="4"/>
      <c r="B138" s="4"/>
      <c r="C138" s="4"/>
      <c r="D138" s="4"/>
      <c r="E138" s="4"/>
    </row>
    <row r="139" customFormat="false" ht="12.75" hidden="false" customHeight="false" outlineLevel="0" collapsed="false">
      <c r="A139" s="4"/>
      <c r="B139" s="4"/>
      <c r="C139" s="4"/>
      <c r="D139" s="4"/>
      <c r="E139" s="4"/>
    </row>
    <row r="140" customFormat="false" ht="12.75" hidden="false" customHeight="false" outlineLevel="0" collapsed="false">
      <c r="A140" s="4"/>
      <c r="B140" s="4"/>
      <c r="C140" s="4"/>
      <c r="D140" s="4"/>
      <c r="E140" s="4"/>
    </row>
    <row r="141" customFormat="false" ht="12.75" hidden="false" customHeight="false" outlineLevel="0" collapsed="false">
      <c r="A141" s="4"/>
      <c r="B141" s="4"/>
      <c r="C141" s="4"/>
      <c r="D141" s="4"/>
      <c r="E141" s="4"/>
    </row>
    <row r="142" customFormat="false" ht="12.75" hidden="false" customHeight="false" outlineLevel="0" collapsed="false">
      <c r="A142" s="4"/>
      <c r="B142" s="4"/>
      <c r="C142" s="4"/>
      <c r="D142" s="4"/>
      <c r="E142" s="4"/>
    </row>
    <row r="143" customFormat="false" ht="12.75" hidden="false" customHeight="false" outlineLevel="0" collapsed="false">
      <c r="A143" s="4"/>
      <c r="B143" s="4"/>
      <c r="C143" s="4"/>
      <c r="D143" s="4"/>
      <c r="E143" s="4"/>
    </row>
    <row r="144" customFormat="false" ht="12.75" hidden="false" customHeight="false" outlineLevel="0" collapsed="false">
      <c r="A144" s="4"/>
      <c r="B144" s="4"/>
      <c r="C144" s="4"/>
      <c r="D144" s="4"/>
      <c r="E144" s="4"/>
    </row>
    <row r="145" customFormat="false" ht="12.75" hidden="false" customHeight="false" outlineLevel="0" collapsed="false">
      <c r="A145" s="4"/>
      <c r="B145" s="4"/>
      <c r="C145" s="4"/>
      <c r="D145" s="4"/>
      <c r="E145" s="4"/>
    </row>
    <row r="146" customFormat="false" ht="12.75" hidden="false" customHeight="false" outlineLevel="0" collapsed="false">
      <c r="A146" s="4"/>
      <c r="B146" s="4"/>
      <c r="C146" s="4"/>
      <c r="D146" s="4"/>
      <c r="E146" s="4"/>
    </row>
    <row r="147" customFormat="false" ht="12.75" hidden="false" customHeight="false" outlineLevel="0" collapsed="false">
      <c r="A147" s="4"/>
    </row>
    <row r="148" customFormat="false" ht="12.75" hidden="false" customHeight="false" outlineLevel="0" collapsed="false">
      <c r="A148" s="4"/>
    </row>
    <row r="149" customFormat="false" ht="12.75" hidden="false" customHeight="false" outlineLevel="0" collapsed="false">
      <c r="A149" s="4"/>
    </row>
    <row r="150" customFormat="false" ht="12.75" hidden="false" customHeight="false" outlineLevel="0" collapsed="false">
      <c r="A150" s="4"/>
    </row>
    <row r="151" customFormat="false" ht="12.75" hidden="false" customHeight="false" outlineLevel="0" collapsed="false">
      <c r="A151" s="4"/>
    </row>
  </sheetData>
  <sheetProtection sheet="true" password="ea2e" objects="true" scenarios="true"/>
  <mergeCells count="14">
    <mergeCell ref="B2:E2"/>
    <mergeCell ref="G4:G5"/>
    <mergeCell ref="H4:H5"/>
    <mergeCell ref="I4:I5"/>
    <mergeCell ref="J4:L4"/>
    <mergeCell ref="M4:M5"/>
    <mergeCell ref="N4:N5"/>
    <mergeCell ref="O4:Q4"/>
    <mergeCell ref="R4:R5"/>
    <mergeCell ref="U4:U5"/>
    <mergeCell ref="V4:V5"/>
    <mergeCell ref="W4:Y4"/>
    <mergeCell ref="Z4:Z5"/>
    <mergeCell ref="AA4:AC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1" width="10.28"/>
    <col collapsed="false" customWidth="true" hidden="false" outlineLevel="0" max="3" min="3" style="1" width="26.99"/>
    <col collapsed="false" customWidth="true" hidden="false" outlineLevel="0" max="4" min="4" style="1" width="1.85"/>
    <col collapsed="false" customWidth="true" hidden="false" outlineLevel="0" max="5" min="5" style="1" width="6.13"/>
    <col collapsed="false" customWidth="true" hidden="false" outlineLevel="0" max="6" min="6" style="1" width="1.99"/>
    <col collapsed="false" customWidth="false" hidden="false" outlineLevel="0" max="8" min="7" style="1" width="8.85"/>
    <col collapsed="false" customWidth="true" hidden="false" outlineLevel="0" max="9" min="9" style="1" width="10.56"/>
    <col collapsed="false" customWidth="false" hidden="false" outlineLevel="0" max="10" min="10" style="1" width="8.85"/>
    <col collapsed="false" customWidth="true" hidden="false" outlineLevel="0" max="11" min="11" style="1" width="12.42"/>
    <col collapsed="false" customWidth="true" hidden="false" outlineLevel="0" max="12" min="12" style="1" width="12.99"/>
    <col collapsed="false" customWidth="true" hidden="false" outlineLevel="0" max="13" min="13" style="1" width="13.85"/>
    <col collapsed="false" customWidth="true" hidden="false" outlineLevel="0" max="14" min="14" style="1" width="13.41"/>
    <col collapsed="false" customWidth="true" hidden="false" outlineLevel="0" max="15" min="15" style="1" width="10.71"/>
    <col collapsed="false" customWidth="true" hidden="false" outlineLevel="0" max="16" min="16" style="1" width="13.41"/>
    <col collapsed="false" customWidth="true" hidden="false" outlineLevel="0" max="17" min="17" style="1" width="10.71"/>
    <col collapsed="false" customWidth="true" hidden="false" outlineLevel="0" max="18" min="18" style="1" width="13.41"/>
    <col collapsed="false" customWidth="true" hidden="false" outlineLevel="0" max="19" min="19" style="1" width="10.71"/>
    <col collapsed="false" customWidth="false" hidden="false" outlineLevel="0" max="257" min="20" style="1" width="8.85"/>
  </cols>
  <sheetData>
    <row r="2" customFormat="false" ht="12.75" hidden="false" customHeight="false" outlineLevel="0" collapsed="false">
      <c r="B2" s="7" t="s">
        <v>421</v>
      </c>
      <c r="H2" s="7" t="s">
        <v>422</v>
      </c>
    </row>
    <row r="3" customFormat="false" ht="12.75" hidden="false" customHeight="false" outlineLevel="0" collapsed="false">
      <c r="F3" s="719"/>
      <c r="G3" s="719"/>
    </row>
    <row r="4" customFormat="false" ht="15" hidden="false" customHeight="true" outlineLevel="0" collapsed="false">
      <c r="B4" s="720"/>
      <c r="C4" s="721"/>
      <c r="D4" s="721"/>
      <c r="E4" s="721"/>
      <c r="F4" s="722"/>
      <c r="G4" s="719"/>
      <c r="H4" s="14" t="s">
        <v>4</v>
      </c>
      <c r="I4" s="14" t="s">
        <v>43</v>
      </c>
      <c r="J4" s="108" t="s">
        <v>10</v>
      </c>
      <c r="K4" s="109" t="s">
        <v>423</v>
      </c>
      <c r="L4" s="211" t="s">
        <v>424</v>
      </c>
      <c r="M4" s="211"/>
      <c r="N4" s="723" t="s">
        <v>423</v>
      </c>
      <c r="O4" s="723"/>
      <c r="P4" s="222" t="s">
        <v>425</v>
      </c>
      <c r="Q4" s="222"/>
      <c r="R4" s="222" t="s">
        <v>426</v>
      </c>
      <c r="S4" s="222"/>
      <c r="T4" s="14" t="s">
        <v>427</v>
      </c>
    </row>
    <row r="5" customFormat="false" ht="13.5" hidden="false" customHeight="false" outlineLevel="0" collapsed="false">
      <c r="B5" s="65" t="s">
        <v>236</v>
      </c>
      <c r="C5" s="412"/>
      <c r="D5" s="412"/>
      <c r="E5" s="724"/>
      <c r="F5" s="22"/>
      <c r="G5" s="719"/>
      <c r="H5" s="14"/>
      <c r="I5" s="14"/>
      <c r="J5" s="108"/>
      <c r="K5" s="109"/>
      <c r="L5" s="725" t="s">
        <v>309</v>
      </c>
      <c r="M5" s="726" t="s">
        <v>234</v>
      </c>
      <c r="N5" s="727" t="s">
        <v>428</v>
      </c>
      <c r="O5" s="728" t="s">
        <v>234</v>
      </c>
      <c r="P5" s="728" t="s">
        <v>428</v>
      </c>
      <c r="Q5" s="728" t="s">
        <v>234</v>
      </c>
      <c r="R5" s="728" t="s">
        <v>428</v>
      </c>
      <c r="S5" s="728" t="s">
        <v>234</v>
      </c>
      <c r="T5" s="14"/>
    </row>
    <row r="6" customFormat="false" ht="13.5" hidden="false" customHeight="false" outlineLevel="0" collapsed="false">
      <c r="B6" s="311" t="s">
        <v>316</v>
      </c>
      <c r="C6" s="412"/>
      <c r="D6" s="412"/>
      <c r="E6" s="724"/>
      <c r="F6" s="22"/>
      <c r="G6" s="719"/>
      <c r="H6" s="215" t="s">
        <v>64</v>
      </c>
      <c r="I6" s="669" t="n">
        <f aca="false">'Input-Detail'!E14</f>
        <v>19016173</v>
      </c>
      <c r="J6" s="674" t="n">
        <f aca="false">'Input-Detail'!F14</f>
        <v>0</v>
      </c>
      <c r="K6" s="729" t="n">
        <f aca="false">I6*J6</f>
        <v>0</v>
      </c>
      <c r="L6" s="730" t="n">
        <f aca="false">'Input-Detail'!BL13</f>
        <v>0.64</v>
      </c>
      <c r="M6" s="731" t="n">
        <f aca="false">'Input-Detail'!BM13</f>
        <v>0.36</v>
      </c>
      <c r="N6" s="732" t="n">
        <f aca="false">K6*L6</f>
        <v>0</v>
      </c>
      <c r="O6" s="733" t="n">
        <f aca="false">K6*M6</f>
        <v>0</v>
      </c>
      <c r="P6" s="733" t="n">
        <f aca="false">N6/$E$8</f>
        <v>0</v>
      </c>
      <c r="Q6" s="733" t="n">
        <f aca="false">O6/$E$13</f>
        <v>0</v>
      </c>
      <c r="R6" s="734" t="n">
        <f aca="false">($E$7*$E$9+$E$10)*P6</f>
        <v>0</v>
      </c>
      <c r="S6" s="734" t="n">
        <f aca="false">($E$12*$E$14+$E$15)*Q6</f>
        <v>0</v>
      </c>
      <c r="T6" s="735" t="n">
        <f aca="false">(R6+S6)*$E$17</f>
        <v>0</v>
      </c>
    </row>
    <row r="7" customFormat="false" ht="12.75" hidden="false" customHeight="false" outlineLevel="0" collapsed="false">
      <c r="B7" s="29"/>
      <c r="C7" s="411" t="s">
        <v>241</v>
      </c>
      <c r="D7" s="412"/>
      <c r="E7" s="736" t="n">
        <f aca="false">'Input-Detail'!AZ15</f>
        <v>1.35</v>
      </c>
      <c r="F7" s="22"/>
      <c r="G7" s="719"/>
      <c r="H7" s="215" t="n">
        <v>1</v>
      </c>
      <c r="I7" s="669" t="n">
        <f aca="false">'Input-Detail'!E15</f>
        <v>19565364.35</v>
      </c>
      <c r="J7" s="674" t="n">
        <f aca="false">'Input-Detail'!F15</f>
        <v>0.0699842202922738</v>
      </c>
      <c r="K7" s="729" t="n">
        <f aca="false">I7*J7</f>
        <v>1369266.768769</v>
      </c>
      <c r="L7" s="737" t="n">
        <f aca="false">'Input-Detail'!BL14</f>
        <v>0.64</v>
      </c>
      <c r="M7" s="738" t="n">
        <f aca="false">'Input-Detail'!BM14</f>
        <v>0.36</v>
      </c>
      <c r="N7" s="732" t="n">
        <f aca="false">K7*L7</f>
        <v>876330.73201216</v>
      </c>
      <c r="O7" s="733" t="n">
        <f aca="false">K7*M7</f>
        <v>492936.03675684</v>
      </c>
      <c r="P7" s="733" t="n">
        <f aca="false">N7/$E$8</f>
        <v>5477.067075076</v>
      </c>
      <c r="Q7" s="733" t="n">
        <f aca="false">O7/$E$13</f>
        <v>3080.85022973025</v>
      </c>
      <c r="R7" s="734" t="n">
        <f aca="false">($E$7*$E$9+$E$10)*P7</f>
        <v>331362.558042098</v>
      </c>
      <c r="S7" s="734" t="n">
        <f aca="false">($E$12*$E$14+$E$15)*Q7</f>
        <v>61617.004594605</v>
      </c>
      <c r="T7" s="735" t="n">
        <f aca="false">(R7+S7)*$E$17</f>
        <v>23578.7737582022</v>
      </c>
    </row>
    <row r="8" customFormat="false" ht="12.75" hidden="false" customHeight="false" outlineLevel="0" collapsed="false">
      <c r="B8" s="29"/>
      <c r="C8" s="411" t="s">
        <v>244</v>
      </c>
      <c r="D8" s="412"/>
      <c r="E8" s="739" t="n">
        <f aca="false">'Input-Detail'!AZ16</f>
        <v>160</v>
      </c>
      <c r="F8" s="22"/>
      <c r="G8" s="719"/>
      <c r="H8" s="215" t="n">
        <v>2</v>
      </c>
      <c r="I8" s="669" t="n">
        <f aca="false">'Input-Detail'!E16</f>
        <v>20114555.7</v>
      </c>
      <c r="J8" s="674" t="n">
        <f aca="false">'Input-Detail'!F16</f>
        <v>0.133486220755981</v>
      </c>
      <c r="K8" s="729" t="n">
        <f aca="false">I8*J8</f>
        <v>2685016.02257867</v>
      </c>
      <c r="L8" s="737" t="n">
        <f aca="false">'Input-Detail'!BL15</f>
        <v>0.64</v>
      </c>
      <c r="M8" s="738" t="n">
        <f aca="false">'Input-Detail'!BM15</f>
        <v>0.36</v>
      </c>
      <c r="N8" s="732" t="n">
        <f aca="false">K8*L8</f>
        <v>1718410.25445035</v>
      </c>
      <c r="O8" s="733" t="n">
        <f aca="false">K8*M8</f>
        <v>966605.768128321</v>
      </c>
      <c r="P8" s="733" t="n">
        <f aca="false">N8/$E$8</f>
        <v>10740.0640903147</v>
      </c>
      <c r="Q8" s="733" t="n">
        <f aca="false">O8/$E$13</f>
        <v>6041.28605080201</v>
      </c>
      <c r="R8" s="734" t="n">
        <f aca="false">($E$7*$E$9+$E$10)*P8</f>
        <v>649773.877464038</v>
      </c>
      <c r="S8" s="734" t="n">
        <f aca="false">($E$12*$E$14+$E$15)*Q8</f>
        <v>120825.72101604</v>
      </c>
      <c r="T8" s="735" t="n">
        <f aca="false">(R8+S8)*$E$17</f>
        <v>46235.9759088047</v>
      </c>
    </row>
    <row r="9" customFormat="false" ht="12.75" hidden="false" customHeight="false" outlineLevel="0" collapsed="false">
      <c r="B9" s="29"/>
      <c r="C9" s="411" t="s">
        <v>247</v>
      </c>
      <c r="D9" s="412"/>
      <c r="E9" s="740" t="n">
        <f aca="false">'Input-Detail'!AZ17</f>
        <v>30</v>
      </c>
      <c r="F9" s="22"/>
      <c r="G9" s="719"/>
      <c r="H9" s="215" t="n">
        <v>3</v>
      </c>
      <c r="I9" s="669" t="n">
        <f aca="false">'Input-Detail'!E17</f>
        <v>20663747.05</v>
      </c>
      <c r="J9" s="674" t="n">
        <f aca="false">'Input-Detail'!F17</f>
        <v>0.192291508405303</v>
      </c>
      <c r="K9" s="729" t="n">
        <f aca="false">I9*J9</f>
        <v>3973463.08955013</v>
      </c>
      <c r="L9" s="737" t="n">
        <f aca="false">'Input-Detail'!BL16</f>
        <v>0.64</v>
      </c>
      <c r="M9" s="738" t="n">
        <f aca="false">'Input-Detail'!BM16</f>
        <v>0.36</v>
      </c>
      <c r="N9" s="732" t="n">
        <f aca="false">K9*L9</f>
        <v>2543016.37731208</v>
      </c>
      <c r="O9" s="733" t="n">
        <f aca="false">K9*M9</f>
        <v>1430446.71223805</v>
      </c>
      <c r="P9" s="733" t="n">
        <f aca="false">N9/$E$8</f>
        <v>15893.8523582005</v>
      </c>
      <c r="Q9" s="733" t="n">
        <f aca="false">O9/$E$13</f>
        <v>8940.29195148779</v>
      </c>
      <c r="R9" s="734" t="n">
        <f aca="false">($E$7*$E$9+$E$10)*P9</f>
        <v>961578.067671131</v>
      </c>
      <c r="S9" s="734" t="n">
        <f aca="false">($E$12*$E$14+$E$15)*Q9</f>
        <v>178805.839029756</v>
      </c>
      <c r="T9" s="735" t="n">
        <f aca="false">(R9+S9)*$E$17</f>
        <v>68423.0344020532</v>
      </c>
    </row>
    <row r="10" customFormat="false" ht="12.75" hidden="false" customHeight="false" outlineLevel="0" collapsed="false">
      <c r="B10" s="29"/>
      <c r="C10" s="411" t="s">
        <v>251</v>
      </c>
      <c r="D10" s="412"/>
      <c r="E10" s="740" t="n">
        <f aca="false">'Input-Detail'!AZ18</f>
        <v>20</v>
      </c>
      <c r="F10" s="22"/>
      <c r="G10" s="719"/>
      <c r="H10" s="215" t="n">
        <v>4</v>
      </c>
      <c r="I10" s="669" t="n">
        <f aca="false">'Input-Detail'!E18</f>
        <v>21212938.4</v>
      </c>
      <c r="J10" s="674" t="n">
        <f aca="false">'Input-Detail'!F18</f>
        <v>0.247136906120865</v>
      </c>
      <c r="K10" s="729" t="n">
        <f aca="false">I10*J10</f>
        <v>5242499.9659085</v>
      </c>
      <c r="L10" s="737" t="n">
        <f aca="false">'Input-Detail'!BL17</f>
        <v>0.64</v>
      </c>
      <c r="M10" s="738" t="n">
        <f aca="false">'Input-Detail'!BM17</f>
        <v>0.36</v>
      </c>
      <c r="N10" s="732" t="n">
        <f aca="false">K10*L10</f>
        <v>3355199.97818144</v>
      </c>
      <c r="O10" s="733" t="n">
        <f aca="false">K10*M10</f>
        <v>1887299.98772706</v>
      </c>
      <c r="P10" s="733" t="n">
        <f aca="false">N10/$E$8</f>
        <v>20969.999863634</v>
      </c>
      <c r="Q10" s="733" t="n">
        <f aca="false">O10/$E$13</f>
        <v>11795.6249232941</v>
      </c>
      <c r="R10" s="734" t="n">
        <f aca="false">($E$7*$E$9+$E$10)*P10</f>
        <v>1268684.99174986</v>
      </c>
      <c r="S10" s="734" t="n">
        <f aca="false">($E$12*$E$14+$E$15)*Q10</f>
        <v>235912.498465882</v>
      </c>
      <c r="T10" s="735" t="n">
        <f aca="false">(R10+S10)*$E$17</f>
        <v>90275.8494129444</v>
      </c>
    </row>
    <row r="11" customFormat="false" ht="12.75" hidden="false" customHeight="false" outlineLevel="0" collapsed="false">
      <c r="B11" s="311" t="s">
        <v>317</v>
      </c>
      <c r="C11" s="412"/>
      <c r="D11" s="412"/>
      <c r="E11" s="724"/>
      <c r="F11" s="22"/>
      <c r="G11" s="719"/>
      <c r="H11" s="215" t="n">
        <v>5</v>
      </c>
      <c r="I11" s="669" t="n">
        <f aca="false">'Input-Detail'!E19</f>
        <v>21762129.75</v>
      </c>
      <c r="J11" s="674" t="n">
        <f aca="false">'Input-Detail'!F19</f>
        <v>0.298984514248523</v>
      </c>
      <c r="K11" s="729" t="n">
        <f aca="false">I11*J11</f>
        <v>6506539.79231708</v>
      </c>
      <c r="L11" s="737" t="n">
        <f aca="false">'Input-Detail'!BL18</f>
        <v>0.64</v>
      </c>
      <c r="M11" s="738" t="n">
        <f aca="false">'Input-Detail'!BM18</f>
        <v>0.36</v>
      </c>
      <c r="N11" s="732" t="n">
        <f aca="false">K11*L11</f>
        <v>4164185.46708293</v>
      </c>
      <c r="O11" s="733" t="n">
        <f aca="false">K11*M11</f>
        <v>2342354.32523415</v>
      </c>
      <c r="P11" s="733" t="n">
        <f aca="false">N11/$E$8</f>
        <v>26026.1591692683</v>
      </c>
      <c r="Q11" s="733" t="n">
        <f aca="false">O11/$E$13</f>
        <v>14639.7145327134</v>
      </c>
      <c r="R11" s="734" t="n">
        <f aca="false">($E$7*$E$9+$E$10)*P11</f>
        <v>1574582.62974073</v>
      </c>
      <c r="S11" s="734" t="n">
        <f aca="false">($E$12*$E$14+$E$15)*Q11</f>
        <v>292794.290654269</v>
      </c>
      <c r="T11" s="735" t="n">
        <f aca="false">(R11+S11)*$E$17</f>
        <v>112042.6152237</v>
      </c>
    </row>
    <row r="12" customFormat="false" ht="12.75" hidden="false" customHeight="false" outlineLevel="0" collapsed="false">
      <c r="B12" s="65"/>
      <c r="C12" s="411" t="s">
        <v>241</v>
      </c>
      <c r="D12" s="412"/>
      <c r="E12" s="736" t="n">
        <f aca="false">'Input-Detail'!AZ20</f>
        <v>1.35</v>
      </c>
      <c r="F12" s="22"/>
      <c r="G12" s="719"/>
      <c r="H12" s="215" t="n">
        <v>6</v>
      </c>
      <c r="I12" s="669" t="n">
        <f aca="false">'Input-Detail'!E20</f>
        <v>22311321.1</v>
      </c>
      <c r="J12" s="674" t="n">
        <f aca="false">'Input-Detail'!F20</f>
        <v>0.34881248351123</v>
      </c>
      <c r="K12" s="729" t="n">
        <f aca="false">I12*J12</f>
        <v>7782467.32330751</v>
      </c>
      <c r="L12" s="737" t="n">
        <f aca="false">'Input-Detail'!BL19</f>
        <v>0.64</v>
      </c>
      <c r="M12" s="738" t="n">
        <f aca="false">'Input-Detail'!BM19</f>
        <v>0.36</v>
      </c>
      <c r="N12" s="732" t="n">
        <f aca="false">K12*L12</f>
        <v>4980779.08691681</v>
      </c>
      <c r="O12" s="733" t="n">
        <f aca="false">K12*M12</f>
        <v>2801688.2363907</v>
      </c>
      <c r="P12" s="733" t="n">
        <f aca="false">N12/$E$8</f>
        <v>31129.86929323</v>
      </c>
      <c r="Q12" s="733" t="n">
        <f aca="false">O12/$E$13</f>
        <v>17510.5514774419</v>
      </c>
      <c r="R12" s="734" t="n">
        <f aca="false">($E$7*$E$9+$E$10)*P12</f>
        <v>1883357.09224042</v>
      </c>
      <c r="S12" s="734" t="n">
        <f aca="false">($E$12*$E$14+$E$15)*Q12</f>
        <v>350211.029548838</v>
      </c>
      <c r="T12" s="735" t="n">
        <f aca="false">(R12+S12)*$E$17</f>
        <v>134014.087307355</v>
      </c>
    </row>
    <row r="13" customFormat="false" ht="12.75" hidden="false" customHeight="false" outlineLevel="0" collapsed="false">
      <c r="B13" s="65"/>
      <c r="C13" s="411" t="s">
        <v>244</v>
      </c>
      <c r="D13" s="412"/>
      <c r="E13" s="739" t="n">
        <f aca="false">'Input-Detail'!AZ21</f>
        <v>160</v>
      </c>
      <c r="F13" s="22"/>
      <c r="G13" s="719"/>
      <c r="H13" s="215" t="n">
        <v>7</v>
      </c>
      <c r="I13" s="669" t="n">
        <f aca="false">'Input-Detail'!E21</f>
        <v>22860512.45</v>
      </c>
      <c r="J13" s="674" t="n">
        <f aca="false">'Input-Detail'!F21</f>
        <v>0.39671513105108</v>
      </c>
      <c r="K13" s="729" t="n">
        <f aca="false">I13*J13</f>
        <v>9069111.1924966</v>
      </c>
      <c r="L13" s="737" t="n">
        <f aca="false">'Input-Detail'!BL20</f>
        <v>0.64</v>
      </c>
      <c r="M13" s="738" t="n">
        <f aca="false">'Input-Detail'!BM20</f>
        <v>0.36</v>
      </c>
      <c r="N13" s="732" t="n">
        <f aca="false">K13*L13</f>
        <v>5804231.16319783</v>
      </c>
      <c r="O13" s="733" t="n">
        <f aca="false">K13*M13</f>
        <v>3264880.02929878</v>
      </c>
      <c r="P13" s="733" t="n">
        <f aca="false">N13/$E$8</f>
        <v>36276.4447699864</v>
      </c>
      <c r="Q13" s="733" t="n">
        <f aca="false">O13/$E$13</f>
        <v>20405.5001831174</v>
      </c>
      <c r="R13" s="734" t="n">
        <f aca="false">($E$7*$E$9+$E$10)*P13</f>
        <v>2194724.90858418</v>
      </c>
      <c r="S13" s="734" t="n">
        <f aca="false">($E$12*$E$14+$E$15)*Q13</f>
        <v>408110.003662347</v>
      </c>
      <c r="T13" s="735" t="n">
        <f aca="false">(R13+S13)*$E$17</f>
        <v>156170.094734791</v>
      </c>
    </row>
    <row r="14" customFormat="false" ht="12.75" hidden="false" customHeight="false" outlineLevel="0" collapsed="false">
      <c r="B14" s="29"/>
      <c r="C14" s="411" t="s">
        <v>247</v>
      </c>
      <c r="D14" s="412"/>
      <c r="E14" s="740" t="n">
        <f aca="false">'Input-Detail'!AZ22</f>
        <v>0</v>
      </c>
      <c r="F14" s="22"/>
      <c r="H14" s="215" t="n">
        <v>8</v>
      </c>
      <c r="I14" s="669" t="n">
        <f aca="false">'Input-Detail'!E22</f>
        <v>23409703.8</v>
      </c>
      <c r="J14" s="674" t="n">
        <f aca="false">'Input-Detail'!F22</f>
        <v>0.443037513897103</v>
      </c>
      <c r="K14" s="729" t="n">
        <f aca="false">I14*J14</f>
        <v>10371376.9726196</v>
      </c>
      <c r="L14" s="737" t="n">
        <f aca="false">'Input-Detail'!BL21</f>
        <v>0.64</v>
      </c>
      <c r="M14" s="738" t="n">
        <f aca="false">'Input-Detail'!BM21</f>
        <v>0.36</v>
      </c>
      <c r="N14" s="732" t="n">
        <f aca="false">K14*L14</f>
        <v>6637681.26247652</v>
      </c>
      <c r="O14" s="733" t="n">
        <f aca="false">K14*M14</f>
        <v>3733695.71014304</v>
      </c>
      <c r="P14" s="733" t="n">
        <f aca="false">N14/$E$8</f>
        <v>41485.5078904783</v>
      </c>
      <c r="Q14" s="733" t="n">
        <f aca="false">O14/$E$13</f>
        <v>23335.598188394</v>
      </c>
      <c r="R14" s="734" t="n">
        <f aca="false">($E$7*$E$9+$E$10)*P14</f>
        <v>2509873.22737393</v>
      </c>
      <c r="S14" s="734" t="n">
        <f aca="false">($E$12*$E$14+$E$15)*Q14</f>
        <v>466711.96376788</v>
      </c>
      <c r="T14" s="735" t="n">
        <f aca="false">(R14+S14)*$E$17</f>
        <v>178595.111468509</v>
      </c>
    </row>
    <row r="15" customFormat="false" ht="12.75" hidden="false" customHeight="false" outlineLevel="0" collapsed="false">
      <c r="A15" s="741"/>
      <c r="B15" s="65"/>
      <c r="C15" s="411" t="s">
        <v>251</v>
      </c>
      <c r="D15" s="412"/>
      <c r="E15" s="740" t="n">
        <f aca="false">'Input-Detail'!AZ23</f>
        <v>20</v>
      </c>
      <c r="F15" s="22"/>
      <c r="H15" s="215" t="n">
        <v>9</v>
      </c>
      <c r="I15" s="669" t="n">
        <f aca="false">'Input-Detail'!E23</f>
        <v>23958895.15</v>
      </c>
      <c r="J15" s="674" t="n">
        <f aca="false">'Input-Detail'!F23</f>
        <v>0.488152689932575</v>
      </c>
      <c r="K15" s="729" t="n">
        <f aca="false">I15*J15</f>
        <v>11695599.115285</v>
      </c>
      <c r="L15" s="737" t="n">
        <f aca="false">'Input-Detail'!BL22</f>
        <v>0.64</v>
      </c>
      <c r="M15" s="738" t="n">
        <f aca="false">'Input-Detail'!BM22</f>
        <v>0.36</v>
      </c>
      <c r="N15" s="732" t="n">
        <f aca="false">K15*L15</f>
        <v>7485183.43378242</v>
      </c>
      <c r="O15" s="733" t="n">
        <f aca="false">K15*M15</f>
        <v>4210415.68150261</v>
      </c>
      <c r="P15" s="733" t="n">
        <f aca="false">N15/$E$8</f>
        <v>46782.3964611401</v>
      </c>
      <c r="Q15" s="733" t="n">
        <f aca="false">O15/$E$13</f>
        <v>26315.0980093913</v>
      </c>
      <c r="R15" s="734" t="n">
        <f aca="false">($E$7*$E$9+$E$10)*P15</f>
        <v>2830334.98589898</v>
      </c>
      <c r="S15" s="734" t="n">
        <f aca="false">($E$12*$E$14+$E$15)*Q15</f>
        <v>526301.960187826</v>
      </c>
      <c r="T15" s="735" t="n">
        <f aca="false">(R15+S15)*$E$17</f>
        <v>201398.216765208</v>
      </c>
    </row>
    <row r="16" customFormat="false" ht="12.75" hidden="false" customHeight="false" outlineLevel="0" collapsed="false">
      <c r="B16" s="65"/>
      <c r="C16" s="411"/>
      <c r="D16" s="412"/>
      <c r="E16" s="742"/>
      <c r="F16" s="22"/>
      <c r="H16" s="215" t="n">
        <v>10</v>
      </c>
      <c r="I16" s="669" t="n">
        <f aca="false">'Input-Detail'!E24</f>
        <v>24508086.5</v>
      </c>
      <c r="J16" s="674" t="n">
        <f aca="false">'Input-Detail'!F24</f>
        <v>0.531731128248894</v>
      </c>
      <c r="K16" s="729" t="n">
        <f aca="false">I16*J16</f>
        <v>13031712.4858665</v>
      </c>
      <c r="L16" s="737" t="n">
        <f aca="false">'Input-Detail'!BL23</f>
        <v>0.64</v>
      </c>
      <c r="M16" s="738" t="n">
        <f aca="false">'Input-Detail'!BM23</f>
        <v>0.36</v>
      </c>
      <c r="N16" s="732" t="n">
        <f aca="false">K16*L16</f>
        <v>8340295.99095455</v>
      </c>
      <c r="O16" s="733" t="n">
        <f aca="false">K16*M16</f>
        <v>4691416.49491193</v>
      </c>
      <c r="P16" s="733" t="n">
        <f aca="false">N16/$E$8</f>
        <v>52126.8499434659</v>
      </c>
      <c r="Q16" s="733" t="n">
        <f aca="false">O16/$E$13</f>
        <v>29321.3530931996</v>
      </c>
      <c r="R16" s="734" t="n">
        <f aca="false">($E$7*$E$9+$E$10)*P16</f>
        <v>3153674.42157969</v>
      </c>
      <c r="S16" s="734" t="n">
        <f aca="false">($E$12*$E$14+$E$15)*Q16</f>
        <v>586427.061863992</v>
      </c>
      <c r="T16" s="735" t="n">
        <f aca="false">(R16+S16)*$E$17</f>
        <v>224406.089006621</v>
      </c>
    </row>
    <row r="17" customFormat="false" ht="12.75" hidden="false" customHeight="false" outlineLevel="0" collapsed="false">
      <c r="B17" s="65" t="s">
        <v>245</v>
      </c>
      <c r="C17" s="411"/>
      <c r="D17" s="412"/>
      <c r="E17" s="743" t="n">
        <f aca="false">'Input-Detail'!BV30</f>
        <v>0.06</v>
      </c>
      <c r="F17" s="22"/>
      <c r="H17" s="215" t="n">
        <v>11</v>
      </c>
      <c r="I17" s="669" t="n">
        <f aca="false">'Input-Detail'!E25</f>
        <v>25057277.85</v>
      </c>
      <c r="J17" s="674" t="n">
        <f aca="false">'Input-Detail'!F25</f>
        <v>0.57370976448128</v>
      </c>
      <c r="K17" s="729" t="n">
        <f aca="false">I17*J17</f>
        <v>14375604.9738655</v>
      </c>
      <c r="L17" s="737" t="n">
        <f aca="false">'Input-Detail'!BL24</f>
        <v>0.64</v>
      </c>
      <c r="M17" s="738" t="n">
        <f aca="false">'Input-Detail'!BM24</f>
        <v>0.36</v>
      </c>
      <c r="N17" s="732" t="n">
        <f aca="false">K17*L17</f>
        <v>9200387.18327393</v>
      </c>
      <c r="O17" s="733" t="n">
        <f aca="false">K17*M17</f>
        <v>5175217.79059158</v>
      </c>
      <c r="P17" s="733" t="n">
        <f aca="false">N17/$E$8</f>
        <v>57502.419895462</v>
      </c>
      <c r="Q17" s="733" t="n">
        <f aca="false">O17/$E$13</f>
        <v>32345.1111911974</v>
      </c>
      <c r="R17" s="734" t="n">
        <f aca="false">($E$7*$E$9+$E$10)*P17</f>
        <v>3478896.40367545</v>
      </c>
      <c r="S17" s="734" t="n">
        <f aca="false">($E$12*$E$14+$E$15)*Q17</f>
        <v>646902.223823948</v>
      </c>
      <c r="T17" s="735" t="n">
        <f aca="false">(R17+S17)*$E$17</f>
        <v>247547.917649964</v>
      </c>
    </row>
    <row r="18" customFormat="false" ht="12.75" hidden="false" customHeight="false" outlineLevel="0" collapsed="false">
      <c r="B18" s="744"/>
      <c r="C18" s="745"/>
      <c r="D18" s="745"/>
      <c r="E18" s="746"/>
      <c r="F18" s="79"/>
      <c r="H18" s="215" t="n">
        <v>12</v>
      </c>
      <c r="I18" s="669" t="n">
        <f aca="false">'Input-Detail'!E26</f>
        <v>25606469.2</v>
      </c>
      <c r="J18" s="674" t="n">
        <f aca="false">'Input-Detail'!F26</f>
        <v>0.614080811078137</v>
      </c>
      <c r="K18" s="729" t="n">
        <f aca="false">I18*J18</f>
        <v>15724441.3751833</v>
      </c>
      <c r="L18" s="737" t="n">
        <f aca="false">'Input-Detail'!BL25</f>
        <v>0.64</v>
      </c>
      <c r="M18" s="738" t="n">
        <f aca="false">'Input-Detail'!BM25</f>
        <v>0.36</v>
      </c>
      <c r="N18" s="732" t="n">
        <f aca="false">K18*L18</f>
        <v>10063642.4801173</v>
      </c>
      <c r="O18" s="733" t="n">
        <f aca="false">K18*M18</f>
        <v>5660798.895066</v>
      </c>
      <c r="P18" s="733" t="n">
        <f aca="false">N18/$E$8</f>
        <v>62897.7655007334</v>
      </c>
      <c r="Q18" s="733" t="n">
        <f aca="false">O18/$E$13</f>
        <v>35379.9930941625</v>
      </c>
      <c r="R18" s="734" t="n">
        <f aca="false">($E$7*$E$9+$E$10)*P18</f>
        <v>3805314.81279437</v>
      </c>
      <c r="S18" s="734" t="n">
        <f aca="false">($E$12*$E$14+$E$15)*Q18</f>
        <v>707599.86188325</v>
      </c>
      <c r="T18" s="735" t="n">
        <f aca="false">(R18+S18)*$E$17</f>
        <v>270774.880480657</v>
      </c>
    </row>
    <row r="19" customFormat="false" ht="12.75" hidden="false" customHeight="false" outlineLevel="0" collapsed="false">
      <c r="H19" s="215" t="n">
        <v>13</v>
      </c>
      <c r="I19" s="669" t="n">
        <f aca="false">'Input-Detail'!E27</f>
        <v>26155660.55</v>
      </c>
      <c r="J19" s="674" t="n">
        <f aca="false">'Input-Detail'!F27</f>
        <v>0.652377141057342</v>
      </c>
      <c r="K19" s="729" t="n">
        <f aca="false">I19*J19</f>
        <v>17063355.0520753</v>
      </c>
      <c r="L19" s="737" t="n">
        <f aca="false">'Input-Detail'!BL26</f>
        <v>0.64</v>
      </c>
      <c r="M19" s="738" t="n">
        <f aca="false">'Input-Detail'!BM26</f>
        <v>0.36</v>
      </c>
      <c r="N19" s="732" t="n">
        <f aca="false">K19*L19</f>
        <v>10920547.2333282</v>
      </c>
      <c r="O19" s="733" t="n">
        <f aca="false">K19*M19</f>
        <v>6142807.81874711</v>
      </c>
      <c r="P19" s="733" t="n">
        <f aca="false">N19/$E$8</f>
        <v>68253.4202083012</v>
      </c>
      <c r="Q19" s="733" t="n">
        <f aca="false">O19/$E$13</f>
        <v>38392.5488671694</v>
      </c>
      <c r="R19" s="734" t="n">
        <f aca="false">($E$7*$E$9+$E$10)*P19</f>
        <v>4129331.92260222</v>
      </c>
      <c r="S19" s="734" t="n">
        <f aca="false">($E$12*$E$14+$E$15)*Q19</f>
        <v>767850.977343389</v>
      </c>
      <c r="T19" s="735" t="n">
        <f aca="false">(R19+S19)*$E$17</f>
        <v>293830.973996737</v>
      </c>
    </row>
    <row r="20" customFormat="false" ht="12.75" hidden="false" customHeight="false" outlineLevel="0" collapsed="false">
      <c r="H20" s="215" t="n">
        <v>14</v>
      </c>
      <c r="I20" s="669" t="n">
        <f aca="false">'Input-Detail'!E28</f>
        <v>26704851.9</v>
      </c>
      <c r="J20" s="674" t="n">
        <f aca="false">'Input-Detail'!F28</f>
        <v>0.688560291874923</v>
      </c>
      <c r="K20" s="729" t="n">
        <f aca="false">I20*J20</f>
        <v>18387900.6187406</v>
      </c>
      <c r="L20" s="737" t="n">
        <f aca="false">'Input-Detail'!BL27</f>
        <v>0.64</v>
      </c>
      <c r="M20" s="738" t="n">
        <f aca="false">'Input-Detail'!BM27</f>
        <v>0.36</v>
      </c>
      <c r="N20" s="732" t="n">
        <f aca="false">K20*L20</f>
        <v>11768256.395994</v>
      </c>
      <c r="O20" s="733" t="n">
        <f aca="false">K20*M20</f>
        <v>6619644.22274661</v>
      </c>
      <c r="P20" s="733" t="n">
        <f aca="false">N20/$E$8</f>
        <v>73551.6024749623</v>
      </c>
      <c r="Q20" s="733" t="n">
        <f aca="false">O20/$E$13</f>
        <v>41372.7763921663</v>
      </c>
      <c r="R20" s="734" t="n">
        <f aca="false">($E$7*$E$9+$E$10)*P20</f>
        <v>4449871.94973522</v>
      </c>
      <c r="S20" s="734" t="n">
        <f aca="false">($E$12*$E$14+$E$15)*Q20</f>
        <v>827455.527843326</v>
      </c>
      <c r="T20" s="735" t="n">
        <f aca="false">(R20+S20)*$E$17</f>
        <v>316639.648654713</v>
      </c>
    </row>
    <row r="21" customFormat="false" ht="12.75" hidden="false" customHeight="false" outlineLevel="0" collapsed="false">
      <c r="H21" s="215" t="n">
        <v>15</v>
      </c>
      <c r="I21" s="669" t="n">
        <f aca="false">'Input-Detail'!E29</f>
        <v>27254043.25</v>
      </c>
      <c r="J21" s="674" t="n">
        <f aca="false">'Input-Detail'!F29</f>
        <v>0.72219473716396</v>
      </c>
      <c r="K21" s="729" t="n">
        <f aca="false">I21*J21</f>
        <v>19682726.601589</v>
      </c>
      <c r="L21" s="737" t="n">
        <f aca="false">'Input-Detail'!BL28</f>
        <v>0.64</v>
      </c>
      <c r="M21" s="738" t="n">
        <f aca="false">'Input-Detail'!BM28</f>
        <v>0.36</v>
      </c>
      <c r="N21" s="732" t="n">
        <f aca="false">K21*L21</f>
        <v>12596945.0250169</v>
      </c>
      <c r="O21" s="733" t="n">
        <f aca="false">K21*M21</f>
        <v>7085781.57657202</v>
      </c>
      <c r="P21" s="733" t="n">
        <f aca="false">N21/$E$8</f>
        <v>78730.9064063558</v>
      </c>
      <c r="Q21" s="733" t="n">
        <f aca="false">O21/$E$13</f>
        <v>44286.1348535751</v>
      </c>
      <c r="R21" s="734" t="n">
        <f aca="false">($E$7*$E$9+$E$10)*P21</f>
        <v>4763219.83758453</v>
      </c>
      <c r="S21" s="734" t="n">
        <f aca="false">($E$12*$E$14+$E$15)*Q21</f>
        <v>885722.697071503</v>
      </c>
      <c r="T21" s="735" t="n">
        <f aca="false">(R21+S21)*$E$17</f>
        <v>338936.552079362</v>
      </c>
    </row>
    <row r="22" customFormat="false" ht="12.75" hidden="false" customHeight="false" outlineLevel="0" collapsed="false">
      <c r="H22" s="215" t="n">
        <v>16</v>
      </c>
      <c r="I22" s="669" t="n">
        <f aca="false">'Input-Detail'!E30</f>
        <v>27803234.6</v>
      </c>
      <c r="J22" s="674" t="n">
        <f aca="false">'Input-Detail'!F30</f>
        <v>0.753205951403196</v>
      </c>
      <c r="K22" s="729" t="n">
        <f aca="false">I22*J22</f>
        <v>20941561.7689793</v>
      </c>
      <c r="L22" s="737" t="n">
        <f aca="false">'Input-Detail'!BL29</f>
        <v>0.64</v>
      </c>
      <c r="M22" s="738" t="n">
        <f aca="false">'Input-Detail'!BM29</f>
        <v>0.36</v>
      </c>
      <c r="N22" s="732" t="n">
        <f aca="false">K22*L22</f>
        <v>13402599.5321467</v>
      </c>
      <c r="O22" s="733" t="n">
        <f aca="false">K22*M22</f>
        <v>7538962.23683253</v>
      </c>
      <c r="P22" s="733" t="n">
        <f aca="false">N22/$E$8</f>
        <v>83766.2470759171</v>
      </c>
      <c r="Q22" s="733" t="n">
        <f aca="false">O22/$E$13</f>
        <v>47118.5139802033</v>
      </c>
      <c r="R22" s="734" t="n">
        <f aca="false">($E$7*$E$9+$E$10)*P22</f>
        <v>5067857.94809298</v>
      </c>
      <c r="S22" s="734" t="n">
        <f aca="false">($E$12*$E$14+$E$15)*Q22</f>
        <v>942370.279604067</v>
      </c>
      <c r="T22" s="735" t="n">
        <f aca="false">(R22+S22)*$E$17</f>
        <v>360613.693661823</v>
      </c>
    </row>
    <row r="23" customFormat="false" ht="12.75" hidden="false" customHeight="false" outlineLevel="0" collapsed="false">
      <c r="H23" s="215" t="n">
        <v>17</v>
      </c>
      <c r="I23" s="669" t="n">
        <f aca="false">'Input-Detail'!E31</f>
        <v>28352425.95</v>
      </c>
      <c r="J23" s="674" t="n">
        <f aca="false">'Input-Detail'!F31</f>
        <v>0.781651485932894</v>
      </c>
      <c r="K23" s="729" t="n">
        <f aca="false">I23*J23</f>
        <v>22161715.8736198</v>
      </c>
      <c r="L23" s="737" t="n">
        <f aca="false">'Input-Detail'!BL30</f>
        <v>0.64</v>
      </c>
      <c r="M23" s="738" t="n">
        <f aca="false">'Input-Detail'!BM30</f>
        <v>0.36</v>
      </c>
      <c r="N23" s="732" t="n">
        <f aca="false">K23*L23</f>
        <v>14183498.1591167</v>
      </c>
      <c r="O23" s="733" t="n">
        <f aca="false">K23*M23</f>
        <v>7978217.71450314</v>
      </c>
      <c r="P23" s="733" t="n">
        <f aca="false">N23/$E$8</f>
        <v>88646.8634944793</v>
      </c>
      <c r="Q23" s="733" t="n">
        <f aca="false">O23/$E$13</f>
        <v>49863.8607156446</v>
      </c>
      <c r="R23" s="734" t="n">
        <f aca="false">($E$7*$E$9+$E$10)*P23</f>
        <v>5363135.241416</v>
      </c>
      <c r="S23" s="734" t="n">
        <f aca="false">($E$12*$E$14+$E$15)*Q23</f>
        <v>997277.214312892</v>
      </c>
      <c r="T23" s="735" t="n">
        <f aca="false">(R23+S23)*$E$17</f>
        <v>381624.747343734</v>
      </c>
    </row>
    <row r="24" customFormat="false" ht="12.75" hidden="false" customHeight="false" outlineLevel="0" collapsed="false">
      <c r="H24" s="215" t="n">
        <v>18</v>
      </c>
      <c r="I24" s="669" t="n">
        <f aca="false">'Input-Detail'!E32</f>
        <v>28901617.3</v>
      </c>
      <c r="J24" s="674" t="n">
        <f aca="false">'Input-Detail'!F32</f>
        <v>0.807356047331459</v>
      </c>
      <c r="K24" s="729" t="n">
        <f aca="false">I24*J24</f>
        <v>23333895.5048145</v>
      </c>
      <c r="L24" s="737" t="n">
        <f aca="false">'Input-Detail'!BL31</f>
        <v>0.64</v>
      </c>
      <c r="M24" s="738" t="n">
        <f aca="false">'Input-Detail'!BM31</f>
        <v>0.36</v>
      </c>
      <c r="N24" s="732" t="n">
        <f aca="false">K24*L24</f>
        <v>14933693.1230813</v>
      </c>
      <c r="O24" s="733" t="n">
        <f aca="false">K24*M24</f>
        <v>8400202.38173322</v>
      </c>
      <c r="P24" s="733" t="n">
        <f aca="false">N24/$E$8</f>
        <v>93335.582019258</v>
      </c>
      <c r="Q24" s="733" t="n">
        <f aca="false">O24/$E$13</f>
        <v>52501.2648858326</v>
      </c>
      <c r="R24" s="734" t="n">
        <f aca="false">($E$7*$E$9+$E$10)*P24</f>
        <v>5646802.71216511</v>
      </c>
      <c r="S24" s="734" t="n">
        <f aca="false">($E$12*$E$14+$E$15)*Q24</f>
        <v>1050025.29771665</v>
      </c>
      <c r="T24" s="735" t="n">
        <f aca="false">(R24+S24)*$E$17</f>
        <v>401809.680592906</v>
      </c>
    </row>
    <row r="25" customFormat="false" ht="12.75" hidden="false" customHeight="false" outlineLevel="0" collapsed="false">
      <c r="H25" s="215" t="n">
        <v>19</v>
      </c>
      <c r="I25" s="669" t="n">
        <f aca="false">'Input-Detail'!E33</f>
        <v>29450808.65</v>
      </c>
      <c r="J25" s="674" t="n">
        <f aca="false">'Input-Detail'!F33</f>
        <v>0.830563950021381</v>
      </c>
      <c r="K25" s="729" t="n">
        <f aca="false">I25*J25</f>
        <v>24460779.9636679</v>
      </c>
      <c r="L25" s="737" t="n">
        <f aca="false">'Input-Detail'!BL32</f>
        <v>0.64</v>
      </c>
      <c r="M25" s="738" t="n">
        <f aca="false">'Input-Detail'!BM32</f>
        <v>0.36</v>
      </c>
      <c r="N25" s="732" t="n">
        <f aca="false">K25*L25</f>
        <v>15654899.1767474</v>
      </c>
      <c r="O25" s="733" t="n">
        <f aca="false">K25*M25</f>
        <v>8805880.78692043</v>
      </c>
      <c r="P25" s="733" t="n">
        <f aca="false">N25/$E$8</f>
        <v>97843.1198546714</v>
      </c>
      <c r="Q25" s="733" t="n">
        <f aca="false">O25/$E$13</f>
        <v>55036.7549182527</v>
      </c>
      <c r="R25" s="734" t="n">
        <f aca="false">($E$7*$E$9+$E$10)*P25</f>
        <v>5919508.75120762</v>
      </c>
      <c r="S25" s="734" t="n">
        <f aca="false">($E$12*$E$14+$E$15)*Q25</f>
        <v>1100735.09836505</v>
      </c>
      <c r="T25" s="735" t="n">
        <f aca="false">(R25+S25)*$E$17</f>
        <v>421214.63097436</v>
      </c>
    </row>
    <row r="26" customFormat="false" ht="12.75" hidden="false" customHeight="false" outlineLevel="0" collapsed="false">
      <c r="H26" s="235" t="n">
        <v>20</v>
      </c>
      <c r="I26" s="694" t="n">
        <f aca="false">'Input-Detail'!E34</f>
        <v>30000000</v>
      </c>
      <c r="J26" s="699" t="n">
        <f aca="false">'Input-Detail'!F34</f>
        <v>0.85118550512719</v>
      </c>
      <c r="K26" s="747" t="n">
        <f aca="false">I26*J26</f>
        <v>25535565.1538157</v>
      </c>
      <c r="L26" s="748" t="n">
        <f aca="false">'Input-Detail'!BL33</f>
        <v>0.64</v>
      </c>
      <c r="M26" s="749" t="n">
        <f aca="false">'Input-Detail'!BM33</f>
        <v>0.36</v>
      </c>
      <c r="N26" s="750" t="n">
        <f aca="false">K26*L26</f>
        <v>16342761.6984421</v>
      </c>
      <c r="O26" s="751" t="n">
        <f aca="false">K26*M26</f>
        <v>9192803.45537365</v>
      </c>
      <c r="P26" s="751" t="n">
        <f aca="false">N26/$E$8</f>
        <v>102142.260615263</v>
      </c>
      <c r="Q26" s="751" t="n">
        <f aca="false">O26/$E$13</f>
        <v>57455.0215960853</v>
      </c>
      <c r="R26" s="752" t="n">
        <f aca="false">($E$7*$E$9+$E$10)*P26</f>
        <v>6179606.7672234</v>
      </c>
      <c r="S26" s="752" t="n">
        <f aca="false">($E$12*$E$14+$E$15)*Q26</f>
        <v>1149100.43192171</v>
      </c>
      <c r="T26" s="753" t="n">
        <f aca="false">(R26+S26)*$E$17</f>
        <v>439722.431948706</v>
      </c>
    </row>
    <row r="29" customFormat="false" ht="14.25" hidden="false" customHeight="false" outlineLevel="0" collapsed="false">
      <c r="H29" s="194" t="s">
        <v>65</v>
      </c>
      <c r="I29" s="3"/>
      <c r="J29" s="3"/>
      <c r="K29" s="3"/>
      <c r="L29" s="3"/>
      <c r="M29" s="3"/>
      <c r="N29" s="3"/>
      <c r="O29" s="3"/>
      <c r="P29" s="3"/>
      <c r="R29" s="3"/>
    </row>
    <row r="30" customFormat="false" ht="13.5" hidden="false" customHeight="false" outlineLevel="0" collapsed="false">
      <c r="H30" s="754" t="s">
        <v>429</v>
      </c>
      <c r="I30" s="708"/>
      <c r="J30" s="708"/>
      <c r="K30" s="708"/>
      <c r="L30" s="708"/>
      <c r="M30" s="708"/>
      <c r="N30" s="708"/>
      <c r="O30" s="708"/>
      <c r="P30" s="708"/>
      <c r="Q30" s="196"/>
      <c r="R30" s="709"/>
    </row>
    <row r="31" customFormat="false" ht="14.25" hidden="false" customHeight="false" outlineLevel="0" collapsed="false">
      <c r="H31" s="755" t="s">
        <v>430</v>
      </c>
      <c r="I31" s="756"/>
      <c r="J31" s="756"/>
      <c r="K31" s="756"/>
      <c r="L31" s="756"/>
      <c r="M31" s="756"/>
      <c r="N31" s="756"/>
      <c r="O31" s="756"/>
      <c r="P31" s="756"/>
      <c r="Q31" s="202"/>
      <c r="R31" s="757"/>
    </row>
    <row r="32" customFormat="false" ht="14.25" hidden="false" customHeight="false" outlineLevel="0" collapsed="false">
      <c r="H32" s="710" t="s">
        <v>431</v>
      </c>
      <c r="I32" s="711"/>
      <c r="J32" s="711"/>
      <c r="K32" s="711"/>
      <c r="L32" s="711"/>
      <c r="M32" s="711"/>
      <c r="N32" s="711"/>
      <c r="O32" s="711"/>
      <c r="P32" s="711"/>
      <c r="Q32" s="202"/>
      <c r="R32" s="712"/>
    </row>
    <row r="33" customFormat="false" ht="12.75" hidden="false" customHeight="false" outlineLevel="0" collapsed="false">
      <c r="H33" s="710" t="s">
        <v>407</v>
      </c>
      <c r="I33" s="711"/>
      <c r="J33" s="711"/>
      <c r="K33" s="711"/>
      <c r="L33" s="711"/>
      <c r="M33" s="711"/>
      <c r="N33" s="711"/>
      <c r="O33" s="711"/>
      <c r="P33" s="711"/>
      <c r="Q33" s="202"/>
      <c r="R33" s="712"/>
    </row>
    <row r="34" customFormat="false" ht="14.25" hidden="false" customHeight="false" outlineLevel="0" collapsed="false">
      <c r="H34" s="710" t="s">
        <v>432</v>
      </c>
      <c r="I34" s="711"/>
      <c r="J34" s="711"/>
      <c r="K34" s="711"/>
      <c r="L34" s="711"/>
      <c r="M34" s="711"/>
      <c r="N34" s="711"/>
      <c r="O34" s="711"/>
      <c r="P34" s="711"/>
      <c r="Q34" s="202"/>
      <c r="R34" s="712"/>
    </row>
    <row r="35" customFormat="false" ht="14.25" hidden="false" customHeight="false" outlineLevel="0" collapsed="false">
      <c r="H35" s="710" t="s">
        <v>433</v>
      </c>
      <c r="I35" s="711"/>
      <c r="J35" s="711"/>
      <c r="K35" s="711"/>
      <c r="L35" s="711"/>
      <c r="M35" s="711"/>
      <c r="N35" s="711"/>
      <c r="O35" s="711"/>
      <c r="P35" s="711"/>
      <c r="Q35" s="202"/>
      <c r="R35" s="712"/>
    </row>
    <row r="36" customFormat="false" ht="12.75" hidden="false" customHeight="false" outlineLevel="0" collapsed="false">
      <c r="H36" s="710" t="s">
        <v>434</v>
      </c>
      <c r="I36" s="711"/>
      <c r="J36" s="711"/>
      <c r="K36" s="711"/>
      <c r="L36" s="711"/>
      <c r="M36" s="711"/>
      <c r="N36" s="711"/>
      <c r="O36" s="711"/>
      <c r="P36" s="711"/>
      <c r="Q36" s="202"/>
      <c r="R36" s="712"/>
    </row>
    <row r="37" customFormat="false" ht="12.75" hidden="false" customHeight="false" outlineLevel="0" collapsed="false">
      <c r="H37" s="710"/>
      <c r="I37" s="711"/>
      <c r="J37" s="711"/>
      <c r="K37" s="711"/>
      <c r="L37" s="711"/>
      <c r="M37" s="711"/>
      <c r="N37" s="711"/>
      <c r="O37" s="711"/>
      <c r="P37" s="711"/>
      <c r="Q37" s="202"/>
      <c r="R37" s="712"/>
    </row>
    <row r="38" customFormat="false" ht="15" hidden="false" customHeight="false" outlineLevel="0" collapsed="false">
      <c r="H38" s="758" t="s">
        <v>435</v>
      </c>
      <c r="I38" s="711"/>
      <c r="J38" s="711"/>
      <c r="K38" s="711"/>
      <c r="L38" s="711"/>
      <c r="M38" s="711"/>
      <c r="N38" s="711"/>
      <c r="O38" s="711"/>
      <c r="P38" s="711"/>
      <c r="Q38" s="202"/>
      <c r="R38" s="712"/>
    </row>
    <row r="39" customFormat="false" ht="14.25" hidden="false" customHeight="false" outlineLevel="0" collapsed="false">
      <c r="H39" s="715" t="s">
        <v>436</v>
      </c>
      <c r="I39" s="711"/>
      <c r="J39" s="711"/>
      <c r="K39" s="711"/>
      <c r="L39" s="711"/>
      <c r="M39" s="711"/>
      <c r="N39" s="711"/>
      <c r="O39" s="711"/>
      <c r="P39" s="711"/>
      <c r="Q39" s="202"/>
      <c r="R39" s="712"/>
    </row>
    <row r="40" customFormat="false" ht="14.25" hidden="false" customHeight="false" outlineLevel="0" collapsed="false">
      <c r="H40" s="544" t="s">
        <v>437</v>
      </c>
      <c r="I40" s="711"/>
      <c r="J40" s="711"/>
      <c r="K40" s="711"/>
      <c r="L40" s="711"/>
      <c r="M40" s="711"/>
      <c r="N40" s="711"/>
      <c r="O40" s="711"/>
      <c r="P40" s="711"/>
      <c r="Q40" s="202"/>
      <c r="R40" s="712"/>
    </row>
    <row r="41" customFormat="false" ht="15" hidden="false" customHeight="false" outlineLevel="0" collapsed="false">
      <c r="H41" s="715" t="s">
        <v>438</v>
      </c>
      <c r="I41" s="711"/>
      <c r="J41" s="711"/>
      <c r="K41" s="711"/>
      <c r="L41" s="711"/>
      <c r="M41" s="711"/>
      <c r="N41" s="711"/>
      <c r="O41" s="711"/>
      <c r="P41" s="711"/>
      <c r="Q41" s="202"/>
      <c r="R41" s="712"/>
    </row>
    <row r="42" customFormat="false" ht="15" hidden="false" customHeight="false" outlineLevel="0" collapsed="false">
      <c r="H42" s="715" t="s">
        <v>439</v>
      </c>
      <c r="I42" s="711"/>
      <c r="J42" s="711"/>
      <c r="K42" s="711"/>
      <c r="L42" s="711"/>
      <c r="M42" s="711"/>
      <c r="N42" s="711"/>
      <c r="O42" s="711"/>
      <c r="P42" s="711"/>
      <c r="Q42" s="202"/>
      <c r="R42" s="712"/>
    </row>
    <row r="43" customFormat="false" ht="12.75" hidden="false" customHeight="false" outlineLevel="0" collapsed="false">
      <c r="H43" s="710"/>
      <c r="I43" s="711"/>
      <c r="J43" s="711"/>
      <c r="K43" s="711"/>
      <c r="L43" s="711"/>
      <c r="M43" s="711"/>
      <c r="N43" s="711"/>
      <c r="O43" s="711"/>
      <c r="P43" s="711"/>
      <c r="Q43" s="202"/>
      <c r="R43" s="712"/>
    </row>
    <row r="44" customFormat="false" ht="15" hidden="false" customHeight="false" outlineLevel="0" collapsed="false">
      <c r="H44" s="758" t="s">
        <v>440</v>
      </c>
      <c r="I44" s="711"/>
      <c r="J44" s="711"/>
      <c r="K44" s="711"/>
      <c r="L44" s="711"/>
      <c r="M44" s="711"/>
      <c r="N44" s="711"/>
      <c r="O44" s="711"/>
      <c r="P44" s="711"/>
      <c r="Q44" s="202"/>
      <c r="R44" s="712"/>
    </row>
    <row r="45" customFormat="false" ht="12.75" hidden="false" customHeight="false" outlineLevel="0" collapsed="false">
      <c r="H45" s="710" t="s">
        <v>407</v>
      </c>
      <c r="I45" s="711"/>
      <c r="J45" s="711"/>
      <c r="K45" s="711"/>
      <c r="L45" s="711"/>
      <c r="M45" s="711"/>
      <c r="N45" s="711"/>
      <c r="O45" s="711"/>
      <c r="P45" s="711"/>
      <c r="Q45" s="202"/>
      <c r="R45" s="712"/>
    </row>
    <row r="46" customFormat="false" ht="14.25" hidden="false" customHeight="false" outlineLevel="0" collapsed="false">
      <c r="H46" s="544" t="s">
        <v>441</v>
      </c>
      <c r="I46" s="711"/>
      <c r="J46" s="711"/>
      <c r="K46" s="711"/>
      <c r="L46" s="711"/>
      <c r="M46" s="711"/>
      <c r="N46" s="711"/>
      <c r="O46" s="711"/>
      <c r="P46" s="711"/>
      <c r="Q46" s="202"/>
      <c r="R46" s="712"/>
    </row>
    <row r="47" customFormat="false" ht="14.25" hidden="false" customHeight="false" outlineLevel="0" collapsed="false">
      <c r="H47" s="544" t="s">
        <v>442</v>
      </c>
      <c r="I47" s="711"/>
      <c r="J47" s="711"/>
      <c r="K47" s="711"/>
      <c r="L47" s="711"/>
      <c r="M47" s="711"/>
      <c r="N47" s="711"/>
      <c r="O47" s="711"/>
      <c r="P47" s="711"/>
      <c r="Q47" s="202"/>
      <c r="R47" s="712"/>
    </row>
    <row r="48" customFormat="false" ht="14.25" hidden="false" customHeight="false" outlineLevel="0" collapsed="false">
      <c r="H48" s="544" t="s">
        <v>443</v>
      </c>
      <c r="I48" s="711"/>
      <c r="J48" s="711"/>
      <c r="K48" s="711"/>
      <c r="L48" s="711"/>
      <c r="M48" s="711"/>
      <c r="N48" s="711"/>
      <c r="O48" s="711"/>
      <c r="P48" s="711"/>
      <c r="Q48" s="202"/>
      <c r="R48" s="712"/>
    </row>
    <row r="49" customFormat="false" ht="15" hidden="false" customHeight="false" outlineLevel="0" collapsed="false">
      <c r="H49" s="758" t="s">
        <v>444</v>
      </c>
      <c r="I49" s="711"/>
      <c r="J49" s="711"/>
      <c r="K49" s="711"/>
      <c r="L49" s="711"/>
      <c r="M49" s="711"/>
      <c r="N49" s="711"/>
      <c r="O49" s="711"/>
      <c r="P49" s="711"/>
      <c r="Q49" s="202"/>
      <c r="R49" s="712"/>
    </row>
    <row r="50" customFormat="false" ht="13.5" hidden="false" customHeight="false" outlineLevel="0" collapsed="false">
      <c r="H50" s="716"/>
      <c r="I50" s="717"/>
      <c r="J50" s="717"/>
      <c r="K50" s="717"/>
      <c r="L50" s="717"/>
      <c r="M50" s="717"/>
      <c r="N50" s="717"/>
      <c r="O50" s="717"/>
      <c r="P50" s="717"/>
      <c r="Q50" s="209"/>
      <c r="R50" s="718"/>
    </row>
    <row r="51" customFormat="false" ht="13.5" hidden="false" customHeight="false" outlineLevel="0" collapsed="false"/>
  </sheetData>
  <sheetProtection sheet="true" password="ea2e" objects="true" scenarios="true"/>
  <mergeCells count="9">
    <mergeCell ref="H4:H5"/>
    <mergeCell ref="I4:I5"/>
    <mergeCell ref="J4:J5"/>
    <mergeCell ref="K4:K5"/>
    <mergeCell ref="L4:M4"/>
    <mergeCell ref="N4:O4"/>
    <mergeCell ref="P4:Q4"/>
    <mergeCell ref="R4:S4"/>
    <mergeCell ref="T4:T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67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W10" activeCellId="0" sqref="W10"/>
    </sheetView>
  </sheetViews>
  <sheetFormatPr defaultColWidth="9.13671875" defaultRowHeight="12.75" customHeight="false" zeroHeight="false" outlineLevelRow="0" outlineLevelCol="0"/>
  <cols>
    <col collapsed="false" customWidth="true" hidden="false" outlineLevel="0" max="1" min="1" style="1" width="7.99"/>
    <col collapsed="false" customWidth="true" hidden="false" outlineLevel="0" max="2" min="2" style="1" width="5.71"/>
    <col collapsed="false" customWidth="true" hidden="false" outlineLevel="0" max="3" min="3" style="1" width="47.56"/>
    <col collapsed="false" customWidth="false" hidden="false" outlineLevel="0" max="4" min="4" style="1" width="9.14"/>
    <col collapsed="false" customWidth="true" hidden="false" outlineLevel="0" max="5" min="5" style="1" width="5.13"/>
    <col collapsed="false" customWidth="true" hidden="false" outlineLevel="0" max="6" min="6" style="1" width="7.56"/>
    <col collapsed="false" customWidth="true" hidden="false" outlineLevel="0" max="7" min="7" style="1" width="8.56"/>
    <col collapsed="false" customWidth="true" hidden="false" outlineLevel="0" max="8" min="8" style="1" width="5.85"/>
    <col collapsed="false" customWidth="true" hidden="false" outlineLevel="0" max="9" min="9" style="1" width="11.28"/>
    <col collapsed="false" customWidth="true" hidden="false" outlineLevel="0" max="10" min="10" style="1" width="8.99"/>
    <col collapsed="false" customWidth="true" hidden="false" outlineLevel="0" max="12" min="11" style="1" width="11.7"/>
    <col collapsed="false" customWidth="true" hidden="false" outlineLevel="0" max="13" min="13" style="1" width="12.14"/>
    <col collapsed="false" customWidth="true" hidden="false" outlineLevel="0" max="14" min="14" style="1" width="9.99"/>
    <col collapsed="false" customWidth="true" hidden="false" outlineLevel="0" max="15" min="15" style="1" width="13.14"/>
    <col collapsed="false" customWidth="true" hidden="false" outlineLevel="0" max="16" min="16" style="1" width="14.56"/>
    <col collapsed="false" customWidth="true" hidden="false" outlineLevel="0" max="17" min="17" style="1" width="11.28"/>
    <col collapsed="false" customWidth="true" hidden="false" outlineLevel="0" max="18" min="18" style="1" width="10.85"/>
    <col collapsed="false" customWidth="true" hidden="false" outlineLevel="0" max="19" min="19" style="1" width="11.99"/>
    <col collapsed="false" customWidth="true" hidden="false" outlineLevel="0" max="20" min="20" style="1" width="11.28"/>
    <col collapsed="false" customWidth="false" hidden="false" outlineLevel="0" max="21" min="21" style="2" width="9.14"/>
    <col collapsed="false" customWidth="true" hidden="false" outlineLevel="0" max="22" min="22" style="2" width="10.56"/>
    <col collapsed="false" customWidth="true" hidden="false" outlineLevel="0" max="23" min="23" style="2" width="10.13"/>
    <col collapsed="false" customWidth="true" hidden="false" outlineLevel="0" max="24" min="24" style="2" width="13.14"/>
    <col collapsed="false" customWidth="true" hidden="false" outlineLevel="0" max="25" min="25" style="2" width="8.99"/>
    <col collapsed="false" customWidth="true" hidden="false" outlineLevel="0" max="26" min="26" style="2" width="13.14"/>
    <col collapsed="false" customWidth="true" hidden="false" outlineLevel="0" max="27" min="27" style="2" width="9.56"/>
    <col collapsed="false" customWidth="true" hidden="false" outlineLevel="0" max="28" min="28" style="2" width="11.56"/>
    <col collapsed="false" customWidth="true" hidden="false" outlineLevel="0" max="29" min="29" style="2" width="9.99"/>
    <col collapsed="false" customWidth="true" hidden="false" outlineLevel="0" max="30" min="30" style="2" width="12.14"/>
    <col collapsed="false" customWidth="true" hidden="false" outlineLevel="0" max="31" min="31" style="2" width="9.7"/>
    <col collapsed="false" customWidth="true" hidden="false" outlineLevel="0" max="32" min="32" style="2" width="12.28"/>
    <col collapsed="false" customWidth="true" hidden="false" outlineLevel="0" max="33" min="33" style="2" width="10.28"/>
    <col collapsed="false" customWidth="true" hidden="false" outlineLevel="0" max="34" min="34" style="2" width="13.28"/>
    <col collapsed="false" customWidth="true" hidden="false" outlineLevel="0" max="35" min="35" style="2" width="9.41"/>
    <col collapsed="false" customWidth="true" hidden="false" outlineLevel="0" max="36" min="36" style="2" width="12.85"/>
    <col collapsed="false" customWidth="true" hidden="false" outlineLevel="0" max="37" min="37" style="2" width="16.99"/>
    <col collapsed="false" customWidth="true" hidden="false" outlineLevel="0" max="38" min="38" style="2" width="8.85"/>
    <col collapsed="false" customWidth="false" hidden="false" outlineLevel="0" max="257" min="39" style="1" width="9.14"/>
  </cols>
  <sheetData>
    <row r="1" customFormat="false" ht="12.75" hidden="false" customHeight="fals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4.25" hidden="false" customHeight="true" outlineLevel="0" collapsed="false">
      <c r="B2" s="7" t="s">
        <v>445</v>
      </c>
      <c r="C2" s="3"/>
      <c r="D2" s="3"/>
      <c r="E2" s="3"/>
      <c r="F2" s="3"/>
      <c r="G2" s="3"/>
      <c r="I2" s="3"/>
      <c r="J2" s="3"/>
      <c r="K2" s="7" t="s">
        <v>446</v>
      </c>
      <c r="L2" s="3"/>
      <c r="M2" s="3"/>
      <c r="N2" s="3"/>
      <c r="O2" s="3"/>
      <c r="P2" s="3"/>
      <c r="Q2" s="3"/>
      <c r="R2" s="3"/>
      <c r="S2" s="3"/>
      <c r="T2" s="3"/>
      <c r="U2" s="3" t="s">
        <v>447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2.75" hidden="false" customHeight="false" outlineLevel="0" collapsed="false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W3" s="100"/>
    </row>
    <row r="4" customFormat="false" ht="18.75" hidden="false" customHeight="true" outlineLevel="0" collapsed="false">
      <c r="B4" s="759" t="s">
        <v>15</v>
      </c>
      <c r="C4" s="328"/>
      <c r="D4" s="10"/>
      <c r="E4" s="11"/>
      <c r="H4" s="14" t="s">
        <v>4</v>
      </c>
      <c r="I4" s="14" t="s">
        <v>43</v>
      </c>
      <c r="J4" s="14" t="s">
        <v>10</v>
      </c>
      <c r="K4" s="760" t="s">
        <v>448</v>
      </c>
      <c r="L4" s="760"/>
      <c r="M4" s="760"/>
      <c r="N4" s="760"/>
      <c r="O4" s="107" t="s">
        <v>449</v>
      </c>
      <c r="P4" s="14" t="s">
        <v>450</v>
      </c>
      <c r="S4" s="14" t="s">
        <v>4</v>
      </c>
      <c r="T4" s="14" t="s">
        <v>43</v>
      </c>
      <c r="U4" s="14" t="s">
        <v>10</v>
      </c>
      <c r="V4" s="109" t="s">
        <v>451</v>
      </c>
      <c r="W4" s="761" t="s">
        <v>452</v>
      </c>
      <c r="X4" s="761"/>
      <c r="Y4" s="761"/>
      <c r="Z4" s="211" t="s">
        <v>453</v>
      </c>
      <c r="AA4" s="211"/>
      <c r="AB4" s="211"/>
      <c r="AC4" s="211"/>
      <c r="AD4" s="211" t="s">
        <v>454</v>
      </c>
      <c r="AE4" s="211"/>
      <c r="AF4" s="211"/>
      <c r="AG4" s="211"/>
      <c r="AH4" s="14" t="s">
        <v>455</v>
      </c>
      <c r="AK4" s="1"/>
      <c r="AL4" s="1"/>
    </row>
    <row r="5" customFormat="false" ht="33.75" hidden="false" customHeight="true" outlineLevel="0" collapsed="false">
      <c r="B5" s="29"/>
      <c r="C5" s="30" t="s">
        <v>22</v>
      </c>
      <c r="D5" s="31" t="n">
        <f aca="false">'Input-Detail'!AZ10</f>
        <v>7</v>
      </c>
      <c r="E5" s="22"/>
      <c r="H5" s="14"/>
      <c r="I5" s="14"/>
      <c r="J5" s="14"/>
      <c r="K5" s="762" t="s">
        <v>456</v>
      </c>
      <c r="L5" s="762" t="s">
        <v>457</v>
      </c>
      <c r="M5" s="762" t="s">
        <v>458</v>
      </c>
      <c r="N5" s="763" t="s">
        <v>459</v>
      </c>
      <c r="O5" s="107"/>
      <c r="P5" s="14"/>
      <c r="S5" s="14"/>
      <c r="T5" s="14"/>
      <c r="U5" s="14"/>
      <c r="V5" s="109"/>
      <c r="W5" s="764" t="s">
        <v>303</v>
      </c>
      <c r="X5" s="765" t="s">
        <v>304</v>
      </c>
      <c r="Y5" s="23" t="s">
        <v>460</v>
      </c>
      <c r="Z5" s="766" t="s">
        <v>461</v>
      </c>
      <c r="AA5" s="24" t="s">
        <v>303</v>
      </c>
      <c r="AB5" s="24" t="s">
        <v>304</v>
      </c>
      <c r="AC5" s="23" t="s">
        <v>462</v>
      </c>
      <c r="AD5" s="24" t="s">
        <v>461</v>
      </c>
      <c r="AE5" s="24" t="s">
        <v>303</v>
      </c>
      <c r="AF5" s="24" t="s">
        <v>304</v>
      </c>
      <c r="AG5" s="23" t="s">
        <v>462</v>
      </c>
      <c r="AH5" s="14"/>
      <c r="AK5" s="1"/>
      <c r="AL5" s="1"/>
    </row>
    <row r="6" customFormat="false" ht="13.5" hidden="false" customHeight="false" outlineLevel="0" collapsed="false">
      <c r="B6" s="29"/>
      <c r="C6" s="30" t="s">
        <v>24</v>
      </c>
      <c r="D6" s="31" t="n">
        <f aca="false">'Input-Detail'!AZ11</f>
        <v>4.5</v>
      </c>
      <c r="E6" s="22"/>
      <c r="H6" s="215" t="s">
        <v>64</v>
      </c>
      <c r="I6" s="669" t="n">
        <f aca="false">'Input-Detail'!E14</f>
        <v>19016173</v>
      </c>
      <c r="J6" s="674" t="n">
        <f aca="false">'Input-Detail'!F14</f>
        <v>0</v>
      </c>
      <c r="K6" s="767"/>
      <c r="L6" s="767"/>
      <c r="M6" s="767"/>
      <c r="N6" s="768"/>
      <c r="O6" s="768"/>
      <c r="P6" s="218"/>
      <c r="S6" s="50" t="s">
        <v>64</v>
      </c>
      <c r="T6" s="124" t="n">
        <f aca="false">'Input-Detail'!E14</f>
        <v>19016173</v>
      </c>
      <c r="U6" s="131" t="n">
        <f aca="false">'Input-Detail'!F14</f>
        <v>0</v>
      </c>
      <c r="V6" s="57" t="n">
        <f aca="false">T6*U6</f>
        <v>0</v>
      </c>
      <c r="W6" s="769"/>
      <c r="X6" s="770"/>
      <c r="Y6" s="227"/>
      <c r="Z6" s="771"/>
      <c r="AA6" s="771"/>
      <c r="AB6" s="771"/>
      <c r="AC6" s="227"/>
      <c r="AD6" s="771"/>
      <c r="AE6" s="771"/>
      <c r="AF6" s="771"/>
      <c r="AG6" s="227"/>
      <c r="AH6" s="772"/>
      <c r="AK6" s="1"/>
      <c r="AL6" s="1"/>
    </row>
    <row r="7" customFormat="false" ht="12.75" hidden="false" customHeight="false" outlineLevel="0" collapsed="false">
      <c r="B7" s="29"/>
      <c r="C7" s="30" t="s">
        <v>25</v>
      </c>
      <c r="D7" s="31" t="n">
        <f aca="false">'Input-Detail'!AZ12</f>
        <v>2.4</v>
      </c>
      <c r="E7" s="22"/>
      <c r="H7" s="215" t="n">
        <v>1</v>
      </c>
      <c r="I7" s="669" t="n">
        <f aca="false">'Input-Detail'!E15</f>
        <v>19565364.35</v>
      </c>
      <c r="J7" s="674" t="n">
        <f aca="false">'Input-Detail'!F15</f>
        <v>0.0699842202922738</v>
      </c>
      <c r="K7" s="732" t="n">
        <f aca="false">Y7</f>
        <v>-2159.96340579931</v>
      </c>
      <c r="L7" s="732" t="n">
        <f aca="false">AC7</f>
        <v>4979.15188643275</v>
      </c>
      <c r="M7" s="732" t="n">
        <f aca="false">AG7</f>
        <v>4979.15188643275</v>
      </c>
      <c r="N7" s="773" t="n">
        <f aca="false">AH7</f>
        <v>7798.3403670662</v>
      </c>
      <c r="O7" s="774" t="n">
        <f aca="false">($D$22*$D$18*$D$14+$D$23*$D$19*$D$15+$D$24*$D$16*$D$20)*(1+$D$25)^$H7</f>
        <v>24.675602983</v>
      </c>
      <c r="P7" s="735" t="n">
        <f aca="false">N7*O7</f>
        <v>192428.750824028</v>
      </c>
      <c r="S7" s="50" t="n">
        <v>1</v>
      </c>
      <c r="T7" s="683" t="n">
        <f aca="false">T$6+(T$26-T$6)*$S7/20</f>
        <v>19565364.35</v>
      </c>
      <c r="U7" s="674" t="n">
        <f aca="false">J7</f>
        <v>0.0699842202922738</v>
      </c>
      <c r="V7" s="57" t="n">
        <f aca="false">T7*U7</f>
        <v>1369266.768769</v>
      </c>
      <c r="W7" s="775" t="n">
        <f aca="false">Delay!O8</f>
        <v>10520.8989598293</v>
      </c>
      <c r="X7" s="776" t="n">
        <f aca="false">Delay!S8</f>
        <v>12680.8623656286</v>
      </c>
      <c r="Y7" s="732" t="n">
        <f aca="false">W7-X7</f>
        <v>-2159.96340579931</v>
      </c>
      <c r="Z7" s="733" t="n">
        <f aca="false">($D$12+0)/2</f>
        <v>27.5</v>
      </c>
      <c r="AA7" s="59" t="n">
        <f aca="false">($D$10/Z7)*T7</f>
        <v>142293.558909091</v>
      </c>
      <c r="AB7" s="59" t="n">
        <f aca="false">($T7-V7)*($D$10/$Z7)+V7*$D$10/$D$12</f>
        <v>137314.407022658</v>
      </c>
      <c r="AC7" s="56" t="n">
        <f aca="false">AA7-AB7</f>
        <v>4979.15188643275</v>
      </c>
      <c r="AD7" s="733" t="n">
        <f aca="false">($D$12+0)/2</f>
        <v>27.5</v>
      </c>
      <c r="AE7" s="59" t="n">
        <f aca="false">T7*$D$11/AD7</f>
        <v>142293.558909091</v>
      </c>
      <c r="AF7" s="59" t="n">
        <f aca="false">($T7-V7)*($D$11/$AD7)+V7*$D$11/$D$12</f>
        <v>137314.407022658</v>
      </c>
      <c r="AG7" s="56" t="n">
        <f aca="false">AE7-AF7</f>
        <v>4979.15188643275</v>
      </c>
      <c r="AH7" s="159" t="n">
        <f aca="false">Y7+AC7+AG7</f>
        <v>7798.3403670662</v>
      </c>
      <c r="AK7" s="1"/>
      <c r="AL7" s="1"/>
    </row>
    <row r="8" customFormat="false" ht="14.25" hidden="false" customHeight="true" outlineLevel="0" collapsed="false">
      <c r="B8" s="65" t="s">
        <v>27</v>
      </c>
      <c r="C8" s="30"/>
      <c r="D8" s="68"/>
      <c r="E8" s="67"/>
      <c r="H8" s="215" t="n">
        <v>2</v>
      </c>
      <c r="I8" s="669" t="n">
        <f aca="false">'Input-Detail'!E16</f>
        <v>20114555.7</v>
      </c>
      <c r="J8" s="674" t="n">
        <f aca="false">'Input-Detail'!F16</f>
        <v>0.133486220755981</v>
      </c>
      <c r="K8" s="732" t="n">
        <f aca="false">Y8</f>
        <v>-675.980345881058</v>
      </c>
      <c r="L8" s="732" t="n">
        <f aca="false">AC8</f>
        <v>9763.69462755881</v>
      </c>
      <c r="M8" s="732" t="n">
        <f aca="false">AG8</f>
        <v>9763.69462755884</v>
      </c>
      <c r="N8" s="773" t="n">
        <f aca="false">AH8</f>
        <v>18851.4089092366</v>
      </c>
      <c r="O8" s="774" t="n">
        <f aca="false">($D$22*$D$18*$D$14+$D$23*$D$19*$D$15+$D$24*$D$16*$D$20)*(1+$D$25)^$H8</f>
        <v>25.41587107249</v>
      </c>
      <c r="P8" s="735" t="n">
        <f aca="false">N8*O8</f>
        <v>479124.978371947</v>
      </c>
      <c r="S8" s="50" t="n">
        <v>2</v>
      </c>
      <c r="T8" s="683" t="n">
        <f aca="false">T$6+(T$26-T$6)*$S8/20</f>
        <v>20114555.7</v>
      </c>
      <c r="U8" s="674" t="n">
        <f aca="false">J8</f>
        <v>0.133486220755981</v>
      </c>
      <c r="V8" s="57" t="n">
        <f aca="false">T8*U8</f>
        <v>2685016.02257867</v>
      </c>
      <c r="W8" s="775" t="n">
        <f aca="false">Delay!O9</f>
        <v>10286.1198442433</v>
      </c>
      <c r="X8" s="776" t="n">
        <f aca="false">Delay!S9</f>
        <v>10962.1001901244</v>
      </c>
      <c r="Y8" s="732" t="n">
        <f aca="false">W8-X8</f>
        <v>-675.980345881058</v>
      </c>
      <c r="Z8" s="733" t="n">
        <f aca="false">($D$12+0)/2</f>
        <v>27.5</v>
      </c>
      <c r="AA8" s="59" t="n">
        <f aca="false">($D$10/Z8)*T8</f>
        <v>146287.677818182</v>
      </c>
      <c r="AB8" s="59" t="n">
        <f aca="false">($T8-V8)*($D$10/$Z8)+V8*$D$10/$D$12</f>
        <v>136523.983190623</v>
      </c>
      <c r="AC8" s="56" t="n">
        <f aca="false">AA8-AB8</f>
        <v>9763.69462755881</v>
      </c>
      <c r="AD8" s="733" t="n">
        <f aca="false">($D$12+0)/2</f>
        <v>27.5</v>
      </c>
      <c r="AE8" s="59" t="n">
        <f aca="false">T8*$D$11/AD8</f>
        <v>146287.677818182</v>
      </c>
      <c r="AF8" s="59" t="n">
        <f aca="false">($T8-V8)*($D$11/$AD8)+V8*$D$11/$D$12</f>
        <v>136523.983190623</v>
      </c>
      <c r="AG8" s="56" t="n">
        <f aca="false">AE8-AF8</f>
        <v>9763.69462755884</v>
      </c>
      <c r="AH8" s="159" t="n">
        <f aca="false">Y8+AC8+AG8</f>
        <v>18851.4089092366</v>
      </c>
      <c r="AK8" s="1"/>
      <c r="AL8" s="1"/>
    </row>
    <row r="9" customFormat="false" ht="12.75" hidden="false" customHeight="false" outlineLevel="0" collapsed="false">
      <c r="B9" s="65"/>
      <c r="C9" s="30" t="s">
        <v>26</v>
      </c>
      <c r="D9" s="66" t="n">
        <f aca="false">'Input-Detail'!AZ25</f>
        <v>12</v>
      </c>
      <c r="E9" s="67"/>
      <c r="H9" s="215" t="n">
        <v>3</v>
      </c>
      <c r="I9" s="669" t="n">
        <f aca="false">'Input-Detail'!E17</f>
        <v>20663747.05</v>
      </c>
      <c r="J9" s="674" t="n">
        <f aca="false">'Input-Detail'!F17</f>
        <v>0.192291508405303</v>
      </c>
      <c r="K9" s="732" t="n">
        <f aca="false">Y9</f>
        <v>-3108.87856125232</v>
      </c>
      <c r="L9" s="732" t="n">
        <f aca="false">AC9</f>
        <v>14448.9566892732</v>
      </c>
      <c r="M9" s="732" t="n">
        <f aca="false">AG9</f>
        <v>14448.9566892732</v>
      </c>
      <c r="N9" s="773" t="n">
        <f aca="false">AH9</f>
        <v>25789.0348172941</v>
      </c>
      <c r="O9" s="774" t="n">
        <f aca="false">($D$22*$D$18*$D$14+$D$23*$D$19*$D$15+$D$24*$D$16*$D$20)*(1+$D$25)^$H9</f>
        <v>26.1783472046647</v>
      </c>
      <c r="P9" s="735" t="n">
        <f aca="false">N9*O9</f>
        <v>675114.307520312</v>
      </c>
      <c r="S9" s="50" t="n">
        <v>3</v>
      </c>
      <c r="T9" s="683" t="n">
        <f aca="false">T$6+(T$26-T$6)*$S9/20</f>
        <v>20663747.05</v>
      </c>
      <c r="U9" s="674" t="n">
        <f aca="false">J9</f>
        <v>0.192291508405303</v>
      </c>
      <c r="V9" s="57" t="n">
        <f aca="false">T9*U9</f>
        <v>3973463.08955013</v>
      </c>
      <c r="W9" s="775" t="n">
        <f aca="false">Delay!O10</f>
        <v>10210.0414420453</v>
      </c>
      <c r="X9" s="776" t="n">
        <f aca="false">Delay!S10</f>
        <v>13318.9200032976</v>
      </c>
      <c r="Y9" s="732" t="n">
        <f aca="false">W9-X9</f>
        <v>-3108.87856125232</v>
      </c>
      <c r="Z9" s="733" t="n">
        <f aca="false">($D$12+0)/2</f>
        <v>27.5</v>
      </c>
      <c r="AA9" s="59" t="n">
        <f aca="false">($D$10/Z9)*T9</f>
        <v>150281.796727273</v>
      </c>
      <c r="AB9" s="59" t="n">
        <f aca="false">($T9-V9)*($D$10/$Z9)+V9*$D$10/$D$12</f>
        <v>135832.840038</v>
      </c>
      <c r="AC9" s="56" t="n">
        <f aca="false">AA9-AB9</f>
        <v>14448.9566892732</v>
      </c>
      <c r="AD9" s="733" t="n">
        <f aca="false">($D$12+0)/2</f>
        <v>27.5</v>
      </c>
      <c r="AE9" s="59" t="n">
        <f aca="false">T9*$D$11/AD9</f>
        <v>150281.796727273</v>
      </c>
      <c r="AF9" s="59" t="n">
        <f aca="false">($T9-V9)*($D$11/$AD9)+V9*$D$11/$D$12</f>
        <v>135832.840038</v>
      </c>
      <c r="AG9" s="56" t="n">
        <f aca="false">AE9-AF9</f>
        <v>14448.9566892732</v>
      </c>
      <c r="AH9" s="159" t="n">
        <f aca="false">Y9+AC9+AG9</f>
        <v>25789.0348172941</v>
      </c>
      <c r="AK9" s="1"/>
      <c r="AL9" s="1"/>
    </row>
    <row r="10" customFormat="false" ht="12.75" hidden="false" customHeight="false" outlineLevel="0" collapsed="false">
      <c r="B10" s="65"/>
      <c r="C10" s="30" t="s">
        <v>28</v>
      </c>
      <c r="D10" s="71" t="n">
        <f aca="false">'Input-Detail'!AZ26</f>
        <v>0.2</v>
      </c>
      <c r="E10" s="67"/>
      <c r="F10" s="69"/>
      <c r="G10" s="69"/>
      <c r="H10" s="215" t="n">
        <v>4</v>
      </c>
      <c r="I10" s="669" t="n">
        <f aca="false">'Input-Detail'!E18</f>
        <v>21212938.4</v>
      </c>
      <c r="J10" s="674" t="n">
        <f aca="false">'Input-Detail'!F18</f>
        <v>0.247136906120865</v>
      </c>
      <c r="K10" s="732" t="n">
        <f aca="false">Y10</f>
        <v>-644.1344868909</v>
      </c>
      <c r="L10" s="732" t="n">
        <f aca="false">AC10</f>
        <v>19063.6362396673</v>
      </c>
      <c r="M10" s="732" t="n">
        <f aca="false">AG10</f>
        <v>19063.6362396673</v>
      </c>
      <c r="N10" s="773" t="n">
        <f aca="false">AH10</f>
        <v>37483.1379924436</v>
      </c>
      <c r="O10" s="774" t="n">
        <f aca="false">($D$22*$D$18*$D$14+$D$23*$D$19*$D$15+$D$24*$D$16*$D$20)*(1+$D$25)^$H10</f>
        <v>26.9636976208046</v>
      </c>
      <c r="P10" s="735" t="n">
        <f aca="false">N10*O10</f>
        <v>1010683.99870714</v>
      </c>
      <c r="Q10" s="69"/>
      <c r="R10" s="69"/>
      <c r="S10" s="50" t="n">
        <v>4</v>
      </c>
      <c r="T10" s="683" t="n">
        <f aca="false">T$6+(T$26-T$6)*$S10/20</f>
        <v>21212938.4</v>
      </c>
      <c r="U10" s="674" t="n">
        <f aca="false">J10</f>
        <v>0.247136906120865</v>
      </c>
      <c r="V10" s="57" t="n">
        <f aca="false">T10*U10</f>
        <v>5242499.9659085</v>
      </c>
      <c r="W10" s="775" t="n">
        <f aca="false">Delay!O11</f>
        <v>10214.6768234403</v>
      </c>
      <c r="X10" s="776" t="n">
        <f aca="false">Delay!S11</f>
        <v>10858.8113103312</v>
      </c>
      <c r="Y10" s="732" t="n">
        <f aca="false">W10-X10</f>
        <v>-644.1344868909</v>
      </c>
      <c r="Z10" s="733" t="n">
        <f aca="false">($D$12+0)/2</f>
        <v>27.5</v>
      </c>
      <c r="AA10" s="59" t="n">
        <f aca="false">($D$10/Z10)*T10</f>
        <v>154275.915636364</v>
      </c>
      <c r="AB10" s="59" t="n">
        <f aca="false">($T10-V10)*($D$10/$Z10)+V10*$D$10/$D$12</f>
        <v>135212.279396696</v>
      </c>
      <c r="AC10" s="56" t="n">
        <f aca="false">AA10-AB10</f>
        <v>19063.6362396673</v>
      </c>
      <c r="AD10" s="733" t="n">
        <f aca="false">($D$12+0)/2</f>
        <v>27.5</v>
      </c>
      <c r="AE10" s="59" t="n">
        <f aca="false">T10*$D$11/AD10</f>
        <v>154275.915636364</v>
      </c>
      <c r="AF10" s="59" t="n">
        <f aca="false">($T10-V10)*($D$11/$AD10)+V10*$D$11/$D$12</f>
        <v>135212.279396696</v>
      </c>
      <c r="AG10" s="56" t="n">
        <f aca="false">AE10-AF10</f>
        <v>19063.6362396673</v>
      </c>
      <c r="AH10" s="159" t="n">
        <f aca="false">Y10+AC10+AG10</f>
        <v>37483.1379924436</v>
      </c>
      <c r="AK10" s="1"/>
      <c r="AL10" s="1"/>
    </row>
    <row r="11" customFormat="false" ht="12.75" hidden="false" customHeight="false" outlineLevel="0" collapsed="false">
      <c r="B11" s="65"/>
      <c r="C11" s="30" t="s">
        <v>29</v>
      </c>
      <c r="D11" s="71" t="n">
        <f aca="false">'Input-Detail'!AZ27</f>
        <v>0.2</v>
      </c>
      <c r="E11" s="67"/>
      <c r="H11" s="215" t="n">
        <v>5</v>
      </c>
      <c r="I11" s="669" t="n">
        <f aca="false">'Input-Detail'!E19</f>
        <v>21762129.75</v>
      </c>
      <c r="J11" s="674" t="n">
        <f aca="false">'Input-Detail'!F19</f>
        <v>0.298984514248523</v>
      </c>
      <c r="K11" s="732" t="n">
        <f aca="false">Y11</f>
        <v>514.876283949665</v>
      </c>
      <c r="L11" s="732" t="n">
        <f aca="false">AC11</f>
        <v>23660.1446993349</v>
      </c>
      <c r="M11" s="732" t="n">
        <f aca="false">AG11</f>
        <v>23660.1446993349</v>
      </c>
      <c r="N11" s="773" t="n">
        <f aca="false">AH11</f>
        <v>47835.1656826194</v>
      </c>
      <c r="O11" s="774" t="n">
        <f aca="false">($D$22*$D$18*$D$14+$D$23*$D$19*$D$15+$D$24*$D$16*$D$20)*(1+$D$25)^$H11</f>
        <v>27.7726085494288</v>
      </c>
      <c r="P11" s="735" t="n">
        <f aca="false">N11*O11</f>
        <v>1328507.33140046</v>
      </c>
      <c r="S11" s="50" t="n">
        <v>5</v>
      </c>
      <c r="T11" s="683" t="n">
        <f aca="false">T$6+(T$26-T$6)*$S11/20</f>
        <v>21762129.75</v>
      </c>
      <c r="U11" s="674" t="n">
        <f aca="false">J11</f>
        <v>0.298984514248523</v>
      </c>
      <c r="V11" s="57" t="n">
        <f aca="false">T11*U11</f>
        <v>6506539.79231708</v>
      </c>
      <c r="W11" s="775" t="n">
        <f aca="false">Delay!O12</f>
        <v>10267.7106837381</v>
      </c>
      <c r="X11" s="776" t="n">
        <f aca="false">Delay!S12</f>
        <v>9752.83439978847</v>
      </c>
      <c r="Y11" s="732" t="n">
        <f aca="false">W11-X11</f>
        <v>514.876283949665</v>
      </c>
      <c r="Z11" s="733" t="n">
        <f aca="false">($D$12+0)/2</f>
        <v>27.5</v>
      </c>
      <c r="AA11" s="59" t="n">
        <f aca="false">($D$10/Z11)*T11</f>
        <v>158270.034545455</v>
      </c>
      <c r="AB11" s="59" t="n">
        <f aca="false">($T11-V11)*($D$10/$Z11)+V11*$D$10/$D$12</f>
        <v>134609.88984612</v>
      </c>
      <c r="AC11" s="56" t="n">
        <f aca="false">AA11-AB11</f>
        <v>23660.1446993349</v>
      </c>
      <c r="AD11" s="733" t="n">
        <f aca="false">($D$12+0)/2</f>
        <v>27.5</v>
      </c>
      <c r="AE11" s="59" t="n">
        <f aca="false">T11*$D$11/AD11</f>
        <v>158270.034545455</v>
      </c>
      <c r="AF11" s="59" t="n">
        <f aca="false">($T11-V11)*($D$11/$AD11)+V11*$D$11/$D$12</f>
        <v>134609.88984612</v>
      </c>
      <c r="AG11" s="56" t="n">
        <f aca="false">AE11-AF11</f>
        <v>23660.1446993349</v>
      </c>
      <c r="AH11" s="159" t="n">
        <f aca="false">Y11+AC11+AG11</f>
        <v>47835.1656826194</v>
      </c>
      <c r="AK11" s="1"/>
      <c r="AL11" s="1"/>
    </row>
    <row r="12" customFormat="false" ht="12.75" hidden="false" customHeight="false" outlineLevel="0" collapsed="false">
      <c r="B12" s="65" t="s">
        <v>30</v>
      </c>
      <c r="C12" s="30"/>
      <c r="D12" s="72" t="n">
        <f aca="false">'Input-Detail'!AZ29</f>
        <v>55</v>
      </c>
      <c r="E12" s="73"/>
      <c r="H12" s="215" t="n">
        <v>6</v>
      </c>
      <c r="I12" s="669" t="n">
        <f aca="false">'Input-Detail'!E20</f>
        <v>22311321.1</v>
      </c>
      <c r="J12" s="674" t="n">
        <f aca="false">'Input-Detail'!F20</f>
        <v>0.34881248351123</v>
      </c>
      <c r="K12" s="732" t="n">
        <f aca="false">Y12</f>
        <v>-689.501687349435</v>
      </c>
      <c r="L12" s="732" t="n">
        <f aca="false">AC12</f>
        <v>28299.8811756637</v>
      </c>
      <c r="M12" s="732" t="n">
        <f aca="false">AG12</f>
        <v>28299.8811756637</v>
      </c>
      <c r="N12" s="773" t="n">
        <f aca="false">AH12</f>
        <v>55910.2606639779</v>
      </c>
      <c r="O12" s="774" t="n">
        <f aca="false">($D$22*$D$18*$D$14+$D$23*$D$19*$D$15+$D$24*$D$16*$D$20)*(1+$D$25)^$H12</f>
        <v>28.6057868059116</v>
      </c>
      <c r="P12" s="735" t="n">
        <f aca="false">N12*O12</f>
        <v>1599356.9968167</v>
      </c>
      <c r="S12" s="50" t="n">
        <v>6</v>
      </c>
      <c r="T12" s="683" t="n">
        <f aca="false">T$6+(T$26-T$6)*$S12/20</f>
        <v>22311321.1</v>
      </c>
      <c r="U12" s="674" t="n">
        <f aca="false">J12</f>
        <v>0.34881248351123</v>
      </c>
      <c r="V12" s="57" t="n">
        <f aca="false">T12*U12</f>
        <v>7782467.32330751</v>
      </c>
      <c r="W12" s="775" t="n">
        <f aca="false">Delay!O13</f>
        <v>10350.7532206918</v>
      </c>
      <c r="X12" s="776" t="n">
        <f aca="false">Delay!S13</f>
        <v>11040.2549080412</v>
      </c>
      <c r="Y12" s="732" t="n">
        <f aca="false">W12-X12</f>
        <v>-689.501687349435</v>
      </c>
      <c r="Z12" s="733" t="n">
        <f aca="false">($D$12+0)/2</f>
        <v>27.5</v>
      </c>
      <c r="AA12" s="59" t="n">
        <f aca="false">($D$10/Z12)*T12</f>
        <v>162264.153454545</v>
      </c>
      <c r="AB12" s="59" t="n">
        <f aca="false">($T12-V12)*($D$10/$Z12)+V12*$D$10/$D$12</f>
        <v>133964.272278882</v>
      </c>
      <c r="AC12" s="56" t="n">
        <f aca="false">AA12-AB12</f>
        <v>28299.8811756637</v>
      </c>
      <c r="AD12" s="733" t="n">
        <f aca="false">($D$12+0)/2</f>
        <v>27.5</v>
      </c>
      <c r="AE12" s="59" t="n">
        <f aca="false">T12*$D$11/AD12</f>
        <v>162264.153454545</v>
      </c>
      <c r="AF12" s="59" t="n">
        <f aca="false">($T12-V12)*($D$11/$AD12)+V12*$D$11/$D$12</f>
        <v>133964.272278882</v>
      </c>
      <c r="AG12" s="56" t="n">
        <f aca="false">AE12-AF12</f>
        <v>28299.8811756637</v>
      </c>
      <c r="AH12" s="159" t="n">
        <f aca="false">Y12+AC12+AG12</f>
        <v>55910.2606639779</v>
      </c>
      <c r="AK12" s="1"/>
      <c r="AL12" s="1"/>
    </row>
    <row r="13" customFormat="false" ht="12.75" hidden="false" customHeight="false" outlineLevel="0" collapsed="false">
      <c r="B13" s="65" t="s">
        <v>463</v>
      </c>
      <c r="C13" s="30"/>
      <c r="D13" s="777"/>
      <c r="E13" s="67"/>
      <c r="H13" s="215" t="n">
        <v>7</v>
      </c>
      <c r="I13" s="669" t="n">
        <f aca="false">'Input-Detail'!E21</f>
        <v>22860512.45</v>
      </c>
      <c r="J13" s="674" t="n">
        <f aca="false">'Input-Detail'!F21</f>
        <v>0.39671513105108</v>
      </c>
      <c r="K13" s="732" t="n">
        <f aca="false">Y13</f>
        <v>1204.469955505</v>
      </c>
      <c r="L13" s="732" t="n">
        <f aca="false">AC13</f>
        <v>32978.5861545331</v>
      </c>
      <c r="M13" s="732" t="n">
        <f aca="false">AG13</f>
        <v>32978.5861545331</v>
      </c>
      <c r="N13" s="773" t="n">
        <f aca="false">AH13</f>
        <v>67161.6422645712</v>
      </c>
      <c r="O13" s="774" t="n">
        <f aca="false">($D$22*$D$18*$D$14+$D$23*$D$19*$D$15+$D$24*$D$16*$D$20)*(1+$D$25)^$H13</f>
        <v>29.463960410089</v>
      </c>
      <c r="P13" s="735" t="n">
        <f aca="false">N13*O13</f>
        <v>1978847.96875989</v>
      </c>
      <c r="S13" s="50" t="n">
        <v>7</v>
      </c>
      <c r="T13" s="683" t="n">
        <f aca="false">T$6+(T$26-T$6)*$S13/20</f>
        <v>22860512.45</v>
      </c>
      <c r="U13" s="674" t="n">
        <f aca="false">J13</f>
        <v>0.39671513105108</v>
      </c>
      <c r="V13" s="57" t="n">
        <f aca="false">T13*U13</f>
        <v>9069111.1924966</v>
      </c>
      <c r="W13" s="775" t="n">
        <f aca="false">Delay!O14</f>
        <v>10456.553298771</v>
      </c>
      <c r="X13" s="776" t="n">
        <f aca="false">Delay!S14</f>
        <v>9252.08334326596</v>
      </c>
      <c r="Y13" s="732" t="n">
        <f aca="false">W13-X13</f>
        <v>1204.469955505</v>
      </c>
      <c r="Z13" s="733" t="n">
        <f aca="false">($D$12+0)/2</f>
        <v>27.5</v>
      </c>
      <c r="AA13" s="59" t="n">
        <f aca="false">($D$10/Z13)*T13</f>
        <v>166258.272363636</v>
      </c>
      <c r="AB13" s="59" t="n">
        <f aca="false">($T13-V13)*($D$10/$Z13)+V13*$D$10/$D$12</f>
        <v>133279.686209103</v>
      </c>
      <c r="AC13" s="56" t="n">
        <f aca="false">AA13-AB13</f>
        <v>32978.5861545331</v>
      </c>
      <c r="AD13" s="733" t="n">
        <f aca="false">($D$12+0)/2</f>
        <v>27.5</v>
      </c>
      <c r="AE13" s="59" t="n">
        <f aca="false">T13*$D$11/AD13</f>
        <v>166258.272363636</v>
      </c>
      <c r="AF13" s="59" t="n">
        <f aca="false">($T13-V13)*($D$11/$AD13)+V13*$D$11/$D$12</f>
        <v>133279.686209103</v>
      </c>
      <c r="AG13" s="56" t="n">
        <f aca="false">AE13-AF13</f>
        <v>32978.5861545331</v>
      </c>
      <c r="AH13" s="159" t="n">
        <f aca="false">Y13+AC13+AG13</f>
        <v>67161.6422645712</v>
      </c>
      <c r="AK13" s="1"/>
      <c r="AL13" s="1"/>
    </row>
    <row r="14" customFormat="false" ht="12.75" hidden="false" customHeight="false" outlineLevel="0" collapsed="false">
      <c r="B14" s="778"/>
      <c r="C14" s="30" t="s">
        <v>219</v>
      </c>
      <c r="D14" s="779" t="n">
        <f aca="false">'Input-Detail'!AZ31</f>
        <v>0.9476</v>
      </c>
      <c r="E14" s="67"/>
      <c r="H14" s="215" t="n">
        <v>8</v>
      </c>
      <c r="I14" s="669" t="n">
        <f aca="false">'Input-Detail'!E22</f>
        <v>23409703.8</v>
      </c>
      <c r="J14" s="674" t="n">
        <f aca="false">'Input-Detail'!F22</f>
        <v>0.443037513897103</v>
      </c>
      <c r="K14" s="732" t="n">
        <f aca="false">Y14</f>
        <v>2189.29106397867</v>
      </c>
      <c r="L14" s="732" t="n">
        <f aca="false">AC14</f>
        <v>37714.098082253</v>
      </c>
      <c r="M14" s="732" t="n">
        <f aca="false">AG14</f>
        <v>37714.098082253</v>
      </c>
      <c r="N14" s="773" t="n">
        <f aca="false">AH14</f>
        <v>77617.4872284846</v>
      </c>
      <c r="O14" s="774" t="n">
        <f aca="false">($D$22*$D$18*$D$14+$D$23*$D$19*$D$15+$D$24*$D$16*$D$20)*(1+$D$25)^$H14</f>
        <v>30.3478792223917</v>
      </c>
      <c r="P14" s="735" t="n">
        <f aca="false">N14*O14</f>
        <v>2355526.12795558</v>
      </c>
      <c r="S14" s="50" t="n">
        <v>8</v>
      </c>
      <c r="T14" s="683" t="n">
        <f aca="false">T$6+(T$26-T$6)*$S14/20</f>
        <v>23409703.8</v>
      </c>
      <c r="U14" s="674" t="n">
        <f aca="false">J14</f>
        <v>0.443037513897103</v>
      </c>
      <c r="V14" s="57" t="n">
        <f aca="false">T14*U14</f>
        <v>10371376.9726196</v>
      </c>
      <c r="W14" s="775" t="n">
        <f aca="false">Delay!O15</f>
        <v>10579.0301404222</v>
      </c>
      <c r="X14" s="776" t="n">
        <f aca="false">Delay!S15</f>
        <v>8389.73907644356</v>
      </c>
      <c r="Y14" s="732" t="n">
        <f aca="false">W14-X14</f>
        <v>2189.29106397867</v>
      </c>
      <c r="Z14" s="733" t="n">
        <f aca="false">($D$12+0)/2</f>
        <v>27.5</v>
      </c>
      <c r="AA14" s="59" t="n">
        <f aca="false">($D$10/Z14)*T14</f>
        <v>170252.391272727</v>
      </c>
      <c r="AB14" s="59" t="n">
        <f aca="false">($T14-V14)*($D$10/$Z14)+V14*$D$10/$D$12</f>
        <v>132538.293190474</v>
      </c>
      <c r="AC14" s="56" t="n">
        <f aca="false">AA14-AB14</f>
        <v>37714.098082253</v>
      </c>
      <c r="AD14" s="733" t="n">
        <f aca="false">($D$12+0)/2</f>
        <v>27.5</v>
      </c>
      <c r="AE14" s="59" t="n">
        <f aca="false">T14*$D$11/AD14</f>
        <v>170252.391272727</v>
      </c>
      <c r="AF14" s="59" t="n">
        <f aca="false">($T14-V14)*($D$11/$AD14)+V14*$D$11/$D$12</f>
        <v>132538.293190474</v>
      </c>
      <c r="AG14" s="56" t="n">
        <f aca="false">AE14-AF14</f>
        <v>37714.098082253</v>
      </c>
      <c r="AH14" s="159" t="n">
        <f aca="false">Y14+AC14+AG14</f>
        <v>77617.4872284846</v>
      </c>
      <c r="AK14" s="1"/>
      <c r="AL14" s="1"/>
    </row>
    <row r="15" customFormat="false" ht="12.75" hidden="false" customHeight="false" outlineLevel="0" collapsed="false">
      <c r="B15" s="778"/>
      <c r="C15" s="30" t="s">
        <v>221</v>
      </c>
      <c r="D15" s="779" t="n">
        <f aca="false">'Input-Detail'!AZ32</f>
        <v>0.0511</v>
      </c>
      <c r="E15" s="67"/>
      <c r="H15" s="215" t="n">
        <v>9</v>
      </c>
      <c r="I15" s="669" t="n">
        <f aca="false">'Input-Detail'!E23</f>
        <v>23958895.15</v>
      </c>
      <c r="J15" s="674" t="n">
        <f aca="false">'Input-Detail'!F23</f>
        <v>0.488152689932575</v>
      </c>
      <c r="K15" s="732" t="n">
        <f aca="false">Y15</f>
        <v>1967.09485103548</v>
      </c>
      <c r="L15" s="732" t="n">
        <f aca="false">AC15</f>
        <v>42529.4513283092</v>
      </c>
      <c r="M15" s="732" t="n">
        <f aca="false">AG15</f>
        <v>42529.4513283092</v>
      </c>
      <c r="N15" s="773" t="n">
        <f aca="false">AH15</f>
        <v>87025.9975076539</v>
      </c>
      <c r="O15" s="774" t="n">
        <f aca="false">($D$22*$D$18*$D$14+$D$23*$D$19*$D$15+$D$24*$D$16*$D$20)*(1+$D$25)^$H15</f>
        <v>31.2583155990634</v>
      </c>
      <c r="P15" s="735" t="n">
        <f aca="false">N15*O15</f>
        <v>2720286.09541755</v>
      </c>
      <c r="S15" s="50" t="n">
        <v>9</v>
      </c>
      <c r="T15" s="683" t="n">
        <f aca="false">T$6+(T$26-T$6)*$S15/20</f>
        <v>23958895.15</v>
      </c>
      <c r="U15" s="674" t="n">
        <f aca="false">J15</f>
        <v>0.488152689932575</v>
      </c>
      <c r="V15" s="57" t="n">
        <f aca="false">T15*U15</f>
        <v>11695599.115285</v>
      </c>
      <c r="W15" s="775" t="n">
        <f aca="false">Delay!O16</f>
        <v>10713.844014732</v>
      </c>
      <c r="X15" s="776" t="n">
        <f aca="false">Delay!S16</f>
        <v>8746.74916369649</v>
      </c>
      <c r="Y15" s="732" t="n">
        <f aca="false">W15-X15</f>
        <v>1967.09485103548</v>
      </c>
      <c r="Z15" s="733" t="n">
        <f aca="false">($D$12+0)/2</f>
        <v>27.5</v>
      </c>
      <c r="AA15" s="59" t="n">
        <f aca="false">($D$10/Z15)*T15</f>
        <v>174246.510181818</v>
      </c>
      <c r="AB15" s="59" t="n">
        <f aca="false">($T15-V15)*($D$10/$Z15)+V15*$D$10/$D$12</f>
        <v>131717.058853509</v>
      </c>
      <c r="AC15" s="56" t="n">
        <f aca="false">AA15-AB15</f>
        <v>42529.4513283092</v>
      </c>
      <c r="AD15" s="733" t="n">
        <f aca="false">($D$12+0)/2</f>
        <v>27.5</v>
      </c>
      <c r="AE15" s="59" t="n">
        <f aca="false">T15*$D$11/AD15</f>
        <v>174246.510181818</v>
      </c>
      <c r="AF15" s="59" t="n">
        <f aca="false">($T15-V15)*($D$11/$AD15)+V15*$D$11/$D$12</f>
        <v>131717.058853509</v>
      </c>
      <c r="AG15" s="56" t="n">
        <f aca="false">AE15-AF15</f>
        <v>42529.4513283092</v>
      </c>
      <c r="AH15" s="159" t="n">
        <f aca="false">Y15+AC15+AG15</f>
        <v>87025.9975076539</v>
      </c>
      <c r="AK15" s="1"/>
      <c r="AL15" s="1"/>
    </row>
    <row r="16" customFormat="false" ht="12.75" hidden="false" customHeight="false" outlineLevel="0" collapsed="false">
      <c r="B16" s="778"/>
      <c r="C16" s="30" t="s">
        <v>225</v>
      </c>
      <c r="D16" s="779" t="n">
        <f aca="false">'Input-Detail'!AZ33</f>
        <v>0.0013</v>
      </c>
      <c r="E16" s="67"/>
      <c r="H16" s="215" t="n">
        <v>10</v>
      </c>
      <c r="I16" s="669" t="n">
        <f aca="false">'Input-Detail'!E24</f>
        <v>24508086.5</v>
      </c>
      <c r="J16" s="674" t="n">
        <f aca="false">'Input-Detail'!F24</f>
        <v>0.531731128248894</v>
      </c>
      <c r="K16" s="732" t="n">
        <f aca="false">Y16</f>
        <v>3327.63205161066</v>
      </c>
      <c r="L16" s="732" t="n">
        <f aca="false">AC16</f>
        <v>47388.0454031508</v>
      </c>
      <c r="M16" s="732" t="n">
        <f aca="false">AG16</f>
        <v>47388.0454031508</v>
      </c>
      <c r="N16" s="773" t="n">
        <f aca="false">AH16</f>
        <v>98103.7228579123</v>
      </c>
      <c r="O16" s="774" t="n">
        <f aca="false">($D$22*$D$18*$D$14+$D$23*$D$19*$D$15+$D$24*$D$16*$D$20)*(1+$D$25)^$H16</f>
        <v>32.1960650670353</v>
      </c>
      <c r="P16" s="735" t="n">
        <f aca="false">N16*O16</f>
        <v>3158553.84445174</v>
      </c>
      <c r="S16" s="50" t="n">
        <v>10</v>
      </c>
      <c r="T16" s="683" t="n">
        <f aca="false">T$6+(T$26-T$6)*$S16/20</f>
        <v>24508086.5</v>
      </c>
      <c r="U16" s="674" t="n">
        <f aca="false">J16</f>
        <v>0.531731128248894</v>
      </c>
      <c r="V16" s="57" t="n">
        <f aca="false">T16*U16</f>
        <v>13031712.4858665</v>
      </c>
      <c r="W16" s="775" t="n">
        <f aca="false">Delay!O17</f>
        <v>10860.1023753392</v>
      </c>
      <c r="X16" s="776" t="n">
        <f aca="false">Delay!S17</f>
        <v>7532.47032372854</v>
      </c>
      <c r="Y16" s="732" t="n">
        <f aca="false">W16-X16</f>
        <v>3327.63205161066</v>
      </c>
      <c r="Z16" s="733" t="n">
        <f aca="false">($D$12+0)/2</f>
        <v>27.5</v>
      </c>
      <c r="AA16" s="59" t="n">
        <f aca="false">($D$10/Z16)*T16</f>
        <v>178240.629090909</v>
      </c>
      <c r="AB16" s="59" t="n">
        <f aca="false">($T16-V16)*($D$10/$Z16)+V16*$D$10/$D$12</f>
        <v>130852.583687758</v>
      </c>
      <c r="AC16" s="56" t="n">
        <f aca="false">AA16-AB16</f>
        <v>47388.0454031508</v>
      </c>
      <c r="AD16" s="733" t="n">
        <f aca="false">($D$12+0)/2</f>
        <v>27.5</v>
      </c>
      <c r="AE16" s="59" t="n">
        <f aca="false">T16*$D$11/AD16</f>
        <v>178240.629090909</v>
      </c>
      <c r="AF16" s="59" t="n">
        <f aca="false">($T16-V16)*($D$11/$AD16)+V16*$D$11/$D$12</f>
        <v>130852.583687758</v>
      </c>
      <c r="AG16" s="56" t="n">
        <f aca="false">AE16-AF16</f>
        <v>47388.0454031508</v>
      </c>
      <c r="AH16" s="159" t="n">
        <f aca="false">Y16+AC16+AG16</f>
        <v>98103.7228579123</v>
      </c>
      <c r="AK16" s="1"/>
      <c r="AL16" s="1"/>
    </row>
    <row r="17" customFormat="false" ht="12.75" hidden="false" customHeight="false" outlineLevel="0" collapsed="false">
      <c r="B17" s="65" t="s">
        <v>227</v>
      </c>
      <c r="C17" s="30"/>
      <c r="D17" s="777"/>
      <c r="E17" s="67"/>
      <c r="H17" s="215" t="n">
        <v>11</v>
      </c>
      <c r="I17" s="669" t="n">
        <f aca="false">'Input-Detail'!E25</f>
        <v>25057277.85</v>
      </c>
      <c r="J17" s="674" t="n">
        <f aca="false">'Input-Detail'!F25</f>
        <v>0.57370976448128</v>
      </c>
      <c r="K17" s="732" t="n">
        <f aca="false">Y17</f>
        <v>4083.43449298031</v>
      </c>
      <c r="L17" s="732" t="n">
        <f aca="false">AC17</f>
        <v>52274.9271776928</v>
      </c>
      <c r="M17" s="732" t="n">
        <f aca="false">AG17</f>
        <v>52274.9271776928</v>
      </c>
      <c r="N17" s="773" t="n">
        <f aca="false">AH17</f>
        <v>108633.288848366</v>
      </c>
      <c r="O17" s="774" t="n">
        <f aca="false">($D$22*$D$18*$D$14+$D$23*$D$19*$D$15+$D$24*$D$16*$D$20)*(1+$D$25)^$H17</f>
        <v>33.1619470190464</v>
      </c>
      <c r="P17" s="735" t="n">
        <f aca="false">N17*O17</f>
        <v>3602491.36929427</v>
      </c>
      <c r="S17" s="50" t="n">
        <v>11</v>
      </c>
      <c r="T17" s="683" t="n">
        <f aca="false">T$6+(T$26-T$6)*$S17/20</f>
        <v>25057277.85</v>
      </c>
      <c r="U17" s="674" t="n">
        <f aca="false">J17</f>
        <v>0.57370976448128</v>
      </c>
      <c r="V17" s="57" t="n">
        <f aca="false">T17*U17</f>
        <v>14375604.9738655</v>
      </c>
      <c r="W17" s="775" t="n">
        <f aca="false">Delay!O18</f>
        <v>11016.1474632411</v>
      </c>
      <c r="X17" s="776" t="n">
        <f aca="false">Delay!S18</f>
        <v>6932.71297026084</v>
      </c>
      <c r="Y17" s="732" t="n">
        <f aca="false">W17-X17</f>
        <v>4083.43449298031</v>
      </c>
      <c r="Z17" s="733" t="n">
        <f aca="false">($D$12+0)/2</f>
        <v>27.5</v>
      </c>
      <c r="AA17" s="59" t="n">
        <f aca="false">($D$10/Z17)*T17</f>
        <v>182234.748</v>
      </c>
      <c r="AB17" s="59" t="n">
        <f aca="false">($T17-V17)*($D$10/$Z17)+V17*$D$10/$D$12</f>
        <v>129959.820822307</v>
      </c>
      <c r="AC17" s="56" t="n">
        <f aca="false">AA17-AB17</f>
        <v>52274.9271776928</v>
      </c>
      <c r="AD17" s="733" t="n">
        <f aca="false">($D$12+0)/2</f>
        <v>27.5</v>
      </c>
      <c r="AE17" s="59" t="n">
        <f aca="false">T17*$D$11/AD17</f>
        <v>182234.748</v>
      </c>
      <c r="AF17" s="59" t="n">
        <f aca="false">($T17-V17)*($D$11/$AD17)+V17*$D$11/$D$12</f>
        <v>129959.820822307</v>
      </c>
      <c r="AG17" s="56" t="n">
        <f aca="false">AE17-AF17</f>
        <v>52274.9271776928</v>
      </c>
      <c r="AH17" s="159" t="n">
        <f aca="false">Y17+AC17+AG17</f>
        <v>108633.288848366</v>
      </c>
      <c r="AK17" s="1"/>
      <c r="AL17" s="1"/>
    </row>
    <row r="18" customFormat="false" ht="12.75" hidden="false" customHeight="false" outlineLevel="0" collapsed="false">
      <c r="B18" s="778"/>
      <c r="C18" s="30" t="s">
        <v>219</v>
      </c>
      <c r="D18" s="72" t="n">
        <f aca="false">'Input-Detail'!AZ35</f>
        <v>1.8</v>
      </c>
      <c r="E18" s="67"/>
      <c r="H18" s="215" t="n">
        <v>12</v>
      </c>
      <c r="I18" s="669" t="n">
        <f aca="false">'Input-Detail'!E26</f>
        <v>25606469.2</v>
      </c>
      <c r="J18" s="674" t="n">
        <f aca="false">'Input-Detail'!F26</f>
        <v>0.614080811078137</v>
      </c>
      <c r="K18" s="732" t="n">
        <f aca="false">Y18</f>
        <v>4497.79979406183</v>
      </c>
      <c r="L18" s="732" t="n">
        <f aca="false">AC18</f>
        <v>57179.7868188485</v>
      </c>
      <c r="M18" s="732" t="n">
        <f aca="false">AG18</f>
        <v>57179.7868188485</v>
      </c>
      <c r="N18" s="773" t="n">
        <f aca="false">AH18</f>
        <v>118857.373431759</v>
      </c>
      <c r="O18" s="774" t="n">
        <f aca="false">($D$22*$D$18*$D$14+$D$23*$D$19*$D$15+$D$24*$D$16*$D$20)*(1+$D$25)^$H18</f>
        <v>34.1568054296178</v>
      </c>
      <c r="P18" s="735" t="n">
        <f aca="false">N18*O18</f>
        <v>4059788.17818401</v>
      </c>
      <c r="S18" s="50" t="n">
        <v>12</v>
      </c>
      <c r="T18" s="683" t="n">
        <f aca="false">T$6+(T$26-T$6)*$S18/20</f>
        <v>25606469.2</v>
      </c>
      <c r="U18" s="674" t="n">
        <f aca="false">J18</f>
        <v>0.614080811078137</v>
      </c>
      <c r="V18" s="57" t="n">
        <f aca="false">T18*U18</f>
        <v>15724441.3751833</v>
      </c>
      <c r="W18" s="775" t="n">
        <f aca="false">Delay!O19</f>
        <v>11180.5071333627</v>
      </c>
      <c r="X18" s="776" t="n">
        <f aca="false">Delay!S19</f>
        <v>6682.7073393009</v>
      </c>
      <c r="Y18" s="732" t="n">
        <f aca="false">W18-X18</f>
        <v>4497.79979406183</v>
      </c>
      <c r="Z18" s="733" t="n">
        <f aca="false">($D$12+0)/2</f>
        <v>27.5</v>
      </c>
      <c r="AA18" s="59" t="n">
        <f aca="false">($D$10/Z18)*T18</f>
        <v>186228.866909091</v>
      </c>
      <c r="AB18" s="59" t="n">
        <f aca="false">($T18-V18)*($D$10/$Z18)+V18*$D$10/$D$12</f>
        <v>129049.080090242</v>
      </c>
      <c r="AC18" s="56" t="n">
        <f aca="false">AA18-AB18</f>
        <v>57179.7868188485</v>
      </c>
      <c r="AD18" s="733" t="n">
        <f aca="false">($D$12+0)/2</f>
        <v>27.5</v>
      </c>
      <c r="AE18" s="59" t="n">
        <f aca="false">T18*$D$11/AD18</f>
        <v>186228.866909091</v>
      </c>
      <c r="AF18" s="59" t="n">
        <f aca="false">($T18-V18)*($D$11/$AD18)+V18*$D$11/$D$12</f>
        <v>129049.080090242</v>
      </c>
      <c r="AG18" s="56" t="n">
        <f aca="false">AE18-AF18</f>
        <v>57179.7868188485</v>
      </c>
      <c r="AH18" s="159" t="n">
        <f aca="false">Y18+AC18+AG18</f>
        <v>118857.373431759</v>
      </c>
      <c r="AK18" s="1"/>
      <c r="AL18" s="1"/>
    </row>
    <row r="19" customFormat="false" ht="12.75" hidden="false" customHeight="false" outlineLevel="0" collapsed="false">
      <c r="B19" s="778"/>
      <c r="C19" s="30" t="s">
        <v>221</v>
      </c>
      <c r="D19" s="72" t="n">
        <f aca="false">'Input-Detail'!AZ36</f>
        <v>1.1</v>
      </c>
      <c r="E19" s="67"/>
      <c r="H19" s="215" t="n">
        <v>13</v>
      </c>
      <c r="I19" s="669" t="n">
        <f aca="false">'Input-Detail'!E27</f>
        <v>26155660.55</v>
      </c>
      <c r="J19" s="674" t="n">
        <f aca="false">'Input-Detail'!F27</f>
        <v>0.652377141057342</v>
      </c>
      <c r="K19" s="732" t="n">
        <f aca="false">Y19</f>
        <v>5412.01462891427</v>
      </c>
      <c r="L19" s="732" t="n">
        <f aca="false">AC19</f>
        <v>62048.5638257284</v>
      </c>
      <c r="M19" s="732" t="n">
        <f aca="false">AG19</f>
        <v>62048.5638257284</v>
      </c>
      <c r="N19" s="773" t="n">
        <f aca="false">AH19</f>
        <v>129509.142280371</v>
      </c>
      <c r="O19" s="774" t="n">
        <f aca="false">($D$22*$D$18*$D$14+$D$23*$D$19*$D$15+$D$24*$D$16*$D$20)*(1+$D$25)^$H19</f>
        <v>35.1815095925063</v>
      </c>
      <c r="P19" s="735" t="n">
        <f aca="false">N19*O19</f>
        <v>4556327.13145414</v>
      </c>
      <c r="S19" s="50" t="n">
        <v>13</v>
      </c>
      <c r="T19" s="683" t="n">
        <f aca="false">T$6+(T$26-T$6)*$S19/20</f>
        <v>26155660.55</v>
      </c>
      <c r="U19" s="674" t="n">
        <f aca="false">J19</f>
        <v>0.652377141057342</v>
      </c>
      <c r="V19" s="57" t="n">
        <f aca="false">T19*U19</f>
        <v>17063355.0520753</v>
      </c>
      <c r="W19" s="775" t="n">
        <f aca="false">Delay!O20</f>
        <v>11353.1226985453</v>
      </c>
      <c r="X19" s="776" t="n">
        <f aca="false">Delay!S20</f>
        <v>5941.10806963105</v>
      </c>
      <c r="Y19" s="732" t="n">
        <f aca="false">W19-X19</f>
        <v>5412.01462891427</v>
      </c>
      <c r="Z19" s="733" t="n">
        <f aca="false">($D$12+0)/2</f>
        <v>27.5</v>
      </c>
      <c r="AA19" s="59" t="n">
        <f aca="false">($D$10/Z19)*T19</f>
        <v>190222.985818182</v>
      </c>
      <c r="AB19" s="59" t="n">
        <f aca="false">($T19-V19)*($D$10/$Z19)+V19*$D$10/$D$12</f>
        <v>128174.421992453</v>
      </c>
      <c r="AC19" s="56" t="n">
        <f aca="false">AA19-AB19</f>
        <v>62048.5638257284</v>
      </c>
      <c r="AD19" s="733" t="n">
        <f aca="false">($D$12+0)/2</f>
        <v>27.5</v>
      </c>
      <c r="AE19" s="59" t="n">
        <f aca="false">T19*$D$11/AD19</f>
        <v>190222.985818182</v>
      </c>
      <c r="AF19" s="59" t="n">
        <f aca="false">($T19-V19)*($D$11/$AD19)+V19*$D$11/$D$12</f>
        <v>128174.421992453</v>
      </c>
      <c r="AG19" s="56" t="n">
        <f aca="false">AE19-AF19</f>
        <v>62048.5638257284</v>
      </c>
      <c r="AH19" s="159" t="n">
        <f aca="false">Y19+AC19+AG19</f>
        <v>129509.142280371</v>
      </c>
      <c r="AK19" s="1"/>
      <c r="AL19" s="1"/>
    </row>
    <row r="20" customFormat="false" ht="12.75" hidden="false" customHeight="false" outlineLevel="0" collapsed="false">
      <c r="B20" s="778"/>
      <c r="C20" s="30" t="s">
        <v>225</v>
      </c>
      <c r="D20" s="72" t="n">
        <f aca="false">'Input-Detail'!AZ37</f>
        <v>20</v>
      </c>
      <c r="E20" s="780"/>
      <c r="H20" s="215" t="n">
        <v>14</v>
      </c>
      <c r="I20" s="669" t="n">
        <f aca="false">'Input-Detail'!E28</f>
        <v>26704851.9</v>
      </c>
      <c r="J20" s="674" t="n">
        <f aca="false">'Input-Detail'!F28</f>
        <v>0.688560291874923</v>
      </c>
      <c r="K20" s="732" t="n">
        <f aca="false">Y20</f>
        <v>5676.6382483146</v>
      </c>
      <c r="L20" s="732" t="n">
        <f aca="false">AC20</f>
        <v>66865.0931590567</v>
      </c>
      <c r="M20" s="732" t="n">
        <f aca="false">AG20</f>
        <v>66865.0931590567</v>
      </c>
      <c r="N20" s="773" t="n">
        <f aca="false">AH20</f>
        <v>139406.824566428</v>
      </c>
      <c r="O20" s="774" t="n">
        <f aca="false">($D$22*$D$18*$D$14+$D$23*$D$19*$D$15+$D$24*$D$16*$D$20)*(1+$D$25)^$H20</f>
        <v>36.2369548802815</v>
      </c>
      <c r="P20" s="735" t="n">
        <f aca="false">N20*O20</f>
        <v>5051678.81181697</v>
      </c>
      <c r="S20" s="50" t="n">
        <v>14</v>
      </c>
      <c r="T20" s="683" t="n">
        <f aca="false">T$6+(T$26-T$6)*$S20/20</f>
        <v>26704851.9</v>
      </c>
      <c r="U20" s="674" t="n">
        <f aca="false">J20</f>
        <v>0.688560291874923</v>
      </c>
      <c r="V20" s="57" t="n">
        <f aca="false">T20*U20</f>
        <v>18387900.6187406</v>
      </c>
      <c r="W20" s="775" t="n">
        <f aca="false">Delay!O21</f>
        <v>11532.8968076927</v>
      </c>
      <c r="X20" s="776" t="n">
        <f aca="false">Delay!S21</f>
        <v>5856.25855937807</v>
      </c>
      <c r="Y20" s="732" t="n">
        <f aca="false">W20-X20</f>
        <v>5676.6382483146</v>
      </c>
      <c r="Z20" s="733" t="n">
        <f aca="false">($D$12+0)/2</f>
        <v>27.5</v>
      </c>
      <c r="AA20" s="59" t="n">
        <f aca="false">($D$10/Z20)*T20</f>
        <v>194217.104727273</v>
      </c>
      <c r="AB20" s="59" t="n">
        <f aca="false">($T20-V20)*($D$10/$Z20)+V20*$D$10/$D$12</f>
        <v>127352.011568216</v>
      </c>
      <c r="AC20" s="56" t="n">
        <f aca="false">AA20-AB20</f>
        <v>66865.0931590567</v>
      </c>
      <c r="AD20" s="733" t="n">
        <f aca="false">($D$12+0)/2</f>
        <v>27.5</v>
      </c>
      <c r="AE20" s="59" t="n">
        <f aca="false">T20*$D$11/AD20</f>
        <v>194217.104727273</v>
      </c>
      <c r="AF20" s="59" t="n">
        <f aca="false">($T20-V20)*($D$11/$AD20)+V20*$D$11/$D$12</f>
        <v>127352.011568216</v>
      </c>
      <c r="AG20" s="56" t="n">
        <f aca="false">AE20-AF20</f>
        <v>66865.0931590567</v>
      </c>
      <c r="AH20" s="159" t="n">
        <f aca="false">Y20+AC20+AG20</f>
        <v>139406.824566428</v>
      </c>
      <c r="AK20" s="1"/>
      <c r="AL20" s="1"/>
    </row>
    <row r="21" customFormat="false" ht="12.75" hidden="false" customHeight="false" outlineLevel="0" collapsed="false">
      <c r="B21" s="65" t="s">
        <v>240</v>
      </c>
      <c r="C21" s="30"/>
      <c r="D21" s="777"/>
      <c r="E21" s="67"/>
      <c r="H21" s="215" t="n">
        <v>15</v>
      </c>
      <c r="I21" s="669" t="n">
        <f aca="false">'Input-Detail'!E29</f>
        <v>27254043.25</v>
      </c>
      <c r="J21" s="674" t="n">
        <f aca="false">'Input-Detail'!F29</f>
        <v>0.72219473716396</v>
      </c>
      <c r="K21" s="732" t="n">
        <f aca="false">Y21</f>
        <v>6651.44276062064</v>
      </c>
      <c r="L21" s="732" t="n">
        <f aca="false">AC21</f>
        <v>71573.5512785053</v>
      </c>
      <c r="M21" s="732" t="n">
        <f aca="false">AG21</f>
        <v>71573.5512785053</v>
      </c>
      <c r="N21" s="773" t="n">
        <f aca="false">AH21</f>
        <v>149798.545317631</v>
      </c>
      <c r="O21" s="774" t="n">
        <f aca="false">($D$22*$D$18*$D$14+$D$23*$D$19*$D$15+$D$24*$D$16*$D$20)*(1+$D$25)^$H21</f>
        <v>37.3240635266899</v>
      </c>
      <c r="P21" s="735" t="n">
        <f aca="false">N21*O21</f>
        <v>5591090.42164101</v>
      </c>
      <c r="S21" s="50" t="n">
        <v>15</v>
      </c>
      <c r="T21" s="683" t="n">
        <f aca="false">T$6+(T$26-T$6)*$S21/20</f>
        <v>27254043.25</v>
      </c>
      <c r="U21" s="674" t="n">
        <f aca="false">J21</f>
        <v>0.72219473716396</v>
      </c>
      <c r="V21" s="57" t="n">
        <f aca="false">T21*U21</f>
        <v>19682726.601589</v>
      </c>
      <c r="W21" s="775" t="n">
        <f aca="false">Delay!O22</f>
        <v>11719.8120700599</v>
      </c>
      <c r="X21" s="776" t="n">
        <f aca="false">Delay!S22</f>
        <v>5068.36930943926</v>
      </c>
      <c r="Y21" s="732" t="n">
        <f aca="false">W21-X21</f>
        <v>6651.44276062064</v>
      </c>
      <c r="Z21" s="733" t="n">
        <f aca="false">($D$12+0)/2</f>
        <v>27.5</v>
      </c>
      <c r="AA21" s="59" t="n">
        <f aca="false">($D$10/Z21)*T21</f>
        <v>198211.223636364</v>
      </c>
      <c r="AB21" s="59" t="n">
        <f aca="false">($T21-V21)*($D$10/$Z21)+V21*$D$10/$D$12</f>
        <v>126637.672357858</v>
      </c>
      <c r="AC21" s="56" t="n">
        <f aca="false">AA21-AB21</f>
        <v>71573.5512785053</v>
      </c>
      <c r="AD21" s="733" t="n">
        <f aca="false">($D$12+0)/2</f>
        <v>27.5</v>
      </c>
      <c r="AE21" s="59" t="n">
        <f aca="false">T21*$D$11/AD21</f>
        <v>198211.223636364</v>
      </c>
      <c r="AF21" s="59" t="n">
        <f aca="false">($T21-V21)*($D$11/$AD21)+V21*$D$11/$D$12</f>
        <v>126637.672357858</v>
      </c>
      <c r="AG21" s="56" t="n">
        <f aca="false">AE21-AF21</f>
        <v>71573.5512785053</v>
      </c>
      <c r="AH21" s="159" t="n">
        <f aca="false">Y21+AC21+AG21</f>
        <v>149798.545317631</v>
      </c>
      <c r="AK21" s="1"/>
      <c r="AL21" s="1"/>
    </row>
    <row r="22" customFormat="false" ht="12.75" hidden="false" customHeight="false" outlineLevel="0" collapsed="false">
      <c r="B22" s="778"/>
      <c r="C22" s="30" t="s">
        <v>219</v>
      </c>
      <c r="D22" s="781" t="n">
        <f aca="false">'Input-Detail'!AZ39</f>
        <v>12.75</v>
      </c>
      <c r="E22" s="67"/>
      <c r="H22" s="215" t="n">
        <v>16</v>
      </c>
      <c r="I22" s="669" t="n">
        <f aca="false">'Input-Detail'!E30</f>
        <v>27803234.6</v>
      </c>
      <c r="J22" s="674" t="n">
        <f aca="false">'Input-Detail'!F30</f>
        <v>0.753205951403196</v>
      </c>
      <c r="K22" s="732" t="n">
        <f aca="false">Y22</f>
        <v>7293.37512570349</v>
      </c>
      <c r="L22" s="732" t="n">
        <f aca="false">AC22</f>
        <v>76151.1337053792</v>
      </c>
      <c r="M22" s="732" t="n">
        <f aca="false">AG22</f>
        <v>76151.1337053792</v>
      </c>
      <c r="N22" s="773" t="n">
        <f aca="false">AH22</f>
        <v>159595.642536462</v>
      </c>
      <c r="O22" s="774" t="n">
        <f aca="false">($D$22*$D$18*$D$14+$D$23*$D$19*$D$15+$D$24*$D$16*$D$20)*(1+$D$25)^$H22</f>
        <v>38.4437854324906</v>
      </c>
      <c r="P22" s="735" t="n">
        <f aca="false">N22*O22</f>
        <v>6135460.63763221</v>
      </c>
      <c r="S22" s="50" t="n">
        <v>16</v>
      </c>
      <c r="T22" s="683" t="n">
        <f aca="false">T$6+(T$26-T$6)*$S22/20</f>
        <v>27803234.6</v>
      </c>
      <c r="U22" s="674" t="n">
        <f aca="false">J22</f>
        <v>0.753205951403196</v>
      </c>
      <c r="V22" s="57" t="n">
        <f aca="false">T22*U22</f>
        <v>20941561.7689793</v>
      </c>
      <c r="W22" s="775" t="n">
        <f aca="false">Delay!O23</f>
        <v>11913.1362742922</v>
      </c>
      <c r="X22" s="776" t="n">
        <f aca="false">Delay!S23</f>
        <v>4619.76114858869</v>
      </c>
      <c r="Y22" s="732" t="n">
        <f aca="false">W22-X22</f>
        <v>7293.37512570349</v>
      </c>
      <c r="Z22" s="733" t="n">
        <f aca="false">($D$12+0)/2</f>
        <v>27.5</v>
      </c>
      <c r="AA22" s="59" t="n">
        <f aca="false">($D$10/Z22)*T22</f>
        <v>202205.342545455</v>
      </c>
      <c r="AB22" s="59" t="n">
        <f aca="false">($T22-V22)*($D$10/$Z22)+V22*$D$10/$D$12</f>
        <v>126054.208840075</v>
      </c>
      <c r="AC22" s="56" t="n">
        <f aca="false">AA22-AB22</f>
        <v>76151.1337053792</v>
      </c>
      <c r="AD22" s="733" t="n">
        <f aca="false">($D$12+0)/2</f>
        <v>27.5</v>
      </c>
      <c r="AE22" s="59" t="n">
        <f aca="false">T22*$D$11/AD22</f>
        <v>202205.342545455</v>
      </c>
      <c r="AF22" s="59" t="n">
        <f aca="false">($T22-V22)*($D$11/$AD22)+V22*$D$11/$D$12</f>
        <v>126054.208840075</v>
      </c>
      <c r="AG22" s="56" t="n">
        <f aca="false">AE22-AF22</f>
        <v>76151.1337053792</v>
      </c>
      <c r="AH22" s="159" t="n">
        <f aca="false">Y22+AC22+AG22</f>
        <v>159595.642536462</v>
      </c>
      <c r="AK22" s="1"/>
      <c r="AL22" s="1"/>
    </row>
    <row r="23" customFormat="false" ht="12.75" hidden="false" customHeight="false" outlineLevel="0" collapsed="false">
      <c r="B23" s="778"/>
      <c r="C23" s="30" t="s">
        <v>221</v>
      </c>
      <c r="D23" s="781" t="n">
        <f aca="false">'Input-Detail'!AZ40</f>
        <v>33.41</v>
      </c>
      <c r="E23" s="67"/>
      <c r="H23" s="215" t="n">
        <v>17</v>
      </c>
      <c r="I23" s="669" t="n">
        <f aca="false">'Input-Detail'!E31</f>
        <v>28352425.95</v>
      </c>
      <c r="J23" s="674" t="n">
        <f aca="false">'Input-Detail'!F31</f>
        <v>0.781651485932894</v>
      </c>
      <c r="K23" s="732" t="n">
        <f aca="false">Y23</f>
        <v>7771.37227460946</v>
      </c>
      <c r="L23" s="732" t="n">
        <f aca="false">AC23</f>
        <v>80588.0577222539</v>
      </c>
      <c r="M23" s="732" t="n">
        <f aca="false">AG23</f>
        <v>80588.057722254</v>
      </c>
      <c r="N23" s="773" t="n">
        <f aca="false">AH23</f>
        <v>168947.487719117</v>
      </c>
      <c r="O23" s="774" t="n">
        <f aca="false">($D$22*$D$18*$D$14+$D$23*$D$19*$D$15+$D$24*$D$16*$D$20)*(1+$D$25)^$H23</f>
        <v>39.5970989954654</v>
      </c>
      <c r="P23" s="735" t="n">
        <f aca="false">N23*O23</f>
        <v>6689830.39624906</v>
      </c>
      <c r="S23" s="50" t="n">
        <v>17</v>
      </c>
      <c r="T23" s="683" t="n">
        <f aca="false">T$6+(T$26-T$6)*$S23/20</f>
        <v>28352425.95</v>
      </c>
      <c r="U23" s="674" t="n">
        <f aca="false">J23</f>
        <v>0.781651485932894</v>
      </c>
      <c r="V23" s="57" t="n">
        <f aca="false">T23*U23</f>
        <v>22161715.8736198</v>
      </c>
      <c r="W23" s="775" t="n">
        <f aca="false">Delay!O24</f>
        <v>12112.0647688916</v>
      </c>
      <c r="X23" s="776" t="n">
        <f aca="false">Delay!S24</f>
        <v>4340.69249428214</v>
      </c>
      <c r="Y23" s="732" t="n">
        <f aca="false">W23-X23</f>
        <v>7771.37227460946</v>
      </c>
      <c r="Z23" s="733" t="n">
        <f aca="false">($D$12+0)/2</f>
        <v>27.5</v>
      </c>
      <c r="AA23" s="59" t="n">
        <f aca="false">($D$10/Z23)*T23</f>
        <v>206199.461454545</v>
      </c>
      <c r="AB23" s="59" t="n">
        <f aca="false">($T23-V23)*($D$10/$Z23)+V23*$D$10/$D$12</f>
        <v>125611.403732292</v>
      </c>
      <c r="AC23" s="56" t="n">
        <f aca="false">AA23-AB23</f>
        <v>80588.0577222539</v>
      </c>
      <c r="AD23" s="733" t="n">
        <f aca="false">($D$12+0)/2</f>
        <v>27.5</v>
      </c>
      <c r="AE23" s="59" t="n">
        <f aca="false">T23*$D$11/AD23</f>
        <v>206199.461454545</v>
      </c>
      <c r="AF23" s="59" t="n">
        <f aca="false">($T23-V23)*($D$11/$AD23)+V23*$D$11/$D$12</f>
        <v>125611.403732292</v>
      </c>
      <c r="AG23" s="56" t="n">
        <f aca="false">AE23-AF23</f>
        <v>80588.057722254</v>
      </c>
      <c r="AH23" s="159" t="n">
        <f aca="false">Y23+AC23+AG23</f>
        <v>168947.487719117</v>
      </c>
      <c r="AK23" s="1"/>
      <c r="AL23" s="1"/>
    </row>
    <row r="24" customFormat="false" ht="12.75" hidden="false" customHeight="false" outlineLevel="0" collapsed="false">
      <c r="B24" s="778"/>
      <c r="C24" s="30" t="s">
        <v>225</v>
      </c>
      <c r="D24" s="781" t="n">
        <f aca="false">'Input-Detail'!AZ41</f>
        <v>12.75</v>
      </c>
      <c r="E24" s="780"/>
      <c r="H24" s="215" t="n">
        <v>18</v>
      </c>
      <c r="I24" s="669" t="n">
        <f aca="false">'Input-Detail'!E32</f>
        <v>28901617.3</v>
      </c>
      <c r="J24" s="674" t="n">
        <f aca="false">'Input-Detail'!F32</f>
        <v>0.807356047331459</v>
      </c>
      <c r="K24" s="732" t="n">
        <f aca="false">Y24</f>
        <v>8452.18609208917</v>
      </c>
      <c r="L24" s="732" t="n">
        <f aca="false">AC24</f>
        <v>84850.5291084164</v>
      </c>
      <c r="M24" s="732" t="n">
        <f aca="false">AG24</f>
        <v>84850.5291084164</v>
      </c>
      <c r="N24" s="773" t="n">
        <f aca="false">AH24</f>
        <v>178153.244308922</v>
      </c>
      <c r="O24" s="774" t="n">
        <f aca="false">($D$22*$D$18*$D$14+$D$23*$D$19*$D$15+$D$24*$D$16*$D$20)*(1+$D$25)^$H24</f>
        <v>40.7850119653293</v>
      </c>
      <c r="P24" s="735" t="n">
        <f aca="false">N24*O24</f>
        <v>7265982.20080162</v>
      </c>
      <c r="S24" s="50" t="n">
        <v>18</v>
      </c>
      <c r="T24" s="683" t="n">
        <f aca="false">T$6+(T$26-T$6)*$S24/20</f>
        <v>28901617.3</v>
      </c>
      <c r="U24" s="674" t="n">
        <f aca="false">J24</f>
        <v>0.807356047331459</v>
      </c>
      <c r="V24" s="57" t="n">
        <f aca="false">T24*U24</f>
        <v>23333895.5048145</v>
      </c>
      <c r="W24" s="775" t="n">
        <f aca="false">Delay!O25</f>
        <v>12316.4121171968</v>
      </c>
      <c r="X24" s="776" t="n">
        <f aca="false">Delay!S25</f>
        <v>3864.22602510766</v>
      </c>
      <c r="Y24" s="732" t="n">
        <f aca="false">W24-X24</f>
        <v>8452.18609208917</v>
      </c>
      <c r="Z24" s="733" t="n">
        <f aca="false">($D$12+0)/2</f>
        <v>27.5</v>
      </c>
      <c r="AA24" s="59" t="n">
        <f aca="false">($D$10/Z24)*T24</f>
        <v>210193.580363636</v>
      </c>
      <c r="AB24" s="59" t="n">
        <f aca="false">($T24-V24)*($D$10/$Z24)+V24*$D$10/$D$12</f>
        <v>125343.05125522</v>
      </c>
      <c r="AC24" s="56" t="n">
        <f aca="false">AA24-AB24</f>
        <v>84850.5291084164</v>
      </c>
      <c r="AD24" s="733" t="n">
        <f aca="false">($D$12+0)/2</f>
        <v>27.5</v>
      </c>
      <c r="AE24" s="59" t="n">
        <f aca="false">T24*$D$11/AD24</f>
        <v>210193.580363636</v>
      </c>
      <c r="AF24" s="59" t="n">
        <f aca="false">($T24-V24)*($D$11/$AD24)+V24*$D$11/$D$12</f>
        <v>125343.05125522</v>
      </c>
      <c r="AG24" s="56" t="n">
        <f aca="false">AE24-AF24</f>
        <v>84850.5291084164</v>
      </c>
      <c r="AH24" s="159" t="n">
        <f aca="false">Y24+AC24+AG24</f>
        <v>178153.244308922</v>
      </c>
      <c r="AK24" s="1"/>
      <c r="AL24" s="1"/>
    </row>
    <row r="25" customFormat="false" ht="12.75" hidden="false" customHeight="false" outlineLevel="0" collapsed="false">
      <c r="B25" s="65" t="s">
        <v>242</v>
      </c>
      <c r="C25" s="30"/>
      <c r="D25" s="74" t="n">
        <f aca="false">'Input-Detail'!BV29</f>
        <v>0.03</v>
      </c>
      <c r="E25" s="73"/>
      <c r="H25" s="215" t="n">
        <v>19</v>
      </c>
      <c r="I25" s="669" t="n">
        <f aca="false">'Input-Detail'!E33</f>
        <v>29450808.65</v>
      </c>
      <c r="J25" s="674" t="n">
        <f aca="false">'Input-Detail'!F33</f>
        <v>0.830563950021381</v>
      </c>
      <c r="K25" s="732" t="n">
        <f aca="false">Y25</f>
        <v>8700.36587439197</v>
      </c>
      <c r="L25" s="732" t="n">
        <f aca="false">AC25</f>
        <v>88948.290776974</v>
      </c>
      <c r="M25" s="732" t="n">
        <f aca="false">AG25</f>
        <v>88948.290776974</v>
      </c>
      <c r="N25" s="773" t="n">
        <f aca="false">AH25</f>
        <v>186596.94742834</v>
      </c>
      <c r="O25" s="774" t="n">
        <f aca="false">($D$22*$D$18*$D$14+$D$23*$D$19*$D$15+$D$24*$D$16*$D$20)*(1+$D$25)^$H25</f>
        <v>42.0085623242892</v>
      </c>
      <c r="P25" s="735" t="n">
        <f aca="false">N25*O25</f>
        <v>7838669.49556554</v>
      </c>
      <c r="S25" s="50" t="n">
        <v>19</v>
      </c>
      <c r="T25" s="683" t="n">
        <f aca="false">T$6+(T$26-T$6)*$S25/20</f>
        <v>29450808.65</v>
      </c>
      <c r="U25" s="674" t="n">
        <f aca="false">J25</f>
        <v>0.830563950021381</v>
      </c>
      <c r="V25" s="57" t="n">
        <f aca="false">T25*U25</f>
        <v>24460779.9636679</v>
      </c>
      <c r="W25" s="775" t="n">
        <f aca="false">Delay!O26</f>
        <v>12525.3245904487</v>
      </c>
      <c r="X25" s="776" t="n">
        <f aca="false">Delay!S26</f>
        <v>3824.95871605676</v>
      </c>
      <c r="Y25" s="732" t="n">
        <f aca="false">W25-X25</f>
        <v>8700.36587439197</v>
      </c>
      <c r="Z25" s="733" t="n">
        <f aca="false">($D$12+0)/2</f>
        <v>27.5</v>
      </c>
      <c r="AA25" s="59" t="n">
        <f aca="false">($D$10/Z25)*T25</f>
        <v>214187.699272727</v>
      </c>
      <c r="AB25" s="59" t="n">
        <f aca="false">($T25-V25)*($D$10/$Z25)+V25*$D$10/$D$12</f>
        <v>125239.408495753</v>
      </c>
      <c r="AC25" s="56" t="n">
        <f aca="false">AA25-AB25</f>
        <v>88948.290776974</v>
      </c>
      <c r="AD25" s="733" t="n">
        <f aca="false">($D$12+0)/2</f>
        <v>27.5</v>
      </c>
      <c r="AE25" s="59" t="n">
        <f aca="false">T25*$D$11/AD25</f>
        <v>214187.699272727</v>
      </c>
      <c r="AF25" s="59" t="n">
        <f aca="false">($T25-V25)*($D$11/$AD25)+V25*$D$11/$D$12</f>
        <v>125239.408495753</v>
      </c>
      <c r="AG25" s="56" t="n">
        <f aca="false">AE25-AF25</f>
        <v>88948.290776974</v>
      </c>
      <c r="AH25" s="159" t="n">
        <f aca="false">Y25+AC25+AG25</f>
        <v>186596.94742834</v>
      </c>
      <c r="AK25" s="1"/>
      <c r="AL25" s="1"/>
    </row>
    <row r="26" customFormat="false" ht="12.75" hidden="false" customHeight="false" outlineLevel="0" collapsed="false">
      <c r="B26" s="782"/>
      <c r="C26" s="783"/>
      <c r="D26" s="783"/>
      <c r="E26" s="784"/>
      <c r="H26" s="235" t="n">
        <v>20</v>
      </c>
      <c r="I26" s="694" t="n">
        <f aca="false">'Input-Detail'!E34</f>
        <v>30000000</v>
      </c>
      <c r="J26" s="699" t="n">
        <f aca="false">'Input-Detail'!F34</f>
        <v>0.85118550512719</v>
      </c>
      <c r="K26" s="750" t="n">
        <f aca="false">Y26</f>
        <v>9436.07641827653</v>
      </c>
      <c r="L26" s="750" t="n">
        <f aca="false">AC26</f>
        <v>92856.6005593298</v>
      </c>
      <c r="M26" s="750" t="n">
        <f aca="false">AG26</f>
        <v>92856.6005593298</v>
      </c>
      <c r="N26" s="785" t="n">
        <f aca="false">AH26</f>
        <v>195149.277536936</v>
      </c>
      <c r="O26" s="786" t="n">
        <f aca="false">($D$22*$D$18*$D$14+$D$23*$D$19*$D$15+$D$24*$D$16*$D$20)*(1+$D$25)^$H26</f>
        <v>43.2688191940179</v>
      </c>
      <c r="P26" s="753" t="n">
        <f aca="false">N26*O26</f>
        <v>8443878.80558891</v>
      </c>
      <c r="S26" s="82" t="n">
        <v>20</v>
      </c>
      <c r="T26" s="174" t="n">
        <f aca="false">'Input-Detail'!E34</f>
        <v>30000000</v>
      </c>
      <c r="U26" s="787" t="n">
        <f aca="false">J26</f>
        <v>0.85118550512719</v>
      </c>
      <c r="V26" s="89" t="n">
        <f aca="false">T26*U26</f>
        <v>25535565.1538157</v>
      </c>
      <c r="W26" s="788" t="n">
        <f aca="false">Delay!O27</f>
        <v>12738.6994793863</v>
      </c>
      <c r="X26" s="789" t="n">
        <f aca="false">Delay!S27</f>
        <v>3302.62306110982</v>
      </c>
      <c r="Y26" s="750" t="n">
        <f aca="false">W26-X26</f>
        <v>9436.07641827653</v>
      </c>
      <c r="Z26" s="751" t="n">
        <f aca="false">($D$12+0)/2</f>
        <v>27.5</v>
      </c>
      <c r="AA26" s="91" t="n">
        <f aca="false">($D$10/Z26)*T26</f>
        <v>218181.818181818</v>
      </c>
      <c r="AB26" s="91" t="n">
        <f aca="false">($T26-V26)*($D$10/$Z26)+V26*$D$10/$D$12</f>
        <v>125325.217622488</v>
      </c>
      <c r="AC26" s="88" t="n">
        <f aca="false">AA26-AB26</f>
        <v>92856.6005593298</v>
      </c>
      <c r="AD26" s="751" t="n">
        <f aca="false">($D$12+0)/2</f>
        <v>27.5</v>
      </c>
      <c r="AE26" s="91" t="n">
        <f aca="false">T26*$D$11/AD26</f>
        <v>218181.818181818</v>
      </c>
      <c r="AF26" s="91" t="n">
        <f aca="false">($T26-V26)*($D$11/$AD26)+V26*$D$11/$D$12</f>
        <v>125325.217622488</v>
      </c>
      <c r="AG26" s="88" t="n">
        <f aca="false">AE26-AF26</f>
        <v>92856.6005593298</v>
      </c>
      <c r="AH26" s="181" t="n">
        <f aca="false">Y26+AC26+AG26</f>
        <v>195149.277536936</v>
      </c>
      <c r="AK26" s="1"/>
      <c r="AL26" s="1"/>
    </row>
    <row r="27" customFormat="false" ht="12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</row>
    <row r="28" customFormat="false" ht="12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</row>
    <row r="29" customFormat="false" ht="14.25" hidden="false" customHeight="false" outlineLevel="0" collapsed="false">
      <c r="A29" s="790"/>
      <c r="B29" s="790"/>
      <c r="C29" s="790"/>
      <c r="D29" s="790"/>
      <c r="E29" s="790"/>
      <c r="F29" s="790"/>
      <c r="G29" s="790"/>
      <c r="H29" s="194" t="s">
        <v>65</v>
      </c>
      <c r="I29" s="790"/>
      <c r="J29" s="790"/>
      <c r="K29" s="790"/>
      <c r="L29" s="790"/>
      <c r="M29" s="790"/>
      <c r="N29" s="790"/>
      <c r="O29" s="790"/>
      <c r="P29" s="790"/>
      <c r="Q29" s="790"/>
      <c r="R29" s="790"/>
      <c r="S29" s="194" t="s">
        <v>65</v>
      </c>
      <c r="T29" s="790"/>
      <c r="U29" s="790"/>
      <c r="V29" s="790"/>
      <c r="W29" s="790"/>
      <c r="X29" s="790"/>
      <c r="Y29" s="790"/>
      <c r="Z29" s="790"/>
      <c r="AA29" s="790"/>
      <c r="AB29" s="790"/>
      <c r="AC29" s="790"/>
      <c r="AD29" s="790"/>
      <c r="AE29" s="790"/>
      <c r="AF29" s="790"/>
      <c r="AG29" s="790"/>
      <c r="AH29" s="790"/>
      <c r="AI29" s="790"/>
      <c r="AJ29" s="790"/>
      <c r="AK29" s="790"/>
      <c r="AL29" s="790"/>
      <c r="AM29" s="790"/>
      <c r="AN29" s="790"/>
      <c r="AO29" s="790"/>
      <c r="AP29" s="790"/>
      <c r="AQ29" s="790"/>
      <c r="AR29" s="790"/>
      <c r="AS29" s="790"/>
      <c r="AT29" s="790"/>
      <c r="AU29" s="790"/>
      <c r="AV29" s="790"/>
      <c r="AW29" s="790"/>
      <c r="AX29" s="790"/>
      <c r="AY29" s="790"/>
      <c r="AZ29" s="790"/>
      <c r="BA29" s="790"/>
      <c r="BB29" s="790"/>
      <c r="BC29" s="790"/>
      <c r="BD29" s="790"/>
      <c r="BE29" s="790"/>
      <c r="BF29" s="790"/>
      <c r="BG29" s="790"/>
      <c r="BH29" s="790"/>
      <c r="BI29" s="790"/>
      <c r="BJ29" s="790"/>
      <c r="BK29" s="790"/>
      <c r="BL29" s="790"/>
      <c r="BM29" s="790"/>
      <c r="BN29" s="790"/>
      <c r="BO29" s="790"/>
      <c r="BP29" s="790"/>
      <c r="BQ29" s="790"/>
      <c r="BR29" s="790"/>
      <c r="BS29" s="790"/>
      <c r="BT29" s="790"/>
      <c r="BU29" s="790"/>
      <c r="BV29" s="790"/>
      <c r="BW29" s="790"/>
      <c r="BX29" s="790"/>
      <c r="BY29" s="790"/>
      <c r="BZ29" s="790"/>
      <c r="CA29" s="790"/>
      <c r="CB29" s="790"/>
      <c r="CC29" s="790"/>
      <c r="CD29" s="790"/>
      <c r="CE29" s="790"/>
      <c r="CF29" s="790"/>
      <c r="CG29" s="790"/>
      <c r="CH29" s="790"/>
      <c r="CI29" s="790"/>
      <c r="CJ29" s="790"/>
      <c r="CK29" s="790"/>
      <c r="CL29" s="790"/>
      <c r="CM29" s="790"/>
      <c r="CN29" s="790"/>
      <c r="CO29" s="790"/>
      <c r="CP29" s="790"/>
      <c r="CQ29" s="790"/>
      <c r="CR29" s="790"/>
      <c r="CS29" s="790"/>
      <c r="CT29" s="790"/>
      <c r="CU29" s="790"/>
      <c r="CV29" s="790"/>
      <c r="CW29" s="790"/>
      <c r="CX29" s="790"/>
      <c r="CY29" s="790"/>
      <c r="CZ29" s="790"/>
      <c r="DA29" s="790"/>
      <c r="DB29" s="790"/>
      <c r="DC29" s="790"/>
      <c r="DD29" s="790"/>
      <c r="DE29" s="790"/>
      <c r="DF29" s="790"/>
      <c r="DG29" s="790"/>
      <c r="DH29" s="790"/>
      <c r="DI29" s="790"/>
      <c r="DJ29" s="790"/>
      <c r="DK29" s="790"/>
      <c r="DL29" s="790"/>
      <c r="DM29" s="790"/>
      <c r="DN29" s="790"/>
      <c r="DO29" s="790"/>
      <c r="DP29" s="790"/>
      <c r="DQ29" s="790"/>
      <c r="DR29" s="790"/>
      <c r="DS29" s="790"/>
      <c r="DT29" s="790"/>
      <c r="DU29" s="790"/>
      <c r="DV29" s="790"/>
      <c r="DW29" s="790"/>
      <c r="DX29" s="790"/>
      <c r="DY29" s="790"/>
      <c r="DZ29" s="790"/>
      <c r="EA29" s="790"/>
      <c r="EB29" s="790"/>
      <c r="EC29" s="790"/>
      <c r="ED29" s="790"/>
      <c r="EE29" s="790"/>
      <c r="EF29" s="790"/>
      <c r="EG29" s="790"/>
      <c r="EH29" s="790"/>
      <c r="EI29" s="790"/>
      <c r="EJ29" s="790"/>
      <c r="EK29" s="790"/>
      <c r="EL29" s="790"/>
      <c r="EM29" s="790"/>
      <c r="EN29" s="790"/>
      <c r="EO29" s="790"/>
      <c r="EP29" s="790"/>
      <c r="EQ29" s="790"/>
      <c r="ER29" s="790"/>
      <c r="ES29" s="790"/>
      <c r="ET29" s="790"/>
      <c r="EU29" s="790"/>
      <c r="EV29" s="790"/>
      <c r="EW29" s="790"/>
      <c r="EX29" s="790"/>
      <c r="EY29" s="790"/>
      <c r="EZ29" s="790"/>
      <c r="FA29" s="790"/>
      <c r="FB29" s="790"/>
      <c r="FC29" s="790"/>
      <c r="FD29" s="790"/>
      <c r="FE29" s="790"/>
      <c r="FF29" s="790"/>
      <c r="FG29" s="790"/>
      <c r="FH29" s="790"/>
      <c r="FI29" s="790"/>
      <c r="FJ29" s="790"/>
      <c r="FK29" s="790"/>
      <c r="FL29" s="790"/>
      <c r="FM29" s="790"/>
      <c r="FN29" s="790"/>
      <c r="FO29" s="790"/>
      <c r="FP29" s="790"/>
      <c r="FQ29" s="790"/>
      <c r="FR29" s="790"/>
      <c r="FS29" s="790"/>
      <c r="FT29" s="790"/>
      <c r="FU29" s="790"/>
      <c r="FV29" s="790"/>
      <c r="FW29" s="790"/>
      <c r="FX29" s="790"/>
      <c r="FY29" s="790"/>
      <c r="FZ29" s="790"/>
      <c r="GA29" s="790"/>
      <c r="GB29" s="790"/>
      <c r="GC29" s="790"/>
      <c r="GD29" s="790"/>
      <c r="GE29" s="790"/>
      <c r="GF29" s="790"/>
      <c r="GG29" s="790"/>
      <c r="GH29" s="790"/>
      <c r="GI29" s="790"/>
      <c r="GJ29" s="790"/>
      <c r="GK29" s="790"/>
      <c r="GL29" s="790"/>
      <c r="GM29" s="790"/>
      <c r="GN29" s="790"/>
      <c r="GO29" s="790"/>
      <c r="GP29" s="790"/>
      <c r="GQ29" s="790"/>
      <c r="GR29" s="790"/>
      <c r="GS29" s="790"/>
      <c r="GT29" s="790"/>
      <c r="GU29" s="790"/>
      <c r="GV29" s="790"/>
      <c r="GW29" s="790"/>
      <c r="GX29" s="790"/>
      <c r="GY29" s="790"/>
      <c r="GZ29" s="790"/>
      <c r="HA29" s="790"/>
      <c r="HB29" s="790"/>
      <c r="HC29" s="790"/>
      <c r="HD29" s="790"/>
      <c r="HE29" s="790"/>
      <c r="HF29" s="790"/>
      <c r="HG29" s="790"/>
      <c r="HH29" s="790"/>
      <c r="HI29" s="790"/>
      <c r="HJ29" s="790"/>
      <c r="HK29" s="790"/>
      <c r="HL29" s="790"/>
      <c r="HM29" s="790"/>
      <c r="HN29" s="790"/>
      <c r="HO29" s="790"/>
      <c r="HP29" s="790"/>
      <c r="HQ29" s="790"/>
      <c r="HR29" s="790"/>
      <c r="HS29" s="790"/>
      <c r="HT29" s="790"/>
      <c r="HU29" s="790"/>
      <c r="HV29" s="790"/>
      <c r="HW29" s="790"/>
      <c r="HX29" s="790"/>
      <c r="HY29" s="790"/>
      <c r="HZ29" s="790"/>
      <c r="IA29" s="790"/>
      <c r="IB29" s="790"/>
      <c r="IC29" s="790"/>
      <c r="ID29" s="790"/>
      <c r="IE29" s="790"/>
      <c r="IF29" s="790"/>
      <c r="IG29" s="790"/>
      <c r="IH29" s="790"/>
      <c r="II29" s="790"/>
      <c r="IJ29" s="790"/>
      <c r="IK29" s="790"/>
      <c r="IL29" s="790"/>
      <c r="IM29" s="790"/>
      <c r="IN29" s="790"/>
      <c r="IO29" s="790"/>
      <c r="IP29" s="790"/>
      <c r="IQ29" s="790"/>
      <c r="IR29" s="790"/>
      <c r="IS29" s="790"/>
      <c r="IT29" s="790"/>
      <c r="IU29" s="790"/>
      <c r="IV29" s="790"/>
      <c r="IW29" s="790"/>
    </row>
    <row r="30" customFormat="false" ht="13.5" hidden="false" customHeight="false" outlineLevel="0" collapsed="false">
      <c r="A30" s="4"/>
      <c r="B30" s="4"/>
      <c r="C30" s="4"/>
      <c r="D30" s="4"/>
      <c r="E30" s="4"/>
      <c r="F30" s="4"/>
      <c r="G30" s="4"/>
      <c r="H30" s="791" t="s">
        <v>464</v>
      </c>
      <c r="I30" s="792"/>
      <c r="J30" s="792"/>
      <c r="K30" s="792"/>
      <c r="L30" s="792"/>
      <c r="M30" s="792"/>
      <c r="N30" s="792"/>
      <c r="O30" s="792"/>
      <c r="P30" s="793"/>
      <c r="Q30" s="4"/>
      <c r="R30" s="4"/>
      <c r="S30" s="794" t="s">
        <v>465</v>
      </c>
      <c r="T30" s="792"/>
      <c r="U30" s="792"/>
      <c r="V30" s="792"/>
      <c r="W30" s="792"/>
      <c r="X30" s="792"/>
      <c r="Y30" s="792"/>
      <c r="Z30" s="792"/>
      <c r="AA30" s="792"/>
      <c r="AB30" s="792"/>
      <c r="AC30" s="792"/>
      <c r="AD30" s="792"/>
      <c r="AE30" s="792"/>
      <c r="AF30" s="792"/>
      <c r="AG30" s="792"/>
      <c r="AH30" s="793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795" t="s">
        <v>466</v>
      </c>
      <c r="I31" s="21"/>
      <c r="J31" s="21"/>
      <c r="K31" s="21"/>
      <c r="L31" s="21"/>
      <c r="M31" s="21"/>
      <c r="N31" s="21"/>
      <c r="O31" s="21"/>
      <c r="P31" s="796"/>
      <c r="Q31" s="4"/>
      <c r="R31" s="4"/>
      <c r="S31" s="797" t="s">
        <v>467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796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</row>
    <row r="32" customFormat="false" ht="12.75" hidden="false" customHeight="false" outlineLevel="0" collapsed="false">
      <c r="A32" s="4"/>
      <c r="B32" s="4"/>
      <c r="C32" s="4"/>
      <c r="D32" s="4"/>
      <c r="E32" s="4"/>
      <c r="F32" s="4"/>
      <c r="G32" s="4"/>
      <c r="H32" s="798" t="s">
        <v>468</v>
      </c>
      <c r="I32" s="21"/>
      <c r="J32" s="21"/>
      <c r="K32" s="21"/>
      <c r="L32" s="21"/>
      <c r="M32" s="21"/>
      <c r="N32" s="21"/>
      <c r="O32" s="21"/>
      <c r="P32" s="796"/>
      <c r="Q32" s="4"/>
      <c r="R32" s="4"/>
      <c r="S32" s="799" t="s">
        <v>469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796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  <c r="G33" s="4"/>
      <c r="H33" s="799" t="s">
        <v>470</v>
      </c>
      <c r="I33" s="21"/>
      <c r="J33" s="21"/>
      <c r="K33" s="21"/>
      <c r="L33" s="21"/>
      <c r="M33" s="21"/>
      <c r="N33" s="21"/>
      <c r="O33" s="21"/>
      <c r="P33" s="796"/>
      <c r="Q33" s="4"/>
      <c r="R33" s="4"/>
      <c r="S33" s="799" t="s">
        <v>471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796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  <c r="G34" s="4"/>
      <c r="H34" s="799" t="s">
        <v>472</v>
      </c>
      <c r="I34" s="21"/>
      <c r="J34" s="21"/>
      <c r="K34" s="21"/>
      <c r="L34" s="21"/>
      <c r="M34" s="21"/>
      <c r="N34" s="21"/>
      <c r="O34" s="21"/>
      <c r="P34" s="796"/>
      <c r="Q34" s="4"/>
      <c r="R34" s="4"/>
      <c r="S34" s="799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796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799" t="s">
        <v>473</v>
      </c>
      <c r="I35" s="21"/>
      <c r="J35" s="21"/>
      <c r="K35" s="21"/>
      <c r="L35" s="21"/>
      <c r="M35" s="21"/>
      <c r="N35" s="21"/>
      <c r="O35" s="21"/>
      <c r="P35" s="796"/>
      <c r="Q35" s="4"/>
      <c r="R35" s="4"/>
      <c r="S35" s="797" t="s">
        <v>474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796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799" t="s">
        <v>475</v>
      </c>
      <c r="I36" s="21"/>
      <c r="J36" s="21"/>
      <c r="K36" s="21"/>
      <c r="L36" s="21"/>
      <c r="M36" s="21"/>
      <c r="N36" s="21"/>
      <c r="O36" s="21"/>
      <c r="P36" s="796"/>
      <c r="Q36" s="4"/>
      <c r="R36" s="4"/>
      <c r="S36" s="799" t="s">
        <v>476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796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  <c r="G37" s="4"/>
      <c r="H37" s="799" t="s">
        <v>477</v>
      </c>
      <c r="I37" s="21"/>
      <c r="J37" s="21"/>
      <c r="K37" s="21"/>
      <c r="L37" s="21"/>
      <c r="M37" s="21"/>
      <c r="N37" s="21"/>
      <c r="O37" s="21"/>
      <c r="P37" s="796"/>
      <c r="Q37" s="4"/>
      <c r="R37" s="4"/>
      <c r="S37" s="799" t="s">
        <v>478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796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799" t="s">
        <v>479</v>
      </c>
      <c r="I38" s="21"/>
      <c r="J38" s="21"/>
      <c r="K38" s="21"/>
      <c r="L38" s="21"/>
      <c r="M38" s="21"/>
      <c r="N38" s="21"/>
      <c r="O38" s="21"/>
      <c r="P38" s="796"/>
      <c r="Q38" s="4"/>
      <c r="R38" s="4"/>
      <c r="S38" s="799" t="s">
        <v>480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796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799" t="s">
        <v>481</v>
      </c>
      <c r="I39" s="21"/>
      <c r="J39" s="21"/>
      <c r="K39" s="21"/>
      <c r="L39" s="21"/>
      <c r="M39" s="21"/>
      <c r="N39" s="21"/>
      <c r="O39" s="21"/>
      <c r="P39" s="796"/>
      <c r="Q39" s="4"/>
      <c r="R39" s="4"/>
      <c r="S39" s="799" t="s">
        <v>482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796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799" t="s">
        <v>483</v>
      </c>
      <c r="I40" s="21"/>
      <c r="J40" s="21"/>
      <c r="K40" s="21"/>
      <c r="L40" s="21"/>
      <c r="M40" s="21"/>
      <c r="N40" s="21"/>
      <c r="O40" s="21"/>
      <c r="P40" s="796"/>
      <c r="Q40" s="4"/>
      <c r="R40" s="4"/>
      <c r="S40" s="799" t="s">
        <v>484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796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800" t="s">
        <v>485</v>
      </c>
      <c r="I41" s="801"/>
      <c r="J41" s="801"/>
      <c r="K41" s="801"/>
      <c r="L41" s="801"/>
      <c r="M41" s="801"/>
      <c r="N41" s="801"/>
      <c r="O41" s="801"/>
      <c r="P41" s="802"/>
      <c r="Q41" s="4"/>
      <c r="R41" s="4"/>
      <c r="S41" s="799" t="s">
        <v>486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796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customFormat="false" ht="13.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799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796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</row>
    <row r="43" customFormat="false" ht="12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799" t="s">
        <v>477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796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799" t="s">
        <v>487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796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799" t="s">
        <v>488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796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799" t="s">
        <v>489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796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799" t="s">
        <v>490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796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799" t="s">
        <v>491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796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</row>
    <row r="49" customFormat="false" ht="12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803" t="s">
        <v>492</v>
      </c>
      <c r="T49" s="804"/>
      <c r="U49" s="804"/>
      <c r="V49" s="804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796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799" t="s">
        <v>493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796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</row>
    <row r="51" customFormat="false" ht="12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799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796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797" t="s">
        <v>494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796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</row>
    <row r="53" customFormat="false" ht="12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799" t="s">
        <v>495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796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</row>
    <row r="54" customFormat="false" ht="12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799" t="s">
        <v>478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796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</row>
    <row r="55" customFormat="false" ht="12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799" t="s">
        <v>496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796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799" t="s">
        <v>497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796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customFormat="false" ht="12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799" t="s">
        <v>477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796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799" t="s">
        <v>498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796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799" t="s">
        <v>499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796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803" t="s">
        <v>500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796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800" t="s">
        <v>501</v>
      </c>
      <c r="T61" s="801"/>
      <c r="U61" s="801"/>
      <c r="V61" s="801"/>
      <c r="W61" s="801"/>
      <c r="X61" s="801"/>
      <c r="Y61" s="801"/>
      <c r="Z61" s="801"/>
      <c r="AA61" s="801"/>
      <c r="AB61" s="801"/>
      <c r="AC61" s="801"/>
      <c r="AD61" s="801"/>
      <c r="AE61" s="801"/>
      <c r="AF61" s="801"/>
      <c r="AG61" s="801"/>
      <c r="AH61" s="802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</row>
    <row r="62" customFormat="false" ht="13.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</row>
    <row r="63" customFormat="false" ht="12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</row>
    <row r="64" customFormat="false" ht="12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</row>
    <row r="65" customFormat="false" ht="12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</row>
    <row r="66" customFormat="false" ht="12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</row>
    <row r="67" customFormat="false" ht="12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</row>
    <row r="68" customFormat="false" ht="12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</row>
    <row r="69" customFormat="false" ht="12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</row>
    <row r="70" customFormat="false" ht="12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</row>
    <row r="71" customFormat="false" ht="12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</row>
    <row r="72" customFormat="false" ht="12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</row>
    <row r="73" customFormat="false" ht="12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</row>
    <row r="74" customFormat="false" ht="12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</row>
    <row r="75" customFormat="false" ht="12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</row>
    <row r="76" customFormat="false" ht="12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</row>
    <row r="77" customFormat="false" ht="12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</row>
    <row r="78" customFormat="false" ht="12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</row>
    <row r="79" customFormat="false" ht="12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</row>
    <row r="80" customFormat="false" ht="12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</row>
    <row r="81" customFormat="false" ht="12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</row>
    <row r="82" customFormat="false" ht="12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</row>
    <row r="83" customFormat="false" ht="12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</row>
    <row r="84" customFormat="false" ht="12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</row>
    <row r="85" customFormat="false" ht="12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</row>
    <row r="86" customFormat="false" ht="12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</row>
    <row r="87" customFormat="false" ht="12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</row>
    <row r="88" customFormat="false" ht="12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</row>
    <row r="89" customFormat="false" ht="12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</row>
    <row r="90" customFormat="false" ht="12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</row>
    <row r="91" customFormat="false" ht="12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</row>
    <row r="92" customFormat="false" ht="12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</row>
    <row r="93" customFormat="false" ht="12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</row>
    <row r="94" customFormat="false" ht="12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</row>
    <row r="95" customFormat="false" ht="12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</row>
    <row r="96" customFormat="false" ht="12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</row>
    <row r="97" customFormat="false" ht="12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</row>
    <row r="98" customFormat="false" ht="12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</row>
    <row r="99" customFormat="false" ht="12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</row>
    <row r="100" customFormat="false" ht="12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</row>
    <row r="101" customFormat="false" ht="12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</row>
    <row r="102" customFormat="false" ht="12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</row>
    <row r="103" customFormat="false" ht="12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</row>
    <row r="104" customFormat="false" ht="12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</row>
    <row r="105" customFormat="false" ht="12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</row>
    <row r="106" customFormat="false" ht="12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</row>
    <row r="107" customFormat="false" ht="12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</row>
    <row r="108" customFormat="false" ht="12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</row>
    <row r="109" customFormat="false" ht="12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</row>
    <row r="110" customFormat="false" ht="12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</row>
    <row r="111" customFormat="false" ht="12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</row>
    <row r="112" customFormat="false" ht="12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</row>
    <row r="113" customFormat="false" ht="12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</row>
    <row r="114" customFormat="false" ht="12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</row>
    <row r="115" customFormat="false" ht="12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</row>
    <row r="116" customFormat="false" ht="12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</row>
    <row r="117" customFormat="false" ht="12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</row>
    <row r="118" customFormat="false" ht="12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</row>
    <row r="119" customFormat="false" ht="12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</row>
    <row r="120" customFormat="false" ht="12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</row>
    <row r="121" customFormat="false" ht="12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</row>
    <row r="122" customFormat="false" ht="12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</row>
    <row r="123" customFormat="false" ht="12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</row>
    <row r="124" customFormat="false" ht="12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</row>
    <row r="125" customFormat="false" ht="12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</row>
    <row r="126" customFormat="false" ht="12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</row>
    <row r="127" customFormat="false" ht="12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</row>
    <row r="128" customFormat="false" ht="12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</row>
    <row r="129" customFormat="false" ht="12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</row>
    <row r="130" customFormat="false" ht="12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</row>
    <row r="131" customFormat="false" ht="12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</row>
    <row r="132" customFormat="false" ht="12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</row>
    <row r="133" customFormat="false" ht="12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</row>
    <row r="134" customFormat="false" ht="12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</row>
    <row r="135" customFormat="false" ht="12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</row>
    <row r="136" customFormat="false" ht="12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</row>
    <row r="137" customFormat="false" ht="12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</row>
    <row r="138" customFormat="false" ht="12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</row>
    <row r="139" customFormat="false" ht="12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</row>
    <row r="140" customFormat="false" ht="12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</row>
    <row r="141" customFormat="false" ht="12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</row>
    <row r="142" customFormat="false" ht="12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</row>
    <row r="143" customFormat="false" ht="12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</row>
    <row r="144" customFormat="false" ht="12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</row>
    <row r="145" customFormat="false" ht="12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</row>
    <row r="146" customFormat="false" ht="12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</row>
    <row r="147" customFormat="false" ht="12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</row>
    <row r="148" customFormat="false" ht="12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</row>
    <row r="149" customFormat="false" ht="12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</row>
    <row r="150" customFormat="false" ht="12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</row>
    <row r="151" customFormat="false" ht="12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</row>
    <row r="152" customFormat="false" ht="12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</row>
    <row r="153" customFormat="false" ht="12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</row>
    <row r="154" customFormat="false" ht="12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</row>
    <row r="155" customFormat="false" ht="12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</row>
    <row r="156" customFormat="false" ht="12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</row>
    <row r="157" customFormat="false" ht="12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</row>
    <row r="158" customFormat="false" ht="12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</row>
    <row r="159" customFormat="false" ht="12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</row>
    <row r="160" customFormat="false" ht="12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</row>
    <row r="161" customFormat="false" ht="12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</row>
    <row r="162" customFormat="false" ht="12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</row>
    <row r="163" customFormat="false" ht="12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</row>
    <row r="164" customFormat="false" ht="12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</row>
    <row r="165" customFormat="false" ht="12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</row>
    <row r="166" customFormat="false" ht="12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</row>
    <row r="167" customFormat="false" ht="12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</row>
    <row r="168" customFormat="false" ht="12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</row>
    <row r="169" customFormat="false" ht="12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</row>
    <row r="170" customFormat="false" ht="12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</row>
    <row r="171" customFormat="false" ht="12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</row>
    <row r="172" customFormat="false" ht="12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</row>
    <row r="173" customFormat="false" ht="12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</row>
    <row r="174" customFormat="false" ht="12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</row>
    <row r="175" customFormat="false" ht="12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</row>
    <row r="176" customFormat="false" ht="12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</row>
    <row r="177" customFormat="false" ht="12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</row>
    <row r="178" customFormat="false" ht="12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</row>
    <row r="179" customFormat="false" ht="12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</row>
    <row r="180" customFormat="false" ht="12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</row>
    <row r="181" customFormat="false" ht="12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</row>
    <row r="182" customFormat="false" ht="12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</row>
    <row r="183" customFormat="false" ht="12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</row>
    <row r="184" customFormat="false" ht="12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</row>
    <row r="185" customFormat="false" ht="12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</row>
    <row r="186" customFormat="false" ht="12.75" hidden="false" customHeight="false" outlineLevel="0" collapsed="false">
      <c r="H186" s="4"/>
      <c r="I186" s="4"/>
      <c r="J186" s="4"/>
      <c r="K186" s="4"/>
      <c r="L186" s="4"/>
      <c r="M186" s="4"/>
      <c r="N186" s="4"/>
      <c r="O186" s="4"/>
      <c r="P186" s="4"/>
      <c r="Q186" s="4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customFormat="false" ht="12.75" hidden="false" customHeight="false" outlineLevel="0" collapsed="false">
      <c r="H187" s="4"/>
      <c r="Q187" s="4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customFormat="false" ht="12.75" hidden="false" customHeight="false" outlineLevel="0" collapsed="false">
      <c r="H188" s="4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customFormat="false" ht="12.75" hidden="false" customHeight="false" outlineLevel="0" collapsed="false">
      <c r="H189" s="4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customFormat="false" ht="12.75" hidden="false" customHeight="false" outlineLevel="0" collapsed="false">
      <c r="H190" s="4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customFormat="false" ht="12.75" hidden="false" customHeight="false" outlineLevel="0" collapsed="false"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customFormat="false" ht="12.75" hidden="false" customHeight="false" outlineLevel="0" collapsed="false"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customFormat="false" ht="12.75" hidden="false" customHeight="false" outlineLevel="0" collapsed="false"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customFormat="false" ht="12.75" hidden="false" customHeight="false" outlineLevel="0" collapsed="false"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customFormat="false" ht="12.75" hidden="false" customHeight="false" outlineLevel="0" collapsed="false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customFormat="false" ht="12.75" hidden="false" customHeight="false" outlineLevel="0" collapsed="false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customFormat="false" ht="12.75" hidden="false" customHeight="false" outlineLevel="0" collapsed="false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customFormat="false" ht="12.75" hidden="false" customHeight="false" outlineLevel="0" collapsed="false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customFormat="false" ht="12.75" hidden="false" customHeight="false" outlineLevel="0" collapsed="false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customFormat="false" ht="12.75" hidden="false" customHeight="false" outlineLevel="0" collapsed="false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customFormat="false" ht="12.75" hidden="false" customHeight="false" outlineLevel="0" collapsed="false"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customFormat="false" ht="12.75" hidden="false" customHeight="false" outlineLevel="0" collapsed="false"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customFormat="false" ht="12.75" hidden="false" customHeight="false" outlineLevel="0" collapsed="false"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customFormat="false" ht="12.75" hidden="false" customHeight="false" outlineLevel="0" collapsed="false"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customFormat="false" ht="12.75" hidden="false" customHeight="false" outlineLevel="0" collapsed="false"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customFormat="false" ht="12.75" hidden="false" customHeight="false" outlineLevel="0" collapsed="false"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customFormat="false" ht="12.75" hidden="false" customHeight="false" outlineLevel="0" collapsed="false"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customFormat="false" ht="12.75" hidden="false" customHeight="false" outlineLevel="0" collapsed="false"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customFormat="false" ht="12.75" hidden="false" customHeight="false" outlineLevel="0" collapsed="false"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customFormat="false" ht="12.75" hidden="false" customHeight="false" outlineLevel="0" collapsed="false"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customFormat="false" ht="12.75" hidden="false" customHeight="false" outlineLevel="0" collapsed="false"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customFormat="false" ht="12.75" hidden="false" customHeight="false" outlineLevel="0" collapsed="false"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customFormat="false" ht="12.75" hidden="false" customHeight="false" outlineLevel="0" collapsed="false"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customFormat="false" ht="12.75" hidden="false" customHeight="false" outlineLevel="0" collapsed="false"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customFormat="false" ht="12.75" hidden="false" customHeight="false" outlineLevel="0" collapsed="false"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customFormat="false" ht="12.75" hidden="false" customHeight="false" outlineLevel="0" collapsed="false"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customFormat="false" ht="12.75" hidden="false" customHeight="false" outlineLevel="0" collapsed="false"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customFormat="false" ht="12.75" hidden="false" customHeight="false" outlineLevel="0" collapsed="false"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customFormat="false" ht="12.75" hidden="false" customHeight="false" outlineLevel="0" collapsed="false"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customFormat="false" ht="12.75" hidden="false" customHeight="false" outlineLevel="0" collapsed="false"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customFormat="false" ht="12.75" hidden="false" customHeight="false" outlineLevel="0" collapsed="false"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customFormat="false" ht="12.75" hidden="false" customHeight="false" outlineLevel="0" collapsed="false"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customFormat="false" ht="12.75" hidden="false" customHeight="false" outlineLevel="0" collapsed="false"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customFormat="false" ht="12.75" hidden="false" customHeight="false" outlineLevel="0" collapsed="false"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customFormat="false" ht="12.75" hidden="false" customHeight="false" outlineLevel="0" collapsed="false"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customFormat="false" ht="12.75" hidden="false" customHeight="false" outlineLevel="0" collapsed="false"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customFormat="false" ht="12.75" hidden="false" customHeight="false" outlineLevel="0" collapsed="false"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customFormat="false" ht="12.75" hidden="false" customHeight="false" outlineLevel="0" collapsed="false"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customFormat="false" ht="12.75" hidden="false" customHeight="false" outlineLevel="0" collapsed="false"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customFormat="false" ht="12.75" hidden="false" customHeight="false" outlineLevel="0" collapsed="false"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customFormat="false" ht="12.75" hidden="false" customHeight="false" outlineLevel="0" collapsed="false"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customFormat="false" ht="12.75" hidden="false" customHeight="false" outlineLevel="0" collapsed="false"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customFormat="false" ht="12.75" hidden="false" customHeight="false" outlineLevel="0" collapsed="false"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customFormat="false" ht="12.75" hidden="false" customHeight="false" outlineLevel="0" collapsed="false"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customFormat="false" ht="12.75" hidden="false" customHeight="false" outlineLevel="0" collapsed="false"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customFormat="false" ht="12.75" hidden="false" customHeight="false" outlineLevel="0" collapsed="false"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customFormat="false" ht="12.75" hidden="false" customHeight="false" outlineLevel="0" collapsed="false"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customFormat="false" ht="12.75" hidden="false" customHeight="false" outlineLevel="0" collapsed="false"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customFormat="false" ht="12.75" hidden="false" customHeight="false" outlineLevel="0" collapsed="false"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customFormat="false" ht="12.75" hidden="false" customHeight="false" outlineLevel="0" collapsed="false"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customFormat="false" ht="12.75" hidden="false" customHeight="false" outlineLevel="0" collapsed="false"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customFormat="false" ht="12.75" hidden="false" customHeight="false" outlineLevel="0" collapsed="false"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customFormat="false" ht="12.75" hidden="false" customHeight="false" outlineLevel="0" collapsed="false"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customFormat="false" ht="12.75" hidden="false" customHeight="false" outlineLevel="0" collapsed="false"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customFormat="false" ht="12.75" hidden="false" customHeight="false" outlineLevel="0" collapsed="false"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customFormat="false" ht="12.75" hidden="false" customHeight="false" outlineLevel="0" collapsed="false"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customFormat="false" ht="12.75" hidden="false" customHeight="false" outlineLevel="0" collapsed="false"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customFormat="false" ht="12.75" hidden="false" customHeight="false" outlineLevel="0" collapsed="false"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customFormat="false" ht="12.75" hidden="false" customHeight="false" outlineLevel="0" collapsed="false"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customFormat="false" ht="12.75" hidden="false" customHeight="false" outlineLevel="0" collapsed="false"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customFormat="false" ht="12.75" hidden="false" customHeight="false" outlineLevel="0" collapsed="false"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customFormat="false" ht="12.75" hidden="false" customHeight="false" outlineLevel="0" collapsed="false"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customFormat="false" ht="12.75" hidden="false" customHeight="false" outlineLevel="0" collapsed="false"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customFormat="false" ht="12.75" hidden="false" customHeight="false" outlineLevel="0" collapsed="false"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customFormat="false" ht="12.75" hidden="false" customHeight="false" outlineLevel="0" collapsed="false"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customFormat="false" ht="12.75" hidden="false" customHeight="false" outlineLevel="0" collapsed="false"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customFormat="false" ht="12.75" hidden="false" customHeight="false" outlineLevel="0" collapsed="false"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customFormat="false" ht="12.75" hidden="false" customHeight="false" outlineLevel="0" collapsed="false"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customFormat="false" ht="12.75" hidden="false" customHeight="false" outlineLevel="0" collapsed="false"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customFormat="false" ht="12.75" hidden="false" customHeight="false" outlineLevel="0" collapsed="false"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customFormat="false" ht="12.75" hidden="false" customHeight="false" outlineLevel="0" collapsed="false"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customFormat="false" ht="12.75" hidden="false" customHeight="false" outlineLevel="0" collapsed="false"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customFormat="false" ht="12.75" hidden="false" customHeight="false" outlineLevel="0" collapsed="false"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customFormat="false" ht="12.75" hidden="false" customHeight="false" outlineLevel="0" collapsed="false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customFormat="false" ht="12.75" hidden="false" customHeight="false" outlineLevel="0" collapsed="false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customFormat="false" ht="12.75" hidden="false" customHeight="false" outlineLevel="0" collapsed="false"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customFormat="false" ht="12.75" hidden="false" customHeight="false" outlineLevel="0" collapsed="false"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</sheetData>
  <mergeCells count="14">
    <mergeCell ref="H4:H5"/>
    <mergeCell ref="I4:I5"/>
    <mergeCell ref="J4:J5"/>
    <mergeCell ref="K4:N4"/>
    <mergeCell ref="O4:O5"/>
    <mergeCell ref="P4:P5"/>
    <mergeCell ref="S4:S5"/>
    <mergeCell ref="T4:T5"/>
    <mergeCell ref="U4:U5"/>
    <mergeCell ref="V4:V5"/>
    <mergeCell ref="W4:Y4"/>
    <mergeCell ref="Z4:AC4"/>
    <mergeCell ref="AD4:AG4"/>
    <mergeCell ref="AH4:AH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44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23" activeCellId="0" sqref="C23"/>
    </sheetView>
  </sheetViews>
  <sheetFormatPr defaultColWidth="8.84765625" defaultRowHeight="12.75" customHeight="false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1" width="34.85"/>
    <col collapsed="false" customWidth="true" hidden="false" outlineLevel="0" max="3" min="3" style="1" width="10.71"/>
    <col collapsed="false" customWidth="false" hidden="false" outlineLevel="0" max="7" min="4" style="1" width="8.85"/>
    <col collapsed="false" customWidth="true" hidden="false" outlineLevel="0" max="8" min="8" style="1" width="10.56"/>
    <col collapsed="false" customWidth="false" hidden="false" outlineLevel="0" max="9" min="9" style="1" width="8.85"/>
    <col collapsed="false" customWidth="true" hidden="false" outlineLevel="0" max="10" min="10" style="1" width="9.99"/>
    <col collapsed="false" customWidth="false" hidden="false" outlineLevel="0" max="12" min="11" style="1" width="8.85"/>
    <col collapsed="false" customWidth="true" hidden="false" outlineLevel="0" max="13" min="13" style="1" width="7.28"/>
    <col collapsed="false" customWidth="true" hidden="false" outlineLevel="0" max="14" min="14" style="1" width="8.41"/>
    <col collapsed="false" customWidth="true" hidden="false" outlineLevel="0" max="15" min="15" style="1" width="13.99"/>
    <col collapsed="false" customWidth="false" hidden="false" outlineLevel="0" max="16" min="16" style="1" width="8.85"/>
    <col collapsed="false" customWidth="true" hidden="false" outlineLevel="0" max="17" min="17" style="1" width="6.85"/>
    <col collapsed="false" customWidth="true" hidden="false" outlineLevel="0" max="18" min="18" style="1" width="12.28"/>
    <col collapsed="false" customWidth="true" hidden="false" outlineLevel="0" max="19" min="19" style="1" width="10.56"/>
    <col collapsed="false" customWidth="true" hidden="false" outlineLevel="0" max="20" min="20" style="1" width="11.28"/>
    <col collapsed="false" customWidth="true" hidden="false" outlineLevel="0" max="21" min="21" style="1" width="11.99"/>
    <col collapsed="false" customWidth="true" hidden="false" outlineLevel="0" max="23" min="22" style="1" width="11.56"/>
    <col collapsed="false" customWidth="true" hidden="false" outlineLevel="0" max="24" min="24" style="1" width="10.41"/>
    <col collapsed="false" customWidth="true" hidden="false" outlineLevel="0" max="25" min="25" style="1" width="11.42"/>
    <col collapsed="false" customWidth="true" hidden="false" outlineLevel="0" max="26" min="26" style="1" width="12.28"/>
    <col collapsed="false" customWidth="true" hidden="false" outlineLevel="0" max="27" min="27" style="1" width="13.85"/>
    <col collapsed="false" customWidth="true" hidden="false" outlineLevel="0" max="28" min="28" style="1" width="11.85"/>
    <col collapsed="false" customWidth="true" hidden="false" outlineLevel="0" max="29" min="29" style="1" width="13.85"/>
    <col collapsed="false" customWidth="true" hidden="false" outlineLevel="0" max="30" min="30" style="1" width="10.56"/>
    <col collapsed="false" customWidth="true" hidden="false" outlineLevel="0" max="31" min="31" style="1" width="10.41"/>
    <col collapsed="false" customWidth="true" hidden="false" outlineLevel="0" max="32" min="32" style="1" width="9.7"/>
    <col collapsed="false" customWidth="true" hidden="false" outlineLevel="0" max="33" min="33" style="1" width="11.7"/>
    <col collapsed="false" customWidth="true" hidden="false" outlineLevel="0" max="34" min="34" style="1" width="10.13"/>
    <col collapsed="false" customWidth="false" hidden="false" outlineLevel="0" max="257" min="35" style="1" width="8.85"/>
  </cols>
  <sheetData>
    <row r="2" customFormat="false" ht="12.75" hidden="false" customHeight="false" outlineLevel="0" collapsed="false">
      <c r="A2" s="7" t="s">
        <v>445</v>
      </c>
      <c r="B2" s="3"/>
      <c r="C2" s="3"/>
      <c r="D2" s="3"/>
      <c r="E2" s="3"/>
      <c r="F2" s="3"/>
      <c r="H2" s="3"/>
      <c r="I2" s="7" t="s">
        <v>502</v>
      </c>
      <c r="J2" s="3"/>
      <c r="K2" s="3"/>
      <c r="L2" s="3"/>
      <c r="M2" s="3"/>
      <c r="N2" s="3"/>
      <c r="O2" s="3"/>
      <c r="S2" s="3"/>
      <c r="T2" s="3"/>
      <c r="U2" s="7" t="s">
        <v>503</v>
      </c>
      <c r="V2" s="3"/>
      <c r="W2" s="3"/>
      <c r="X2" s="3"/>
      <c r="Y2" s="3"/>
      <c r="Z2" s="3"/>
    </row>
    <row r="3" customFormat="false" ht="12.7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R3" s="3"/>
      <c r="S3" s="3"/>
      <c r="T3" s="3"/>
      <c r="U3" s="3"/>
      <c r="V3" s="3"/>
      <c r="W3" s="3"/>
      <c r="X3" s="3"/>
      <c r="Y3" s="3"/>
      <c r="Z3" s="3"/>
    </row>
    <row r="4" customFormat="false" ht="18.75" hidden="false" customHeight="true" outlineLevel="0" collapsed="false">
      <c r="A4" s="805"/>
      <c r="B4" s="806"/>
      <c r="C4" s="806"/>
      <c r="D4" s="807"/>
      <c r="G4" s="14" t="s">
        <v>4</v>
      </c>
      <c r="H4" s="760" t="s">
        <v>504</v>
      </c>
      <c r="I4" s="760"/>
      <c r="J4" s="760"/>
      <c r="K4" s="760" t="s">
        <v>505</v>
      </c>
      <c r="L4" s="760"/>
      <c r="M4" s="760"/>
      <c r="N4" s="760"/>
      <c r="O4" s="808" t="s">
        <v>506</v>
      </c>
      <c r="Q4" s="14" t="s">
        <v>4</v>
      </c>
      <c r="R4" s="14" t="s">
        <v>43</v>
      </c>
      <c r="S4" s="14" t="s">
        <v>10</v>
      </c>
      <c r="T4" s="760" t="s">
        <v>507</v>
      </c>
      <c r="U4" s="760"/>
      <c r="V4" s="760"/>
      <c r="W4" s="760"/>
      <c r="X4" s="760" t="s">
        <v>508</v>
      </c>
      <c r="Y4" s="760"/>
      <c r="Z4" s="760"/>
      <c r="AA4" s="760" t="s">
        <v>509</v>
      </c>
      <c r="AB4" s="760"/>
      <c r="AC4" s="760"/>
      <c r="AD4" s="760" t="s">
        <v>510</v>
      </c>
      <c r="AE4" s="760"/>
      <c r="AF4" s="760"/>
    </row>
    <row r="5" customFormat="false" ht="21.75" hidden="false" customHeight="true" outlineLevel="0" collapsed="false">
      <c r="A5" s="65" t="s">
        <v>30</v>
      </c>
      <c r="B5" s="30"/>
      <c r="C5" s="72" t="n">
        <f aca="false">'Input-Detail'!AZ29</f>
        <v>55</v>
      </c>
      <c r="D5" s="73"/>
      <c r="G5" s="14"/>
      <c r="H5" s="762" t="s">
        <v>192</v>
      </c>
      <c r="I5" s="762" t="s">
        <v>200</v>
      </c>
      <c r="J5" s="762" t="s">
        <v>204</v>
      </c>
      <c r="K5" s="762" t="s">
        <v>192</v>
      </c>
      <c r="L5" s="762" t="s">
        <v>200</v>
      </c>
      <c r="M5" s="762" t="s">
        <v>204</v>
      </c>
      <c r="N5" s="763" t="s">
        <v>60</v>
      </c>
      <c r="O5" s="808"/>
      <c r="Q5" s="14"/>
      <c r="R5" s="14"/>
      <c r="S5" s="14"/>
      <c r="T5" s="762" t="s">
        <v>511</v>
      </c>
      <c r="U5" s="762" t="s">
        <v>457</v>
      </c>
      <c r="V5" s="762" t="s">
        <v>458</v>
      </c>
      <c r="W5" s="763" t="s">
        <v>60</v>
      </c>
      <c r="X5" s="762" t="s">
        <v>192</v>
      </c>
      <c r="Y5" s="762" t="s">
        <v>200</v>
      </c>
      <c r="Z5" s="762" t="s">
        <v>204</v>
      </c>
      <c r="AA5" s="762" t="s">
        <v>192</v>
      </c>
      <c r="AB5" s="762" t="s">
        <v>200</v>
      </c>
      <c r="AC5" s="762" t="s">
        <v>204</v>
      </c>
      <c r="AD5" s="762" t="s">
        <v>192</v>
      </c>
      <c r="AE5" s="762" t="s">
        <v>200</v>
      </c>
      <c r="AF5" s="762" t="s">
        <v>204</v>
      </c>
    </row>
    <row r="6" customFormat="false" ht="13.5" hidden="false" customHeight="false" outlineLevel="0" collapsed="false">
      <c r="A6" s="65" t="s">
        <v>512</v>
      </c>
      <c r="B6" s="30"/>
      <c r="C6" s="809" t="n">
        <f aca="false">'Input-Detail'!BV11</f>
        <v>25</v>
      </c>
      <c r="D6" s="67"/>
      <c r="G6" s="215" t="s">
        <v>64</v>
      </c>
      <c r="H6" s="767"/>
      <c r="I6" s="767"/>
      <c r="J6" s="767"/>
      <c r="K6" s="810"/>
      <c r="L6" s="810"/>
      <c r="M6" s="810"/>
      <c r="N6" s="811"/>
      <c r="O6" s="811"/>
      <c r="Q6" s="215" t="s">
        <v>64</v>
      </c>
      <c r="R6" s="669" t="n">
        <f aca="false">'Time Value'!I6</f>
        <v>19016173</v>
      </c>
      <c r="S6" s="674" t="n">
        <f aca="false">'Time Value'!J6</f>
        <v>0</v>
      </c>
      <c r="T6" s="767"/>
      <c r="U6" s="767"/>
      <c r="V6" s="767"/>
      <c r="W6" s="767"/>
      <c r="X6" s="767"/>
      <c r="Y6" s="767"/>
      <c r="Z6" s="767"/>
      <c r="AA6" s="767"/>
      <c r="AB6" s="767"/>
      <c r="AC6" s="767"/>
      <c r="AD6" s="767"/>
      <c r="AE6" s="767"/>
      <c r="AF6" s="767"/>
    </row>
    <row r="7" customFormat="false" ht="12.75" hidden="false" customHeight="false" outlineLevel="0" collapsed="false">
      <c r="A7" s="65" t="s">
        <v>513</v>
      </c>
      <c r="B7" s="30"/>
      <c r="C7" s="68"/>
      <c r="D7" s="67"/>
      <c r="G7" s="215" t="n">
        <v>1</v>
      </c>
      <c r="H7" s="732" t="n">
        <f aca="false">AD7</f>
        <v>270.567113508756</v>
      </c>
      <c r="I7" s="732" t="n">
        <f aca="false">AE7</f>
        <v>84.6246037742508</v>
      </c>
      <c r="J7" s="732" t="n">
        <f aca="false">AF7</f>
        <v>1965.41952651188</v>
      </c>
      <c r="K7" s="812" t="n">
        <f aca="false">H7*$C$20</f>
        <v>344.973069723664</v>
      </c>
      <c r="L7" s="812" t="n">
        <f aca="false">I7*$C$21</f>
        <v>107.89636981217</v>
      </c>
      <c r="M7" s="812" t="n">
        <f aca="false">J7*$C$22</f>
        <v>12.3821430170249</v>
      </c>
      <c r="N7" s="813" t="n">
        <f aca="false">SUM(K7:M7)</f>
        <v>465.251582552858</v>
      </c>
      <c r="O7" s="813" t="n">
        <f aca="false">V7*$C$8*$C$23</f>
        <v>8106.05927111252</v>
      </c>
      <c r="Q7" s="215" t="n">
        <v>1</v>
      </c>
      <c r="R7" s="669" t="n">
        <f aca="false">'Time Value'!I7</f>
        <v>19565364.35</v>
      </c>
      <c r="S7" s="674" t="n">
        <f aca="false">'Time Value'!J7</f>
        <v>0.0699842202922738</v>
      </c>
      <c r="T7" s="732" t="n">
        <f aca="false">'Time Value'!K7</f>
        <v>-2159.96340579931</v>
      </c>
      <c r="U7" s="732" t="n">
        <f aca="false">'Time Value'!L7</f>
        <v>4979.15188643275</v>
      </c>
      <c r="V7" s="732" t="n">
        <f aca="false">'Time Value'!M7</f>
        <v>4979.15188643275</v>
      </c>
      <c r="W7" s="732" t="n">
        <f aca="false">'Time Value'!N7</f>
        <v>7798.3403670662</v>
      </c>
      <c r="X7" s="732" t="n">
        <f aca="false">$C$15*60*T7/1000</f>
        <v>-0</v>
      </c>
      <c r="Y7" s="732" t="n">
        <f aca="false">$C$16*60*T7/1000</f>
        <v>-19.4396706521938</v>
      </c>
      <c r="Z7" s="732" t="n">
        <f aca="false">$C$17*60*T7/1000</f>
        <v>-323.994510869896</v>
      </c>
      <c r="AA7" s="732" t="n">
        <f aca="false">V7*$C$8*$C$10/1000</f>
        <v>270.567113508756</v>
      </c>
      <c r="AB7" s="732" t="n">
        <f aca="false">V7*$C$8*$C$11/1000</f>
        <v>104.064274426445</v>
      </c>
      <c r="AC7" s="732" t="n">
        <f aca="false">V7*$C$8*$C$12/1000</f>
        <v>2289.41403738178</v>
      </c>
      <c r="AD7" s="732" t="n">
        <f aca="false">X7+AA7</f>
        <v>270.567113508756</v>
      </c>
      <c r="AE7" s="732" t="n">
        <f aca="false">Y7+AB7</f>
        <v>84.6246037742508</v>
      </c>
      <c r="AF7" s="732" t="n">
        <f aca="false">Z7+AC7</f>
        <v>1965.41952651188</v>
      </c>
    </row>
    <row r="8" customFormat="false" ht="12.75" hidden="false" customHeight="false" outlineLevel="0" collapsed="false">
      <c r="A8" s="778"/>
      <c r="B8" s="30" t="s">
        <v>458</v>
      </c>
      <c r="C8" s="814" t="n">
        <f aca="false">C5/C6</f>
        <v>2.2</v>
      </c>
      <c r="D8" s="67"/>
      <c r="G8" s="215" t="n">
        <v>2</v>
      </c>
      <c r="H8" s="732" t="n">
        <f aca="false">AD8</f>
        <v>530.559166061547</v>
      </c>
      <c r="I8" s="732" t="n">
        <f aca="false">AE8</f>
        <v>197.97739460305</v>
      </c>
      <c r="J8" s="732" t="n">
        <f aca="false">AF8</f>
        <v>4387.9497378694</v>
      </c>
      <c r="K8" s="812" t="n">
        <f aca="false">H8*$C$20</f>
        <v>676.462936728473</v>
      </c>
      <c r="L8" s="812" t="n">
        <f aca="false">I8*$C$21</f>
        <v>252.421178118889</v>
      </c>
      <c r="M8" s="812" t="n">
        <f aca="false">J8*$C$22</f>
        <v>27.6440833485772</v>
      </c>
      <c r="N8" s="813" t="n">
        <f aca="false">SUM(K8:M8)</f>
        <v>956.528198195939</v>
      </c>
      <c r="O8" s="813" t="n">
        <f aca="false">V8*$C$8*$C$23</f>
        <v>15895.2948536658</v>
      </c>
      <c r="Q8" s="215" t="n">
        <v>2</v>
      </c>
      <c r="R8" s="669" t="n">
        <f aca="false">'Time Value'!I8</f>
        <v>20114555.7</v>
      </c>
      <c r="S8" s="674" t="n">
        <f aca="false">'Time Value'!J8</f>
        <v>0.133486220755981</v>
      </c>
      <c r="T8" s="732" t="n">
        <f aca="false">'Time Value'!K8</f>
        <v>-675.980345881058</v>
      </c>
      <c r="U8" s="732" t="n">
        <f aca="false">'Time Value'!L8</f>
        <v>9763.69462755881</v>
      </c>
      <c r="V8" s="732" t="n">
        <f aca="false">'Time Value'!M8</f>
        <v>9763.69462755884</v>
      </c>
      <c r="W8" s="732" t="n">
        <f aca="false">'Time Value'!N8</f>
        <v>18851.4089092366</v>
      </c>
      <c r="X8" s="732" t="n">
        <f aca="false">$C$15*60*T8/1000</f>
        <v>-0</v>
      </c>
      <c r="Y8" s="732" t="n">
        <f aca="false">$C$16*60*T8/1000</f>
        <v>-6.08382311292953</v>
      </c>
      <c r="Z8" s="732" t="n">
        <f aca="false">$C$17*60*T8/1000</f>
        <v>-101.397051882159</v>
      </c>
      <c r="AA8" s="732" t="n">
        <f aca="false">V8*$C$8*$C$10/1000</f>
        <v>530.559166061547</v>
      </c>
      <c r="AB8" s="732" t="n">
        <f aca="false">V8*$C$8*$C$11/1000</f>
        <v>204.06121771598</v>
      </c>
      <c r="AC8" s="732" t="n">
        <f aca="false">V8*$C$8*$C$12/1000</f>
        <v>4489.34678975156</v>
      </c>
      <c r="AD8" s="732" t="n">
        <f aca="false">X8+AA8</f>
        <v>530.559166061547</v>
      </c>
      <c r="AE8" s="732" t="n">
        <f aca="false">Y8+AB8</f>
        <v>197.97739460305</v>
      </c>
      <c r="AF8" s="732" t="n">
        <f aca="false">Z8+AC8</f>
        <v>4387.9497378694</v>
      </c>
    </row>
    <row r="9" customFormat="false" ht="12.75" hidden="false" customHeight="false" outlineLevel="0" collapsed="false">
      <c r="A9" s="65" t="s">
        <v>514</v>
      </c>
      <c r="B9" s="30"/>
      <c r="C9" s="777"/>
      <c r="D9" s="67"/>
      <c r="G9" s="215" t="n">
        <v>3</v>
      </c>
      <c r="H9" s="732" t="n">
        <f aca="false">AD9</f>
        <v>785.156306495106</v>
      </c>
      <c r="I9" s="732" t="n">
        <f aca="false">AE9</f>
        <v>274.003287754539</v>
      </c>
      <c r="J9" s="732" t="n">
        <f aca="false">AF9</f>
        <v>6177.29850153998</v>
      </c>
      <c r="K9" s="812" t="n">
        <f aca="false">H9*$C$20</f>
        <v>1001.07429078126</v>
      </c>
      <c r="L9" s="812" t="n">
        <f aca="false">I9*$C$21</f>
        <v>349.354191887038</v>
      </c>
      <c r="M9" s="812" t="n">
        <f aca="false">J9*$C$22</f>
        <v>38.9169805597019</v>
      </c>
      <c r="N9" s="813" t="n">
        <f aca="false">SUM(K9:M9)</f>
        <v>1389.345463228</v>
      </c>
      <c r="O9" s="813" t="n">
        <f aca="false">V9*$C$8*$C$23</f>
        <v>23522.9014901368</v>
      </c>
      <c r="Q9" s="215" t="n">
        <v>3</v>
      </c>
      <c r="R9" s="669" t="n">
        <f aca="false">'Time Value'!I9</f>
        <v>20663747.05</v>
      </c>
      <c r="S9" s="674" t="n">
        <f aca="false">'Time Value'!J9</f>
        <v>0.192291508405303</v>
      </c>
      <c r="T9" s="732" t="n">
        <f aca="false">'Time Value'!K9</f>
        <v>-3108.87856125232</v>
      </c>
      <c r="U9" s="732" t="n">
        <f aca="false">'Time Value'!L9</f>
        <v>14448.9566892732</v>
      </c>
      <c r="V9" s="732" t="n">
        <f aca="false">'Time Value'!M9</f>
        <v>14448.9566892732</v>
      </c>
      <c r="W9" s="732" t="n">
        <f aca="false">'Time Value'!N9</f>
        <v>25789.0348172941</v>
      </c>
      <c r="X9" s="732" t="n">
        <f aca="false">$C$15*60*T9/1000</f>
        <v>-0</v>
      </c>
      <c r="Y9" s="732" t="n">
        <f aca="false">$C$16*60*T9/1000</f>
        <v>-27.9799070512709</v>
      </c>
      <c r="Z9" s="732" t="n">
        <f aca="false">$C$17*60*T9/1000</f>
        <v>-466.331784187848</v>
      </c>
      <c r="AA9" s="732" t="n">
        <f aca="false">V9*$C$8*$C$10/1000</f>
        <v>785.156306495106</v>
      </c>
      <c r="AB9" s="732" t="n">
        <f aca="false">V9*$C$8*$C$11/1000</f>
        <v>301.98319480581</v>
      </c>
      <c r="AC9" s="732" t="n">
        <f aca="false">V9*$C$8*$C$12/1000</f>
        <v>6643.63028572782</v>
      </c>
      <c r="AD9" s="732" t="n">
        <f aca="false">X9+AA9</f>
        <v>785.156306495106</v>
      </c>
      <c r="AE9" s="732" t="n">
        <f aca="false">Y9+AB9</f>
        <v>274.003287754539</v>
      </c>
      <c r="AF9" s="732" t="n">
        <f aca="false">Z9+AC9</f>
        <v>6177.29850153998</v>
      </c>
    </row>
    <row r="10" customFormat="false" ht="12.75" hidden="false" customHeight="false" outlineLevel="0" collapsed="false">
      <c r="A10" s="65"/>
      <c r="B10" s="30" t="s">
        <v>192</v>
      </c>
      <c r="C10" s="72" t="n">
        <f aca="false">'Input-Detail'!BV14</f>
        <v>24.7</v>
      </c>
      <c r="D10" s="67"/>
      <c r="E10" s="69"/>
      <c r="F10" s="69"/>
      <c r="G10" s="215" t="n">
        <v>4</v>
      </c>
      <c r="H10" s="732" t="n">
        <f aca="false">AD10</f>
        <v>1035.91799326352</v>
      </c>
      <c r="I10" s="732" t="n">
        <f aca="false">AE10</f>
        <v>392.632787027027</v>
      </c>
      <c r="J10" s="732" t="n">
        <f aca="false">AF10</f>
        <v>8668.83976996537</v>
      </c>
      <c r="K10" s="812" t="n">
        <f aca="false">H10*$C$20</f>
        <v>1320.79544141099</v>
      </c>
      <c r="L10" s="812" t="n">
        <f aca="false">I10*$C$21</f>
        <v>500.60680345946</v>
      </c>
      <c r="M10" s="812" t="n">
        <f aca="false">J10*$C$22</f>
        <v>54.6136905507818</v>
      </c>
      <c r="N10" s="813" t="n">
        <f aca="false">SUM(K10:M10)</f>
        <v>1876.01593542123</v>
      </c>
      <c r="O10" s="813" t="n">
        <f aca="false">V10*$C$8*$C$23</f>
        <v>31035.5997981783</v>
      </c>
      <c r="Q10" s="215" t="n">
        <v>4</v>
      </c>
      <c r="R10" s="669" t="n">
        <f aca="false">'Time Value'!I10</f>
        <v>21212938.4</v>
      </c>
      <c r="S10" s="674" t="n">
        <f aca="false">'Time Value'!J10</f>
        <v>0.247136906120865</v>
      </c>
      <c r="T10" s="732" t="n">
        <f aca="false">'Time Value'!K10</f>
        <v>-644.1344868909</v>
      </c>
      <c r="U10" s="732" t="n">
        <f aca="false">'Time Value'!L10</f>
        <v>19063.6362396673</v>
      </c>
      <c r="V10" s="732" t="n">
        <f aca="false">'Time Value'!M10</f>
        <v>19063.6362396673</v>
      </c>
      <c r="W10" s="732" t="n">
        <f aca="false">'Time Value'!N10</f>
        <v>37483.1379924436</v>
      </c>
      <c r="X10" s="732" t="n">
        <f aca="false">$C$15*60*T10/1000</f>
        <v>-0</v>
      </c>
      <c r="Y10" s="732" t="n">
        <f aca="false">$C$16*60*T10/1000</f>
        <v>-5.7972103820181</v>
      </c>
      <c r="Z10" s="732" t="n">
        <f aca="false">$C$17*60*T10/1000</f>
        <v>-96.620173033635</v>
      </c>
      <c r="AA10" s="732" t="n">
        <f aca="false">V10*$C$8*$C$10/1000</f>
        <v>1035.91799326352</v>
      </c>
      <c r="AB10" s="732" t="n">
        <f aca="false">V10*$C$8*$C$11/1000</f>
        <v>398.429997409046</v>
      </c>
      <c r="AC10" s="732" t="n">
        <f aca="false">V10*$C$8*$C$12/1000</f>
        <v>8765.459942999</v>
      </c>
      <c r="AD10" s="732" t="n">
        <f aca="false">X10+AA10</f>
        <v>1035.91799326352</v>
      </c>
      <c r="AE10" s="732" t="n">
        <f aca="false">Y10+AB10</f>
        <v>392.632787027027</v>
      </c>
      <c r="AF10" s="732" t="n">
        <f aca="false">Z10+AC10</f>
        <v>8668.83976996537</v>
      </c>
    </row>
    <row r="11" customFormat="false" ht="12.75" hidden="false" customHeight="false" outlineLevel="0" collapsed="false">
      <c r="A11" s="778"/>
      <c r="B11" s="30" t="s">
        <v>200</v>
      </c>
      <c r="C11" s="72" t="n">
        <f aca="false">'Input-Detail'!BV15</f>
        <v>9.5</v>
      </c>
      <c r="D11" s="67"/>
      <c r="G11" s="215" t="n">
        <v>5</v>
      </c>
      <c r="H11" s="732" t="n">
        <f aca="false">AD11</f>
        <v>1285.69226296186</v>
      </c>
      <c r="I11" s="732" t="n">
        <f aca="false">AE11</f>
        <v>499.130910771646</v>
      </c>
      <c r="J11" s="732" t="n">
        <f aca="false">AF11</f>
        <v>10956.1659753466</v>
      </c>
      <c r="K11" s="812" t="n">
        <f aca="false">H11*$C$20</f>
        <v>1639.25763527637</v>
      </c>
      <c r="L11" s="812" t="n">
        <f aca="false">I11*$C$21</f>
        <v>636.391911233848</v>
      </c>
      <c r="M11" s="812" t="n">
        <f aca="false">J11*$C$22</f>
        <v>69.0238456446837</v>
      </c>
      <c r="N11" s="813" t="n">
        <f aca="false">SUM(K11:M11)</f>
        <v>2344.6733921549</v>
      </c>
      <c r="O11" s="813" t="n">
        <f aca="false">V11*$C$8*$C$23</f>
        <v>38518.7155705172</v>
      </c>
      <c r="Q11" s="215" t="n">
        <v>5</v>
      </c>
      <c r="R11" s="669" t="n">
        <f aca="false">'Time Value'!I11</f>
        <v>21762129.75</v>
      </c>
      <c r="S11" s="674" t="n">
        <f aca="false">'Time Value'!J11</f>
        <v>0.298984514248523</v>
      </c>
      <c r="T11" s="732" t="n">
        <f aca="false">'Time Value'!K11</f>
        <v>514.876283949665</v>
      </c>
      <c r="U11" s="732" t="n">
        <f aca="false">'Time Value'!L11</f>
        <v>23660.1446993349</v>
      </c>
      <c r="V11" s="732" t="n">
        <f aca="false">'Time Value'!M11</f>
        <v>23660.1446993349</v>
      </c>
      <c r="W11" s="732" t="n">
        <f aca="false">'Time Value'!N11</f>
        <v>47835.1656826194</v>
      </c>
      <c r="X11" s="732" t="n">
        <f aca="false">$C$15*60*T11/1000</f>
        <v>0</v>
      </c>
      <c r="Y11" s="732" t="n">
        <f aca="false">$C$16*60*T11/1000</f>
        <v>4.63388655554698</v>
      </c>
      <c r="Z11" s="732" t="n">
        <f aca="false">$C$17*60*T11/1000</f>
        <v>77.2314425924497</v>
      </c>
      <c r="AA11" s="732" t="n">
        <f aca="false">V11*$C$8*$C$10/1000</f>
        <v>1285.69226296186</v>
      </c>
      <c r="AB11" s="732" t="n">
        <f aca="false">V11*$C$8*$C$11/1000</f>
        <v>494.497024216099</v>
      </c>
      <c r="AC11" s="732" t="n">
        <f aca="false">V11*$C$8*$C$12/1000</f>
        <v>10878.9345327542</v>
      </c>
      <c r="AD11" s="732" t="n">
        <f aca="false">X11+AA11</f>
        <v>1285.69226296186</v>
      </c>
      <c r="AE11" s="732" t="n">
        <f aca="false">Y11+AB11</f>
        <v>499.130910771646</v>
      </c>
      <c r="AF11" s="732" t="n">
        <f aca="false">Z11+AC11</f>
        <v>10956.1659753466</v>
      </c>
    </row>
    <row r="12" customFormat="false" ht="12.75" hidden="false" customHeight="false" outlineLevel="0" collapsed="false">
      <c r="A12" s="778"/>
      <c r="B12" s="30" t="s">
        <v>204</v>
      </c>
      <c r="C12" s="72" t="n">
        <f aca="false">'Input-Detail'!BV16</f>
        <v>209</v>
      </c>
      <c r="D12" s="780"/>
      <c r="G12" s="215" t="n">
        <v>6</v>
      </c>
      <c r="H12" s="732" t="n">
        <f aca="false">AD12</f>
        <v>1537.81554308556</v>
      </c>
      <c r="I12" s="732" t="n">
        <f aca="false">AE12</f>
        <v>585.262001385226</v>
      </c>
      <c r="J12" s="732" t="n">
        <f aca="false">AF12</f>
        <v>12908.8601114677</v>
      </c>
      <c r="K12" s="812" t="n">
        <f aca="false">H12*$C$20</f>
        <v>1960.71481743409</v>
      </c>
      <c r="L12" s="812" t="n">
        <f aca="false">I12*$C$21</f>
        <v>746.209051766163</v>
      </c>
      <c r="M12" s="812" t="n">
        <f aca="false">J12*$C$22</f>
        <v>81.3258187022468</v>
      </c>
      <c r="N12" s="813" t="n">
        <f aca="false">SUM(K12:M12)</f>
        <v>2788.2496879025</v>
      </c>
      <c r="O12" s="813" t="n">
        <f aca="false">V12*$C$8*$C$23</f>
        <v>46072.2065539805</v>
      </c>
      <c r="Q12" s="215" t="n">
        <v>6</v>
      </c>
      <c r="R12" s="669" t="n">
        <f aca="false">'Time Value'!I12</f>
        <v>22311321.1</v>
      </c>
      <c r="S12" s="674" t="n">
        <f aca="false">'Time Value'!J12</f>
        <v>0.34881248351123</v>
      </c>
      <c r="T12" s="732" t="n">
        <f aca="false">'Time Value'!K12</f>
        <v>-689.501687349435</v>
      </c>
      <c r="U12" s="732" t="n">
        <f aca="false">'Time Value'!L12</f>
        <v>28299.8811756637</v>
      </c>
      <c r="V12" s="732" t="n">
        <f aca="false">'Time Value'!M12</f>
        <v>28299.8811756637</v>
      </c>
      <c r="W12" s="732" t="n">
        <f aca="false">'Time Value'!N12</f>
        <v>55910.2606639779</v>
      </c>
      <c r="X12" s="732" t="n">
        <f aca="false">$C$15*60*T12/1000</f>
        <v>-0</v>
      </c>
      <c r="Y12" s="732" t="n">
        <f aca="false">$C$16*60*T12/1000</f>
        <v>-6.20551518614492</v>
      </c>
      <c r="Z12" s="732" t="n">
        <f aca="false">$C$17*60*T12/1000</f>
        <v>-103.425253102415</v>
      </c>
      <c r="AA12" s="732" t="n">
        <f aca="false">V12*$C$8*$C$10/1000</f>
        <v>1537.81554308556</v>
      </c>
      <c r="AB12" s="732" t="n">
        <f aca="false">V12*$C$8*$C$11/1000</f>
        <v>591.467516571371</v>
      </c>
      <c r="AC12" s="732" t="n">
        <f aca="false">V12*$C$8*$C$12/1000</f>
        <v>13012.2853645702</v>
      </c>
      <c r="AD12" s="732" t="n">
        <f aca="false">X12+AA12</f>
        <v>1537.81554308556</v>
      </c>
      <c r="AE12" s="732" t="n">
        <f aca="false">Y12+AB12</f>
        <v>585.262001385226</v>
      </c>
      <c r="AF12" s="732" t="n">
        <f aca="false">Z12+AC12</f>
        <v>12908.8601114677</v>
      </c>
    </row>
    <row r="13" customFormat="false" ht="12.75" hidden="false" customHeight="false" outlineLevel="0" collapsed="false">
      <c r="A13" s="778"/>
      <c r="B13" s="30"/>
      <c r="C13" s="777"/>
      <c r="D13" s="67"/>
      <c r="G13" s="215" t="n">
        <v>7</v>
      </c>
      <c r="H13" s="732" t="n">
        <f aca="false">AD13</f>
        <v>1792.05637163733</v>
      </c>
      <c r="I13" s="732" t="n">
        <f aca="false">AE13</f>
        <v>700.092680229287</v>
      </c>
      <c r="J13" s="732" t="n">
        <f aca="false">AF13</f>
        <v>15344.2244071801</v>
      </c>
      <c r="K13" s="812" t="n">
        <f aca="false">H13*$C$20</f>
        <v>2284.87187383759</v>
      </c>
      <c r="L13" s="812" t="n">
        <f aca="false">I13*$C$21</f>
        <v>892.618167292341</v>
      </c>
      <c r="M13" s="812" t="n">
        <f aca="false">J13*$C$22</f>
        <v>96.6686137652345</v>
      </c>
      <c r="N13" s="813" t="n">
        <f aca="false">SUM(K13:M13)</f>
        <v>3274.15865489517</v>
      </c>
      <c r="O13" s="813" t="n">
        <f aca="false">V13*$C$8*$C$23</f>
        <v>53689.1382595799</v>
      </c>
      <c r="Q13" s="215" t="n">
        <v>7</v>
      </c>
      <c r="R13" s="669" t="n">
        <f aca="false">'Time Value'!I13</f>
        <v>22860512.45</v>
      </c>
      <c r="S13" s="674" t="n">
        <f aca="false">'Time Value'!J13</f>
        <v>0.39671513105108</v>
      </c>
      <c r="T13" s="732" t="n">
        <f aca="false">'Time Value'!K13</f>
        <v>1204.469955505</v>
      </c>
      <c r="U13" s="732" t="n">
        <f aca="false">'Time Value'!L13</f>
        <v>32978.5861545331</v>
      </c>
      <c r="V13" s="732" t="n">
        <f aca="false">'Time Value'!M13</f>
        <v>32978.5861545331</v>
      </c>
      <c r="W13" s="732" t="n">
        <f aca="false">'Time Value'!N13</f>
        <v>67161.6422645712</v>
      </c>
      <c r="X13" s="732" t="n">
        <f aca="false">$C$15*60*T13/1000</f>
        <v>0</v>
      </c>
      <c r="Y13" s="732" t="n">
        <f aca="false">$C$16*60*T13/1000</f>
        <v>10.840229599545</v>
      </c>
      <c r="Z13" s="732" t="n">
        <f aca="false">$C$17*60*T13/1000</f>
        <v>180.67049332575</v>
      </c>
      <c r="AA13" s="732" t="n">
        <f aca="false">V13*$C$8*$C$10/1000</f>
        <v>1792.05637163733</v>
      </c>
      <c r="AB13" s="732" t="n">
        <f aca="false">V13*$C$8*$C$11/1000</f>
        <v>689.252450629742</v>
      </c>
      <c r="AC13" s="732" t="n">
        <f aca="false">V13*$C$8*$C$12/1000</f>
        <v>15163.5539138543</v>
      </c>
      <c r="AD13" s="732" t="n">
        <f aca="false">X13+AA13</f>
        <v>1792.05637163733</v>
      </c>
      <c r="AE13" s="732" t="n">
        <f aca="false">Y13+AB13</f>
        <v>700.092680229287</v>
      </c>
      <c r="AF13" s="732" t="n">
        <f aca="false">Z13+AC13</f>
        <v>15344.2244071801</v>
      </c>
    </row>
    <row r="14" customFormat="false" ht="12.75" hidden="false" customHeight="false" outlineLevel="0" collapsed="false">
      <c r="A14" s="65" t="s">
        <v>515</v>
      </c>
      <c r="B14" s="30"/>
      <c r="C14" s="815"/>
      <c r="D14" s="67"/>
      <c r="G14" s="215" t="n">
        <v>8</v>
      </c>
      <c r="H14" s="732" t="n">
        <f aca="false">AD14</f>
        <v>2049.38408978963</v>
      </c>
      <c r="I14" s="732" t="n">
        <f aca="false">AE14</f>
        <v>807.928269494895</v>
      </c>
      <c r="J14" s="732" t="n">
        <f aca="false">AF14</f>
        <v>17669.3359578167</v>
      </c>
      <c r="K14" s="812" t="n">
        <f aca="false">H14*$C$20</f>
        <v>2612.96471448178</v>
      </c>
      <c r="L14" s="812" t="n">
        <f aca="false">I14*$C$21</f>
        <v>1030.10854360599</v>
      </c>
      <c r="M14" s="812" t="n">
        <f aca="false">J14*$C$22</f>
        <v>111.316816534245</v>
      </c>
      <c r="N14" s="813" t="n">
        <f aca="false">SUM(K14:M14)</f>
        <v>3754.39007462201</v>
      </c>
      <c r="O14" s="813" t="n">
        <f aca="false">V14*$C$8*$C$23</f>
        <v>61398.5516779079</v>
      </c>
      <c r="Q14" s="215" t="n">
        <v>8</v>
      </c>
      <c r="R14" s="669" t="n">
        <f aca="false">'Time Value'!I14</f>
        <v>23409703.8</v>
      </c>
      <c r="S14" s="674" t="n">
        <f aca="false">'Time Value'!J14</f>
        <v>0.443037513897103</v>
      </c>
      <c r="T14" s="732" t="n">
        <f aca="false">'Time Value'!K14</f>
        <v>2189.29106397867</v>
      </c>
      <c r="U14" s="732" t="n">
        <f aca="false">'Time Value'!L14</f>
        <v>37714.098082253</v>
      </c>
      <c r="V14" s="732" t="n">
        <f aca="false">'Time Value'!M14</f>
        <v>37714.098082253</v>
      </c>
      <c r="W14" s="732" t="n">
        <f aca="false">'Time Value'!N14</f>
        <v>77617.4872284846</v>
      </c>
      <c r="X14" s="732" t="n">
        <f aca="false">$C$15*60*T14/1000</f>
        <v>0</v>
      </c>
      <c r="Y14" s="732" t="n">
        <f aca="false">$C$16*60*T14/1000</f>
        <v>19.703619575808</v>
      </c>
      <c r="Z14" s="732" t="n">
        <f aca="false">$C$17*60*T14/1000</f>
        <v>328.3936595968</v>
      </c>
      <c r="AA14" s="732" t="n">
        <f aca="false">V14*$C$8*$C$10/1000</f>
        <v>2049.38408978963</v>
      </c>
      <c r="AB14" s="732" t="n">
        <f aca="false">V14*$C$8*$C$11/1000</f>
        <v>788.224649919087</v>
      </c>
      <c r="AC14" s="732" t="n">
        <f aca="false">V14*$C$8*$C$12/1000</f>
        <v>17340.9422982199</v>
      </c>
      <c r="AD14" s="732" t="n">
        <f aca="false">X14+AA14</f>
        <v>2049.38408978963</v>
      </c>
      <c r="AE14" s="732" t="n">
        <f aca="false">Y14+AB14</f>
        <v>807.928269494895</v>
      </c>
      <c r="AF14" s="732" t="n">
        <f aca="false">Z14+AC14</f>
        <v>17669.3359578167</v>
      </c>
    </row>
    <row r="15" customFormat="false" ht="12.75" hidden="false" customHeight="false" outlineLevel="0" collapsed="false">
      <c r="A15" s="778"/>
      <c r="B15" s="30" t="s">
        <v>192</v>
      </c>
      <c r="C15" s="816" t="n">
        <f aca="false">'Input-Detail'!BV18</f>
        <v>0</v>
      </c>
      <c r="D15" s="67"/>
      <c r="G15" s="215" t="n">
        <v>9</v>
      </c>
      <c r="H15" s="732" t="n">
        <f aca="false">AD15</f>
        <v>2311.05038518032</v>
      </c>
      <c r="I15" s="732" t="n">
        <f aca="false">AE15</f>
        <v>906.569386420982</v>
      </c>
      <c r="J15" s="732" t="n">
        <f aca="false">AF15</f>
        <v>19850.1059484119</v>
      </c>
      <c r="K15" s="812" t="n">
        <f aca="false">H15*$C$20</f>
        <v>2946.58924110491</v>
      </c>
      <c r="L15" s="812" t="n">
        <f aca="false">I15*$C$21</f>
        <v>1155.87596768675</v>
      </c>
      <c r="M15" s="812" t="n">
        <f aca="false">J15*$C$22</f>
        <v>125.055667474995</v>
      </c>
      <c r="N15" s="813" t="n">
        <f aca="false">SUM(K15:M15)</f>
        <v>4227.52087626666</v>
      </c>
      <c r="O15" s="813" t="n">
        <f aca="false">V15*$C$8*$C$23</f>
        <v>69237.9467624875</v>
      </c>
      <c r="Q15" s="215" t="n">
        <v>9</v>
      </c>
      <c r="R15" s="669" t="n">
        <f aca="false">'Time Value'!I15</f>
        <v>23958895.15</v>
      </c>
      <c r="S15" s="674" t="n">
        <f aca="false">'Time Value'!J15</f>
        <v>0.488152689932575</v>
      </c>
      <c r="T15" s="732" t="n">
        <f aca="false">'Time Value'!K15</f>
        <v>1967.09485103548</v>
      </c>
      <c r="U15" s="732" t="n">
        <f aca="false">'Time Value'!L15</f>
        <v>42529.4513283092</v>
      </c>
      <c r="V15" s="732" t="n">
        <f aca="false">'Time Value'!M15</f>
        <v>42529.4513283092</v>
      </c>
      <c r="W15" s="732" t="n">
        <f aca="false">'Time Value'!N15</f>
        <v>87025.9975076539</v>
      </c>
      <c r="X15" s="732" t="n">
        <f aca="false">$C$15*60*T15/1000</f>
        <v>0</v>
      </c>
      <c r="Y15" s="732" t="n">
        <f aca="false">$C$16*60*T15/1000</f>
        <v>17.7038536593193</v>
      </c>
      <c r="Z15" s="732" t="n">
        <f aca="false">$C$17*60*T15/1000</f>
        <v>295.064227655322</v>
      </c>
      <c r="AA15" s="732" t="n">
        <f aca="false">V15*$C$8*$C$10/1000</f>
        <v>2311.05038518032</v>
      </c>
      <c r="AB15" s="732" t="n">
        <f aca="false">V15*$C$8*$C$11/1000</f>
        <v>888.865532761663</v>
      </c>
      <c r="AC15" s="732" t="n">
        <f aca="false">V15*$C$8*$C$12/1000</f>
        <v>19555.0417207566</v>
      </c>
      <c r="AD15" s="732" t="n">
        <f aca="false">X15+AA15</f>
        <v>2311.05038518032</v>
      </c>
      <c r="AE15" s="732" t="n">
        <f aca="false">Y15+AB15</f>
        <v>906.569386420982</v>
      </c>
      <c r="AF15" s="732" t="n">
        <f aca="false">Z15+AC15</f>
        <v>19850.1059484119</v>
      </c>
    </row>
    <row r="16" customFormat="false" ht="12.75" hidden="false" customHeight="false" outlineLevel="0" collapsed="false">
      <c r="A16" s="778"/>
      <c r="B16" s="30" t="s">
        <v>200</v>
      </c>
      <c r="C16" s="816" t="n">
        <f aca="false">'Input-Detail'!BV19</f>
        <v>0.15</v>
      </c>
      <c r="D16" s="780"/>
      <c r="G16" s="215" t="n">
        <v>10</v>
      </c>
      <c r="H16" s="732" t="n">
        <f aca="false">AD16</f>
        <v>2575.06638720722</v>
      </c>
      <c r="I16" s="732" t="n">
        <f aca="false">AE16</f>
        <v>1020.35883739035</v>
      </c>
      <c r="J16" s="732" t="n">
        <f aca="false">AF16</f>
        <v>22288.1680841104</v>
      </c>
      <c r="K16" s="812" t="n">
        <f aca="false">H16*$C$20</f>
        <v>3283.2096436892</v>
      </c>
      <c r="L16" s="812" t="n">
        <f aca="false">I16*$C$21</f>
        <v>1300.95751767269</v>
      </c>
      <c r="M16" s="812" t="n">
        <f aca="false">J16*$C$22</f>
        <v>140.415458929895</v>
      </c>
      <c r="N16" s="813" t="n">
        <f aca="false">SUM(K16:M16)</f>
        <v>4724.58262029179</v>
      </c>
      <c r="O16" s="813" t="n">
        <f aca="false">V16*$C$8*$C$23</f>
        <v>77147.7379163296</v>
      </c>
      <c r="Q16" s="215" t="n">
        <v>10</v>
      </c>
      <c r="R16" s="669" t="n">
        <f aca="false">'Time Value'!I16</f>
        <v>24508086.5</v>
      </c>
      <c r="S16" s="674" t="n">
        <f aca="false">'Time Value'!J16</f>
        <v>0.531731128248894</v>
      </c>
      <c r="T16" s="732" t="n">
        <f aca="false">'Time Value'!K16</f>
        <v>3327.63205161066</v>
      </c>
      <c r="U16" s="732" t="n">
        <f aca="false">'Time Value'!L16</f>
        <v>47388.0454031508</v>
      </c>
      <c r="V16" s="732" t="n">
        <f aca="false">'Time Value'!M16</f>
        <v>47388.0454031508</v>
      </c>
      <c r="W16" s="732" t="n">
        <f aca="false">'Time Value'!N16</f>
        <v>98103.7228579123</v>
      </c>
      <c r="X16" s="732" t="n">
        <f aca="false">$C$15*60*T16/1000</f>
        <v>0</v>
      </c>
      <c r="Y16" s="732" t="n">
        <f aca="false">$C$16*60*T16/1000</f>
        <v>29.9486884644959</v>
      </c>
      <c r="Z16" s="732" t="n">
        <f aca="false">$C$17*60*T16/1000</f>
        <v>499.144807741599</v>
      </c>
      <c r="AA16" s="732" t="n">
        <f aca="false">V16*$C$8*$C$10/1000</f>
        <v>2575.06638720722</v>
      </c>
      <c r="AB16" s="732" t="n">
        <f aca="false">V16*$C$8*$C$11/1000</f>
        <v>990.410148925852</v>
      </c>
      <c r="AC16" s="732" t="n">
        <f aca="false">V16*$C$8*$C$12/1000</f>
        <v>21789.0232763688</v>
      </c>
      <c r="AD16" s="732" t="n">
        <f aca="false">X16+AA16</f>
        <v>2575.06638720722</v>
      </c>
      <c r="AE16" s="732" t="n">
        <f aca="false">Y16+AB16</f>
        <v>1020.35883739035</v>
      </c>
      <c r="AF16" s="732" t="n">
        <f aca="false">Z16+AC16</f>
        <v>22288.1680841104</v>
      </c>
    </row>
    <row r="17" customFormat="false" ht="12.75" hidden="false" customHeight="false" outlineLevel="0" collapsed="false">
      <c r="A17" s="778"/>
      <c r="B17" s="30" t="s">
        <v>204</v>
      </c>
      <c r="C17" s="816" t="n">
        <f aca="false">'Input-Detail'!BV20</f>
        <v>2.5</v>
      </c>
      <c r="D17" s="73"/>
      <c r="G17" s="215" t="n">
        <v>11</v>
      </c>
      <c r="H17" s="732" t="n">
        <f aca="false">AD17</f>
        <v>2840.61954283582</v>
      </c>
      <c r="I17" s="732" t="n">
        <f aca="false">AE17</f>
        <v>1129.2968884506</v>
      </c>
      <c r="J17" s="732" t="n">
        <f aca="false">AF17</f>
        <v>24648.5266902502</v>
      </c>
      <c r="K17" s="812" t="n">
        <f aca="false">H17*$C$20</f>
        <v>3621.78991711568</v>
      </c>
      <c r="L17" s="812" t="n">
        <f aca="false">I17*$C$21</f>
        <v>1439.85353277452</v>
      </c>
      <c r="M17" s="812" t="n">
        <f aca="false">J17*$C$22</f>
        <v>155.285718148576</v>
      </c>
      <c r="N17" s="813" t="n">
        <f aca="false">SUM(K17:M17)</f>
        <v>5216.92916803877</v>
      </c>
      <c r="O17" s="813" t="n">
        <f aca="false">V17*$C$8*$C$23</f>
        <v>85103.5814452838</v>
      </c>
      <c r="Q17" s="215" t="n">
        <v>11</v>
      </c>
      <c r="R17" s="669" t="n">
        <f aca="false">'Time Value'!I17</f>
        <v>25057277.85</v>
      </c>
      <c r="S17" s="674" t="n">
        <f aca="false">'Time Value'!J17</f>
        <v>0.57370976448128</v>
      </c>
      <c r="T17" s="732" t="n">
        <f aca="false">'Time Value'!K17</f>
        <v>4083.43449298031</v>
      </c>
      <c r="U17" s="732" t="n">
        <f aca="false">'Time Value'!L17</f>
        <v>52274.9271776928</v>
      </c>
      <c r="V17" s="732" t="n">
        <f aca="false">'Time Value'!M17</f>
        <v>52274.9271776928</v>
      </c>
      <c r="W17" s="732" t="n">
        <f aca="false">'Time Value'!N17</f>
        <v>108633.288848366</v>
      </c>
      <c r="X17" s="732" t="n">
        <f aca="false">$C$15*60*T17/1000</f>
        <v>0</v>
      </c>
      <c r="Y17" s="732" t="n">
        <f aca="false">$C$16*60*T17/1000</f>
        <v>36.7509104368228</v>
      </c>
      <c r="Z17" s="732" t="n">
        <f aca="false">$C$17*60*T17/1000</f>
        <v>612.515173947046</v>
      </c>
      <c r="AA17" s="732" t="n">
        <f aca="false">V17*$C$8*$C$10/1000</f>
        <v>2840.61954283582</v>
      </c>
      <c r="AB17" s="732" t="n">
        <f aca="false">V17*$C$8*$C$11/1000</f>
        <v>1092.54597801378</v>
      </c>
      <c r="AC17" s="732" t="n">
        <f aca="false">V17*$C$8*$C$12/1000</f>
        <v>24036.0115163031</v>
      </c>
      <c r="AD17" s="732" t="n">
        <f aca="false">X17+AA17</f>
        <v>2840.61954283582</v>
      </c>
      <c r="AE17" s="732" t="n">
        <f aca="false">Y17+AB17</f>
        <v>1129.2968884506</v>
      </c>
      <c r="AF17" s="732" t="n">
        <f aca="false">Z17+AC17</f>
        <v>24648.5266902502</v>
      </c>
    </row>
    <row r="18" customFormat="false" ht="12.75" hidden="false" customHeight="false" outlineLevel="0" collapsed="false">
      <c r="A18" s="65"/>
      <c r="B18" s="68"/>
      <c r="C18" s="68"/>
      <c r="D18" s="73"/>
      <c r="G18" s="215" t="n">
        <v>12</v>
      </c>
      <c r="H18" s="732" t="n">
        <f aca="false">AD18</f>
        <v>3107.14961573623</v>
      </c>
      <c r="I18" s="732" t="n">
        <f aca="false">AE18</f>
        <v>1235.53774266049</v>
      </c>
      <c r="J18" s="732" t="n">
        <f aca="false">AF18</f>
        <v>26965.9359484158</v>
      </c>
      <c r="K18" s="812" t="n">
        <f aca="false">H18*$C$20</f>
        <v>3961.61576006369</v>
      </c>
      <c r="L18" s="812" t="n">
        <f aca="false">I18*$C$21</f>
        <v>1575.31062189213</v>
      </c>
      <c r="M18" s="812" t="n">
        <f aca="false">J18*$C$22</f>
        <v>169.88539647502</v>
      </c>
      <c r="N18" s="813" t="n">
        <f aca="false">SUM(K18:M18)</f>
        <v>5706.81177843084</v>
      </c>
      <c r="O18" s="813" t="n">
        <f aca="false">V18*$C$8*$C$23</f>
        <v>93088.6929410854</v>
      </c>
      <c r="Q18" s="215" t="n">
        <v>12</v>
      </c>
      <c r="R18" s="669" t="n">
        <f aca="false">'Time Value'!I18</f>
        <v>25606469.2</v>
      </c>
      <c r="S18" s="674" t="n">
        <f aca="false">'Time Value'!J18</f>
        <v>0.614080811078137</v>
      </c>
      <c r="T18" s="732" t="n">
        <f aca="false">'Time Value'!K18</f>
        <v>4497.79979406183</v>
      </c>
      <c r="U18" s="732" t="n">
        <f aca="false">'Time Value'!L18</f>
        <v>57179.7868188485</v>
      </c>
      <c r="V18" s="732" t="n">
        <f aca="false">'Time Value'!M18</f>
        <v>57179.7868188485</v>
      </c>
      <c r="W18" s="732" t="n">
        <f aca="false">'Time Value'!N18</f>
        <v>118857.373431759</v>
      </c>
      <c r="X18" s="732" t="n">
        <f aca="false">$C$15*60*T18/1000</f>
        <v>0</v>
      </c>
      <c r="Y18" s="732" t="n">
        <f aca="false">$C$16*60*T18/1000</f>
        <v>40.4801981465565</v>
      </c>
      <c r="Z18" s="732" t="n">
        <f aca="false">$C$17*60*T18/1000</f>
        <v>674.669969109275</v>
      </c>
      <c r="AA18" s="732" t="n">
        <f aca="false">V18*$C$8*$C$10/1000</f>
        <v>3107.14961573623</v>
      </c>
      <c r="AB18" s="732" t="n">
        <f aca="false">V18*$C$8*$C$11/1000</f>
        <v>1195.05754451393</v>
      </c>
      <c r="AC18" s="732" t="n">
        <f aca="false">V18*$C$8*$C$12/1000</f>
        <v>26291.2659793066</v>
      </c>
      <c r="AD18" s="732" t="n">
        <f aca="false">X18+AA18</f>
        <v>3107.14961573623</v>
      </c>
      <c r="AE18" s="732" t="n">
        <f aca="false">Y18+AB18</f>
        <v>1235.53774266049</v>
      </c>
      <c r="AF18" s="732" t="n">
        <f aca="false">Z18+AC18</f>
        <v>26965.9359484158</v>
      </c>
    </row>
    <row r="19" customFormat="false" ht="12.75" hidden="false" customHeight="false" outlineLevel="0" collapsed="false">
      <c r="A19" s="65" t="s">
        <v>516</v>
      </c>
      <c r="B19" s="30"/>
      <c r="C19" s="815"/>
      <c r="D19" s="67"/>
      <c r="G19" s="215" t="n">
        <v>13</v>
      </c>
      <c r="H19" s="732" t="n">
        <f aca="false">AD19</f>
        <v>3371.71895829008</v>
      </c>
      <c r="I19" s="732" t="n">
        <f aca="false">AE19</f>
        <v>1345.52311561795</v>
      </c>
      <c r="J19" s="732" t="n">
        <f aca="false">AF19</f>
        <v>29341.731841407</v>
      </c>
      <c r="K19" s="812" t="n">
        <f aca="false">H19*$C$20</f>
        <v>4298.94167181985</v>
      </c>
      <c r="L19" s="812" t="n">
        <f aca="false">I19*$C$21</f>
        <v>1715.54197241289</v>
      </c>
      <c r="M19" s="812" t="n">
        <f aca="false">J19*$C$22</f>
        <v>184.852910600864</v>
      </c>
      <c r="N19" s="813" t="n">
        <f aca="false">SUM(K19:M19)</f>
        <v>6199.3365548336</v>
      </c>
      <c r="O19" s="813" t="n">
        <f aca="false">V19*$C$8*$C$23</f>
        <v>101015.061908286</v>
      </c>
      <c r="Q19" s="215" t="n">
        <v>13</v>
      </c>
      <c r="R19" s="669" t="n">
        <f aca="false">'Time Value'!I19</f>
        <v>26155660.55</v>
      </c>
      <c r="S19" s="674" t="n">
        <f aca="false">'Time Value'!J19</f>
        <v>0.652377141057342</v>
      </c>
      <c r="T19" s="732" t="n">
        <f aca="false">'Time Value'!K19</f>
        <v>5412.01462891427</v>
      </c>
      <c r="U19" s="732" t="n">
        <f aca="false">'Time Value'!L19</f>
        <v>62048.5638257284</v>
      </c>
      <c r="V19" s="732" t="n">
        <f aca="false">'Time Value'!M19</f>
        <v>62048.5638257284</v>
      </c>
      <c r="W19" s="732" t="n">
        <f aca="false">'Time Value'!N19</f>
        <v>129509.142280371</v>
      </c>
      <c r="X19" s="732" t="n">
        <f aca="false">$C$15*60*T19/1000</f>
        <v>0</v>
      </c>
      <c r="Y19" s="732" t="n">
        <f aca="false">$C$16*60*T19/1000</f>
        <v>48.7081316602285</v>
      </c>
      <c r="Z19" s="732" t="n">
        <f aca="false">$C$17*60*T19/1000</f>
        <v>811.802194337141</v>
      </c>
      <c r="AA19" s="732" t="n">
        <f aca="false">V19*$C$8*$C$10/1000</f>
        <v>3371.71895829008</v>
      </c>
      <c r="AB19" s="732" t="n">
        <f aca="false">V19*$C$8*$C$11/1000</f>
        <v>1296.81498395772</v>
      </c>
      <c r="AC19" s="732" t="n">
        <f aca="false">V19*$C$8*$C$12/1000</f>
        <v>28529.9296470699</v>
      </c>
      <c r="AD19" s="732" t="n">
        <f aca="false">X19+AA19</f>
        <v>3371.71895829008</v>
      </c>
      <c r="AE19" s="732" t="n">
        <f aca="false">Y19+AB19</f>
        <v>1345.52311561795</v>
      </c>
      <c r="AF19" s="732" t="n">
        <f aca="false">Z19+AC19</f>
        <v>29341.731841407</v>
      </c>
    </row>
    <row r="20" customFormat="false" ht="12.75" hidden="false" customHeight="false" outlineLevel="0" collapsed="false">
      <c r="A20" s="778"/>
      <c r="B20" s="30" t="s">
        <v>192</v>
      </c>
      <c r="C20" s="817" t="n">
        <f aca="false">'Input-Detail'!BV22</f>
        <v>1.275</v>
      </c>
      <c r="D20" s="67"/>
      <c r="G20" s="215" t="n">
        <v>14</v>
      </c>
      <c r="H20" s="732" t="n">
        <f aca="false">AD20</f>
        <v>3633.44916226314</v>
      </c>
      <c r="I20" s="732" t="n">
        <f aca="false">AE20</f>
        <v>1448.57019125912</v>
      </c>
      <c r="J20" s="732" t="n">
        <f aca="false">AF20</f>
        <v>31596.0655717814</v>
      </c>
      <c r="K20" s="812" t="n">
        <f aca="false">H20*$C$20</f>
        <v>4632.6476818855</v>
      </c>
      <c r="L20" s="812" t="n">
        <f aca="false">I20*$C$21</f>
        <v>1846.92699385537</v>
      </c>
      <c r="M20" s="812" t="n">
        <f aca="false">J20*$C$22</f>
        <v>199.055213102223</v>
      </c>
      <c r="N20" s="813" t="n">
        <f aca="false">SUM(K20:M20)</f>
        <v>6678.6298888431</v>
      </c>
      <c r="O20" s="813" t="n">
        <f aca="false">V20*$C$8*$C$23</f>
        <v>108856.371662944</v>
      </c>
      <c r="Q20" s="215" t="n">
        <v>14</v>
      </c>
      <c r="R20" s="669" t="n">
        <f aca="false">'Time Value'!I20</f>
        <v>26704851.9</v>
      </c>
      <c r="S20" s="674" t="n">
        <f aca="false">'Time Value'!J20</f>
        <v>0.688560291874923</v>
      </c>
      <c r="T20" s="732" t="n">
        <f aca="false">'Time Value'!K20</f>
        <v>5676.6382483146</v>
      </c>
      <c r="U20" s="732" t="n">
        <f aca="false">'Time Value'!L20</f>
        <v>66865.0931590567</v>
      </c>
      <c r="V20" s="732" t="n">
        <f aca="false">'Time Value'!M20</f>
        <v>66865.0931590567</v>
      </c>
      <c r="W20" s="732" t="n">
        <f aca="false">'Time Value'!N20</f>
        <v>139406.824566428</v>
      </c>
      <c r="X20" s="732" t="n">
        <f aca="false">$C$15*60*T20/1000</f>
        <v>0</v>
      </c>
      <c r="Y20" s="732" t="n">
        <f aca="false">$C$16*60*T20/1000</f>
        <v>51.0897442348314</v>
      </c>
      <c r="Z20" s="732" t="n">
        <f aca="false">$C$17*60*T20/1000</f>
        <v>851.49573724719</v>
      </c>
      <c r="AA20" s="732" t="n">
        <f aca="false">V20*$C$8*$C$10/1000</f>
        <v>3633.44916226314</v>
      </c>
      <c r="AB20" s="732" t="n">
        <f aca="false">V20*$C$8*$C$11/1000</f>
        <v>1397.48044702428</v>
      </c>
      <c r="AC20" s="732" t="n">
        <f aca="false">V20*$C$8*$C$12/1000</f>
        <v>30744.5698345343</v>
      </c>
      <c r="AD20" s="732" t="n">
        <f aca="false">X20+AA20</f>
        <v>3633.44916226314</v>
      </c>
      <c r="AE20" s="732" t="n">
        <f aca="false">Y20+AB20</f>
        <v>1448.57019125912</v>
      </c>
      <c r="AF20" s="732" t="n">
        <f aca="false">Z20+AC20</f>
        <v>31596.0655717814</v>
      </c>
    </row>
    <row r="21" customFormat="false" ht="12.75" hidden="false" customHeight="false" outlineLevel="0" collapsed="false">
      <c r="A21" s="778"/>
      <c r="B21" s="30" t="s">
        <v>200</v>
      </c>
      <c r="C21" s="817" t="n">
        <f aca="false">'Input-Detail'!BV23</f>
        <v>1.275</v>
      </c>
      <c r="D21" s="780"/>
      <c r="G21" s="215" t="n">
        <v>15</v>
      </c>
      <c r="H21" s="732" t="n">
        <f aca="false">AD21</f>
        <v>3889.30677647398</v>
      </c>
      <c r="I21" s="732" t="n">
        <f aca="false">AE21</f>
        <v>1555.75020656635</v>
      </c>
      <c r="J21" s="732" t="n">
        <f aca="false">AF21</f>
        <v>33907.2352919498</v>
      </c>
      <c r="K21" s="812" t="n">
        <f aca="false">H21*$C$20</f>
        <v>4958.86614000432</v>
      </c>
      <c r="L21" s="812" t="n">
        <f aca="false">I21*$C$21</f>
        <v>1983.58151337209</v>
      </c>
      <c r="M21" s="812" t="n">
        <f aca="false">J21*$C$22</f>
        <v>213.615582339284</v>
      </c>
      <c r="N21" s="813" t="n">
        <f aca="false">SUM(K21:M21)</f>
        <v>7156.0632357157</v>
      </c>
      <c r="O21" s="813" t="n">
        <f aca="false">V21*$C$8*$C$23</f>
        <v>116521.741481407</v>
      </c>
      <c r="Q21" s="215" t="n">
        <v>15</v>
      </c>
      <c r="R21" s="669" t="n">
        <f aca="false">'Time Value'!I21</f>
        <v>27254043.25</v>
      </c>
      <c r="S21" s="674" t="n">
        <f aca="false">'Time Value'!J21</f>
        <v>0.72219473716396</v>
      </c>
      <c r="T21" s="732" t="n">
        <f aca="false">'Time Value'!K21</f>
        <v>6651.44276062064</v>
      </c>
      <c r="U21" s="732" t="n">
        <f aca="false">'Time Value'!L21</f>
        <v>71573.5512785053</v>
      </c>
      <c r="V21" s="732" t="n">
        <f aca="false">'Time Value'!M21</f>
        <v>71573.5512785053</v>
      </c>
      <c r="W21" s="732" t="n">
        <f aca="false">'Time Value'!N21</f>
        <v>149798.545317631</v>
      </c>
      <c r="X21" s="732" t="n">
        <f aca="false">$C$15*60*T21/1000</f>
        <v>0</v>
      </c>
      <c r="Y21" s="732" t="n">
        <f aca="false">$C$16*60*T21/1000</f>
        <v>59.8629848455858</v>
      </c>
      <c r="Z21" s="732" t="n">
        <f aca="false">$C$17*60*T21/1000</f>
        <v>997.716414093096</v>
      </c>
      <c r="AA21" s="732" t="n">
        <f aca="false">V21*$C$8*$C$10/1000</f>
        <v>3889.30677647398</v>
      </c>
      <c r="AB21" s="732" t="n">
        <f aca="false">V21*$C$8*$C$11/1000</f>
        <v>1495.88722172076</v>
      </c>
      <c r="AC21" s="732" t="n">
        <f aca="false">V21*$C$8*$C$12/1000</f>
        <v>32909.5188778567</v>
      </c>
      <c r="AD21" s="732" t="n">
        <f aca="false">X21+AA21</f>
        <v>3889.30677647398</v>
      </c>
      <c r="AE21" s="732" t="n">
        <f aca="false">Y21+AB21</f>
        <v>1555.75020656635</v>
      </c>
      <c r="AF21" s="732" t="n">
        <f aca="false">Z21+AC21</f>
        <v>33907.2352919498</v>
      </c>
    </row>
    <row r="22" customFormat="false" ht="12.75" hidden="false" customHeight="false" outlineLevel="0" collapsed="false">
      <c r="A22" s="778"/>
      <c r="B22" s="30" t="s">
        <v>204</v>
      </c>
      <c r="C22" s="818" t="n">
        <f aca="false">'Input-Detail'!BV24</f>
        <v>0.0063</v>
      </c>
      <c r="D22" s="73"/>
      <c r="G22" s="215" t="n">
        <v>16</v>
      </c>
      <c r="H22" s="732" t="n">
        <f aca="false">AD22</f>
        <v>4138.0526055503</v>
      </c>
      <c r="I22" s="732" t="n">
        <f aca="false">AE22</f>
        <v>1657.19907057376</v>
      </c>
      <c r="J22" s="732" t="n">
        <f aca="false">AF22</f>
        <v>36108.2975465889</v>
      </c>
      <c r="K22" s="812" t="n">
        <f aca="false">H22*$C$20</f>
        <v>5276.01707207664</v>
      </c>
      <c r="L22" s="812" t="n">
        <f aca="false">I22*$C$21</f>
        <v>2112.92881498154</v>
      </c>
      <c r="M22" s="812" t="n">
        <f aca="false">J22*$C$22</f>
        <v>227.48227454351</v>
      </c>
      <c r="N22" s="813" t="n">
        <f aca="false">SUM(K22:M22)</f>
        <v>7616.42816160168</v>
      </c>
      <c r="O22" s="813" t="n">
        <f aca="false">V22*$C$8*$C$23</f>
        <v>123974.045672357</v>
      </c>
      <c r="Q22" s="215" t="n">
        <v>16</v>
      </c>
      <c r="R22" s="669" t="n">
        <f aca="false">'Time Value'!I22</f>
        <v>27803234.6</v>
      </c>
      <c r="S22" s="674" t="n">
        <f aca="false">'Time Value'!J22</f>
        <v>0.753205951403196</v>
      </c>
      <c r="T22" s="732" t="n">
        <f aca="false">'Time Value'!K22</f>
        <v>7293.37512570349</v>
      </c>
      <c r="U22" s="732" t="n">
        <f aca="false">'Time Value'!L22</f>
        <v>76151.1337053792</v>
      </c>
      <c r="V22" s="732" t="n">
        <f aca="false">'Time Value'!M22</f>
        <v>76151.1337053792</v>
      </c>
      <c r="W22" s="732" t="n">
        <f aca="false">'Time Value'!N22</f>
        <v>159595.642536462</v>
      </c>
      <c r="X22" s="732" t="n">
        <f aca="false">$C$15*60*T22/1000</f>
        <v>0</v>
      </c>
      <c r="Y22" s="732" t="n">
        <f aca="false">$C$16*60*T22/1000</f>
        <v>65.6403761313314</v>
      </c>
      <c r="Z22" s="732" t="n">
        <f aca="false">$C$17*60*T22/1000</f>
        <v>1094.00626885552</v>
      </c>
      <c r="AA22" s="732" t="n">
        <f aca="false">V22*$C$8*$C$10/1000</f>
        <v>4138.0526055503</v>
      </c>
      <c r="AB22" s="732" t="n">
        <f aca="false">V22*$C$8*$C$11/1000</f>
        <v>1591.55869444242</v>
      </c>
      <c r="AC22" s="732" t="n">
        <f aca="false">V22*$C$8*$C$12/1000</f>
        <v>35014.2912777333</v>
      </c>
      <c r="AD22" s="732" t="n">
        <f aca="false">X22+AA22</f>
        <v>4138.0526055503</v>
      </c>
      <c r="AE22" s="732" t="n">
        <f aca="false">Y22+AB22</f>
        <v>1657.19907057376</v>
      </c>
      <c r="AF22" s="732" t="n">
        <f aca="false">Z22+AC22</f>
        <v>36108.2975465889</v>
      </c>
    </row>
    <row r="23" customFormat="false" ht="12.75" hidden="false" customHeight="false" outlineLevel="0" collapsed="false">
      <c r="A23" s="65" t="s">
        <v>517</v>
      </c>
      <c r="B23" s="30"/>
      <c r="C23" s="819" t="n">
        <f aca="false">'Input-Detail'!BV12</f>
        <v>0.74</v>
      </c>
      <c r="D23" s="67"/>
      <c r="G23" s="215" t="n">
        <v>17</v>
      </c>
      <c r="H23" s="732" t="n">
        <f aca="false">AD23</f>
        <v>4379.15505662728</v>
      </c>
      <c r="I23" s="732" t="n">
        <f aca="false">AE23</f>
        <v>1754.23275686659</v>
      </c>
      <c r="J23" s="732" t="n">
        <f aca="false">AF23</f>
        <v>38220.0947818838</v>
      </c>
      <c r="K23" s="812" t="n">
        <f aca="false">H23*$C$20</f>
        <v>5583.42269719978</v>
      </c>
      <c r="L23" s="812" t="n">
        <f aca="false">I23*$C$21</f>
        <v>2236.64676500491</v>
      </c>
      <c r="M23" s="812" t="n">
        <f aca="false">J23*$C$22</f>
        <v>240.786597125868</v>
      </c>
      <c r="N23" s="813" t="n">
        <f aca="false">SUM(K23:M23)</f>
        <v>8060.85605933056</v>
      </c>
      <c r="O23" s="813" t="n">
        <f aca="false">V23*$C$8*$C$23</f>
        <v>131197.35797183</v>
      </c>
      <c r="Q23" s="215" t="n">
        <v>17</v>
      </c>
      <c r="R23" s="669" t="n">
        <f aca="false">'Time Value'!I23</f>
        <v>28352425.95</v>
      </c>
      <c r="S23" s="674" t="n">
        <f aca="false">'Time Value'!J23</f>
        <v>0.781651485932894</v>
      </c>
      <c r="T23" s="732" t="n">
        <f aca="false">'Time Value'!K23</f>
        <v>7771.37227460946</v>
      </c>
      <c r="U23" s="732" t="n">
        <f aca="false">'Time Value'!L23</f>
        <v>80588.0577222539</v>
      </c>
      <c r="V23" s="732" t="n">
        <f aca="false">'Time Value'!M23</f>
        <v>80588.057722254</v>
      </c>
      <c r="W23" s="732" t="n">
        <f aca="false">'Time Value'!N23</f>
        <v>168947.487719117</v>
      </c>
      <c r="X23" s="732" t="n">
        <f aca="false">$C$15*60*T23/1000</f>
        <v>0</v>
      </c>
      <c r="Y23" s="732" t="n">
        <f aca="false">$C$16*60*T23/1000</f>
        <v>69.9423504714852</v>
      </c>
      <c r="Z23" s="732" t="n">
        <f aca="false">$C$17*60*T23/1000</f>
        <v>1165.70584119142</v>
      </c>
      <c r="AA23" s="732" t="n">
        <f aca="false">V23*$C$8*$C$10/1000</f>
        <v>4379.15505662728</v>
      </c>
      <c r="AB23" s="732" t="n">
        <f aca="false">V23*$C$8*$C$11/1000</f>
        <v>1684.29040639511</v>
      </c>
      <c r="AC23" s="732" t="n">
        <f aca="false">V23*$C$8*$C$12/1000</f>
        <v>37054.3889406924</v>
      </c>
      <c r="AD23" s="732" t="n">
        <f aca="false">X23+AA23</f>
        <v>4379.15505662728</v>
      </c>
      <c r="AE23" s="732" t="n">
        <f aca="false">Y23+AB23</f>
        <v>1754.23275686659</v>
      </c>
      <c r="AF23" s="732" t="n">
        <f aca="false">Z23+AC23</f>
        <v>38220.0947818838</v>
      </c>
    </row>
    <row r="24" customFormat="false" ht="12.75" hidden="false" customHeight="false" outlineLevel="0" collapsed="false">
      <c r="A24" s="782"/>
      <c r="B24" s="783"/>
      <c r="C24" s="783"/>
      <c r="D24" s="784"/>
      <c r="G24" s="215" t="n">
        <v>18</v>
      </c>
      <c r="H24" s="732" t="n">
        <f aca="false">AD24</f>
        <v>4610.77775175135</v>
      </c>
      <c r="I24" s="732" t="n">
        <f aca="false">AE24</f>
        <v>1849.44573319471</v>
      </c>
      <c r="J24" s="732" t="n">
        <f aca="false">AF24</f>
        <v>40282.1011978632</v>
      </c>
      <c r="K24" s="812" t="n">
        <f aca="false">H24*$C$20</f>
        <v>5878.74163348297</v>
      </c>
      <c r="L24" s="812" t="n">
        <f aca="false">I24*$C$21</f>
        <v>2358.04330982325</v>
      </c>
      <c r="M24" s="812" t="n">
        <f aca="false">J24*$C$22</f>
        <v>253.777237546538</v>
      </c>
      <c r="N24" s="813" t="n">
        <f aca="false">SUM(K24:M24)</f>
        <v>8490.56218085276</v>
      </c>
      <c r="O24" s="813" t="n">
        <f aca="false">V24*$C$8*$C$23</f>
        <v>138136.661388502</v>
      </c>
      <c r="Q24" s="215" t="n">
        <v>18</v>
      </c>
      <c r="R24" s="669" t="n">
        <f aca="false">'Time Value'!I24</f>
        <v>28901617.3</v>
      </c>
      <c r="S24" s="674" t="n">
        <f aca="false">'Time Value'!J24</f>
        <v>0.807356047331459</v>
      </c>
      <c r="T24" s="732" t="n">
        <f aca="false">'Time Value'!K24</f>
        <v>8452.18609208917</v>
      </c>
      <c r="U24" s="732" t="n">
        <f aca="false">'Time Value'!L24</f>
        <v>84850.5291084164</v>
      </c>
      <c r="V24" s="732" t="n">
        <f aca="false">'Time Value'!M24</f>
        <v>84850.5291084164</v>
      </c>
      <c r="W24" s="732" t="n">
        <f aca="false">'Time Value'!N24</f>
        <v>178153.244308922</v>
      </c>
      <c r="X24" s="732" t="n">
        <f aca="false">$C$15*60*T24/1000</f>
        <v>0</v>
      </c>
      <c r="Y24" s="732" t="n">
        <f aca="false">$C$16*60*T24/1000</f>
        <v>76.0696748288026</v>
      </c>
      <c r="Z24" s="732" t="n">
        <f aca="false">$C$17*60*T24/1000</f>
        <v>1267.82791381338</v>
      </c>
      <c r="AA24" s="732" t="n">
        <f aca="false">V24*$C$8*$C$10/1000</f>
        <v>4610.77775175135</v>
      </c>
      <c r="AB24" s="732" t="n">
        <f aca="false">V24*$C$8*$C$11/1000</f>
        <v>1773.3760583659</v>
      </c>
      <c r="AC24" s="732" t="n">
        <f aca="false">V24*$C$8*$C$12/1000</f>
        <v>39014.2732840499</v>
      </c>
      <c r="AD24" s="732" t="n">
        <f aca="false">X24+AA24</f>
        <v>4610.77775175135</v>
      </c>
      <c r="AE24" s="732" t="n">
        <f aca="false">Y24+AB24</f>
        <v>1849.44573319471</v>
      </c>
      <c r="AF24" s="732" t="n">
        <f aca="false">Z24+AC24</f>
        <v>40282.1011978632</v>
      </c>
    </row>
    <row r="25" customFormat="false" ht="12.75" hidden="false" customHeight="false" outlineLevel="0" collapsed="false">
      <c r="G25" s="215" t="n">
        <v>19</v>
      </c>
      <c r="H25" s="732" t="n">
        <f aca="false">AD25</f>
        <v>4833.45012082077</v>
      </c>
      <c r="I25" s="732" t="n">
        <f aca="false">AE25</f>
        <v>1937.32257010829</v>
      </c>
      <c r="J25" s="732" t="n">
        <f aca="false">AF25</f>
        <v>42203.4789804115</v>
      </c>
      <c r="K25" s="812" t="n">
        <f aca="false">H25*$C$20</f>
        <v>6162.64890404648</v>
      </c>
      <c r="L25" s="812" t="n">
        <f aca="false">I25*$C$21</f>
        <v>2470.08627688806</v>
      </c>
      <c r="M25" s="812" t="n">
        <f aca="false">J25*$C$22</f>
        <v>265.881917576592</v>
      </c>
      <c r="N25" s="813" t="n">
        <f aca="false">SUM(K25:M25)</f>
        <v>8898.61709851114</v>
      </c>
      <c r="O25" s="813" t="n">
        <f aca="false">V25*$C$8*$C$23</f>
        <v>144807.817384914</v>
      </c>
      <c r="Q25" s="215" t="n">
        <v>19</v>
      </c>
      <c r="R25" s="669" t="n">
        <f aca="false">'Time Value'!I25</f>
        <v>29450808.65</v>
      </c>
      <c r="S25" s="674" t="n">
        <f aca="false">'Time Value'!J25</f>
        <v>0.830563950021381</v>
      </c>
      <c r="T25" s="732" t="n">
        <f aca="false">'Time Value'!K25</f>
        <v>8700.36587439197</v>
      </c>
      <c r="U25" s="732" t="n">
        <f aca="false">'Time Value'!L25</f>
        <v>88948.290776974</v>
      </c>
      <c r="V25" s="732" t="n">
        <f aca="false">'Time Value'!M25</f>
        <v>88948.290776974</v>
      </c>
      <c r="W25" s="732" t="n">
        <f aca="false">'Time Value'!N25</f>
        <v>186596.94742834</v>
      </c>
      <c r="X25" s="732" t="n">
        <f aca="false">$C$15*60*T25/1000</f>
        <v>0</v>
      </c>
      <c r="Y25" s="732" t="n">
        <f aca="false">$C$16*60*T25/1000</f>
        <v>78.3032928695277</v>
      </c>
      <c r="Z25" s="732" t="n">
        <f aca="false">$C$17*60*T25/1000</f>
        <v>1305.0548811588</v>
      </c>
      <c r="AA25" s="732" t="n">
        <f aca="false">V25*$C$8*$C$10/1000</f>
        <v>4833.45012082077</v>
      </c>
      <c r="AB25" s="732" t="n">
        <f aca="false">V25*$C$8*$C$11/1000</f>
        <v>1859.01927723876</v>
      </c>
      <c r="AC25" s="732" t="n">
        <f aca="false">V25*$C$8*$C$12/1000</f>
        <v>40898.4240992527</v>
      </c>
      <c r="AD25" s="732" t="n">
        <f aca="false">X25+AA25</f>
        <v>4833.45012082077</v>
      </c>
      <c r="AE25" s="732" t="n">
        <f aca="false">Y25+AB25</f>
        <v>1937.32257010829</v>
      </c>
      <c r="AF25" s="732" t="n">
        <f aca="false">Z25+AC25</f>
        <v>42203.4789804115</v>
      </c>
    </row>
    <row r="26" customFormat="false" ht="12.75" hidden="false" customHeight="false" outlineLevel="0" collapsed="false">
      <c r="G26" s="235" t="n">
        <v>20</v>
      </c>
      <c r="H26" s="750" t="n">
        <f aca="false">AD26</f>
        <v>5045.82767439398</v>
      </c>
      <c r="I26" s="750" t="n">
        <f aca="false">AE26</f>
        <v>2025.62763945448</v>
      </c>
      <c r="J26" s="750" t="n">
        <f aca="false">AF26</f>
        <v>44110.8763999213</v>
      </c>
      <c r="K26" s="820" t="n">
        <f aca="false">H26*$C$20</f>
        <v>6433.43028485233</v>
      </c>
      <c r="L26" s="820" t="n">
        <f aca="false">I26*$C$21</f>
        <v>2582.67524030446</v>
      </c>
      <c r="M26" s="820" t="n">
        <f aca="false">J26*$C$22</f>
        <v>277.898521319504</v>
      </c>
      <c r="N26" s="821" t="n">
        <f aca="false">SUM(K26:M26)</f>
        <v>9294.0040464763</v>
      </c>
      <c r="O26" s="821" t="n">
        <f aca="false">V26*$C$8*$C$23</f>
        <v>151170.545710589</v>
      </c>
      <c r="Q26" s="235" t="n">
        <v>20</v>
      </c>
      <c r="R26" s="694" t="n">
        <f aca="false">'Time Value'!I26</f>
        <v>30000000</v>
      </c>
      <c r="S26" s="699" t="n">
        <f aca="false">'Time Value'!J26</f>
        <v>0.85118550512719</v>
      </c>
      <c r="T26" s="750" t="n">
        <f aca="false">'Time Value'!K26</f>
        <v>9436.07641827653</v>
      </c>
      <c r="U26" s="750" t="n">
        <f aca="false">'Time Value'!L26</f>
        <v>92856.6005593298</v>
      </c>
      <c r="V26" s="750" t="n">
        <f aca="false">'Time Value'!M26</f>
        <v>92856.6005593298</v>
      </c>
      <c r="W26" s="750" t="n">
        <f aca="false">'Time Value'!N26</f>
        <v>195149.277536936</v>
      </c>
      <c r="X26" s="750" t="n">
        <f aca="false">$C$15*60*T26/1000</f>
        <v>0</v>
      </c>
      <c r="Y26" s="750" t="n">
        <f aca="false">$C$16*60*T26/1000</f>
        <v>84.9246877644887</v>
      </c>
      <c r="Z26" s="750" t="n">
        <f aca="false">$C$17*60*T26/1000</f>
        <v>1415.41146274148</v>
      </c>
      <c r="AA26" s="750" t="n">
        <f aca="false">V26*$C$8*$C$10/1000</f>
        <v>5045.82767439398</v>
      </c>
      <c r="AB26" s="750" t="n">
        <f aca="false">V26*$C$8*$C$11/1000</f>
        <v>1940.70295168999</v>
      </c>
      <c r="AC26" s="750" t="n">
        <f aca="false">V26*$C$8*$C$12/1000</f>
        <v>42695.4649371799</v>
      </c>
      <c r="AD26" s="750" t="n">
        <f aca="false">X26+AA26</f>
        <v>5045.82767439398</v>
      </c>
      <c r="AE26" s="750" t="n">
        <f aca="false">Y26+AB26</f>
        <v>2025.62763945448</v>
      </c>
      <c r="AF26" s="750" t="n">
        <f aca="false">Z26+AC26</f>
        <v>44110.8763999213</v>
      </c>
    </row>
    <row r="29" customFormat="false" ht="14.25" hidden="false" customHeight="false" outlineLevel="0" collapsed="false">
      <c r="R29" s="194" t="s">
        <v>65</v>
      </c>
      <c r="S29" s="790"/>
      <c r="T29" s="790"/>
      <c r="U29" s="790"/>
      <c r="V29" s="790"/>
      <c r="W29" s="790"/>
      <c r="X29" s="790"/>
      <c r="Y29" s="790"/>
      <c r="Z29" s="790"/>
    </row>
    <row r="30" customFormat="false" ht="13.5" hidden="false" customHeight="false" outlineLevel="0" collapsed="false">
      <c r="Q30" s="791" t="s">
        <v>518</v>
      </c>
      <c r="R30" s="792"/>
      <c r="S30" s="792"/>
      <c r="T30" s="792"/>
      <c r="U30" s="792"/>
      <c r="V30" s="792"/>
      <c r="W30" s="792"/>
      <c r="X30" s="792"/>
      <c r="Y30" s="792"/>
      <c r="Z30" s="792"/>
      <c r="AA30" s="792"/>
      <c r="AB30" s="792"/>
      <c r="AC30" s="792"/>
      <c r="AD30" s="792"/>
      <c r="AE30" s="792"/>
      <c r="AF30" s="793"/>
    </row>
    <row r="31" customFormat="false" ht="15" hidden="false" customHeight="false" outlineLevel="0" collapsed="false">
      <c r="Q31" s="795" t="s">
        <v>519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796"/>
    </row>
    <row r="32" customFormat="false" ht="14.25" hidden="false" customHeight="false" outlineLevel="0" collapsed="false">
      <c r="Q32" s="822" t="s">
        <v>520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796"/>
    </row>
    <row r="33" customFormat="false" ht="12.75" hidden="false" customHeight="false" outlineLevel="0" collapsed="false">
      <c r="Q33" s="799" t="s">
        <v>477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796"/>
    </row>
    <row r="34" customFormat="false" ht="14.25" hidden="false" customHeight="false" outlineLevel="0" collapsed="false">
      <c r="Q34" s="799" t="s">
        <v>521</v>
      </c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796"/>
    </row>
    <row r="35" customFormat="false" ht="14.25" hidden="false" customHeight="false" outlineLevel="0" collapsed="false">
      <c r="Q35" s="799" t="s">
        <v>522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796"/>
    </row>
    <row r="36" customFormat="false" ht="12.75" hidden="false" customHeight="false" outlineLevel="0" collapsed="false">
      <c r="Q36" s="799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796"/>
    </row>
    <row r="37" customFormat="false" ht="14.25" hidden="false" customHeight="false" outlineLevel="0" collapsed="false">
      <c r="Q37" s="795" t="s">
        <v>523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796"/>
    </row>
    <row r="38" customFormat="false" ht="14.25" hidden="false" customHeight="false" outlineLevel="0" collapsed="false">
      <c r="Q38" s="822" t="s">
        <v>524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796"/>
    </row>
    <row r="39" customFormat="false" ht="12.75" hidden="false" customHeight="false" outlineLevel="0" collapsed="false">
      <c r="Q39" s="799" t="s">
        <v>477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796"/>
    </row>
    <row r="40" customFormat="false" ht="14.25" hidden="false" customHeight="false" outlineLevel="0" collapsed="false">
      <c r="Q40" s="799" t="s">
        <v>525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796"/>
    </row>
    <row r="41" customFormat="false" ht="14.25" hidden="false" customHeight="false" outlineLevel="0" collapsed="false">
      <c r="Q41" s="799" t="s">
        <v>526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796"/>
    </row>
    <row r="42" customFormat="false" ht="14.25" hidden="false" customHeight="false" outlineLevel="0" collapsed="false">
      <c r="Q42" s="799" t="s">
        <v>527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796"/>
    </row>
    <row r="43" customFormat="false" ht="13.5" hidden="false" customHeight="false" outlineLevel="0" collapsed="false">
      <c r="Q43" s="800"/>
      <c r="R43" s="801"/>
      <c r="S43" s="801"/>
      <c r="T43" s="801"/>
      <c r="U43" s="801"/>
      <c r="V43" s="801"/>
      <c r="W43" s="801"/>
      <c r="X43" s="801"/>
      <c r="Y43" s="801"/>
      <c r="Z43" s="801"/>
      <c r="AA43" s="801"/>
      <c r="AB43" s="801"/>
      <c r="AC43" s="801"/>
      <c r="AD43" s="801"/>
      <c r="AE43" s="801"/>
      <c r="AF43" s="802"/>
    </row>
    <row r="44" customFormat="false" ht="13.5" hidden="false" customHeight="false" outlineLevel="0" collapsed="false"/>
  </sheetData>
  <mergeCells count="11">
    <mergeCell ref="G4:G5"/>
    <mergeCell ref="H4:J4"/>
    <mergeCell ref="K4:N4"/>
    <mergeCell ref="O4:O5"/>
    <mergeCell ref="Q4:Q5"/>
    <mergeCell ref="R4:R5"/>
    <mergeCell ref="S4:S5"/>
    <mergeCell ref="T4:W4"/>
    <mergeCell ref="X4:Z4"/>
    <mergeCell ref="AA4:AC4"/>
    <mergeCell ref="AD4:AF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1998-09-10T04:53:53Z</dcterms:created>
  <dc:creator>PC1</dc:creator>
  <dc:description/>
  <dc:language>en-AU</dc:language>
  <cp:lastModifiedBy>David Levinson</cp:lastModifiedBy>
  <cp:lastPrinted>1998-12-04T01:52:37Z</cp:lastPrinted>
  <cp:revision>0</cp:revision>
  <dc:subject/>
  <dc:title/>
</cp:coreProperties>
</file>