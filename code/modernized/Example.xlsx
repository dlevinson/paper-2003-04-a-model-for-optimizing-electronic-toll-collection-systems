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-Start" sheetId="1" state="visible" r:id="rId3"/>
    <sheet name="Input-Detail" sheetId="2" state="visible" r:id="rId4"/>
    <sheet name="Results Summary" sheetId="3" state="visible" r:id="rId5"/>
    <sheet name="Results-Detail" sheetId="4" state="visible" r:id="rId6"/>
    <sheet name="Agency Costs Reduction" sheetId="5" state="visible" r:id="rId7"/>
    <sheet name="Delay" sheetId="6" state="visible" r:id="rId8"/>
    <sheet name="PY" sheetId="7" state="visible" r:id="rId9"/>
    <sheet name="Interest Gain" sheetId="8" state="visible" r:id="rId10"/>
    <sheet name="Time Value" sheetId="9" state="visible" r:id="rId11"/>
    <sheet name="Fuel &amp; Emission" sheetId="10" state="visible" r:id="rId12"/>
  </sheets>
  <definedNames>
    <definedName function="false" hidden="false" localSheetId="0" name="_xlnm.Print_Area" vbProcedure="false">'Input-Start'!$1:$65536</definedName>
    <definedName function="false" hidden="false" name="Cost_PY" vbProcedure="false">'Input-Detail'!$BV$36</definedName>
    <definedName function="false" hidden="false" name="Discount_Rate" vbProcedure="false">'Results-Detail'!$C$3</definedName>
    <definedName function="false" hidden="false" name="ETC_Service_Rate" vbProcedure="false">#REF!</definedName>
    <definedName function="false" hidden="false" name="Headway_ETC" vbProcedure="false">Delay!$D$9</definedName>
    <definedName function="false" hidden="false" name="Inflation_Rate" vbProcedure="false">'Input-Detail'!$AF$56</definedName>
    <definedName function="false" hidden="false" name="Manual_Service_Rate" vbProcedure="false">#REF!</definedName>
    <definedName function="false" hidden="false" name="Peak_Arrival_Manual" vbProcedure="false">Delay!$BI$7:$BI$27</definedName>
    <definedName function="false" hidden="false" name="Peak_Arrival_Manual_Mor" vbProcedure="false">Delay!$BI$54:$BI$74</definedName>
    <definedName function="false" hidden="false" name="Peak_Time_Eve" vbProcedure="false">Delay!$AA$7:$AA$27</definedName>
    <definedName function="false" hidden="false" name="Peak_Time_Mor" vbProcedure="false">Delay!$AA$54:$AA$74</definedName>
    <definedName function="false" hidden="false" name="PY_for_Inf" vbProcedure="false">'Input-Detail'!$BV$34</definedName>
    <definedName function="false" hidden="false" name="Total_Lanes" vbProcedure="false">Delay!$D$10</definedName>
    <definedName function="false" hidden="false" name="Trans_Time_Cash" vbProcedure="false">Delay!$D$7</definedName>
    <definedName function="false" hidden="false" name="Trans_Time_Ticket" vbProcedure="false">Delay!$D$8</definedName>
    <definedName function="false" hidden="false" name="Year" vbProcedure="false">'Input-Detail'!$AD$15:$AD$34</definedName>
    <definedName function="false" hidden="false" localSheetId="2" name="Discount_Rate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<sst xmlns="http://schemas.openxmlformats.org/spreadsheetml/2006/main" count="934" uniqueCount="499">
  <si>
    <t xml:space="preserve">      0.                             &gt;&gt; INSTRUCTION &lt;&lt;</t>
  </si>
  <si>
    <t xml:space="preserve">I.</t>
  </si>
  <si>
    <t xml:space="preserve">TRAFFIC DATA </t>
  </si>
  <si>
    <t xml:space="preserve">IIa.</t>
  </si>
  <si>
    <t xml:space="preserve">COSTS INFORMATION--Baseline (No ETC)  </t>
  </si>
  <si>
    <t xml:space="preserve">IIb.</t>
  </si>
  <si>
    <t xml:space="preserve">   COSTS INFORMATION--ETC Alternative</t>
  </si>
  <si>
    <t xml:space="preserve">III.</t>
  </si>
  <si>
    <t xml:space="preserve">   FACT OF TOLL TRANSACTION</t>
  </si>
  <si>
    <t xml:space="preserve">IV.</t>
  </si>
  <si>
    <t xml:space="preserve">            TRAVEL AT THE TOLL PLAZA</t>
  </si>
  <si>
    <t xml:space="preserve">V.</t>
  </si>
  <si>
    <t xml:space="preserve">      FUEL CONSUMPTION &amp; OTHER ASSUMPTIONS</t>
  </si>
  <si>
    <t xml:space="preserve">This spreadsheet model is designed exclusively for benefit-cost evaluation of </t>
  </si>
  <si>
    <r>
      <rPr>
        <b val="true"/>
        <sz val="10"/>
        <rFont val="Tahoma"/>
        <family val="2"/>
        <charset val="136"/>
      </rPr>
      <t xml:space="preserve">       </t>
    </r>
    <r>
      <rPr>
        <b val="true"/>
        <u val="single"/>
        <sz val="10"/>
        <rFont val="Tahoma"/>
        <family val="2"/>
        <charset val="136"/>
      </rPr>
      <t xml:space="preserve">INSTRUCTION:</t>
    </r>
  </si>
  <si>
    <r>
      <rPr>
        <b val="true"/>
        <sz val="10"/>
        <rFont val="Tahoma"/>
        <family val="2"/>
        <charset val="136"/>
      </rPr>
      <t xml:space="preserve">     </t>
    </r>
    <r>
      <rPr>
        <b val="true"/>
        <u val="single"/>
        <sz val="10"/>
        <rFont val="Tahoma"/>
        <family val="2"/>
        <charset val="136"/>
      </rPr>
      <t xml:space="preserve">INSTRUCTION:</t>
    </r>
  </si>
  <si>
    <r>
      <rPr>
        <b val="true"/>
        <sz val="10"/>
        <rFont val="Tahoma"/>
        <family val="2"/>
        <charset val="136"/>
      </rPr>
      <t xml:space="preserve">      </t>
    </r>
    <r>
      <rPr>
        <b val="true"/>
        <u val="single"/>
        <sz val="10"/>
        <rFont val="Tahoma"/>
        <family val="2"/>
        <charset val="136"/>
      </rPr>
      <t xml:space="preserve">INSTRUCTION:</t>
    </r>
  </si>
  <si>
    <t xml:space="preserve">Electronic Toll Collection system.</t>
  </si>
  <si>
    <r>
      <rPr>
        <sz val="10"/>
        <rFont val="Tahoma"/>
        <family val="2"/>
        <charset val="136"/>
      </rPr>
      <t xml:space="preserve">In this section, You are asked to give information about </t>
    </r>
    <r>
      <rPr>
        <i val="true"/>
        <sz val="10"/>
        <color rgb="FF800000"/>
        <rFont val="Tahoma"/>
        <family val="2"/>
        <charset val="136"/>
      </rPr>
      <t xml:space="preserve">annual traffic</t>
    </r>
  </si>
  <si>
    <r>
      <rPr>
        <sz val="10"/>
        <rFont val="Tahoma"/>
        <family val="2"/>
        <charset val="136"/>
      </rPr>
      <t xml:space="preserve">In this section, You are asked to give information about </t>
    </r>
    <r>
      <rPr>
        <sz val="10"/>
        <color rgb="FF800000"/>
        <rFont val="Tahoma"/>
        <family val="2"/>
        <charset val="136"/>
      </rPr>
      <t xml:space="preserve">costs for baseline</t>
    </r>
  </si>
  <si>
    <r>
      <rPr>
        <sz val="10"/>
        <rFont val="Tahoma"/>
        <family val="2"/>
        <charset val="136"/>
      </rPr>
      <t xml:space="preserve">In this section, You are asked to give information about </t>
    </r>
    <r>
      <rPr>
        <sz val="10"/>
        <color rgb="FF800000"/>
        <rFont val="Tahoma"/>
        <family val="2"/>
        <charset val="136"/>
      </rPr>
      <t xml:space="preserve">costs under ETC scenario.</t>
    </r>
  </si>
  <si>
    <t xml:space="preserve">Required Inputs - white cells</t>
  </si>
  <si>
    <r>
      <rPr>
        <sz val="10"/>
        <rFont val="Tahoma"/>
        <family val="2"/>
        <charset val="136"/>
      </rPr>
      <t xml:space="preserve">In this section, You are asked to give information about </t>
    </r>
    <r>
      <rPr>
        <sz val="10"/>
        <color rgb="FF800000"/>
        <rFont val="Tahoma"/>
        <family val="2"/>
      </rPr>
      <t xml:space="preserve">travel fact</t>
    </r>
    <r>
      <rPr>
        <sz val="10"/>
        <rFont val="Tahoma"/>
        <family val="2"/>
        <charset val="136"/>
      </rPr>
      <t xml:space="preserve"> at the toll plaza</t>
    </r>
  </si>
  <si>
    <t xml:space="preserve">In this section, You are asked to give information about fuel consumption in</t>
  </si>
  <si>
    <r>
      <rPr>
        <i val="true"/>
        <sz val="10"/>
        <color rgb="FF800000"/>
        <rFont val="Tahoma"/>
        <family val="2"/>
      </rPr>
      <t xml:space="preserve"> volume</t>
    </r>
    <r>
      <rPr>
        <sz val="10"/>
        <color rgb="FF800000"/>
        <rFont val="Tahoma"/>
        <family val="2"/>
        <charset val="136"/>
      </rPr>
      <t xml:space="preserve">, </t>
    </r>
    <r>
      <rPr>
        <i val="true"/>
        <sz val="10"/>
        <color rgb="FF800000"/>
        <rFont val="Tahoma"/>
        <family val="2"/>
      </rPr>
      <t xml:space="preserve">peak hour volume</t>
    </r>
    <r>
      <rPr>
        <sz val="10"/>
        <color rgb="FF800000"/>
        <rFont val="Tahoma"/>
        <family val="2"/>
        <charset val="136"/>
      </rPr>
      <t xml:space="preserve">, D</t>
    </r>
    <r>
      <rPr>
        <i val="true"/>
        <sz val="10"/>
        <color rgb="FF800000"/>
        <rFont val="Tahoma"/>
        <family val="2"/>
      </rPr>
      <t xml:space="preserve"> factor</t>
    </r>
    <r>
      <rPr>
        <sz val="10"/>
        <color rgb="FF800000"/>
        <rFont val="Tahoma"/>
        <family val="2"/>
        <charset val="136"/>
      </rPr>
      <t xml:space="preserve"> and </t>
    </r>
    <r>
      <rPr>
        <i val="true"/>
        <sz val="10"/>
        <color rgb="FF800000"/>
        <rFont val="Tahoma"/>
        <family val="2"/>
      </rPr>
      <t xml:space="preserve">duration of peak period</t>
    </r>
    <r>
      <rPr>
        <sz val="10"/>
        <color rgb="FF800000"/>
        <rFont val="Tahoma"/>
        <family val="2"/>
      </rPr>
      <t xml:space="preserve"> and </t>
    </r>
    <r>
      <rPr>
        <i val="true"/>
        <sz val="10"/>
        <color rgb="FF800000"/>
        <rFont val="Tahoma"/>
        <family val="2"/>
        <charset val="136"/>
      </rPr>
      <t xml:space="preserve">ETC</t>
    </r>
  </si>
  <si>
    <r>
      <rPr>
        <sz val="10"/>
        <color rgb="FF800000"/>
        <rFont val="Tahoma"/>
        <family val="2"/>
        <charset val="136"/>
      </rPr>
      <t xml:space="preserve"> operations.</t>
    </r>
    <r>
      <rPr>
        <sz val="10"/>
        <rFont val="Tahoma"/>
        <family val="2"/>
        <charset val="136"/>
      </rPr>
      <t xml:space="preserve">  Costs are broken down into two categories: </t>
    </r>
    <r>
      <rPr>
        <sz val="10"/>
        <color rgb="FF800000"/>
        <rFont val="Tahoma"/>
        <family val="2"/>
        <charset val="136"/>
      </rPr>
      <t xml:space="preserve">one-time costs and</t>
    </r>
  </si>
  <si>
    <r>
      <rPr>
        <sz val="10"/>
        <rFont val="Tahoma"/>
        <family val="2"/>
        <charset val="136"/>
      </rPr>
      <t xml:space="preserve">Costs are broken down into two categories: </t>
    </r>
    <r>
      <rPr>
        <sz val="10"/>
        <color rgb="FF800000"/>
        <rFont val="Tahoma"/>
        <family val="2"/>
        <charset val="136"/>
      </rPr>
      <t xml:space="preserve">capital investment </t>
    </r>
    <r>
      <rPr>
        <sz val="10"/>
        <rFont val="Tahoma"/>
        <family val="2"/>
        <charset val="136"/>
      </rPr>
      <t xml:space="preserve">and</t>
    </r>
    <r>
      <rPr>
        <sz val="10"/>
        <color rgb="FF800000"/>
        <rFont val="Tahoma"/>
        <family val="2"/>
        <charset val="136"/>
      </rPr>
      <t xml:space="preserve"> operating costs.</t>
    </r>
  </si>
  <si>
    <t xml:space="preserve"> If you have more information about payment split other base year and year 20, go to</t>
  </si>
  <si>
    <t xml:space="preserve"> order to estimate the fuel reduction, and other general assumptions.</t>
  </si>
  <si>
    <t xml:space="preserve">Where to Start?</t>
  </si>
  <si>
    <r>
      <rPr>
        <i val="true"/>
        <sz val="10"/>
        <color rgb="FF800000"/>
        <rFont val="Tahoma"/>
        <family val="2"/>
      </rPr>
      <t xml:space="preserve"> Split</t>
    </r>
    <r>
      <rPr>
        <sz val="10"/>
        <rFont val="Tahoma"/>
        <family val="2"/>
      </rPr>
      <t xml:space="preserve"> both in base year and in year 20 or one of them.</t>
    </r>
  </si>
  <si>
    <r>
      <rPr>
        <sz val="10"/>
        <color rgb="FF800000"/>
        <rFont val="Tahoma"/>
        <family val="2"/>
        <charset val="136"/>
      </rPr>
      <t xml:space="preserve"> continuing costs</t>
    </r>
    <r>
      <rPr>
        <sz val="10"/>
        <rFont val="Tahoma"/>
        <family val="2"/>
        <charset val="136"/>
      </rPr>
      <t xml:space="preserve">.  All the costs are presented </t>
    </r>
    <r>
      <rPr>
        <sz val="10"/>
        <color rgb="FF800000"/>
        <rFont val="Tahoma"/>
        <family val="2"/>
        <charset val="136"/>
      </rPr>
      <t xml:space="preserve">in current value</t>
    </r>
    <r>
      <rPr>
        <sz val="10"/>
        <rFont val="Tahoma"/>
        <family val="2"/>
        <charset val="136"/>
      </rPr>
      <t xml:space="preserve">.</t>
    </r>
  </si>
  <si>
    <r>
      <rPr>
        <sz val="10"/>
        <rFont val="Tahoma"/>
        <family val="2"/>
        <charset val="136"/>
      </rPr>
      <t xml:space="preserve">All the costs are presented </t>
    </r>
    <r>
      <rPr>
        <sz val="10"/>
        <color rgb="FF800000"/>
        <rFont val="Tahoma"/>
        <family val="2"/>
        <charset val="136"/>
      </rPr>
      <t xml:space="preserve">in current value</t>
    </r>
    <r>
      <rPr>
        <sz val="10"/>
        <rFont val="Tahoma"/>
        <family val="2"/>
        <charset val="136"/>
      </rPr>
      <t xml:space="preserve">.</t>
    </r>
  </si>
  <si>
    <r>
      <rPr>
        <sz val="10"/>
        <rFont val="Tahoma"/>
        <family val="2"/>
      </rPr>
      <t xml:space="preserve">  </t>
    </r>
    <r>
      <rPr>
        <sz val="10"/>
        <color rgb="FF800000"/>
        <rFont val="Tahoma"/>
        <family val="2"/>
      </rPr>
      <t xml:space="preserve">Table IV, </t>
    </r>
    <r>
      <rPr>
        <u val="single"/>
        <sz val="10"/>
        <color rgb="FF800000"/>
        <rFont val="Tahoma"/>
        <family val="2"/>
        <charset val="136"/>
      </rPr>
      <t xml:space="preserve">expected payment split</t>
    </r>
    <r>
      <rPr>
        <sz val="10"/>
        <color rgb="FF800000"/>
        <rFont val="Tahoma"/>
        <family val="2"/>
      </rPr>
      <t xml:space="preserve">, in sheet"Input-Details"</t>
    </r>
    <r>
      <rPr>
        <sz val="10"/>
        <rFont val="Tahoma"/>
        <family val="2"/>
        <charset val="136"/>
      </rPr>
      <t xml:space="preserve"> after completing this table</t>
    </r>
    <r>
      <rPr>
        <sz val="10"/>
        <color rgb="FF800000"/>
        <rFont val="Tahoma"/>
        <family val="2"/>
      </rPr>
      <t xml:space="preserve">.</t>
    </r>
  </si>
  <si>
    <r>
      <rPr>
        <sz val="10"/>
        <rFont val="Tahoma"/>
        <family val="2"/>
        <charset val="136"/>
      </rPr>
      <t xml:space="preserve">a)</t>
    </r>
    <r>
      <rPr>
        <sz val="10"/>
        <color rgb="FF800000"/>
        <rFont val="Tahoma"/>
        <family val="2"/>
        <charset val="136"/>
      </rPr>
      <t xml:space="preserve">Ramp Distance prior to (leading from) the Toll Plaza</t>
    </r>
    <r>
      <rPr>
        <sz val="10"/>
        <rFont val="Tahoma"/>
        <family val="2"/>
        <charset val="136"/>
      </rPr>
      <t xml:space="preserve">: </t>
    </r>
    <r>
      <rPr>
        <sz val="10"/>
        <color rgb="FF666699"/>
        <rFont val="Tahoma"/>
        <family val="2"/>
        <charset val="136"/>
      </rPr>
      <t xml:space="preserve">The distance that a vehicle</t>
    </r>
  </si>
  <si>
    <r>
      <rPr>
        <sz val="10"/>
        <rFont val="Tahoma"/>
        <family val="2"/>
        <charset val="136"/>
      </rPr>
      <t xml:space="preserve">The Numbers shown in </t>
    </r>
    <r>
      <rPr>
        <b val="true"/>
        <sz val="10"/>
        <rFont val="Tahoma"/>
        <family val="2"/>
        <charset val="136"/>
      </rPr>
      <t xml:space="preserve">pink cells</t>
    </r>
    <r>
      <rPr>
        <sz val="10"/>
        <rFont val="Tahoma"/>
        <family val="2"/>
        <charset val="136"/>
      </rPr>
      <t xml:space="preserve"> are the values from previously studies and</t>
    </r>
  </si>
  <si>
    <r>
      <rPr>
        <sz val="12"/>
        <rFont val="Tahoma"/>
        <family val="2"/>
        <charset val="136"/>
      </rPr>
      <t xml:space="preserve">Please start with sheet</t>
    </r>
    <r>
      <rPr>
        <b val="true"/>
        <sz val="12"/>
        <rFont val="Tahoma"/>
        <family val="2"/>
        <charset val="136"/>
      </rPr>
      <t xml:space="preserve"> "Input-Start"</t>
    </r>
    <r>
      <rPr>
        <sz val="12"/>
        <rFont val="Tahoma"/>
        <family val="2"/>
        <charset val="136"/>
      </rPr>
      <t xml:space="preserve"> and</t>
    </r>
    <r>
      <rPr>
        <b val="true"/>
        <sz val="12"/>
        <rFont val="Tahoma"/>
        <family val="2"/>
        <charset val="136"/>
      </rPr>
      <t xml:space="preserve"> </t>
    </r>
    <r>
      <rPr>
        <sz val="12"/>
        <rFont val="Tahoma"/>
        <family val="2"/>
        <charset val="136"/>
      </rPr>
      <t xml:space="preserve">fill out all required cells.  You may check</t>
    </r>
  </si>
  <si>
    <r>
      <rPr>
        <sz val="10"/>
        <rFont val="Tahoma"/>
        <family val="2"/>
      </rPr>
      <t xml:space="preserve">If you have information in between, go to sheet "</t>
    </r>
    <r>
      <rPr>
        <sz val="10"/>
        <color rgb="FF800000"/>
        <rFont val="Tahoma"/>
        <family val="2"/>
      </rPr>
      <t xml:space="preserve">Input-Detail" table Ia, Ib, and 1c</t>
    </r>
  </si>
  <si>
    <r>
      <rPr>
        <sz val="10"/>
        <rFont val="Tahoma"/>
        <family val="2"/>
      </rPr>
      <t xml:space="preserve">Go to sheet </t>
    </r>
    <r>
      <rPr>
        <sz val="10"/>
        <color rgb="FF800000"/>
        <rFont val="Tahoma"/>
        <family val="2"/>
      </rPr>
      <t xml:space="preserve">"Input-Detail" table IIa</t>
    </r>
    <r>
      <rPr>
        <sz val="10"/>
        <rFont val="Tahoma"/>
        <family val="2"/>
      </rPr>
      <t xml:space="preserve"> after completing this table if you have</t>
    </r>
  </si>
  <si>
    <r>
      <rPr>
        <sz val="10"/>
        <rFont val="Tahoma"/>
        <family val="2"/>
      </rPr>
      <t xml:space="preserve">If you have more information, go to sheet </t>
    </r>
    <r>
      <rPr>
        <sz val="10"/>
        <color rgb="FF800000"/>
        <rFont val="Tahoma"/>
        <family val="2"/>
      </rPr>
      <t xml:space="preserve">"Input-Detail" table IIb</t>
    </r>
    <r>
      <rPr>
        <sz val="10"/>
        <rFont val="Tahoma"/>
        <family val="2"/>
      </rPr>
      <t xml:space="preserve"> after completing this table.</t>
    </r>
  </si>
  <si>
    <t xml:space="preserve">Default Values - pink cells</t>
  </si>
  <si>
    <r>
      <rPr>
        <sz val="10"/>
        <rFont val="Tahoma"/>
        <family val="2"/>
        <charset val="136"/>
      </rPr>
      <t xml:space="preserve">   </t>
    </r>
    <r>
      <rPr>
        <sz val="10"/>
        <color rgb="FF666699"/>
        <rFont val="Tahoma"/>
        <family val="2"/>
        <charset val="136"/>
      </rPr>
      <t xml:space="preserve">starts to slow down from the normal speed (to accelerate from complete stop).</t>
    </r>
  </si>
  <si>
    <t xml:space="preserve"> used as default values to run the model.  Please update it if you have</t>
  </si>
  <si>
    <r>
      <rPr>
        <sz val="12"/>
        <rFont val="Tahoma"/>
        <family val="2"/>
        <charset val="136"/>
      </rPr>
      <t xml:space="preserve"> "</t>
    </r>
    <r>
      <rPr>
        <b val="true"/>
        <sz val="12"/>
        <rFont val="Tahoma"/>
        <family val="2"/>
        <charset val="136"/>
      </rPr>
      <t xml:space="preserve">Input-Detail</t>
    </r>
    <r>
      <rPr>
        <sz val="12"/>
        <rFont val="Tahoma"/>
        <family val="2"/>
        <charset val="136"/>
      </rPr>
      <t xml:space="preserve">" and make some changes based on your own knowledge, or go to the</t>
    </r>
  </si>
  <si>
    <t xml:space="preserve"> after completing this table.</t>
  </si>
  <si>
    <t xml:space="preserve"> detailed information regarding baseline costs.</t>
  </si>
  <si>
    <t xml:space="preserve"> The values shown in the pink cells are the default number we used previously to run</t>
  </si>
  <si>
    <r>
      <rPr>
        <sz val="10"/>
        <rFont val="Tahoma"/>
        <family val="2"/>
        <charset val="136"/>
      </rPr>
      <t xml:space="preserve">b)</t>
    </r>
    <r>
      <rPr>
        <sz val="10"/>
        <color rgb="FF800000"/>
        <rFont val="Tahoma"/>
        <family val="2"/>
        <charset val="136"/>
      </rPr>
      <t xml:space="preserve">Prevailing Travel Speed:</t>
    </r>
    <r>
      <rPr>
        <sz val="10"/>
        <rFont val="Tahoma"/>
        <family val="2"/>
        <charset val="136"/>
      </rPr>
      <t xml:space="preserve">  </t>
    </r>
    <r>
      <rPr>
        <sz val="10"/>
        <color rgb="FF666699"/>
        <rFont val="Tahoma"/>
        <family val="2"/>
        <charset val="136"/>
      </rPr>
      <t xml:space="preserve">The travel speed in the adjacent highway sections that </t>
    </r>
  </si>
  <si>
    <t xml:space="preserve"> different values in your case.</t>
  </si>
  <si>
    <r>
      <rPr>
        <sz val="12"/>
        <rFont val="Tahoma"/>
        <family val="2"/>
        <charset val="136"/>
      </rPr>
      <t xml:space="preserve"> "</t>
    </r>
    <r>
      <rPr>
        <b val="true"/>
        <sz val="12"/>
        <rFont val="Tahoma"/>
        <family val="2"/>
        <charset val="136"/>
      </rPr>
      <t xml:space="preserve">Results Summary</t>
    </r>
    <r>
      <rPr>
        <sz val="12"/>
        <rFont val="Tahoma"/>
        <family val="2"/>
        <charset val="136"/>
      </rPr>
      <t xml:space="preserve">" and "</t>
    </r>
    <r>
      <rPr>
        <b val="true"/>
        <sz val="12"/>
        <rFont val="Tahoma"/>
        <family val="2"/>
        <charset val="136"/>
      </rPr>
      <t xml:space="preserve">Results-Detail</t>
    </r>
    <r>
      <rPr>
        <sz val="12"/>
        <rFont val="Tahoma"/>
        <family val="2"/>
        <charset val="136"/>
      </rPr>
      <t xml:space="preserve">" directly to find out the analytical results.</t>
    </r>
  </si>
  <si>
    <r>
      <rPr>
        <sz val="10"/>
        <rFont val="Tahoma"/>
        <family val="2"/>
        <charset val="136"/>
      </rPr>
      <t xml:space="preserve">a) </t>
    </r>
    <r>
      <rPr>
        <sz val="10"/>
        <color rgb="FF800000"/>
        <rFont val="Tahoma"/>
        <family val="2"/>
        <charset val="136"/>
      </rPr>
      <t xml:space="preserve">Capital Investment</t>
    </r>
    <r>
      <rPr>
        <sz val="10"/>
        <rFont val="Tahoma"/>
        <family val="2"/>
        <charset val="136"/>
      </rPr>
      <t xml:space="preserve">: Initial investment needed to implement ETC project</t>
    </r>
  </si>
  <si>
    <t xml:space="preserve">  the model, please change it if you have different numbers.</t>
  </si>
  <si>
    <t xml:space="preserve">   is not influenced by the existence of the toll plaza.</t>
  </si>
  <si>
    <r>
      <rPr>
        <b val="true"/>
        <sz val="12"/>
        <rFont val="Tahoma"/>
        <family val="2"/>
        <charset val="136"/>
      </rPr>
      <t xml:space="preserve">Notice that</t>
    </r>
    <r>
      <rPr>
        <sz val="12"/>
        <rFont val="Tahoma"/>
        <family val="2"/>
        <charset val="136"/>
      </rPr>
      <t xml:space="preserve">:always complete this sheet first.</t>
    </r>
  </si>
  <si>
    <r>
      <rPr>
        <sz val="10"/>
        <rFont val="Tahoma"/>
        <family val="2"/>
        <charset val="136"/>
      </rPr>
      <t xml:space="preserve">a) </t>
    </r>
    <r>
      <rPr>
        <sz val="10"/>
        <color rgb="FF800000"/>
        <rFont val="Tahoma"/>
        <family val="2"/>
        <charset val="136"/>
      </rPr>
      <t xml:space="preserve">Annual Traffic Volume in Base Year </t>
    </r>
    <r>
      <rPr>
        <sz val="10"/>
        <rFont val="Tahoma"/>
        <family val="2"/>
        <charset val="136"/>
      </rPr>
      <t xml:space="preserve">as well as</t>
    </r>
    <r>
      <rPr>
        <sz val="10"/>
        <color rgb="FF800000"/>
        <rFont val="Tahoma"/>
        <family val="2"/>
        <charset val="136"/>
      </rPr>
      <t xml:space="preserve"> in Year 20:</t>
    </r>
  </si>
  <si>
    <r>
      <rPr>
        <sz val="10"/>
        <rFont val="Tahoma"/>
        <family val="2"/>
        <charset val="136"/>
      </rPr>
      <t xml:space="preserve">a) </t>
    </r>
    <r>
      <rPr>
        <sz val="10"/>
        <color rgb="FF800000"/>
        <rFont val="Tahoma"/>
        <family val="2"/>
        <charset val="136"/>
      </rPr>
      <t xml:space="preserve">One-Time Costs</t>
    </r>
    <r>
      <rPr>
        <sz val="10"/>
        <rFont val="Tahoma"/>
        <family val="2"/>
        <charset val="136"/>
      </rPr>
      <t xml:space="preserve">: Costs which occur only once at a specific point of time.</t>
    </r>
  </si>
  <si>
    <r>
      <rPr>
        <sz val="10"/>
        <rFont val="Tahoma"/>
        <family val="2"/>
        <charset val="136"/>
      </rPr>
      <t xml:space="preserve">b) </t>
    </r>
    <r>
      <rPr>
        <sz val="10"/>
        <color rgb="FF800000"/>
        <rFont val="Tahoma"/>
        <family val="2"/>
        <charset val="136"/>
      </rPr>
      <t xml:space="preserve">Operating Costs</t>
    </r>
    <r>
      <rPr>
        <sz val="10"/>
        <rFont val="Tahoma"/>
        <family val="2"/>
        <charset val="136"/>
      </rPr>
      <t xml:space="preserve">: Costs in order to operate the system under ETC scenario</t>
    </r>
  </si>
  <si>
    <r>
      <rPr>
        <sz val="10"/>
        <rFont val="Tahoma"/>
        <family val="2"/>
        <charset val="136"/>
      </rPr>
      <t xml:space="preserve">a) </t>
    </r>
    <r>
      <rPr>
        <sz val="10"/>
        <color rgb="FF800000"/>
        <rFont val="Tahoma"/>
        <family val="2"/>
        <charset val="136"/>
      </rPr>
      <t xml:space="preserve">Avg. Tags per Account</t>
    </r>
    <r>
      <rPr>
        <sz val="10"/>
        <color rgb="FF800000"/>
        <rFont val="Tahoma"/>
        <family val="2"/>
      </rPr>
      <t xml:space="preserve">:</t>
    </r>
    <r>
      <rPr>
        <sz val="10"/>
        <rFont val="Tahoma"/>
        <family val="2"/>
        <charset val="136"/>
      </rPr>
      <t xml:space="preserve">  </t>
    </r>
    <r>
      <rPr>
        <sz val="10"/>
        <color rgb="FF666699"/>
        <rFont val="Tahoma"/>
        <family val="2"/>
        <charset val="136"/>
      </rPr>
      <t xml:space="preserve">The ratio of  the number of transponders issued over</t>
    </r>
  </si>
  <si>
    <t xml:space="preserve">Assumptions about Fuel Consumption</t>
  </si>
  <si>
    <r>
      <rPr>
        <sz val="10"/>
        <color rgb="FF666699"/>
        <rFont val="Tahoma"/>
        <family val="2"/>
        <charset val="136"/>
      </rPr>
      <t xml:space="preserve">    "</t>
    </r>
    <r>
      <rPr>
        <i val="true"/>
        <sz val="10"/>
        <color rgb="FF666699"/>
        <rFont val="Tahoma"/>
        <family val="2"/>
        <charset val="136"/>
      </rPr>
      <t xml:space="preserve">Annual Traffic Volume"</t>
    </r>
    <r>
      <rPr>
        <sz val="10"/>
        <rFont val="Tahoma"/>
        <family val="2"/>
        <charset val="136"/>
      </rPr>
      <t xml:space="preserve"> here is defined as</t>
    </r>
    <r>
      <rPr>
        <sz val="10"/>
        <color rgb="FF666699"/>
        <rFont val="Tahoma"/>
        <family val="2"/>
        <charset val="136"/>
      </rPr>
      <t xml:space="preserve"> the number of traffic goes </t>
    </r>
  </si>
  <si>
    <t xml:space="preserve">      enter "0" if no costs incurred.</t>
  </si>
  <si>
    <r>
      <rPr>
        <sz val="10"/>
        <rFont val="Tahoma"/>
        <family val="2"/>
        <charset val="136"/>
      </rPr>
      <t xml:space="preserve">  1) </t>
    </r>
    <r>
      <rPr>
        <sz val="10"/>
        <color rgb="FF800000"/>
        <rFont val="Tahoma"/>
        <family val="2"/>
        <charset val="136"/>
      </rPr>
      <t xml:space="preserve">One-time costs: </t>
    </r>
    <r>
      <rPr>
        <sz val="10"/>
        <rFont val="Tahoma"/>
        <family val="2"/>
        <charset val="136"/>
      </rPr>
      <t xml:space="preserve">costs which occur only once at a specific point of time</t>
    </r>
  </si>
  <si>
    <r>
      <rPr>
        <sz val="10"/>
        <rFont val="Tahoma"/>
        <family val="2"/>
        <charset val="136"/>
      </rPr>
      <t xml:space="preserve">   </t>
    </r>
    <r>
      <rPr>
        <sz val="10"/>
        <color rgb="FF666699"/>
        <rFont val="Tahoma"/>
        <family val="2"/>
        <charset val="136"/>
      </rPr>
      <t xml:space="preserve">over the number of accounts open</t>
    </r>
    <r>
      <rPr>
        <sz val="10"/>
        <rFont val="Tahoma"/>
        <family val="2"/>
        <charset val="136"/>
      </rPr>
      <t xml:space="preserve">.  Several cars may share one account.</t>
    </r>
  </si>
  <si>
    <r>
      <rPr>
        <sz val="10"/>
        <rFont val="Tahoma"/>
        <family val="2"/>
        <charset val="136"/>
      </rPr>
      <t xml:space="preserve">The numbers in </t>
    </r>
    <r>
      <rPr>
        <b val="true"/>
        <sz val="10"/>
        <rFont val="Tahoma"/>
        <family val="2"/>
        <charset val="136"/>
      </rPr>
      <t xml:space="preserve">pink cells</t>
    </r>
    <r>
      <rPr>
        <sz val="10"/>
        <rFont val="Tahoma"/>
        <family val="2"/>
        <charset val="136"/>
      </rPr>
      <t xml:space="preserve"> are used previously to run the model, please update it </t>
    </r>
  </si>
  <si>
    <t xml:space="preserve">Other sheets in this files are for the sake of estimation.  You may want to have a</t>
  </si>
  <si>
    <r>
      <rPr>
        <sz val="10"/>
        <rFont val="Tahoma"/>
        <family val="2"/>
        <charset val="136"/>
      </rPr>
      <t xml:space="preserve">    </t>
    </r>
    <r>
      <rPr>
        <sz val="10"/>
        <color rgb="FF666699"/>
        <rFont val="Tahoma"/>
        <family val="2"/>
        <charset val="136"/>
      </rPr>
      <t xml:space="preserve">through the Toll Plaza per year.</t>
    </r>
  </si>
  <si>
    <r>
      <rPr>
        <sz val="10"/>
        <rFont val="Tahoma"/>
        <family val="2"/>
        <charset val="136"/>
      </rPr>
      <t xml:space="preserve">b) </t>
    </r>
    <r>
      <rPr>
        <sz val="10"/>
        <color rgb="FF800000"/>
        <rFont val="Tahoma"/>
        <family val="2"/>
        <charset val="136"/>
      </rPr>
      <t xml:space="preserve">Continuing Costs</t>
    </r>
    <r>
      <rPr>
        <sz val="10"/>
        <rFont val="Tahoma"/>
        <family val="2"/>
        <charset val="136"/>
      </rPr>
      <t xml:space="preserve">: Costs incurred every year</t>
    </r>
  </si>
  <si>
    <r>
      <rPr>
        <sz val="10"/>
        <rFont val="Tahoma"/>
        <family val="2"/>
        <charset val="136"/>
      </rPr>
      <t xml:space="preserve">  2) </t>
    </r>
    <r>
      <rPr>
        <sz val="10"/>
        <color rgb="FF800000"/>
        <rFont val="Tahoma"/>
        <family val="2"/>
      </rPr>
      <t xml:space="preserve">Operations/Materials Costs</t>
    </r>
  </si>
  <si>
    <r>
      <rPr>
        <sz val="10"/>
        <rFont val="Tahoma"/>
        <family val="2"/>
        <charset val="136"/>
      </rPr>
      <t xml:space="preserve">b)</t>
    </r>
    <r>
      <rPr>
        <sz val="10"/>
        <color rgb="FF800000"/>
        <rFont val="Tahoma"/>
        <family val="2"/>
        <charset val="136"/>
      </rPr>
      <t xml:space="preserve">Avg. Usage per Year</t>
    </r>
    <r>
      <rPr>
        <sz val="10"/>
        <rFont val="Tahoma"/>
        <family val="2"/>
        <charset val="136"/>
      </rPr>
      <t xml:space="preserve">:  </t>
    </r>
    <r>
      <rPr>
        <sz val="10"/>
        <color rgb="FF666699"/>
        <rFont val="Tahoma"/>
        <family val="2"/>
        <charset val="136"/>
      </rPr>
      <t xml:space="preserve">Total number of transactions divided by the total</t>
    </r>
  </si>
  <si>
    <t xml:space="preserve">if your case has different values .</t>
  </si>
  <si>
    <t xml:space="preserve">Average Milage of Consuming one Gallon of Fuel</t>
  </si>
  <si>
    <t xml:space="preserve"> glance and get a general idea of how to get these numbers.  You can refer to </t>
  </si>
  <si>
    <r>
      <rPr>
        <sz val="10"/>
        <rFont val="Tahoma"/>
        <family val="2"/>
        <charset val="136"/>
      </rPr>
      <t xml:space="preserve">b) </t>
    </r>
    <r>
      <rPr>
        <sz val="10"/>
        <color rgb="FF800000"/>
        <rFont val="Tahoma"/>
        <family val="2"/>
        <charset val="136"/>
      </rPr>
      <t xml:space="preserve">Expected ETC Split in Base Year</t>
    </r>
    <r>
      <rPr>
        <sz val="10"/>
        <rFont val="Tahoma"/>
        <family val="2"/>
        <charset val="136"/>
      </rPr>
      <t xml:space="preserve"> as well as </t>
    </r>
    <r>
      <rPr>
        <sz val="10"/>
        <color rgb="FF800000"/>
        <rFont val="Tahoma"/>
        <family val="2"/>
        <charset val="136"/>
      </rPr>
      <t xml:space="preserve">in Year 20</t>
    </r>
  </si>
  <si>
    <r>
      <rPr>
        <sz val="10"/>
        <rFont val="Tahoma"/>
        <family val="2"/>
        <charset val="136"/>
      </rPr>
      <t xml:space="preserve">  1) </t>
    </r>
    <r>
      <rPr>
        <sz val="10"/>
        <color rgb="FF800000"/>
        <rFont val="Tahoma"/>
        <family val="2"/>
      </rPr>
      <t xml:space="preserve">Operations/Materials Costs</t>
    </r>
  </si>
  <si>
    <r>
      <rPr>
        <sz val="10"/>
        <rFont val="Tahoma"/>
        <family val="2"/>
        <charset val="136"/>
      </rPr>
      <t xml:space="preserve">  3) </t>
    </r>
    <r>
      <rPr>
        <sz val="10"/>
        <color rgb="FF800000"/>
        <rFont val="Tahoma"/>
        <family val="2"/>
      </rPr>
      <t xml:space="preserve">Others</t>
    </r>
  </si>
  <si>
    <r>
      <rPr>
        <sz val="10"/>
        <rFont val="Tahoma"/>
        <family val="2"/>
        <charset val="136"/>
      </rPr>
      <t xml:space="preserve">   </t>
    </r>
    <r>
      <rPr>
        <sz val="10"/>
        <color rgb="FF666699"/>
        <rFont val="Tahoma"/>
        <family val="2"/>
        <charset val="136"/>
      </rPr>
      <t xml:space="preserve">number of accounts open.</t>
    </r>
  </si>
  <si>
    <t xml:space="preserve">Fuel Price per Gallon</t>
  </si>
  <si>
    <t xml:space="preserve"> footnotes right below the spreadsheet which provide formula and assumptions </t>
  </si>
  <si>
    <r>
      <rPr>
        <sz val="10"/>
        <rFont val="Tahoma"/>
        <family val="2"/>
        <charset val="136"/>
      </rPr>
      <t xml:space="preserve">c) </t>
    </r>
    <r>
      <rPr>
        <sz val="10"/>
        <color rgb="FF800000"/>
        <rFont val="Tahoma"/>
        <family val="2"/>
        <charset val="136"/>
      </rPr>
      <t xml:space="preserve">Peak Hour Volume (PHV) </t>
    </r>
    <r>
      <rPr>
        <sz val="10"/>
        <color rgb="FF800000"/>
        <rFont val="Tahoma"/>
        <family val="2"/>
      </rPr>
      <t xml:space="preserve">in Base Year.</t>
    </r>
  </si>
  <si>
    <r>
      <rPr>
        <sz val="10"/>
        <rFont val="Tahoma"/>
        <family val="2"/>
        <charset val="136"/>
      </rPr>
      <t xml:space="preserve">  2) </t>
    </r>
    <r>
      <rPr>
        <sz val="10"/>
        <color rgb="FF800000"/>
        <rFont val="Tahoma"/>
        <family val="2"/>
      </rPr>
      <t xml:space="preserve">Others</t>
    </r>
  </si>
  <si>
    <t xml:space="preserve">Staff Costs is estimated automatically by given units of personal year needed for toll</t>
  </si>
  <si>
    <r>
      <rPr>
        <sz val="10"/>
        <rFont val="Tahoma"/>
        <family val="2"/>
        <charset val="136"/>
      </rPr>
      <t xml:space="preserve">c)</t>
    </r>
    <r>
      <rPr>
        <sz val="10"/>
        <color rgb="FF800000"/>
        <rFont val="Tahoma"/>
        <family val="2"/>
        <charset val="136"/>
      </rPr>
      <t xml:space="preserve">Deposits:</t>
    </r>
    <r>
      <rPr>
        <sz val="10"/>
        <color rgb="FF666699"/>
        <rFont val="Tahoma"/>
        <family val="2"/>
        <charset val="136"/>
      </rPr>
      <t xml:space="preserve">  This number refers to the required deposits for transponders.</t>
    </r>
  </si>
  <si>
    <t xml:space="preserve">Emission Rates during Acceleration (grams/gallon)</t>
  </si>
  <si>
    <t xml:space="preserve"> employed to proceed the clalculation.</t>
  </si>
  <si>
    <r>
      <rPr>
        <sz val="10"/>
        <rFont val="Tahoma"/>
        <family val="2"/>
        <charset val="136"/>
      </rPr>
      <t xml:space="preserve">   </t>
    </r>
    <r>
      <rPr>
        <i val="true"/>
        <sz val="10"/>
        <rFont val="Tahoma"/>
        <family val="2"/>
      </rPr>
      <t xml:space="preserve"> </t>
    </r>
    <r>
      <rPr>
        <i val="true"/>
        <sz val="10"/>
        <color rgb="FF666699"/>
        <rFont val="Tahoma"/>
        <family val="2"/>
        <charset val="136"/>
      </rPr>
      <t xml:space="preserve">"Peak Hour Volume"</t>
    </r>
    <r>
      <rPr>
        <sz val="10"/>
        <rFont val="Tahoma"/>
        <family val="2"/>
        <charset val="136"/>
      </rPr>
      <t xml:space="preserve"> here is defined as</t>
    </r>
    <r>
      <rPr>
        <sz val="10"/>
        <color rgb="FF800000"/>
        <rFont val="Tahoma"/>
        <family val="2"/>
      </rPr>
      <t xml:space="preserve"> </t>
    </r>
    <r>
      <rPr>
        <sz val="10"/>
        <color rgb="FF666699"/>
        <rFont val="Tahoma"/>
        <family val="2"/>
        <charset val="136"/>
      </rPr>
      <t xml:space="preserve">traffic volume in both direction during</t>
    </r>
  </si>
  <si>
    <t xml:space="preserve">Staff Costs is estimated automatically by given units of personal year needed for</t>
  </si>
  <si>
    <t xml:space="preserve"> collection and information technology,  and costs per personal year.</t>
  </si>
  <si>
    <t xml:space="preserve">Configuration of the Toll Plaza</t>
  </si>
  <si>
    <t xml:space="preserve">Nox</t>
  </si>
  <si>
    <r>
      <rPr>
        <sz val="10"/>
        <color rgb="FF800000"/>
        <rFont val="Tahoma"/>
        <family val="2"/>
      </rPr>
      <t xml:space="preserve">     </t>
    </r>
    <r>
      <rPr>
        <sz val="10"/>
        <color rgb="FF666699"/>
        <rFont val="Tahoma"/>
        <family val="2"/>
        <charset val="136"/>
      </rPr>
      <t xml:space="preserve">the peak period.</t>
    </r>
  </si>
  <si>
    <t xml:space="preserve"> toll collection and information technology,  and costs per personal year.</t>
  </si>
  <si>
    <t xml:space="preserve">Transaction Time (sec)</t>
  </si>
  <si>
    <t xml:space="preserve">Total Number of Lanes (max 22)</t>
  </si>
  <si>
    <t xml:space="preserve">HC</t>
  </si>
  <si>
    <r>
      <rPr>
        <sz val="10"/>
        <rFont val="Wingdings"/>
        <family val="0"/>
        <charset val="2"/>
      </rPr>
      <t xml:space="preserve">q</t>
    </r>
    <r>
      <rPr>
        <b val="true"/>
        <sz val="10"/>
        <rFont val="Tahoma"/>
        <family val="2"/>
        <charset val="136"/>
      </rPr>
      <t xml:space="preserve"> </t>
    </r>
    <r>
      <rPr>
        <b val="true"/>
        <sz val="11"/>
        <rFont val="Tahoma"/>
        <family val="2"/>
        <charset val="136"/>
      </rPr>
      <t xml:space="preserve">SHEET "Input-Start"</t>
    </r>
  </si>
  <si>
    <r>
      <rPr>
        <sz val="10"/>
        <rFont val="Tahoma"/>
        <family val="2"/>
        <charset val="136"/>
      </rPr>
      <t xml:space="preserve">d) </t>
    </r>
    <r>
      <rPr>
        <sz val="10"/>
        <color rgb="FF800000"/>
        <rFont val="Tahoma"/>
        <family val="2"/>
        <charset val="136"/>
      </rPr>
      <t xml:space="preserve">Peak Hour Duration (T) in Base Year</t>
    </r>
  </si>
  <si>
    <t xml:space="preserve">Year</t>
  </si>
  <si>
    <t xml:space="preserve">Capital Investment</t>
  </si>
  <si>
    <t xml:space="preserve">Operating Costs</t>
  </si>
  <si>
    <t xml:space="preserve">Cash</t>
  </si>
  <si>
    <t xml:space="preserve">Ramp Distance prior to the Toll Plaza (miles)</t>
  </si>
  <si>
    <t xml:space="preserve">CO</t>
  </si>
  <si>
    <r>
      <rPr>
        <sz val="11"/>
        <rFont val="Tahoma"/>
        <family val="2"/>
      </rPr>
      <t xml:space="preserve">    In this Sheet, you are asked to give the </t>
    </r>
    <r>
      <rPr>
        <sz val="11"/>
        <color rgb="FF800000"/>
        <rFont val="Tahoma"/>
        <family val="2"/>
      </rPr>
      <t xml:space="preserve">basic information</t>
    </r>
    <r>
      <rPr>
        <sz val="11"/>
        <rFont val="Tahoma"/>
        <family val="2"/>
      </rPr>
      <t xml:space="preserve"> required for Benefit-Cost analysis.</t>
    </r>
  </si>
  <si>
    <r>
      <rPr>
        <sz val="10"/>
        <rFont val="Tahoma"/>
        <family val="2"/>
        <charset val="136"/>
      </rPr>
      <t xml:space="preserve">e) </t>
    </r>
    <r>
      <rPr>
        <sz val="10"/>
        <color rgb="FF800000"/>
        <rFont val="Tahoma"/>
        <family val="2"/>
        <charset val="136"/>
      </rPr>
      <t xml:space="preserve">D factor (D) in Base Year - directional split</t>
    </r>
  </si>
  <si>
    <t xml:space="preserve">One-Time Costs</t>
  </si>
  <si>
    <t xml:space="preserve">Continuing Costs:</t>
  </si>
  <si>
    <t xml:space="preserve">Staff</t>
  </si>
  <si>
    <t xml:space="preserve">Operations/Materials</t>
  </si>
  <si>
    <t xml:space="preserve">Other</t>
  </si>
  <si>
    <t xml:space="preserve">Ticket</t>
  </si>
  <si>
    <t xml:space="preserve">Ramp Distance leading from the toll Plaza (miles)</t>
  </si>
  <si>
    <t xml:space="preserve">Emission Rates during Idling (grams/minute)</t>
  </si>
  <si>
    <t xml:space="preserve">     Basically, you have to provide the data for Base Year as well as for Year 20.</t>
  </si>
  <si>
    <t xml:space="preserve"> </t>
  </si>
  <si>
    <t xml:space="preserve">Base</t>
  </si>
  <si>
    <t xml:space="preserve">ETC (headway)</t>
  </si>
  <si>
    <t xml:space="preserve">     Then, the model estimates the numbers in between automatically by linear interpolation.</t>
  </si>
  <si>
    <t xml:space="preserve">Estimated Annual Traffic Volume (ATV)</t>
  </si>
  <si>
    <t xml:space="preserve">Payment Split</t>
  </si>
  <si>
    <t xml:space="preserve">Prevailing Travel Speed (mph)</t>
  </si>
  <si>
    <t xml:space="preserve">    If you have more data regarding information required other than base in year and in year 20, </t>
  </si>
  <si>
    <t xml:space="preserve">Base Year</t>
  </si>
  <si>
    <t xml:space="preserve">Year 20</t>
  </si>
  <si>
    <r>
      <rPr>
        <sz val="11"/>
        <color rgb="FF800000"/>
        <rFont val="Tahoma"/>
        <family val="2"/>
      </rPr>
      <t xml:space="preserve">     </t>
    </r>
    <r>
      <rPr>
        <u val="single"/>
        <sz val="11"/>
        <color rgb="FF800000"/>
        <rFont val="Tahoma"/>
        <family val="2"/>
      </rPr>
      <t xml:space="preserve">Manual Lane-Baseline</t>
    </r>
  </si>
  <si>
    <r>
      <rPr>
        <sz val="11"/>
        <rFont val="Tahoma"/>
        <family val="2"/>
      </rPr>
      <t xml:space="preserve">     </t>
    </r>
    <r>
      <rPr>
        <sz val="11"/>
        <color rgb="FF800000"/>
        <rFont val="Tahoma"/>
        <family val="2"/>
        <charset val="136"/>
      </rPr>
      <t xml:space="preserve">e</t>
    </r>
    <r>
      <rPr>
        <sz val="11"/>
        <color rgb="FF800000"/>
        <rFont val="Tahoma"/>
        <family val="2"/>
      </rPr>
      <t xml:space="preserve">nter the basic data required in this sheet first;</t>
    </r>
  </si>
  <si>
    <t xml:space="preserve">Traffic Volume</t>
  </si>
  <si>
    <t xml:space="preserve">Mode Split among ETC Users</t>
  </si>
  <si>
    <t xml:space="preserve">Cost of Air Polution ($/kg of pollutant)</t>
  </si>
  <si>
    <t xml:space="preserve">     then, go to the sheet "Input-Detail" to change the number shown in blue cells. </t>
  </si>
  <si>
    <t xml:space="preserve">ETC Split</t>
  </si>
  <si>
    <t xml:space="preserve">Auto</t>
  </si>
  <si>
    <r>
      <rPr>
        <sz val="11"/>
        <color rgb="FF800000"/>
        <rFont val="Tahoma"/>
        <family val="2"/>
      </rPr>
      <t xml:space="preserve">     </t>
    </r>
    <r>
      <rPr>
        <u val="single"/>
        <sz val="11"/>
        <color rgb="FF800000"/>
        <rFont val="Tahoma"/>
        <family val="2"/>
      </rPr>
      <t xml:space="preserve">Manual Lane-ETC Alternative</t>
    </r>
  </si>
  <si>
    <t xml:space="preserve">Truck</t>
  </si>
  <si>
    <r>
      <rPr>
        <sz val="10"/>
        <rFont val="Wingdings"/>
        <family val="0"/>
        <charset val="2"/>
      </rPr>
      <t xml:space="preserve">q</t>
    </r>
    <r>
      <rPr>
        <b val="true"/>
        <sz val="10"/>
        <rFont val="Tahoma"/>
        <family val="2"/>
        <charset val="136"/>
      </rPr>
      <t xml:space="preserve"> </t>
    </r>
    <r>
      <rPr>
        <b val="true"/>
        <sz val="11"/>
        <rFont val="Tahoma"/>
        <family val="2"/>
        <charset val="136"/>
      </rPr>
      <t xml:space="preserve">SHEET "Input-Detail"</t>
    </r>
  </si>
  <si>
    <t xml:space="preserve">Peak Hour Statistics in Base Year</t>
  </si>
  <si>
    <t xml:space="preserve">Bus</t>
  </si>
  <si>
    <r>
      <rPr>
        <sz val="11"/>
        <rFont val="Tahoma"/>
        <family val="2"/>
      </rPr>
      <t xml:space="preserve">    In this Sheet, you you may change the numbers estimated automatically by this model based</t>
    </r>
    <r>
      <rPr>
        <sz val="11"/>
        <color rgb="FF800000"/>
        <rFont val="Tahoma"/>
        <family val="2"/>
      </rPr>
      <t xml:space="preserve"> </t>
    </r>
  </si>
  <si>
    <t xml:space="preserve">Morning</t>
  </si>
  <si>
    <t xml:space="preserve">Evening</t>
  </si>
  <si>
    <t xml:space="preserve">Average Vehicle Occupancy</t>
  </si>
  <si>
    <t xml:space="preserve">     on the numbers you enter in "Input-Start".</t>
  </si>
  <si>
    <t xml:space="preserve">PHV (veh/hr)</t>
  </si>
  <si>
    <r>
      <rPr>
        <sz val="11"/>
        <color rgb="FF800000"/>
        <rFont val="Tahoma"/>
        <family val="2"/>
      </rPr>
      <t xml:space="preserve">     </t>
    </r>
    <r>
      <rPr>
        <u val="single"/>
        <sz val="11"/>
        <color rgb="FF800000"/>
        <rFont val="Tahoma"/>
        <family val="2"/>
        <charset val="136"/>
      </rPr>
      <t xml:space="preserve">ETC Lane-ETC Alternative</t>
    </r>
  </si>
  <si>
    <t xml:space="preserve">T (hr)</t>
  </si>
  <si>
    <t xml:space="preserve">Cash, Checks</t>
  </si>
  <si>
    <t xml:space="preserve">General Assumptions</t>
  </si>
  <si>
    <r>
      <rPr>
        <sz val="10"/>
        <rFont val="Wingdings"/>
        <family val="0"/>
        <charset val="2"/>
      </rPr>
      <t xml:space="preserve">q</t>
    </r>
    <r>
      <rPr>
        <b val="true"/>
        <sz val="10"/>
        <rFont val="Tahoma"/>
        <family val="2"/>
        <charset val="136"/>
      </rPr>
      <t xml:space="preserve"> </t>
    </r>
    <r>
      <rPr>
        <b val="true"/>
        <sz val="11"/>
        <rFont val="Tahoma"/>
        <family val="2"/>
        <charset val="136"/>
      </rPr>
      <t xml:space="preserve">SHEET "Results Summary"</t>
    </r>
  </si>
  <si>
    <t xml:space="preserve">D factor</t>
  </si>
  <si>
    <t xml:space="preserve">Credit Card</t>
  </si>
  <si>
    <t xml:space="preserve">    In this Sheet, , overall analytical results are presented as well as benefit-cost ratio and </t>
  </si>
  <si>
    <t xml:space="preserve">ETC Account Fact</t>
  </si>
  <si>
    <t xml:space="preserve">Inflation Rate</t>
  </si>
  <si>
    <t xml:space="preserve">     estimated internal interest rate.</t>
  </si>
  <si>
    <r>
      <rPr>
        <sz val="11"/>
        <color rgb="FF800000"/>
        <rFont val="Tahoma"/>
        <family val="2"/>
        <charset val="136"/>
      </rPr>
      <t xml:space="preserve">     </t>
    </r>
    <r>
      <rPr>
        <u val="single"/>
        <sz val="11"/>
        <color rgb="FF800000"/>
        <rFont val="Tahoma"/>
        <family val="2"/>
      </rPr>
      <t xml:space="preserve">Cash &amp; Checks Account</t>
    </r>
  </si>
  <si>
    <t xml:space="preserve">Time Value for Each Mode ($/hr)</t>
  </si>
  <si>
    <t xml:space="preserve">Annual Interest Rate</t>
  </si>
  <si>
    <t xml:space="preserve">Avg. Tags per Accout</t>
  </si>
  <si>
    <t xml:space="preserve">Discount Rate</t>
  </si>
  <si>
    <r>
      <rPr>
        <sz val="10"/>
        <rFont val="Wingdings"/>
        <family val="0"/>
        <charset val="2"/>
      </rPr>
      <t xml:space="preserve">q</t>
    </r>
    <r>
      <rPr>
        <b val="true"/>
        <sz val="10"/>
        <rFont val="Tahoma"/>
        <family val="2"/>
        <charset val="136"/>
      </rPr>
      <t xml:space="preserve"> </t>
    </r>
    <r>
      <rPr>
        <b val="true"/>
        <sz val="11"/>
        <rFont val="Tahoma"/>
        <family val="2"/>
        <charset val="136"/>
      </rPr>
      <t xml:space="preserve">SHEET "Results-Detail"</t>
    </r>
  </si>
  <si>
    <t xml:space="preserve">Avg. Usage per Year</t>
  </si>
  <si>
    <t xml:space="preserve">Personal Year (PY)</t>
  </si>
  <si>
    <t xml:space="preserve">    In this Sheet, benefit-cost analyses are shown for Toll Agency, Users, and Community.</t>
  </si>
  <si>
    <t xml:space="preserve">Deposits</t>
  </si>
  <si>
    <t xml:space="preserve">Bus (per rider)</t>
  </si>
  <si>
    <t xml:space="preserve">Hours per Unit Personal Year</t>
  </si>
  <si>
    <t xml:space="preserve">     respectively.</t>
  </si>
  <si>
    <t xml:space="preserve">Avg. Balance other than Deposit</t>
  </si>
  <si>
    <t xml:space="preserve">PY for Information Technology</t>
  </si>
  <si>
    <r>
      <rPr>
        <sz val="11"/>
        <color rgb="FF800000"/>
        <rFont val="Tahoma"/>
        <family val="2"/>
        <charset val="136"/>
      </rPr>
      <t xml:space="preserve">     </t>
    </r>
    <r>
      <rPr>
        <u val="single"/>
        <sz val="11"/>
        <color rgb="FF800000"/>
        <rFont val="Tahoma"/>
        <family val="2"/>
      </rPr>
      <t xml:space="preserve">Credit Card Account</t>
    </r>
  </si>
  <si>
    <t xml:space="preserve">PY for Program Costs (Toll Collection)</t>
  </si>
  <si>
    <t xml:space="preserve">Unit Cost per Personal Year</t>
  </si>
  <si>
    <t xml:space="preserve">Ia.</t>
  </si>
  <si>
    <t xml:space="preserve">       TRAFFIC DATA - Annual</t>
  </si>
  <si>
    <t xml:space="preserve">Ib.</t>
  </si>
  <si>
    <t xml:space="preserve">   TRAFFIC DATA - Morning Peak</t>
  </si>
  <si>
    <t xml:space="preserve">Ic.</t>
  </si>
  <si>
    <t xml:space="preserve">        TRAFFIC DATA - Evening Peak</t>
  </si>
  <si>
    <t xml:space="preserve">   COSTS INFORMATION--ETC Alternative       </t>
  </si>
  <si>
    <t xml:space="preserve">   FACT OF TOLL TRANSACTION &amp; Travel at Toll Plaza</t>
  </si>
  <si>
    <t xml:space="preserve">EXPECTED PAYMENT SPLIT</t>
  </si>
  <si>
    <t xml:space="preserve">  FUEL CONSUMPTION &amp; OTHER ASSUMPTIONS</t>
  </si>
  <si>
    <t xml:space="preserve">Change the numbers in blue cells only -</t>
  </si>
  <si>
    <t xml:space="preserve">The values shown in pink cells are the default number we used to run the model.</t>
  </si>
  <si>
    <t xml:space="preserve"> The data in Base Year and Year 20 you enter in sheet "Input-Start" are </t>
  </si>
  <si>
    <t xml:space="preserve"> The data in Base Year and Year 20 you enter in sheet "Input-Start" are shown</t>
  </si>
  <si>
    <t xml:space="preserve">  The data in Base Year and Year 20 you enter in sheet "Input-Start" are </t>
  </si>
  <si>
    <t xml:space="preserve">The numbers in white cells are those you entered in Table III &amp;IV in "Input-Start" Sheet.</t>
  </si>
  <si>
    <t xml:space="preserve">the numbers in white cells are those you entered in "Input-Start" Sheet about .</t>
  </si>
  <si>
    <t xml:space="preserve">The numbers in white cells are those you entered in Table V in "Input-Start" Sheet.</t>
  </si>
  <si>
    <r>
      <rPr>
        <sz val="10"/>
        <rFont val="Tahoma"/>
        <family val="2"/>
      </rPr>
      <t xml:space="preserve">   shown on </t>
    </r>
    <r>
      <rPr>
        <b val="true"/>
        <sz val="10"/>
        <rFont val="Tahoma"/>
        <family val="2"/>
      </rPr>
      <t xml:space="preserve">white cells</t>
    </r>
    <r>
      <rPr>
        <sz val="10"/>
        <rFont val="Tahoma"/>
        <family val="2"/>
      </rPr>
      <t xml:space="preserve">.  </t>
    </r>
  </si>
  <si>
    <r>
      <rPr>
        <sz val="10"/>
        <rFont val="Tahoma"/>
        <family val="2"/>
      </rPr>
      <t xml:space="preserve">  shown on </t>
    </r>
    <r>
      <rPr>
        <b val="true"/>
        <sz val="10"/>
        <rFont val="Tahoma"/>
        <family val="2"/>
      </rPr>
      <t xml:space="preserve">white cells</t>
    </r>
    <r>
      <rPr>
        <sz val="10"/>
        <rFont val="Tahoma"/>
        <family val="2"/>
      </rPr>
      <t xml:space="preserve">.  </t>
    </r>
  </si>
  <si>
    <r>
      <rPr>
        <sz val="10"/>
        <rFont val="Tahoma"/>
        <family val="2"/>
      </rPr>
      <t xml:space="preserve">  on </t>
    </r>
    <r>
      <rPr>
        <b val="true"/>
        <sz val="10"/>
        <rFont val="Tahoma"/>
        <family val="2"/>
      </rPr>
      <t xml:space="preserve">white cells after inflation effect</t>
    </r>
    <r>
      <rPr>
        <sz val="10"/>
        <rFont val="Tahoma"/>
        <family val="2"/>
      </rPr>
      <t xml:space="preserve">.  That is, the number show on this table</t>
    </r>
  </si>
  <si>
    <r>
      <rPr>
        <sz val="10"/>
        <rFont val="Tahoma"/>
        <family val="2"/>
      </rPr>
      <t xml:space="preserve">   shown on </t>
    </r>
    <r>
      <rPr>
        <b val="true"/>
        <sz val="10"/>
        <rFont val="Tahoma"/>
        <family val="2"/>
      </rPr>
      <t xml:space="preserve">white cells after inflation effect</t>
    </r>
    <r>
      <rPr>
        <sz val="10"/>
        <rFont val="Tahoma"/>
        <family val="2"/>
      </rPr>
      <t xml:space="preserve">.  That is, the number show on this </t>
    </r>
  </si>
  <si>
    <t xml:space="preserve">You can not make any change here.</t>
  </si>
  <si>
    <t xml:space="preserve">payment split among Manual Users as well as among ETC Users.</t>
  </si>
  <si>
    <t xml:space="preserve"> Based on these data, the model estimated automatically annual traffic volume</t>
  </si>
  <si>
    <r>
      <rPr>
        <sz val="10"/>
        <rFont val="Tahoma"/>
        <family val="2"/>
      </rPr>
      <t xml:space="preserve">  Based on these data, the model estimated automatically </t>
    </r>
    <r>
      <rPr>
        <sz val="10"/>
        <color rgb="FF800000"/>
        <rFont val="Tahoma"/>
        <family val="2"/>
      </rPr>
      <t xml:space="preserve">peak hour traffic</t>
    </r>
  </si>
  <si>
    <r>
      <rPr>
        <sz val="10"/>
        <rFont val="Tahoma"/>
        <family val="2"/>
      </rPr>
      <t xml:space="preserve"> Based on these data, the model estimated automatically </t>
    </r>
    <r>
      <rPr>
        <sz val="10"/>
        <color rgb="FF800000"/>
        <rFont val="Tahoma"/>
        <family val="2"/>
      </rPr>
      <t xml:space="preserve">peak hour traffic</t>
    </r>
    <r>
      <rPr>
        <sz val="10"/>
        <rFont val="Tahoma"/>
        <family val="2"/>
      </rPr>
      <t xml:space="preserve"> </t>
    </r>
  </si>
  <si>
    <r>
      <rPr>
        <sz val="10"/>
        <rFont val="Tahoma"/>
        <family val="2"/>
      </rPr>
      <t xml:space="preserve">  are no longer current value but </t>
    </r>
    <r>
      <rPr>
        <sz val="10"/>
        <color rgb="FF800000"/>
        <rFont val="Tahoma"/>
        <family val="2"/>
      </rPr>
      <t xml:space="preserve">nominal value in year i</t>
    </r>
    <r>
      <rPr>
        <sz val="10"/>
        <rFont val="Tahoma"/>
        <family val="2"/>
      </rPr>
      <t xml:space="preserve">.  </t>
    </r>
  </si>
  <si>
    <r>
      <rPr>
        <sz val="10"/>
        <rFont val="Tahoma"/>
        <family val="2"/>
      </rPr>
      <t xml:space="preserve">    table are no longer current value but </t>
    </r>
    <r>
      <rPr>
        <sz val="10"/>
        <color rgb="FF800000"/>
        <rFont val="Tahoma"/>
        <family val="2"/>
      </rPr>
      <t xml:space="preserve">nominal value</t>
    </r>
    <r>
      <rPr>
        <sz val="10"/>
        <rFont val="Tahoma"/>
        <family val="2"/>
      </rPr>
      <t xml:space="preserve">.  </t>
    </r>
  </si>
  <si>
    <t xml:space="preserve">If you would like to make any change, go back to the sheet "Input-Start".</t>
  </si>
  <si>
    <t xml:space="preserve">  and ETC Split in between by interpolation.</t>
  </si>
  <si>
    <r>
      <rPr>
        <sz val="10"/>
        <rFont val="Tahoma"/>
        <family val="2"/>
      </rPr>
      <t xml:space="preserve">   </t>
    </r>
    <r>
      <rPr>
        <sz val="10"/>
        <color rgb="FF800000"/>
        <rFont val="Tahoma"/>
        <family val="2"/>
        <charset val="136"/>
      </rPr>
      <t xml:space="preserve">volume,  </t>
    </r>
    <r>
      <rPr>
        <sz val="10"/>
        <color rgb="FF800000"/>
        <rFont val="Tahoma"/>
        <family val="2"/>
      </rPr>
      <t xml:space="preserve">duration of peak period</t>
    </r>
    <r>
      <rPr>
        <sz val="10"/>
        <rFont val="Tahoma"/>
        <family val="2"/>
      </rPr>
      <t xml:space="preserve">, and </t>
    </r>
    <r>
      <rPr>
        <sz val="10"/>
        <color rgb="FF800000"/>
        <rFont val="Tahoma"/>
        <family val="2"/>
      </rPr>
      <t xml:space="preserve">D factor for each year</t>
    </r>
    <r>
      <rPr>
        <sz val="10"/>
        <rFont val="Tahoma"/>
        <family val="2"/>
      </rPr>
      <t xml:space="preserve">.</t>
    </r>
  </si>
  <si>
    <r>
      <rPr>
        <sz val="10"/>
        <color rgb="FF800000"/>
        <rFont val="Tahoma"/>
        <family val="2"/>
      </rPr>
      <t xml:space="preserve">  volume, duration of peak period</t>
    </r>
    <r>
      <rPr>
        <sz val="10"/>
        <rFont val="Tahoma"/>
        <family val="2"/>
      </rPr>
      <t xml:space="preserve">, and </t>
    </r>
    <r>
      <rPr>
        <sz val="10"/>
        <color rgb="FF800000"/>
        <rFont val="Tahoma"/>
        <family val="2"/>
      </rPr>
      <t xml:space="preserve">D factor</t>
    </r>
    <r>
      <rPr>
        <sz val="10"/>
        <rFont val="Tahoma"/>
        <family val="2"/>
      </rPr>
      <t xml:space="preserve">.</t>
    </r>
  </si>
  <si>
    <r>
      <rPr>
        <sz val="10"/>
        <rFont val="Tahoma"/>
        <family val="2"/>
      </rPr>
      <t xml:space="preserve"> Based on these data, the model estimates </t>
    </r>
    <r>
      <rPr>
        <sz val="10"/>
        <color rgb="FF800000"/>
        <rFont val="Tahoma"/>
        <family val="2"/>
      </rPr>
      <t xml:space="preserve">continuing costs </t>
    </r>
    <r>
      <rPr>
        <sz val="10"/>
        <rFont val="Tahoma"/>
        <family val="2"/>
      </rPr>
      <t xml:space="preserve">automatically</t>
    </r>
    <r>
      <rPr>
        <sz val="10"/>
        <color rgb="FF800000"/>
        <rFont val="Tahoma"/>
        <family val="2"/>
      </rPr>
      <t xml:space="preserve">.</t>
    </r>
  </si>
  <si>
    <r>
      <rPr>
        <sz val="10"/>
        <rFont val="Tahoma"/>
        <family val="2"/>
      </rPr>
      <t xml:space="preserve">   Based on these data, the model estimated </t>
    </r>
    <r>
      <rPr>
        <sz val="10"/>
        <color rgb="FF800000"/>
        <rFont val="Tahoma"/>
        <family val="2"/>
      </rPr>
      <t xml:space="preserve">continuing cost </t>
    </r>
    <r>
      <rPr>
        <sz val="10"/>
        <rFont val="Tahoma"/>
        <family val="2"/>
      </rPr>
      <t xml:space="preserve">automatically</t>
    </r>
    <r>
      <rPr>
        <sz val="10"/>
        <color rgb="FF800000"/>
        <rFont val="Tahoma"/>
        <family val="2"/>
      </rPr>
      <t xml:space="preserve">.</t>
    </r>
  </si>
  <si>
    <r>
      <rPr>
        <sz val="10"/>
        <rFont val="Tahoma"/>
        <family val="2"/>
        <charset val="136"/>
      </rPr>
      <t xml:space="preserve"> Please make reasonable adjustions in </t>
    </r>
    <r>
      <rPr>
        <b val="true"/>
        <sz val="10"/>
        <rFont val="Tahoma"/>
        <family val="2"/>
      </rPr>
      <t xml:space="preserve">blue cells</t>
    </r>
    <r>
      <rPr>
        <sz val="10"/>
        <rFont val="Tahoma"/>
        <family val="2"/>
        <charset val="136"/>
      </rPr>
      <t xml:space="preserve">.</t>
    </r>
  </si>
  <si>
    <r>
      <rPr>
        <sz val="10"/>
        <rFont val="Tahoma"/>
        <family val="2"/>
        <charset val="136"/>
      </rPr>
      <t xml:space="preserve">a)</t>
    </r>
    <r>
      <rPr>
        <sz val="10"/>
        <color rgb="FF800000"/>
        <rFont val="Tahoma"/>
        <family val="2"/>
        <charset val="136"/>
      </rPr>
      <t xml:space="preserve"> Peak Hour Volume (PHV): </t>
    </r>
    <r>
      <rPr>
        <sz val="10"/>
        <rFont val="Tahoma"/>
        <family val="2"/>
      </rPr>
      <t xml:space="preserve">assume that ATV/PHV  remains constant over</t>
    </r>
  </si>
  <si>
    <r>
      <rPr>
        <sz val="10"/>
        <rFont val="Tahoma"/>
        <family val="2"/>
        <charset val="136"/>
      </rPr>
      <t xml:space="preserve">a)</t>
    </r>
    <r>
      <rPr>
        <sz val="10"/>
        <color rgb="FF800000"/>
        <rFont val="Tahoma"/>
        <family val="2"/>
        <charset val="136"/>
      </rPr>
      <t xml:space="preserve"> Peak Hour Volume (PHV) - </t>
    </r>
    <r>
      <rPr>
        <sz val="10"/>
        <rFont val="Tahoma"/>
        <family val="2"/>
      </rPr>
      <t xml:space="preserve">assume that ATV/PHV  remains constant over</t>
    </r>
  </si>
  <si>
    <t xml:space="preserve"> For the knowledge of estimation, check the footnote right below the table.</t>
  </si>
  <si>
    <t xml:space="preserve">For the knowledge of estimation, check the footnote right below the table.</t>
  </si>
  <si>
    <t xml:space="preserve">    the analysis period.  Thus, peak hour volume in year i is estimated by</t>
  </si>
  <si>
    <t xml:space="preserve">    the analysis period.  Thus, peak hour volume in year i is estimated by </t>
  </si>
  <si>
    <r>
      <rPr>
        <sz val="10"/>
        <rFont val="Tahoma"/>
        <family val="2"/>
        <charset val="136"/>
      </rPr>
      <t xml:space="preserve">Please make reasonable adjustions in </t>
    </r>
    <r>
      <rPr>
        <b val="true"/>
        <sz val="10"/>
        <rFont val="Tahoma"/>
        <family val="2"/>
      </rPr>
      <t xml:space="preserve">blue cells</t>
    </r>
    <r>
      <rPr>
        <sz val="10"/>
        <rFont val="Tahoma"/>
        <family val="2"/>
        <charset val="136"/>
      </rPr>
      <t xml:space="preserve">.</t>
    </r>
  </si>
  <si>
    <r>
      <rPr>
        <sz val="10"/>
        <rFont val="Tahoma"/>
        <family val="2"/>
        <charset val="136"/>
      </rPr>
      <t xml:space="preserve">  Please make reasonable adjustions in </t>
    </r>
    <r>
      <rPr>
        <b val="true"/>
        <sz val="10"/>
        <rFont val="Tahoma"/>
        <family val="2"/>
      </rPr>
      <t xml:space="preserve">blue cells</t>
    </r>
    <r>
      <rPr>
        <sz val="10"/>
        <rFont val="Tahoma"/>
        <family val="2"/>
        <charset val="136"/>
      </rPr>
      <t xml:space="preserve">.</t>
    </r>
  </si>
  <si>
    <t xml:space="preserve">Baseline</t>
  </si>
  <si>
    <t xml:space="preserve">ETC Alternative</t>
  </si>
  <si>
    <t xml:space="preserve">    estimated annual traffic volume times ATV/PHV.</t>
  </si>
  <si>
    <t xml:space="preserve">Manual Users</t>
  </si>
  <si>
    <t xml:space="preserve">ETC Users</t>
  </si>
  <si>
    <r>
      <rPr>
        <sz val="10"/>
        <rFont val="Tahoma"/>
        <family val="2"/>
        <charset val="136"/>
      </rPr>
      <t xml:space="preserve">b)</t>
    </r>
    <r>
      <rPr>
        <sz val="10"/>
        <color rgb="FF800000"/>
        <rFont val="Tahoma"/>
        <family val="2"/>
        <charset val="136"/>
      </rPr>
      <t xml:space="preserve"> ATV/PHV - </t>
    </r>
    <r>
      <rPr>
        <sz val="10"/>
        <rFont val="Tahoma"/>
        <family val="2"/>
      </rPr>
      <t xml:space="preserve">the ratio of annual traffic volume over peak hour volume.</t>
    </r>
  </si>
  <si>
    <t xml:space="preserve">Cash &amp;Checks</t>
  </si>
  <si>
    <t xml:space="preserve">Traffic Vol.</t>
  </si>
  <si>
    <r>
      <rPr>
        <sz val="10"/>
        <rFont val="Tahoma"/>
        <family val="2"/>
        <charset val="136"/>
      </rPr>
      <t xml:space="preserve">c)</t>
    </r>
    <r>
      <rPr>
        <sz val="10"/>
        <color rgb="FF800000"/>
        <rFont val="Tahoma"/>
        <family val="2"/>
        <charset val="136"/>
      </rPr>
      <t xml:space="preserve"> Duration of Peak Period (T) in the morning peak in Based Year, hrs/day.</t>
    </r>
  </si>
  <si>
    <r>
      <rPr>
        <sz val="10"/>
        <rFont val="Tahoma"/>
        <family val="2"/>
        <charset val="136"/>
      </rPr>
      <t xml:space="preserve">c) </t>
    </r>
    <r>
      <rPr>
        <sz val="10"/>
        <color rgb="FF800000"/>
        <rFont val="Tahoma"/>
        <family val="2"/>
        <charset val="136"/>
      </rPr>
      <t xml:space="preserve">Duration of Peak Period (T) in the evening peak in Based Year, hrs/day</t>
    </r>
  </si>
  <si>
    <t xml:space="preserve">Staff*</t>
  </si>
  <si>
    <r>
      <rPr>
        <sz val="10"/>
        <rFont val="Tahoma"/>
        <family val="2"/>
        <charset val="136"/>
      </rPr>
      <t xml:space="preserve">d)</t>
    </r>
    <r>
      <rPr>
        <sz val="10"/>
        <color rgb="FF800000"/>
        <rFont val="Tahoma"/>
        <family val="2"/>
        <charset val="136"/>
      </rPr>
      <t xml:space="preserve"> Direction Factor (D) during the morning peak in Base Year</t>
    </r>
  </si>
  <si>
    <r>
      <rPr>
        <sz val="10"/>
        <rFont val="Tahoma"/>
        <family val="2"/>
        <charset val="136"/>
      </rPr>
      <t xml:space="preserve">d)</t>
    </r>
    <r>
      <rPr>
        <sz val="10"/>
        <color rgb="FF800000"/>
        <rFont val="Tahoma"/>
        <family val="2"/>
        <charset val="136"/>
      </rPr>
      <t xml:space="preserve"> Direction Factor (D) during the evening peak in Base Year</t>
    </r>
  </si>
  <si>
    <t xml:space="preserve">     Cash &amp; Checks</t>
  </si>
  <si>
    <t xml:space="preserve">PHV</t>
  </si>
  <si>
    <t xml:space="preserve">ATV/PHV</t>
  </si>
  <si>
    <t xml:space="preserve">K</t>
  </si>
  <si>
    <t xml:space="preserve">     Credit Card</t>
  </si>
  <si>
    <t xml:space="preserve">Total Number of Lanes</t>
  </si>
  <si>
    <t xml:space="preserve">Footnote:</t>
  </si>
  <si>
    <t xml:space="preserve">For costs other than staff:</t>
  </si>
  <si>
    <r>
      <rPr>
        <sz val="10"/>
        <rFont val="Tahoma"/>
        <family val="2"/>
        <charset val="136"/>
      </rPr>
      <t xml:space="preserve">  </t>
    </r>
    <r>
      <rPr>
        <b val="true"/>
        <i val="true"/>
        <sz val="10"/>
        <color rgb="FF800000"/>
        <rFont val="Tahoma"/>
        <family val="2"/>
        <charset val="136"/>
      </rPr>
      <t xml:space="preserve">C(m,n) of item m in year n</t>
    </r>
    <r>
      <rPr>
        <sz val="10"/>
        <rFont val="Tahoma"/>
        <family val="2"/>
        <charset val="136"/>
      </rPr>
      <t xml:space="preserve"> = C(m,n-1)*(1+ inflation rate), given the amount of cost (m,o)</t>
    </r>
  </si>
  <si>
    <t xml:space="preserve">   in base year</t>
  </si>
  <si>
    <t xml:space="preserve">For staff costs,</t>
  </si>
  <si>
    <r>
      <rPr>
        <sz val="10"/>
        <rFont val="Tahoma"/>
        <family val="2"/>
        <charset val="136"/>
      </rPr>
      <t xml:space="preserve">  </t>
    </r>
    <r>
      <rPr>
        <b val="true"/>
        <i val="true"/>
        <sz val="10"/>
        <color rgb="FF800000"/>
        <rFont val="Tahoma"/>
        <family val="2"/>
        <charset val="136"/>
      </rPr>
      <t xml:space="preserve">SC(n) of staff costs in year n</t>
    </r>
    <r>
      <rPr>
        <sz val="10"/>
        <rFont val="Tahoma"/>
        <family val="2"/>
        <charset val="136"/>
      </rPr>
      <t xml:space="preserve"> =</t>
    </r>
  </si>
  <si>
    <t xml:space="preserve">   ($/PY in base year)*[(PY for technology information)+(PY for toll collection)]*(1+inflation rate)          </t>
  </si>
  <si>
    <t xml:space="preserve">   Assumpions:</t>
  </si>
  <si>
    <t xml:space="preserve">      a. PY needed for technology information doesn't change over time.</t>
  </si>
  <si>
    <t xml:space="preserve">      b. PYs needed for toll collection are estimated in sheet "PY" based on traffic level.</t>
  </si>
  <si>
    <r>
      <rPr>
        <sz val="10"/>
        <rFont val="Tahoma"/>
        <family val="2"/>
        <charset val="136"/>
      </rPr>
      <t xml:space="preserve">Inflation Rate (I</t>
    </r>
    <r>
      <rPr>
        <vertAlign val="subscript"/>
        <sz val="10"/>
        <rFont val="Tahoma"/>
        <family val="2"/>
        <charset val="136"/>
      </rPr>
      <t xml:space="preserve">f</t>
    </r>
    <r>
      <rPr>
        <sz val="10"/>
        <rFont val="Tahoma"/>
        <family val="2"/>
        <charset val="136"/>
      </rPr>
      <t xml:space="preserve">)</t>
    </r>
  </si>
  <si>
    <t xml:space="preserve">$/PY(unit cost of personal year):</t>
  </si>
  <si>
    <t xml:space="preserve">PY for Information Technology:</t>
  </si>
  <si>
    <r>
      <rPr>
        <b val="true"/>
        <sz val="12"/>
        <rFont val="Wingdings"/>
        <family val="0"/>
        <charset val="2"/>
      </rPr>
      <t xml:space="preserve">y</t>
    </r>
    <r>
      <rPr>
        <b val="true"/>
        <sz val="12"/>
        <rFont val="Times New Roman"/>
        <family val="1"/>
      </rPr>
      <t xml:space="preserve"> Analytical Results</t>
    </r>
  </si>
  <si>
    <r>
      <rPr>
        <b val="true"/>
        <sz val="12"/>
        <rFont val="Wingdings"/>
        <family val="0"/>
        <charset val="2"/>
      </rPr>
      <t xml:space="preserve">q </t>
    </r>
    <r>
      <rPr>
        <b val="true"/>
        <sz val="12"/>
        <rFont val="Times New Roman"/>
        <family val="1"/>
      </rPr>
      <t xml:space="preserve">For 20 years</t>
    </r>
  </si>
  <si>
    <r>
      <rPr>
        <sz val="12"/>
        <rFont val="Times New Roman"/>
        <family val="1"/>
      </rPr>
      <t xml:space="preserve">NPV</t>
    </r>
    <r>
      <rPr>
        <vertAlign val="super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 = </t>
    </r>
  </si>
  <si>
    <r>
      <rPr>
        <sz val="12"/>
        <rFont val="Times New Roman"/>
        <family val="1"/>
      </rPr>
      <t xml:space="preserve">PVB</t>
    </r>
    <r>
      <rPr>
        <vertAlign val="superscript"/>
        <sz val="12"/>
        <rFont val="Times New Roman"/>
        <family val="1"/>
      </rPr>
      <t xml:space="preserve">2</t>
    </r>
    <r>
      <rPr>
        <sz val="12"/>
        <rFont val="Times New Roman"/>
        <family val="1"/>
      </rPr>
      <t xml:space="preserve"> = </t>
    </r>
  </si>
  <si>
    <r>
      <rPr>
        <sz val="12"/>
        <rFont val="Times New Roman"/>
        <family val="1"/>
      </rPr>
      <t xml:space="preserve">NPC</t>
    </r>
    <r>
      <rPr>
        <vertAlign val="superscript"/>
        <sz val="12"/>
        <rFont val="Times New Roman"/>
        <family val="1"/>
      </rPr>
      <t xml:space="preserve">3</t>
    </r>
    <r>
      <rPr>
        <sz val="12"/>
        <rFont val="Times New Roman"/>
        <family val="1"/>
      </rPr>
      <t xml:space="preserve"> =</t>
    </r>
  </si>
  <si>
    <r>
      <rPr>
        <sz val="12"/>
        <rFont val="Times New Roman"/>
        <family val="1"/>
      </rPr>
      <t xml:space="preserve">B/C</t>
    </r>
    <r>
      <rPr>
        <vertAlign val="superscript"/>
        <sz val="12"/>
        <rFont val="Times New Roman"/>
        <family val="1"/>
      </rPr>
      <t xml:space="preserve">4</t>
    </r>
    <r>
      <rPr>
        <sz val="12"/>
        <rFont val="Times New Roman"/>
        <family val="1"/>
      </rPr>
      <t xml:space="preserve"> = </t>
    </r>
  </si>
  <si>
    <r>
      <rPr>
        <sz val="12"/>
        <rFont val="Times New Roman"/>
        <family val="1"/>
      </rPr>
      <t xml:space="preserve">IRR</t>
    </r>
    <r>
      <rPr>
        <vertAlign val="superscript"/>
        <sz val="12"/>
        <rFont val="Times New Roman"/>
        <family val="1"/>
      </rPr>
      <t xml:space="preserve">5</t>
    </r>
    <r>
      <rPr>
        <sz val="12"/>
        <rFont val="Times New Roman"/>
        <family val="1"/>
      </rPr>
      <t xml:space="preserve"> = </t>
    </r>
  </si>
  <si>
    <t xml:space="preserve">Overall</t>
  </si>
  <si>
    <t xml:space="preserve">Toll Agency</t>
  </si>
  <si>
    <t xml:space="preserve">Users</t>
  </si>
  <si>
    <t xml:space="preserve">Community</t>
  </si>
  <si>
    <r>
      <rPr>
        <vertAlign val="superscript"/>
        <sz val="10"/>
        <rFont val="Times New Roman"/>
        <family val="1"/>
      </rPr>
      <t xml:space="preserve">1</t>
    </r>
    <r>
      <rPr>
        <sz val="10"/>
        <rFont val="Times New Roman"/>
        <family val="1"/>
      </rPr>
      <t xml:space="preserve">NPV: net present value, NPV = PVB - PVC</t>
    </r>
  </si>
  <si>
    <r>
      <rPr>
        <vertAlign val="superscript"/>
        <sz val="10"/>
        <rFont val="Times New Roman"/>
        <family val="1"/>
      </rPr>
      <t xml:space="preserve">2</t>
    </r>
    <r>
      <rPr>
        <sz val="10"/>
        <rFont val="Times New Roman"/>
        <family val="1"/>
      </rPr>
      <t xml:space="preserve">PVB: present value of benefits</t>
    </r>
  </si>
  <si>
    <r>
      <rPr>
        <vertAlign val="superscript"/>
        <sz val="10"/>
        <rFont val="Times New Roman"/>
        <family val="1"/>
      </rPr>
      <t xml:space="preserve">3</t>
    </r>
    <r>
      <rPr>
        <sz val="10"/>
        <rFont val="Times New Roman"/>
        <family val="1"/>
      </rPr>
      <t xml:space="preserve">PVC: present value of costs</t>
    </r>
  </si>
  <si>
    <r>
      <rPr>
        <vertAlign val="superscript"/>
        <sz val="10"/>
        <rFont val="Times New Roman"/>
        <family val="1"/>
      </rPr>
      <t xml:space="preserve">4</t>
    </r>
    <r>
      <rPr>
        <sz val="10"/>
        <rFont val="Times New Roman"/>
        <family val="1"/>
      </rPr>
      <t xml:space="preserve">B/C: Total benefit over capital investment, B/C = PVB/PVC</t>
    </r>
  </si>
  <si>
    <r>
      <rPr>
        <vertAlign val="superscript"/>
        <sz val="10"/>
        <rFont val="Times New Roman"/>
        <family val="1"/>
      </rPr>
      <t xml:space="preserve">5</t>
    </r>
    <r>
      <rPr>
        <sz val="10"/>
        <rFont val="Times New Roman"/>
        <family val="1"/>
      </rPr>
      <t xml:space="preserve">IRR: Internal Rate of Return</t>
    </r>
  </si>
  <si>
    <r>
      <rPr>
        <b val="true"/>
        <sz val="12"/>
        <rFont val="Wingdings"/>
        <family val="0"/>
        <charset val="2"/>
      </rPr>
      <t xml:space="preserve">q </t>
    </r>
    <r>
      <rPr>
        <b val="true"/>
        <sz val="12"/>
        <rFont val="Times New Roman"/>
        <family val="1"/>
      </rPr>
      <t xml:space="preserve">For 10 years</t>
    </r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</si>
  <si>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Total Cost Streams of Baseline and ETC </t>
    </r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</si>
  <si>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Total Benefit Streams</t>
    </r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</si>
  <si>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Total Net Benefit ($ in base year)</t>
    </r>
  </si>
  <si>
    <t xml:space="preserve">Discount Rate: </t>
  </si>
  <si>
    <t xml:space="preserve">Capital Invesment</t>
  </si>
  <si>
    <t xml:space="preserve">PVC                          ($ in Base Year)</t>
  </si>
  <si>
    <r>
      <rPr>
        <b val="true"/>
        <sz val="10"/>
        <color rgb="FF800000"/>
        <rFont val="Symbol"/>
        <family val="1"/>
        <charset val="2"/>
      </rPr>
      <t xml:space="preserve">D</t>
    </r>
    <r>
      <rPr>
        <b val="true"/>
        <sz val="10"/>
        <color rgb="FF800000"/>
        <rFont val="Times New Roman"/>
        <family val="1"/>
      </rPr>
      <t xml:space="preserve">Fuel Value</t>
    </r>
  </si>
  <si>
    <r>
      <rPr>
        <b val="true"/>
        <sz val="10"/>
        <color rgb="FF800000"/>
        <rFont val="Symbol"/>
        <family val="1"/>
        <charset val="2"/>
      </rPr>
      <t xml:space="preserve">D</t>
    </r>
    <r>
      <rPr>
        <b val="true"/>
        <sz val="10"/>
        <color rgb="FF800000"/>
        <rFont val="Times New Roman"/>
        <family val="1"/>
      </rPr>
      <t xml:space="preserve">Time Value</t>
    </r>
  </si>
  <si>
    <r>
      <rPr>
        <b val="true"/>
        <sz val="10"/>
        <color rgb="FF800000"/>
        <rFont val="Symbol"/>
        <family val="1"/>
        <charset val="2"/>
      </rPr>
      <t xml:space="preserve">D</t>
    </r>
    <r>
      <rPr>
        <b val="true"/>
        <sz val="10"/>
        <color rgb="FF800000"/>
        <rFont val="Times New Roman"/>
        <family val="1"/>
      </rPr>
      <t xml:space="preserve">Env Value</t>
    </r>
  </si>
  <si>
    <t xml:space="preserve">Agency Cost Reduction</t>
  </si>
  <si>
    <r>
      <rPr>
        <b val="true"/>
        <sz val="10"/>
        <color rgb="FF800000"/>
        <rFont val="Symbol"/>
        <family val="1"/>
        <charset val="2"/>
      </rPr>
      <t xml:space="preserve">DO</t>
    </r>
    <r>
      <rPr>
        <b val="true"/>
        <sz val="10"/>
        <color rgb="FF800000"/>
        <rFont val="Times New Roman"/>
        <family val="1"/>
      </rPr>
      <t xml:space="preserve">perational Revenue</t>
    </r>
  </si>
  <si>
    <r>
      <rPr>
        <b val="true"/>
        <sz val="10"/>
        <color rgb="FF800000"/>
        <rFont val="Symbol"/>
        <family val="1"/>
        <charset val="2"/>
      </rPr>
      <t xml:space="preserve">D</t>
    </r>
    <r>
      <rPr>
        <b val="true"/>
        <sz val="10"/>
        <color rgb="FF800000"/>
        <rFont val="Times New Roman"/>
        <family val="1"/>
      </rPr>
      <t xml:space="preserve">Interest Gain</t>
    </r>
  </si>
  <si>
    <t xml:space="preserve">Total Benefit</t>
  </si>
  <si>
    <t xml:space="preserve">PVB                          ($ in Base Year)</t>
  </si>
  <si>
    <t xml:space="preserve">B-C</t>
  </si>
  <si>
    <t xml:space="preserve">PVC</t>
  </si>
  <si>
    <t xml:space="preserve">PVB</t>
  </si>
  <si>
    <t xml:space="preserve">NPV</t>
  </si>
  <si>
    <t xml:space="preserve">Total</t>
  </si>
  <si>
    <r>
      <rPr>
        <sz val="10"/>
        <rFont val="Wingdings"/>
        <family val="0"/>
        <charset val="2"/>
      </rPr>
      <t xml:space="preserve">a</t>
    </r>
    <r>
      <rPr>
        <sz val="10"/>
        <rFont val="Tahoma"/>
        <family val="2"/>
        <charset val="136"/>
      </rPr>
      <t xml:space="preserve">  Cost Streams of Toll Agency</t>
    </r>
  </si>
  <si>
    <r>
      <rPr>
        <sz val="10"/>
        <rFont val="Wingdings"/>
        <family val="0"/>
        <charset val="2"/>
      </rPr>
      <t xml:space="preserve">a</t>
    </r>
    <r>
      <rPr>
        <sz val="10"/>
        <rFont val="Tahoma"/>
        <family val="2"/>
        <charset val="136"/>
      </rPr>
      <t xml:space="preserve">  Benefit Streams of Toll Agency</t>
    </r>
  </si>
  <si>
    <r>
      <rPr>
        <sz val="10"/>
        <rFont val="Wingdings"/>
        <family val="0"/>
        <charset val="2"/>
      </rPr>
      <t xml:space="preserve">a</t>
    </r>
    <r>
      <rPr>
        <sz val="10"/>
        <rFont val="Tahoma"/>
        <family val="2"/>
        <charset val="136"/>
      </rPr>
      <t xml:space="preserve"> Net Benefit of Toll Agency ($ in base year)</t>
    </r>
  </si>
  <si>
    <t xml:space="preserve">PVC                           ($ in Base Year)</t>
  </si>
  <si>
    <t xml:space="preserve">Cost Reduction</t>
  </si>
  <si>
    <r>
      <rPr>
        <b val="true"/>
        <sz val="10"/>
        <color rgb="FF800000"/>
        <rFont val="Symbol"/>
        <family val="1"/>
        <charset val="2"/>
      </rPr>
      <t xml:space="preserve">D</t>
    </r>
    <r>
      <rPr>
        <b val="true"/>
        <sz val="10"/>
        <color rgb="FF800000"/>
        <rFont val="Times New Roman"/>
        <family val="1"/>
      </rPr>
      <t xml:space="preserve">Operational Revenue*</t>
    </r>
  </si>
  <si>
    <t xml:space="preserve">PVB                    ($ in Base Year)</t>
  </si>
  <si>
    <r>
      <rPr>
        <sz val="10"/>
        <rFont val="Tahoma"/>
        <family val="2"/>
        <charset val="136"/>
      </rPr>
      <t xml:space="preserve">*</t>
    </r>
    <r>
      <rPr>
        <sz val="10"/>
        <rFont val="Symbol"/>
        <family val="1"/>
        <charset val="2"/>
      </rPr>
      <t xml:space="preserve">D</t>
    </r>
    <r>
      <rPr>
        <sz val="10"/>
        <rFont val="Times New Roman"/>
        <family val="1"/>
      </rPr>
      <t xml:space="preserve">Operational Benefit = the amount of DInterest Gain of users</t>
    </r>
  </si>
  <si>
    <r>
      <rPr>
        <sz val="10"/>
        <rFont val="Wingdings"/>
        <family val="0"/>
        <charset val="2"/>
      </rPr>
      <t xml:space="preserve">a</t>
    </r>
    <r>
      <rPr>
        <sz val="10"/>
        <rFont val="Tahoma"/>
        <family val="2"/>
        <charset val="136"/>
      </rPr>
      <t xml:space="preserve">  Cost Streams of Users</t>
    </r>
  </si>
  <si>
    <r>
      <rPr>
        <sz val="10"/>
        <rFont val="Wingdings"/>
        <family val="0"/>
        <charset val="2"/>
      </rPr>
      <t xml:space="preserve">a</t>
    </r>
    <r>
      <rPr>
        <sz val="10"/>
        <rFont val="Tahoma"/>
        <family val="2"/>
        <charset val="136"/>
      </rPr>
      <t xml:space="preserve">  Benefit Streams of Users</t>
    </r>
  </si>
  <si>
    <r>
      <rPr>
        <sz val="10"/>
        <rFont val="Wingdings"/>
        <family val="0"/>
        <charset val="2"/>
      </rPr>
      <t xml:space="preserve">a</t>
    </r>
    <r>
      <rPr>
        <sz val="10"/>
        <rFont val="Tahoma"/>
        <family val="2"/>
        <charset val="136"/>
      </rPr>
      <t xml:space="preserve"> Net Benefit of Users ($ in base year)</t>
    </r>
  </si>
  <si>
    <t xml:space="preserve">PVC                        ($ in Base Year)</t>
  </si>
  <si>
    <r>
      <rPr>
        <b val="true"/>
        <sz val="10"/>
        <color rgb="FF800000"/>
        <rFont val="Symbol"/>
        <family val="1"/>
        <charset val="2"/>
      </rPr>
      <t xml:space="preserve">D</t>
    </r>
    <r>
      <rPr>
        <b val="true"/>
        <sz val="10"/>
        <color rgb="FF800000"/>
        <rFont val="Times New Roman"/>
        <family val="1"/>
      </rPr>
      <t xml:space="preserve">Total</t>
    </r>
  </si>
  <si>
    <r>
      <rPr>
        <sz val="10"/>
        <rFont val="Wingdings"/>
        <family val="0"/>
        <charset val="2"/>
      </rPr>
      <t xml:space="preserve">a</t>
    </r>
    <r>
      <rPr>
        <sz val="10"/>
        <rFont val="Tahoma"/>
        <family val="2"/>
        <charset val="136"/>
      </rPr>
      <t xml:space="preserve">  Cost Streams of Community</t>
    </r>
  </si>
  <si>
    <r>
      <rPr>
        <sz val="10"/>
        <rFont val="Wingdings"/>
        <family val="0"/>
        <charset val="2"/>
      </rPr>
      <t xml:space="preserve">a</t>
    </r>
    <r>
      <rPr>
        <sz val="10"/>
        <rFont val="Tahoma"/>
        <family val="2"/>
        <charset val="136"/>
      </rPr>
      <t xml:space="preserve">  Benefit Streams of Community</t>
    </r>
  </si>
  <si>
    <r>
      <rPr>
        <sz val="10"/>
        <rFont val="Wingdings"/>
        <family val="0"/>
        <charset val="2"/>
      </rPr>
      <t xml:space="preserve">a</t>
    </r>
    <r>
      <rPr>
        <sz val="10"/>
        <rFont val="Tahoma"/>
        <family val="2"/>
        <charset val="136"/>
      </rPr>
      <t xml:space="preserve"> Net Benefit of Community ($ in base year)</t>
    </r>
  </si>
  <si>
    <r>
      <rPr>
        <b val="true"/>
        <sz val="10"/>
        <color rgb="FF800000"/>
        <rFont val="Symbol"/>
        <family val="1"/>
        <charset val="2"/>
      </rPr>
      <t xml:space="preserve">D</t>
    </r>
    <r>
      <rPr>
        <b val="true"/>
        <sz val="10"/>
        <color rgb="FF800000"/>
        <rFont val="Times New Roman"/>
        <family val="1"/>
      </rPr>
      <t xml:space="preserve">Env. Value**</t>
    </r>
  </si>
  <si>
    <t xml:space="preserve">** Environmental value is estimated by the value of emission reduction.</t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</si>
  <si>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Reduction of Operating Costs</t>
    </r>
  </si>
  <si>
    <t xml:space="preserve">Cost Saving</t>
  </si>
  <si>
    <t xml:space="preserve">One-Time</t>
  </si>
  <si>
    <t xml:space="preserve">Others</t>
  </si>
  <si>
    <t xml:space="preserve">Optimal Number of ETC Lanes</t>
  </si>
  <si>
    <r>
      <rPr>
        <sz val="10"/>
        <rFont val="Wingdings"/>
        <family val="0"/>
        <charset val="2"/>
      </rPr>
      <t xml:space="preserve">1</t>
    </r>
    <r>
      <rPr>
        <sz val="10"/>
        <rFont val="Tahoma"/>
        <family val="2"/>
      </rPr>
      <t xml:space="preserve"> Transaction Facts</t>
    </r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</si>
  <si>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Total Random and Stop Delay per Year (hrs)</t>
    </r>
  </si>
  <si>
    <t xml:space="preserve">a) Total Random and Stop Delay in the System during the Evening Peak per Day (hr)</t>
  </si>
  <si>
    <t xml:space="preserve">b) Average Random Delay per Manual User (sec)</t>
  </si>
  <si>
    <t xml:space="preserve">c) Average Random Delay per ETC User (sec)</t>
  </si>
  <si>
    <t xml:space="preserve">ETC (%)</t>
  </si>
  <si>
    <t xml:space="preserve">Peak Arrival Rate in the evening</t>
  </si>
  <si>
    <t xml:space="preserve">Delay per Day (Baseline)</t>
  </si>
  <si>
    <t xml:space="preserve">Delay Per Year* (hr)</t>
  </si>
  <si>
    <t xml:space="preserve">Delay per Day (ETC)</t>
  </si>
  <si>
    <t xml:space="preserve">Total Arrival Rate</t>
  </si>
  <si>
    <t xml:space="preserve">Number of ETC Lanes</t>
  </si>
  <si>
    <t xml:space="preserve">Optimal # of ETC Ln*</t>
  </si>
  <si>
    <t xml:space="preserve">Delay per Day**(hr)</t>
  </si>
  <si>
    <t xml:space="preserve">Suggested # of ETC Ln***</t>
  </si>
  <si>
    <t xml:space="preserve">Arrival Rate for Manual Lanes</t>
  </si>
  <si>
    <t xml:space="preserve">Mean Transaction Time (sec)</t>
  </si>
  <si>
    <t xml:space="preserve">Arrival Rate for ETC Users</t>
  </si>
  <si>
    <t xml:space="preserve">Mean headway (sec)</t>
  </si>
  <si>
    <t xml:space="preserve">Manual Only</t>
  </si>
  <si>
    <r>
      <rPr>
        <b val="true"/>
        <sz val="10"/>
        <color rgb="FF800000"/>
        <rFont val="Symbol"/>
        <family val="1"/>
        <charset val="2"/>
      </rPr>
      <t xml:space="preserve">l</t>
    </r>
    <r>
      <rPr>
        <b val="true"/>
        <sz val="10"/>
        <color rgb="FF800000"/>
        <rFont val="Times New Roman"/>
        <family val="1"/>
        <charset val="136"/>
      </rPr>
      <t xml:space="preserve">/sc for no ETC</t>
    </r>
  </si>
  <si>
    <r>
      <rPr>
        <b val="true"/>
        <sz val="10"/>
        <color rgb="FF800000"/>
        <rFont val="Symbol"/>
        <family val="1"/>
        <charset val="2"/>
      </rPr>
      <t xml:space="preserve">l</t>
    </r>
    <r>
      <rPr>
        <b val="true"/>
        <sz val="10"/>
        <color rgb="FF800000"/>
        <rFont val="Times New Roman"/>
        <family val="1"/>
        <charset val="136"/>
      </rPr>
      <t xml:space="preserve">/sc under ETC</t>
    </r>
  </si>
  <si>
    <t xml:space="preserve">ETC</t>
  </si>
  <si>
    <t xml:space="preserve">*Suppose peak hours happen in weekdays. Therefore, 5 weekdays per week.</t>
  </si>
  <si>
    <t xml:space="preserve">*Criterion of Choosing Optimal Number of ETC Lanes--Minimize Total Delay in the System During the Peak Hour</t>
  </si>
  <si>
    <t xml:space="preserve">  Or you can change the number of days (in white cell)</t>
  </si>
  <si>
    <r>
      <rPr>
        <i val="true"/>
        <sz val="10"/>
        <color rgb="FF800000"/>
        <rFont val="Tahoma"/>
        <family val="2"/>
        <charset val="136"/>
      </rPr>
      <t xml:space="preserve">Average Delay Formula</t>
    </r>
    <r>
      <rPr>
        <sz val="10"/>
        <rFont val="Tahoma"/>
        <family val="2"/>
        <charset val="136"/>
      </rPr>
      <t xml:space="preserve">: AD</t>
    </r>
    <r>
      <rPr>
        <vertAlign val="subscript"/>
        <sz val="10"/>
        <rFont val="Tahoma"/>
        <family val="2"/>
        <charset val="136"/>
      </rPr>
      <t xml:space="preserve">i</t>
    </r>
    <r>
      <rPr>
        <sz val="10"/>
        <rFont val="Tahoma"/>
        <family val="2"/>
        <charset val="136"/>
      </rPr>
      <t xml:space="preserve"> = (1/</t>
    </r>
    <r>
      <rPr>
        <sz val="10"/>
        <rFont val="Symbol"/>
        <family val="1"/>
        <charset val="2"/>
      </rPr>
      <t xml:space="preserve">m</t>
    </r>
    <r>
      <rPr>
        <vertAlign val="subscript"/>
        <sz val="10"/>
        <rFont val="Tahoma"/>
        <family val="2"/>
        <charset val="136"/>
      </rPr>
      <t xml:space="preserve">i</t>
    </r>
    <r>
      <rPr>
        <sz val="10"/>
        <rFont val="Tahoma"/>
        <family val="2"/>
        <charset val="136"/>
      </rPr>
      <t xml:space="preserve">) + 900* (T)*{(</t>
    </r>
    <r>
      <rPr>
        <sz val="10"/>
        <rFont val="Symbol"/>
        <family val="1"/>
        <charset val="2"/>
      </rPr>
      <t xml:space="preserve">r</t>
    </r>
    <r>
      <rPr>
        <sz val="10"/>
        <rFont val="Tahoma"/>
        <family val="2"/>
        <charset val="136"/>
      </rPr>
      <t xml:space="preserve">-1)+[(</t>
    </r>
    <r>
      <rPr>
        <sz val="10"/>
        <rFont val="Symbol"/>
        <family val="1"/>
        <charset val="2"/>
      </rPr>
      <t xml:space="preserve">r</t>
    </r>
    <r>
      <rPr>
        <sz val="10"/>
        <rFont val="Tahoma"/>
        <family val="2"/>
        <charset val="136"/>
      </rPr>
      <t xml:space="preserve">-1)</t>
    </r>
    <r>
      <rPr>
        <vertAlign val="superscript"/>
        <sz val="10"/>
        <rFont val="Tahoma"/>
        <family val="2"/>
        <charset val="136"/>
      </rPr>
      <t xml:space="preserve">2</t>
    </r>
    <r>
      <rPr>
        <sz val="10"/>
        <rFont val="Tahoma"/>
        <family val="2"/>
        <charset val="136"/>
      </rPr>
      <t xml:space="preserve">+8*k*I*</t>
    </r>
    <r>
      <rPr>
        <sz val="10"/>
        <rFont val="Symbol"/>
        <family val="1"/>
        <charset val="2"/>
      </rPr>
      <t xml:space="preserve">r</t>
    </r>
    <r>
      <rPr>
        <sz val="10"/>
        <rFont val="Tahoma"/>
        <family val="2"/>
        <charset val="136"/>
      </rPr>
      <t xml:space="preserve">/(T*m</t>
    </r>
    <r>
      <rPr>
        <vertAlign val="subscript"/>
        <sz val="10"/>
        <rFont val="Tahoma"/>
        <family val="2"/>
        <charset val="136"/>
      </rPr>
      <t xml:space="preserve">i</t>
    </r>
    <r>
      <rPr>
        <sz val="10"/>
        <rFont val="Symbol"/>
        <family val="1"/>
        <charset val="2"/>
      </rPr>
      <t xml:space="preserve">m</t>
    </r>
    <r>
      <rPr>
        <vertAlign val="subscript"/>
        <sz val="10"/>
        <rFont val="Tahoma"/>
        <family val="2"/>
        <charset val="136"/>
      </rPr>
      <t xml:space="preserve">i</t>
    </r>
    <r>
      <rPr>
        <sz val="10"/>
        <rFont val="Tahoma"/>
        <family val="2"/>
        <charset val="136"/>
      </rPr>
      <t xml:space="preserve">)]</t>
    </r>
    <r>
      <rPr>
        <vertAlign val="superscript"/>
        <sz val="10"/>
        <rFont val="Tahoma"/>
        <family val="2"/>
      </rPr>
      <t xml:space="preserve">0.5</t>
    </r>
    <r>
      <rPr>
        <sz val="10"/>
        <rFont val="Tahoma"/>
        <family val="2"/>
        <charset val="136"/>
      </rPr>
      <t xml:space="preserve">}</t>
    </r>
  </si>
  <si>
    <t xml:space="preserve">  # of weeks per year</t>
  </si>
  <si>
    <t xml:space="preserve">where </t>
  </si>
  <si>
    <t xml:space="preserve">  # of weekdays per year</t>
  </si>
  <si>
    <r>
      <rPr>
        <sz val="10"/>
        <rFont val="Tahoma"/>
        <family val="2"/>
        <charset val="136"/>
      </rPr>
      <t xml:space="preserve">  </t>
    </r>
    <r>
      <rPr>
        <sz val="10"/>
        <rFont val="Symbol"/>
        <family val="1"/>
        <charset val="2"/>
      </rPr>
      <t xml:space="preserve">m</t>
    </r>
    <r>
      <rPr>
        <sz val="10"/>
        <rFont val="Tahoma"/>
        <family val="2"/>
        <charset val="136"/>
      </rPr>
      <t xml:space="preserve"> : mean service rate (veh/hr)</t>
    </r>
  </si>
  <si>
    <t xml:space="preserve">  i  : 1 for manual lane and 2 for ETC lane.</t>
  </si>
  <si>
    <t xml:space="preserve">  T : duration of peak period (hr) per day,</t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</si>
  <si>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Estimated Mean Service Rate (vhe/hrs) given payment split</t>
    </r>
  </si>
  <si>
    <r>
      <rPr>
        <sz val="10"/>
        <rFont val="Tahoma"/>
        <family val="2"/>
        <charset val="136"/>
      </rPr>
      <t xml:space="preserve">  </t>
    </r>
    <r>
      <rPr>
        <sz val="10"/>
        <rFont val="Symbol"/>
        <family val="1"/>
        <charset val="2"/>
      </rPr>
      <t xml:space="preserve">r</t>
    </r>
    <r>
      <rPr>
        <sz val="10"/>
        <rFont val="Tahoma"/>
        <family val="2"/>
        <charset val="136"/>
      </rPr>
      <t xml:space="preserve">  : degree of  </t>
    </r>
    <r>
      <rPr>
        <sz val="10"/>
        <rFont val="Symbol"/>
        <family val="1"/>
        <charset val="2"/>
      </rPr>
      <t xml:space="preserve">r</t>
    </r>
    <r>
      <rPr>
        <vertAlign val="subscript"/>
        <sz val="10"/>
        <rFont val="Tahoma"/>
        <family val="2"/>
        <charset val="136"/>
      </rPr>
      <t xml:space="preserve">i</t>
    </r>
    <r>
      <rPr>
        <sz val="10"/>
        <rFont val="Tahoma"/>
        <family val="2"/>
        <charset val="136"/>
      </rPr>
      <t xml:space="preserve"> = </t>
    </r>
    <r>
      <rPr>
        <sz val="10"/>
        <rFont val="Symbol"/>
        <family val="1"/>
        <charset val="2"/>
      </rPr>
      <t xml:space="preserve">l</t>
    </r>
    <r>
      <rPr>
        <sz val="10"/>
        <rFont val="Tahoma"/>
        <family val="2"/>
        <charset val="136"/>
      </rPr>
      <t xml:space="preserve">i/m</t>
    </r>
    <r>
      <rPr>
        <vertAlign val="subscript"/>
        <sz val="10"/>
        <rFont val="Tahoma"/>
        <family val="2"/>
        <charset val="136"/>
      </rPr>
      <t xml:space="preserve">i</t>
    </r>
    <r>
      <rPr>
        <sz val="10"/>
        <rFont val="Symbol"/>
        <family val="1"/>
        <charset val="2"/>
      </rPr>
      <t xml:space="preserve">m</t>
    </r>
    <r>
      <rPr>
        <vertAlign val="subscript"/>
        <sz val="10"/>
        <rFont val="Tahoma"/>
        <family val="2"/>
        <charset val="136"/>
      </rPr>
      <t xml:space="preserve">i</t>
    </r>
  </si>
  <si>
    <t xml:space="preserve">Payment Split (Baseline)-Manual</t>
  </si>
  <si>
    <t xml:space="preserve">Payment Split (ETC Alternative)-Manual</t>
  </si>
  <si>
    <t xml:space="preserve">Capacity-ETC Lane</t>
  </si>
  <si>
    <t xml:space="preserve">  m : number of lanes,</t>
  </si>
  <si>
    <t xml:space="preserve">Cash/Chect</t>
  </si>
  <si>
    <t xml:space="preserve">Mean Service Rate</t>
  </si>
  <si>
    <t xml:space="preserve">Cash/Check</t>
  </si>
  <si>
    <r>
      <rPr>
        <sz val="10"/>
        <rFont val="Tahoma"/>
        <family val="2"/>
        <charset val="136"/>
      </rPr>
      <t xml:space="preserve">  </t>
    </r>
    <r>
      <rPr>
        <sz val="10"/>
        <rFont val="Symbol"/>
        <family val="1"/>
        <charset val="2"/>
      </rPr>
      <t xml:space="preserve">l</t>
    </r>
    <r>
      <rPr>
        <sz val="10"/>
        <rFont val="Tahoma"/>
        <family val="2"/>
        <charset val="136"/>
      </rPr>
      <t xml:space="preserve">  : arrival rate during the peak period (veh/hr),</t>
    </r>
  </si>
  <si>
    <t xml:space="preserve">  k  : parameter for given arrival and service distribution, k = 1 for Poisson Arrivals and exponentil service time,</t>
  </si>
  <si>
    <t xml:space="preserve">  I  : variance to mean ratio of arrivals; I = 1 for Poisson Arrivals.</t>
  </si>
  <si>
    <r>
      <rPr>
        <i val="true"/>
        <sz val="10"/>
        <color rgb="FF800000"/>
        <rFont val="Tahoma"/>
        <family val="2"/>
        <charset val="136"/>
      </rPr>
      <t xml:space="preserve">Total Time (hr) Spent in the System per da</t>
    </r>
    <r>
      <rPr>
        <sz val="10"/>
        <color rgb="FF800000"/>
        <rFont val="Tahoma"/>
        <family val="2"/>
        <charset val="136"/>
      </rPr>
      <t xml:space="preserve">y</t>
    </r>
    <r>
      <rPr>
        <sz val="10"/>
        <rFont val="Tahoma"/>
        <family val="2"/>
        <charset val="136"/>
      </rPr>
      <t xml:space="preserve">: (AD</t>
    </r>
    <r>
      <rPr>
        <vertAlign val="subscript"/>
        <sz val="10"/>
        <rFont val="Tahoma"/>
        <family val="2"/>
        <charset val="136"/>
      </rPr>
      <t xml:space="preserve">1</t>
    </r>
    <r>
      <rPr>
        <sz val="10"/>
        <rFont val="Tahoma"/>
        <family val="2"/>
        <charset val="136"/>
      </rPr>
      <t xml:space="preserve">*</t>
    </r>
    <r>
      <rPr>
        <sz val="10"/>
        <rFont val="Symbol"/>
        <family val="1"/>
        <charset val="2"/>
      </rPr>
      <t xml:space="preserve">l</t>
    </r>
    <r>
      <rPr>
        <vertAlign val="subscript"/>
        <sz val="10"/>
        <rFont val="Tahoma"/>
        <family val="2"/>
        <charset val="136"/>
      </rPr>
      <t xml:space="preserve">1</t>
    </r>
    <r>
      <rPr>
        <sz val="10"/>
        <rFont val="Tahoma"/>
        <family val="2"/>
        <charset val="136"/>
      </rPr>
      <t xml:space="preserve">+AD</t>
    </r>
    <r>
      <rPr>
        <vertAlign val="subscript"/>
        <sz val="10"/>
        <rFont val="Tahoma"/>
        <family val="2"/>
        <charset val="136"/>
      </rPr>
      <t xml:space="preserve">2</t>
    </r>
    <r>
      <rPr>
        <sz val="10"/>
        <rFont val="Tahoma"/>
        <family val="2"/>
        <charset val="136"/>
      </rPr>
      <t xml:space="preserve">*</t>
    </r>
    <r>
      <rPr>
        <sz val="10"/>
        <rFont val="Symbol"/>
        <family val="1"/>
        <charset val="2"/>
      </rPr>
      <t xml:space="preserve">l</t>
    </r>
    <r>
      <rPr>
        <vertAlign val="subscript"/>
        <sz val="10"/>
        <rFont val="Tahoma"/>
        <family val="2"/>
        <charset val="136"/>
      </rPr>
      <t xml:space="preserve">2</t>
    </r>
    <r>
      <rPr>
        <sz val="10"/>
        <rFont val="Tahoma"/>
        <family val="2"/>
        <charset val="136"/>
      </rPr>
      <t xml:space="preserve">)*T/3600</t>
    </r>
  </si>
  <si>
    <t xml:space="preserve">Given total number of lanes, peak hour traffic and ETC split, we can find out the optimal number of ETC lanes.</t>
  </si>
  <si>
    <t xml:space="preserve">** Delay happens to those people who arrival during the evening peak period.</t>
  </si>
  <si>
    <r>
      <rPr>
        <sz val="10"/>
        <color rgb="FF800000"/>
        <rFont val="Tahoma"/>
        <family val="2"/>
      </rPr>
      <t xml:space="preserve">***Suggested Number of ETC Lanes:</t>
    </r>
    <r>
      <rPr>
        <sz val="10"/>
        <rFont val="Tahoma"/>
        <family val="2"/>
      </rPr>
      <t xml:space="preserve">The number of ETC Lanes, which is close to optimal number of ETC Lanes, such that average delay in ETC lanes is less than average delay in Manual Lanes.</t>
    </r>
  </si>
  <si>
    <t xml:space="preserve">a) Total Time Spent in the System during the Morning Peak per Day (hr)</t>
  </si>
  <si>
    <t xml:space="preserve">Arrival Rate for Manual Users</t>
  </si>
  <si>
    <t xml:space="preserve">** Delay happens to those people who arrival during the morning peak period.</t>
  </si>
  <si>
    <t xml:space="preserve">     Here, the number of ETC lanes is decided corresponding to evening condition.  Therefore, we use the combination got from evening peak to estimate the delay in the morning peak.</t>
  </si>
  <si>
    <r>
      <rPr>
        <sz val="10"/>
        <rFont val="Wingdings"/>
        <family val="0"/>
        <charset val="2"/>
      </rPr>
      <t xml:space="preserve">1</t>
    </r>
    <r>
      <rPr>
        <sz val="10"/>
        <rFont val="Tahoma"/>
        <family val="2"/>
      </rPr>
      <t xml:space="preserve"> Personal Year Related Information</t>
    </r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</si>
  <si>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Personal Year Estimation</t>
    </r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</si>
  <si>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Estimates of personal year reduction</t>
    </r>
  </si>
  <si>
    <t xml:space="preserve">Annual Traffic Vol.</t>
  </si>
  <si>
    <t xml:space="preserve">AADT</t>
  </si>
  <si>
    <t xml:space="preserve">Suggested Number of ETC Ln</t>
  </si>
  <si>
    <t xml:space="preserve">PY Reduction</t>
  </si>
  <si>
    <t xml:space="preserve">PHV per year</t>
  </si>
  <si>
    <t xml:space="preserve">Off-Peak Traffic per Year</t>
  </si>
  <si>
    <t xml:space="preserve">PY</t>
  </si>
  <si>
    <t xml:space="preserve">PHV (Manual) per year</t>
  </si>
  <si>
    <t xml:space="preserve">Off-Peak Traffic (Manual)             per Year</t>
  </si>
  <si>
    <r>
      <rPr>
        <b val="true"/>
        <sz val="10"/>
        <rFont val="Times New Roman"/>
        <family val="1"/>
        <charset val="136"/>
      </rPr>
      <t xml:space="preserve">PY for Peak Hour</t>
    </r>
    <r>
      <rPr>
        <b val="true"/>
        <vertAlign val="superscript"/>
        <sz val="10"/>
        <rFont val="Times New Roman"/>
        <family val="1"/>
        <charset val="136"/>
      </rPr>
      <t xml:space="preserve">1</t>
    </r>
  </si>
  <si>
    <r>
      <rPr>
        <b val="true"/>
        <sz val="10"/>
        <rFont val="Times New Roman"/>
        <family val="1"/>
        <charset val="136"/>
      </rPr>
      <t xml:space="preserve">PY for Off-Peak per Year</t>
    </r>
    <r>
      <rPr>
        <b val="true"/>
        <vertAlign val="superscript"/>
        <sz val="10"/>
        <rFont val="Times New Roman"/>
        <family val="1"/>
        <charset val="136"/>
      </rPr>
      <t xml:space="preserve">2</t>
    </r>
  </si>
  <si>
    <t xml:space="preserve">PY for Information Technology in Base Year</t>
  </si>
  <si>
    <t xml:space="preserve">PY for Program Costs (Toll Collection) in Base Year</t>
  </si>
  <si>
    <r>
      <rPr>
        <vertAlign val="superscript"/>
        <sz val="10"/>
        <rFont val="Tahoma"/>
        <family val="2"/>
        <charset val="136"/>
      </rPr>
      <t xml:space="preserve">1  </t>
    </r>
    <r>
      <rPr>
        <b val="true"/>
        <sz val="10"/>
        <color rgb="FF800000"/>
        <rFont val="Tahoma"/>
        <family val="2"/>
        <charset val="136"/>
      </rPr>
      <t xml:space="preserve">PY Estimation for peak hours</t>
    </r>
  </si>
  <si>
    <r>
      <rPr>
        <sz val="10"/>
        <rFont val="Tahoma"/>
        <family val="2"/>
      </rPr>
      <t xml:space="preserve">   </t>
    </r>
    <r>
      <rPr>
        <b val="true"/>
        <i val="true"/>
        <sz val="10"/>
        <color rgb="FF800000"/>
        <rFont val="Tahoma"/>
        <family val="2"/>
        <charset val="136"/>
      </rPr>
      <t xml:space="preserve">Units of PY for peak hour operation per year (H</t>
    </r>
    <r>
      <rPr>
        <b val="true"/>
        <i val="true"/>
        <vertAlign val="subscript"/>
        <sz val="10"/>
        <color rgb="FF800000"/>
        <rFont val="Tahoma"/>
        <family val="2"/>
        <charset val="136"/>
      </rPr>
      <t xml:space="preserve">p</t>
    </r>
    <r>
      <rPr>
        <sz val="10"/>
        <color rgb="FF800000"/>
        <rFont val="Tahoma"/>
        <family val="2"/>
        <charset val="136"/>
      </rPr>
      <t xml:space="preserve">)</t>
    </r>
    <r>
      <rPr>
        <sz val="10"/>
        <rFont val="Tahoma"/>
        <family val="2"/>
      </rPr>
      <t xml:space="preserve">: (T</t>
    </r>
    <r>
      <rPr>
        <vertAlign val="subscript"/>
        <sz val="10"/>
        <rFont val="Tahoma"/>
        <family val="2"/>
        <charset val="136"/>
      </rPr>
      <t xml:space="preserve">m</t>
    </r>
    <r>
      <rPr>
        <sz val="10"/>
        <rFont val="Tahoma"/>
        <family val="2"/>
      </rPr>
      <t xml:space="preserve">+T</t>
    </r>
    <r>
      <rPr>
        <vertAlign val="subscript"/>
        <sz val="10"/>
        <rFont val="Tahoma"/>
        <family val="2"/>
        <charset val="136"/>
      </rPr>
      <t xml:space="preserve">e</t>
    </r>
    <r>
      <rPr>
        <sz val="10"/>
        <rFont val="Tahoma"/>
        <family val="2"/>
      </rPr>
      <t xml:space="preserve">)*D</t>
    </r>
    <r>
      <rPr>
        <vertAlign val="subscript"/>
        <sz val="10"/>
        <rFont val="Tahoma"/>
        <family val="2"/>
        <charset val="136"/>
      </rPr>
      <t xml:space="preserve">w</t>
    </r>
    <r>
      <rPr>
        <sz val="10"/>
        <rFont val="Tahoma"/>
        <family val="2"/>
      </rPr>
      <t xml:space="preserve">*N</t>
    </r>
    <r>
      <rPr>
        <vertAlign val="subscript"/>
        <sz val="10"/>
        <rFont val="Tahoma"/>
        <family val="2"/>
        <charset val="136"/>
      </rPr>
      <t xml:space="preserve">m</t>
    </r>
    <r>
      <rPr>
        <sz val="10"/>
        <rFont val="Tahoma"/>
        <family val="2"/>
      </rPr>
      <t xml:space="preserve">/H</t>
    </r>
    <r>
      <rPr>
        <vertAlign val="subscript"/>
        <sz val="10"/>
        <rFont val="Tahoma"/>
        <family val="2"/>
        <charset val="136"/>
      </rPr>
      <t xml:space="preserve">py</t>
    </r>
  </si>
  <si>
    <t xml:space="preserve">   Where,</t>
  </si>
  <si>
    <r>
      <rPr>
        <sz val="10"/>
        <rFont val="Tahoma"/>
        <family val="2"/>
      </rPr>
      <t xml:space="preserve">       T</t>
    </r>
    <r>
      <rPr>
        <vertAlign val="subscript"/>
        <sz val="10"/>
        <rFont val="Tahoma"/>
        <family val="2"/>
        <charset val="136"/>
      </rPr>
      <t xml:space="preserve">m</t>
    </r>
    <r>
      <rPr>
        <sz val="10"/>
        <rFont val="Tahoma"/>
        <family val="2"/>
      </rPr>
      <t xml:space="preserve">: duration of morning peak</t>
    </r>
  </si>
  <si>
    <r>
      <rPr>
        <sz val="10"/>
        <rFont val="Tahoma"/>
        <family val="2"/>
      </rPr>
      <t xml:space="preserve">       T</t>
    </r>
    <r>
      <rPr>
        <vertAlign val="subscript"/>
        <sz val="10"/>
        <rFont val="Tahoma"/>
        <family val="2"/>
        <charset val="136"/>
      </rPr>
      <t xml:space="preserve">e</t>
    </r>
    <r>
      <rPr>
        <sz val="10"/>
        <rFont val="Tahoma"/>
        <family val="2"/>
        <charset val="136"/>
      </rPr>
      <t xml:space="preserve">:</t>
    </r>
    <r>
      <rPr>
        <vertAlign val="subscript"/>
        <sz val="10"/>
        <rFont val="Tahoma"/>
        <family val="2"/>
        <charset val="136"/>
      </rPr>
      <t xml:space="preserve">  </t>
    </r>
    <r>
      <rPr>
        <sz val="10"/>
        <rFont val="Tahoma"/>
        <family val="2"/>
      </rPr>
      <t xml:space="preserve">duration of morning peak</t>
    </r>
  </si>
  <si>
    <r>
      <rPr>
        <sz val="10"/>
        <rFont val="Tahoma"/>
        <family val="2"/>
      </rPr>
      <t xml:space="preserve">       D</t>
    </r>
    <r>
      <rPr>
        <vertAlign val="subscript"/>
        <sz val="10"/>
        <rFont val="Tahoma"/>
        <family val="2"/>
        <charset val="136"/>
      </rPr>
      <t xml:space="preserve">w</t>
    </r>
    <r>
      <rPr>
        <sz val="10"/>
        <rFont val="Tahoma"/>
        <family val="2"/>
      </rPr>
      <t xml:space="preserve">: number of weekdays per year</t>
    </r>
  </si>
  <si>
    <r>
      <rPr>
        <sz val="10"/>
        <rFont val="Tahoma"/>
        <family val="2"/>
      </rPr>
      <t xml:space="preserve">       N</t>
    </r>
    <r>
      <rPr>
        <vertAlign val="subscript"/>
        <sz val="10"/>
        <rFont val="Tahoma"/>
        <family val="2"/>
        <charset val="136"/>
      </rPr>
      <t xml:space="preserve">m</t>
    </r>
    <r>
      <rPr>
        <sz val="10"/>
        <rFont val="Tahoma"/>
        <family val="2"/>
      </rPr>
      <t xml:space="preserve">: number of manual channels; suppose that all manual channels are open during the peak hours</t>
    </r>
  </si>
  <si>
    <r>
      <rPr>
        <sz val="10"/>
        <rFont val="Tahoma"/>
        <family val="2"/>
      </rPr>
      <t xml:space="preserve">       H</t>
    </r>
    <r>
      <rPr>
        <vertAlign val="subscript"/>
        <sz val="10"/>
        <rFont val="Tahoma"/>
        <family val="2"/>
        <charset val="136"/>
      </rPr>
      <t xml:space="preserve">py</t>
    </r>
    <r>
      <rPr>
        <sz val="10"/>
        <rFont val="Tahoma"/>
        <family val="2"/>
      </rPr>
      <t xml:space="preserve">: hours per unit PY</t>
    </r>
  </si>
  <si>
    <r>
      <rPr>
        <vertAlign val="superscript"/>
        <sz val="10"/>
        <rFont val="Tahoma"/>
        <family val="2"/>
        <charset val="136"/>
      </rPr>
      <t xml:space="preserve">2  </t>
    </r>
    <r>
      <rPr>
        <b val="true"/>
        <sz val="10"/>
        <color rgb="FF800000"/>
        <rFont val="Tahoma"/>
        <family val="2"/>
        <charset val="136"/>
      </rPr>
      <t xml:space="preserve">PY Estimation for off-peak hours</t>
    </r>
  </si>
  <si>
    <r>
      <rPr>
        <sz val="10"/>
        <rFont val="Tahoma"/>
        <family val="2"/>
      </rPr>
      <t xml:space="preserve">   </t>
    </r>
    <r>
      <rPr>
        <u val="single"/>
        <sz val="10"/>
        <rFont val="Tahoma"/>
        <family val="2"/>
        <charset val="136"/>
      </rPr>
      <t xml:space="preserve">Assumptions</t>
    </r>
    <r>
      <rPr>
        <sz val="10"/>
        <rFont val="Tahoma"/>
        <family val="2"/>
      </rPr>
      <t xml:space="preserve">: </t>
    </r>
  </si>
  <si>
    <t xml:space="preserve">      a. the units of PY needed for off-peak period is uniform across the time,</t>
  </si>
  <si>
    <t xml:space="preserve">      b. the units of PY needed for off-peak period is proportional to annual off-peak traffic volume, </t>
  </si>
  <si>
    <r>
      <rPr>
        <sz val="10"/>
        <rFont val="Tahoma"/>
        <family val="2"/>
      </rPr>
      <t xml:space="preserve">          which we estimate from substracting annual traffic volume by </t>
    </r>
    <r>
      <rPr>
        <sz val="10"/>
        <color rgb="FF800000"/>
        <rFont val="Tahoma"/>
        <family val="2"/>
        <charset val="136"/>
      </rPr>
      <t xml:space="preserve">peak traffic volume.</t>
    </r>
  </si>
  <si>
    <r>
      <rPr>
        <sz val="10"/>
        <rFont val="Tahoma"/>
        <family val="2"/>
      </rPr>
      <t xml:space="preserve">      c.  </t>
    </r>
    <r>
      <rPr>
        <sz val="10"/>
        <color rgb="FF800000"/>
        <rFont val="Tahoma"/>
        <family val="2"/>
        <charset val="136"/>
      </rPr>
      <t xml:space="preserve">Peak traffic volume</t>
    </r>
    <r>
      <rPr>
        <sz val="10"/>
        <rFont val="Tahoma"/>
        <family val="2"/>
      </rPr>
      <t xml:space="preserve"> is estimated by (daily peak volume)*(# of weekdays in a year)</t>
    </r>
  </si>
  <si>
    <r>
      <rPr>
        <sz val="10"/>
        <rFont val="Tahoma"/>
        <family val="2"/>
      </rPr>
      <t xml:space="preserve">   </t>
    </r>
    <r>
      <rPr>
        <b val="true"/>
        <i val="true"/>
        <sz val="10"/>
        <color rgb="FF800000"/>
        <rFont val="Tahoma"/>
        <family val="2"/>
        <charset val="136"/>
      </rPr>
      <t xml:space="preserve">Units of PY for off-peak hour operation per year (H</t>
    </r>
    <r>
      <rPr>
        <b val="true"/>
        <i val="true"/>
        <vertAlign val="subscript"/>
        <sz val="10"/>
        <color rgb="FF800000"/>
        <rFont val="Tahoma"/>
        <family val="2"/>
        <charset val="136"/>
      </rPr>
      <t xml:space="preserve">op</t>
    </r>
    <r>
      <rPr>
        <b val="true"/>
        <i val="true"/>
        <sz val="10"/>
        <color rgb="FF800000"/>
        <rFont val="Tahoma"/>
        <family val="2"/>
        <charset val="136"/>
      </rPr>
      <t xml:space="preserve">):</t>
    </r>
  </si>
  <si>
    <r>
      <rPr>
        <sz val="10"/>
        <rFont val="Tahoma"/>
        <family val="2"/>
      </rPr>
      <t xml:space="preserve">       (H</t>
    </r>
    <r>
      <rPr>
        <vertAlign val="subscript"/>
        <sz val="10"/>
        <rFont val="Tahoma"/>
        <family val="2"/>
        <charset val="136"/>
      </rPr>
      <t xml:space="preserve">op</t>
    </r>
    <r>
      <rPr>
        <sz val="10"/>
        <rFont val="Tahoma"/>
        <family val="2"/>
      </rPr>
      <t xml:space="preserve"> in base year) *(annual off-peak volume in year i)/(annual off-peak volume in base year) </t>
    </r>
  </si>
  <si>
    <r>
      <rPr>
        <sz val="10"/>
        <rFont val="Wingdings"/>
        <family val="0"/>
        <charset val="2"/>
      </rPr>
      <t xml:space="preserve">1</t>
    </r>
    <r>
      <rPr>
        <sz val="10"/>
        <rFont val="Tahoma"/>
        <family val="2"/>
      </rPr>
      <t xml:space="preserve"> Payment Facts</t>
    </r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</si>
  <si>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User Costs Estimates - Loss of Interests (per year)</t>
    </r>
  </si>
  <si>
    <t xml:space="preserve">ETC Transaction</t>
  </si>
  <si>
    <t xml:space="preserve">Payment Split among ETC Users</t>
  </si>
  <si>
    <r>
      <rPr>
        <b val="true"/>
        <sz val="10"/>
        <color rgb="FF800000"/>
        <rFont val="Times New Roman"/>
        <family val="1"/>
        <charset val="136"/>
      </rPr>
      <t xml:space="preserve">Number of ETC Account</t>
    </r>
    <r>
      <rPr>
        <b val="true"/>
        <vertAlign val="superscript"/>
        <sz val="10"/>
        <color rgb="FF800000"/>
        <rFont val="Times New Roman"/>
        <family val="1"/>
        <charset val="136"/>
      </rPr>
      <t xml:space="preserve">1</t>
    </r>
  </si>
  <si>
    <r>
      <rPr>
        <b val="true"/>
        <sz val="10"/>
        <color rgb="FF800000"/>
        <rFont val="Times New Roman"/>
        <family val="1"/>
        <charset val="136"/>
      </rPr>
      <t xml:space="preserve">Total Balance</t>
    </r>
    <r>
      <rPr>
        <b val="true"/>
        <vertAlign val="superscript"/>
        <sz val="10"/>
        <color rgb="FF800000"/>
        <rFont val="Times New Roman"/>
        <family val="1"/>
        <charset val="136"/>
      </rPr>
      <t xml:space="preserve">2</t>
    </r>
  </si>
  <si>
    <t xml:space="preserve">Annual Interest*</t>
  </si>
  <si>
    <t xml:space="preserve">Cash &amp; Checks</t>
  </si>
  <si>
    <t xml:space="preserve">*Estimation of the Values of Annual Interest Loss by ETC Users (Nondiscounted) </t>
  </si>
  <si>
    <r>
      <rPr>
        <i val="true"/>
        <sz val="10"/>
        <color rgb="FF800000"/>
        <rFont val="Tahoma"/>
        <family val="2"/>
      </rPr>
      <t xml:space="preserve">  The Values of Interest Generated per Year by the ETC Account (undiscounted) in Year i (I</t>
    </r>
    <r>
      <rPr>
        <i val="true"/>
        <vertAlign val="subscript"/>
        <sz val="10"/>
        <color rgb="FF800000"/>
        <rFont val="Tahoma"/>
        <family val="2"/>
      </rPr>
      <t xml:space="preserve">i</t>
    </r>
    <r>
      <rPr>
        <i val="true"/>
        <sz val="10"/>
        <color rgb="FF800000"/>
        <rFont val="Tahoma"/>
        <family val="2"/>
      </rPr>
      <t xml:space="preserve">):</t>
    </r>
  </si>
  <si>
    <r>
      <rPr>
        <sz val="10"/>
        <rFont val="Tahoma"/>
        <family val="2"/>
      </rPr>
      <t xml:space="preserve">   I</t>
    </r>
    <r>
      <rPr>
        <vertAlign val="subscript"/>
        <sz val="10"/>
        <rFont val="Tahoma"/>
        <family val="2"/>
        <charset val="136"/>
      </rPr>
      <t xml:space="preserve">i</t>
    </r>
    <r>
      <rPr>
        <sz val="10"/>
        <rFont val="Tahoma"/>
        <family val="2"/>
      </rPr>
      <t xml:space="preserve"> = (AC</t>
    </r>
    <r>
      <rPr>
        <vertAlign val="subscript"/>
        <sz val="10"/>
        <rFont val="Tahoma"/>
        <family val="2"/>
        <charset val="136"/>
      </rPr>
      <t xml:space="preserve">i1</t>
    </r>
    <r>
      <rPr>
        <sz val="10"/>
        <rFont val="Tahoma"/>
        <family val="2"/>
      </rPr>
      <t xml:space="preserve">*AB</t>
    </r>
    <r>
      <rPr>
        <vertAlign val="subscript"/>
        <sz val="10"/>
        <rFont val="Tahoma"/>
        <family val="2"/>
        <charset val="136"/>
      </rPr>
      <t xml:space="preserve">i1</t>
    </r>
    <r>
      <rPr>
        <sz val="10"/>
        <rFont val="Tahoma"/>
        <family val="2"/>
      </rPr>
      <t xml:space="preserve"> + AC</t>
    </r>
    <r>
      <rPr>
        <vertAlign val="subscript"/>
        <sz val="10"/>
        <rFont val="Tahoma"/>
        <family val="2"/>
        <charset val="136"/>
      </rPr>
      <t xml:space="preserve">i2</t>
    </r>
    <r>
      <rPr>
        <sz val="10"/>
        <rFont val="Tahoma"/>
        <family val="2"/>
      </rPr>
      <t xml:space="preserve">*AB</t>
    </r>
    <r>
      <rPr>
        <vertAlign val="subscript"/>
        <sz val="10"/>
        <rFont val="Tahoma"/>
        <family val="2"/>
        <charset val="136"/>
      </rPr>
      <t xml:space="preserve">i2)</t>
    </r>
    <r>
      <rPr>
        <sz val="10"/>
        <rFont val="Tahoma"/>
        <family val="2"/>
        <charset val="136"/>
      </rPr>
      <t xml:space="preserve">*Iv</t>
    </r>
  </si>
  <si>
    <r>
      <rPr>
        <sz val="10"/>
        <rFont val="Tahoma"/>
        <family val="2"/>
      </rPr>
      <t xml:space="preserve">       AC</t>
    </r>
    <r>
      <rPr>
        <vertAlign val="subscript"/>
        <sz val="10"/>
        <rFont val="Tahoma"/>
        <family val="2"/>
        <charset val="136"/>
      </rPr>
      <t xml:space="preserve">ij</t>
    </r>
    <r>
      <rPr>
        <sz val="10"/>
        <rFont val="Tahoma"/>
        <family val="2"/>
      </rPr>
      <t xml:space="preserve">: number of ETC account set up in payment type j in Year i, where cash &amp; checks = 1, and credit card = 2</t>
    </r>
  </si>
  <si>
    <r>
      <rPr>
        <sz val="10"/>
        <rFont val="Tahoma"/>
        <family val="2"/>
      </rPr>
      <t xml:space="preserve">       AB</t>
    </r>
    <r>
      <rPr>
        <vertAlign val="subscript"/>
        <sz val="10"/>
        <rFont val="Tahoma"/>
        <family val="2"/>
        <charset val="136"/>
      </rPr>
      <t xml:space="preserve">ij</t>
    </r>
    <r>
      <rPr>
        <sz val="10"/>
        <rFont val="Tahoma"/>
        <family val="2"/>
        <charset val="136"/>
      </rPr>
      <t xml:space="preserve">: average balance, including deposits, of payment type j in Year i, where cash &amp; checks = 1, and credit card = 2</t>
    </r>
  </si>
  <si>
    <t xml:space="preserve">        Iv  : annual interest rate</t>
  </si>
  <si>
    <r>
      <rPr>
        <vertAlign val="superscript"/>
        <sz val="10"/>
        <rFont val="Tahoma"/>
        <family val="2"/>
      </rPr>
      <t xml:space="preserve">1  </t>
    </r>
    <r>
      <rPr>
        <i val="true"/>
        <sz val="10"/>
        <color rgb="FF800000"/>
        <rFont val="Tahoma"/>
        <family val="2"/>
      </rPr>
      <t xml:space="preserve">Number of ETC Account set up in Payment Type j in Year I</t>
    </r>
    <r>
      <rPr>
        <sz val="10"/>
        <color rgb="FF800000"/>
        <rFont val="Tahoma"/>
        <family val="2"/>
      </rPr>
      <t xml:space="preserve"> (</t>
    </r>
    <r>
      <rPr>
        <i val="true"/>
        <sz val="10"/>
        <color rgb="FF800000"/>
        <rFont val="Tahoma"/>
        <family val="2"/>
      </rPr>
      <t xml:space="preserve">Ac</t>
    </r>
    <r>
      <rPr>
        <i val="true"/>
        <vertAlign val="subscript"/>
        <sz val="10"/>
        <color rgb="FF800000"/>
        <rFont val="Tahoma"/>
        <family val="2"/>
      </rPr>
      <t xml:space="preserve">ij</t>
    </r>
    <r>
      <rPr>
        <i val="true"/>
        <sz val="10"/>
        <color rgb="FF800000"/>
        <rFont val="Tahoma"/>
        <family val="2"/>
      </rPr>
      <t xml:space="preserve">):</t>
    </r>
    <r>
      <rPr>
        <sz val="10"/>
        <color rgb="FF800000"/>
        <rFont val="Tahoma"/>
        <family val="2"/>
      </rPr>
      <t xml:space="preserve"> AC</t>
    </r>
    <r>
      <rPr>
        <vertAlign val="subscript"/>
        <sz val="10"/>
        <color rgb="FF800000"/>
        <rFont val="Tahoma"/>
        <family val="2"/>
      </rPr>
      <t xml:space="preserve">ij</t>
    </r>
    <r>
      <rPr>
        <sz val="10"/>
        <color rgb="FF800000"/>
        <rFont val="Tahoma"/>
        <family val="2"/>
      </rPr>
      <t xml:space="preserve"> = ET</t>
    </r>
    <r>
      <rPr>
        <vertAlign val="subscript"/>
        <sz val="10"/>
        <color rgb="FF800000"/>
        <rFont val="Tahoma"/>
        <family val="2"/>
      </rPr>
      <t xml:space="preserve">i</t>
    </r>
    <r>
      <rPr>
        <sz val="10"/>
        <color rgb="FF800000"/>
        <rFont val="Tahoma"/>
        <family val="2"/>
      </rPr>
      <t xml:space="preserve">*SP</t>
    </r>
    <r>
      <rPr>
        <vertAlign val="subscript"/>
        <sz val="10"/>
        <color rgb="FF800000"/>
        <rFont val="Tahoma"/>
        <family val="2"/>
      </rPr>
      <t xml:space="preserve">j </t>
    </r>
    <r>
      <rPr>
        <sz val="10"/>
        <color rgb="FF800000"/>
        <rFont val="Tahoma"/>
        <family val="2"/>
      </rPr>
      <t xml:space="preserve">/ AU</t>
    </r>
    <r>
      <rPr>
        <vertAlign val="subscript"/>
        <sz val="10"/>
        <color rgb="FF800000"/>
        <rFont val="Tahoma"/>
        <family val="2"/>
      </rPr>
      <t xml:space="preserve">j</t>
    </r>
  </si>
  <si>
    <r>
      <rPr>
        <vertAlign val="superscript"/>
        <sz val="10"/>
        <rFont val="Tahoma"/>
        <family val="2"/>
        <charset val="136"/>
      </rPr>
      <t xml:space="preserve">    </t>
    </r>
    <r>
      <rPr>
        <sz val="10"/>
        <rFont val="Tahoma"/>
        <family val="2"/>
        <charset val="136"/>
      </rPr>
      <t xml:space="preserve">Where,</t>
    </r>
  </si>
  <si>
    <r>
      <rPr>
        <sz val="10"/>
        <rFont val="Tahoma"/>
        <family val="2"/>
        <charset val="136"/>
      </rPr>
      <t xml:space="preserve">       ET</t>
    </r>
    <r>
      <rPr>
        <vertAlign val="subscript"/>
        <sz val="10"/>
        <rFont val="Tahoma"/>
        <family val="2"/>
        <charset val="136"/>
      </rPr>
      <t xml:space="preserve">i</t>
    </r>
    <r>
      <rPr>
        <sz val="10"/>
        <rFont val="Tahoma"/>
        <family val="2"/>
        <charset val="136"/>
      </rPr>
      <t xml:space="preserve">: total number of ETC transaction in year i = (forecast annual traffic volume in year i) *(forecast ETC split in Year i)</t>
    </r>
  </si>
  <si>
    <r>
      <rPr>
        <vertAlign val="superscript"/>
        <sz val="10"/>
        <rFont val="Tahoma"/>
        <family val="2"/>
        <charset val="136"/>
      </rPr>
      <t xml:space="preserve">        </t>
    </r>
    <r>
      <rPr>
        <sz val="10"/>
        <rFont val="Tahoma"/>
        <family val="2"/>
        <charset val="136"/>
      </rPr>
      <t xml:space="preserve"> SP</t>
    </r>
    <r>
      <rPr>
        <vertAlign val="subscript"/>
        <sz val="10"/>
        <rFont val="Tahoma"/>
        <family val="2"/>
        <charset val="136"/>
      </rPr>
      <t xml:space="preserve">j</t>
    </r>
    <r>
      <rPr>
        <sz val="10"/>
        <rFont val="Tahoma"/>
        <family val="2"/>
        <charset val="136"/>
      </rPr>
      <t xml:space="preserve">: split of payment type j, where cash &amp; checks = 1, credit card =2</t>
    </r>
  </si>
  <si>
    <r>
      <rPr>
        <vertAlign val="superscript"/>
        <sz val="10"/>
        <rFont val="Tahoma"/>
        <family val="2"/>
        <charset val="136"/>
      </rPr>
      <t xml:space="preserve">        </t>
    </r>
    <r>
      <rPr>
        <sz val="10"/>
        <rFont val="Tahoma"/>
        <family val="2"/>
        <charset val="136"/>
      </rPr>
      <t xml:space="preserve"> AU</t>
    </r>
    <r>
      <rPr>
        <vertAlign val="subscript"/>
        <sz val="10"/>
        <rFont val="Tahoma"/>
        <family val="2"/>
        <charset val="136"/>
      </rPr>
      <t xml:space="preserve">j</t>
    </r>
    <r>
      <rPr>
        <sz val="10"/>
        <rFont val="Tahoma"/>
        <family val="2"/>
        <charset val="136"/>
      </rPr>
      <t xml:space="preserve">: average usage per account per year, where cash &amp; checks = 1, credit card =2</t>
    </r>
  </si>
  <si>
    <r>
      <rPr>
        <vertAlign val="superscript"/>
        <sz val="10"/>
        <rFont val="Tahoma"/>
        <family val="2"/>
      </rPr>
      <t xml:space="preserve">2  </t>
    </r>
    <r>
      <rPr>
        <sz val="10"/>
        <color rgb="FF800000"/>
        <rFont val="Tahoma"/>
        <family val="2"/>
      </rPr>
      <t xml:space="preserve"> </t>
    </r>
    <r>
      <rPr>
        <i val="true"/>
        <sz val="10"/>
        <color rgb="FF800000"/>
        <rFont val="Tahoma"/>
        <family val="2"/>
      </rPr>
      <t xml:space="preserve">Average Balance for Payment Type j in Year i </t>
    </r>
    <r>
      <rPr>
        <sz val="10"/>
        <color rgb="FF800000"/>
        <rFont val="Tahoma"/>
        <family val="2"/>
      </rPr>
      <t xml:space="preserve">(</t>
    </r>
    <r>
      <rPr>
        <i val="true"/>
        <sz val="10"/>
        <color rgb="FF800000"/>
        <rFont val="Tahoma"/>
        <family val="2"/>
      </rPr>
      <t xml:space="preserve">ABij</t>
    </r>
    <r>
      <rPr>
        <sz val="10"/>
        <color rgb="FF800000"/>
        <rFont val="Tahoma"/>
        <family val="2"/>
      </rPr>
      <t xml:space="preserve">): ABij = ATAG</t>
    </r>
    <r>
      <rPr>
        <vertAlign val="subscript"/>
        <sz val="10"/>
        <color rgb="FF800000"/>
        <rFont val="Tahoma"/>
        <family val="2"/>
      </rPr>
      <t xml:space="preserve">j</t>
    </r>
    <r>
      <rPr>
        <sz val="10"/>
        <color rgb="FF800000"/>
        <rFont val="Tahoma"/>
        <family val="2"/>
      </rPr>
      <t xml:space="preserve">*DT</t>
    </r>
    <r>
      <rPr>
        <vertAlign val="subscript"/>
        <sz val="10"/>
        <color rgb="FF800000"/>
        <rFont val="Tahoma"/>
        <family val="2"/>
      </rPr>
      <t xml:space="preserve">j</t>
    </r>
    <r>
      <rPr>
        <sz val="10"/>
        <color rgb="FF800000"/>
        <rFont val="Tahoma"/>
        <family val="2"/>
      </rPr>
      <t xml:space="preserve"> + ABXT</t>
    </r>
    <r>
      <rPr>
        <vertAlign val="subscript"/>
        <sz val="10"/>
        <color rgb="FF800000"/>
        <rFont val="Tahoma"/>
        <family val="2"/>
      </rPr>
      <t xml:space="preserve">j</t>
    </r>
  </si>
  <si>
    <r>
      <rPr>
        <sz val="10"/>
        <rFont val="Tahoma"/>
        <family val="2"/>
        <charset val="136"/>
      </rPr>
      <t xml:space="preserve">       ATAG</t>
    </r>
    <r>
      <rPr>
        <vertAlign val="subscript"/>
        <sz val="10"/>
        <rFont val="Tahoma"/>
        <family val="2"/>
        <charset val="136"/>
      </rPr>
      <t xml:space="preserve">j</t>
    </r>
    <r>
      <rPr>
        <sz val="10"/>
        <rFont val="Tahoma"/>
        <family val="2"/>
        <charset val="136"/>
      </rPr>
      <t xml:space="preserve">: average tags per account for payment type j, where cash &amp; checks = 1, credit card =2</t>
    </r>
  </si>
  <si>
    <r>
      <rPr>
        <sz val="10"/>
        <rFont val="Tahoma"/>
        <family val="2"/>
        <charset val="136"/>
      </rPr>
      <t xml:space="preserve">       DT</t>
    </r>
    <r>
      <rPr>
        <vertAlign val="subscript"/>
        <sz val="10"/>
        <rFont val="Tahoma"/>
        <family val="2"/>
        <charset val="136"/>
      </rPr>
      <t xml:space="preserve">j     </t>
    </r>
    <r>
      <rPr>
        <sz val="10"/>
        <rFont val="Tahoma"/>
        <family val="2"/>
        <charset val="136"/>
      </rPr>
      <t xml:space="preserve">: required amount of deposits for transponders in payment type j, where cash &amp; checks = 1, credit card =2</t>
    </r>
  </si>
  <si>
    <r>
      <rPr>
        <sz val="10"/>
        <rFont val="Tahoma"/>
        <family val="2"/>
        <charset val="136"/>
      </rPr>
      <t xml:space="preserve">       ABXT</t>
    </r>
    <r>
      <rPr>
        <vertAlign val="subscript"/>
        <sz val="10"/>
        <rFont val="Tahoma"/>
        <family val="2"/>
        <charset val="136"/>
      </rPr>
      <t xml:space="preserve">j</t>
    </r>
    <r>
      <rPr>
        <sz val="10"/>
        <rFont val="Tahoma"/>
        <family val="2"/>
        <charset val="136"/>
      </rPr>
      <t xml:space="preserve">: average amount of balance other than deposits per account in payment type j, where cash &amp; checks = 1, credit card =2</t>
    </r>
  </si>
  <si>
    <r>
      <rPr>
        <vertAlign val="superscript"/>
        <sz val="10"/>
        <rFont val="Tahoma"/>
        <family val="2"/>
      </rPr>
      <t xml:space="preserve">   </t>
    </r>
    <r>
      <rPr>
        <sz val="10"/>
        <color rgb="FF800000"/>
        <rFont val="Tahoma"/>
        <family val="2"/>
      </rPr>
      <t xml:space="preserve"> </t>
    </r>
    <r>
      <rPr>
        <i val="true"/>
        <sz val="10"/>
        <color rgb="FF800000"/>
        <rFont val="Tahoma"/>
        <family val="2"/>
      </rPr>
      <t xml:space="preserve">Total Balance for Payment Type j in Year i</t>
    </r>
    <r>
      <rPr>
        <sz val="10"/>
        <color rgb="FF800000"/>
        <rFont val="Tahoma"/>
        <family val="2"/>
      </rPr>
      <t xml:space="preserve"> : AB</t>
    </r>
    <r>
      <rPr>
        <vertAlign val="subscript"/>
        <sz val="10"/>
        <color rgb="FF800000"/>
        <rFont val="Tahoma"/>
        <family val="2"/>
      </rPr>
      <t xml:space="preserve">ij</t>
    </r>
    <r>
      <rPr>
        <sz val="10"/>
        <color rgb="FF800000"/>
        <rFont val="Tahoma"/>
        <family val="2"/>
      </rPr>
      <t xml:space="preserve"> * AC</t>
    </r>
    <r>
      <rPr>
        <vertAlign val="subscript"/>
        <sz val="10"/>
        <color rgb="FF800000"/>
        <rFont val="Tahoma"/>
        <family val="2"/>
      </rPr>
      <t xml:space="preserve">ij</t>
    </r>
  </si>
  <si>
    <r>
      <rPr>
        <sz val="10"/>
        <rFont val="Wingdings"/>
        <family val="0"/>
        <charset val="2"/>
      </rPr>
      <t xml:space="preserve">1</t>
    </r>
    <r>
      <rPr>
        <sz val="10"/>
        <rFont val="Tahoma"/>
        <family val="2"/>
      </rPr>
      <t xml:space="preserve"> Transaction and Travel Facts at the Toll Plaza</t>
    </r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</si>
  <si>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Valuation of Time Saving per Year</t>
    </r>
  </si>
  <si>
    <t xml:space="preserve">a) Estimation of Time Saving as a Result of Introducing ETC System per Year (hrs)</t>
  </si>
  <si>
    <t xml:space="preserve">Total Time Saving (hrs)</t>
  </si>
  <si>
    <r>
      <rPr>
        <b val="true"/>
        <sz val="10"/>
        <color rgb="FF800000"/>
        <rFont val="Times New Roman"/>
        <family val="1"/>
        <charset val="136"/>
      </rPr>
      <t xml:space="preserve">Factor of Time Value</t>
    </r>
    <r>
      <rPr>
        <b val="true"/>
        <vertAlign val="superscript"/>
        <sz val="10"/>
        <color rgb="FF800000"/>
        <rFont val="Times New Roman"/>
        <family val="1"/>
        <charset val="136"/>
      </rPr>
      <t xml:space="preserve">1</t>
    </r>
  </si>
  <si>
    <t xml:space="preserve">Total Value of Time Saving*</t>
  </si>
  <si>
    <t xml:space="preserve">ETC Traffic</t>
  </si>
  <si>
    <r>
      <rPr>
        <b val="true"/>
        <sz val="10"/>
        <color rgb="FF800000"/>
        <rFont val="Times New Roman"/>
        <family val="1"/>
        <charset val="136"/>
      </rPr>
      <t xml:space="preserve">Idling Time (hrs/yr)</t>
    </r>
    <r>
      <rPr>
        <b val="true"/>
        <vertAlign val="superscript"/>
        <sz val="10"/>
        <color rgb="FF800000"/>
        <rFont val="Times New Roman"/>
        <family val="1"/>
        <charset val="136"/>
      </rPr>
      <t xml:space="preserve">2</t>
    </r>
  </si>
  <si>
    <r>
      <rPr>
        <b val="true"/>
        <sz val="10"/>
        <color rgb="FF800000"/>
        <rFont val="Times New Roman"/>
        <family val="1"/>
        <charset val="136"/>
      </rPr>
      <t xml:space="preserve">Time Difference due to Deceleration (hrs/yr)</t>
    </r>
    <r>
      <rPr>
        <b val="true"/>
        <vertAlign val="superscript"/>
        <sz val="10"/>
        <color rgb="FF800000"/>
        <rFont val="Times New Roman"/>
        <family val="1"/>
        <charset val="136"/>
      </rPr>
      <t xml:space="preserve">3</t>
    </r>
  </si>
  <si>
    <r>
      <rPr>
        <b val="true"/>
        <sz val="10"/>
        <color rgb="FF800000"/>
        <rFont val="Times New Roman"/>
        <family val="1"/>
        <charset val="136"/>
      </rPr>
      <t xml:space="preserve">Time Difference due to Acceleration (hrs/yr)</t>
    </r>
    <r>
      <rPr>
        <b val="true"/>
        <vertAlign val="superscript"/>
        <sz val="10"/>
        <color rgb="FF800000"/>
        <rFont val="Times New Roman"/>
        <family val="1"/>
        <charset val="136"/>
      </rPr>
      <t xml:space="preserve">4</t>
    </r>
  </si>
  <si>
    <t xml:space="preserve">Total Time Saving** (hrs/yr)</t>
  </si>
  <si>
    <t xml:space="preserve"> From Idling</t>
  </si>
  <si>
    <t xml:space="preserve">Deceleration</t>
  </si>
  <si>
    <t xml:space="preserve">Acceleration</t>
  </si>
  <si>
    <r>
      <rPr>
        <b val="true"/>
        <i val="true"/>
        <sz val="10"/>
        <color rgb="FF800000"/>
        <rFont val="Times New Roman"/>
        <family val="1"/>
      </rPr>
      <t xml:space="preserve">Total</t>
    </r>
    <r>
      <rPr>
        <b val="true"/>
        <sz val="10"/>
        <color rgb="FF800000"/>
        <rFont val="Times New Roman"/>
        <family val="1"/>
      </rPr>
      <t xml:space="preserve"> (hrs)</t>
    </r>
  </si>
  <si>
    <t xml:space="preserve">Time Saving</t>
  </si>
  <si>
    <t xml:space="preserve">Avg. Speed (mph)</t>
  </si>
  <si>
    <t xml:space="preserve">Time  Saving</t>
  </si>
  <si>
    <t xml:space="preserve">Average Travel Speed (mph)</t>
  </si>
  <si>
    <t xml:space="preserve">Split among ETC Users</t>
  </si>
  <si>
    <t xml:space="preserve">* Estimation of the Value of Total Time Saving</t>
  </si>
  <si>
    <t xml:space="preserve">**Estimation the Amount of Time Differences Spent in ETC Alternative and Baseline System</t>
  </si>
  <si>
    <r>
      <rPr>
        <vertAlign val="superscript"/>
        <sz val="10"/>
        <color rgb="FF800000"/>
        <rFont val="Tahoma"/>
        <family val="2"/>
      </rPr>
      <t xml:space="preserve">1 </t>
    </r>
    <r>
      <rPr>
        <sz val="10"/>
        <color rgb="FF800000"/>
        <rFont val="Tahoma"/>
        <family val="2"/>
      </rPr>
      <t xml:space="preserve"> Factor of Time Value</t>
    </r>
  </si>
  <si>
    <r>
      <rPr>
        <vertAlign val="superscript"/>
        <sz val="10"/>
        <color rgb="FF800000"/>
        <rFont val="Tahoma"/>
        <family val="2"/>
        <charset val="136"/>
      </rPr>
      <t xml:space="preserve">2</t>
    </r>
    <r>
      <rPr>
        <b val="true"/>
        <i val="true"/>
        <sz val="10"/>
        <color rgb="FF800000"/>
        <rFont val="Tahoma"/>
        <family val="2"/>
        <charset val="136"/>
      </rPr>
      <t xml:space="preserve"> Idling Time:</t>
    </r>
  </si>
  <si>
    <r>
      <rPr>
        <sz val="10"/>
        <color rgb="FF800000"/>
        <rFont val="Tahoma"/>
        <family val="2"/>
        <charset val="136"/>
      </rPr>
      <t xml:space="preserve">   </t>
    </r>
    <r>
      <rPr>
        <u val="single"/>
        <sz val="10"/>
        <rFont val="Tahoma"/>
        <family val="2"/>
        <charset val="136"/>
      </rPr>
      <t xml:space="preserve">Assumptions</t>
    </r>
    <r>
      <rPr>
        <sz val="10"/>
        <rFont val="Tahoma"/>
        <family val="2"/>
        <charset val="136"/>
      </rPr>
      <t xml:space="preserve">:</t>
    </r>
  </si>
  <si>
    <t xml:space="preserve">   This category includes the amount of time to wait in queue and processing transaction.</t>
  </si>
  <si>
    <t xml:space="preserve">   a. Unit time values for each mode don't change over time during the analysis period</t>
  </si>
  <si>
    <r>
      <rPr>
        <sz val="10"/>
        <rFont val="Tahoma"/>
        <family val="2"/>
        <charset val="136"/>
      </rPr>
      <t xml:space="preserve">   The number is calculated by HCM Formula done in Sheet"Optimal ETC Lanes" called "</t>
    </r>
    <r>
      <rPr>
        <u val="single"/>
        <sz val="10"/>
        <color rgb="FF800000"/>
        <rFont val="Tahoma"/>
        <family val="2"/>
        <charset val="136"/>
      </rPr>
      <t xml:space="preserve">queueing delay</t>
    </r>
    <r>
      <rPr>
        <sz val="10"/>
        <rFont val="Tahoma"/>
        <family val="2"/>
        <charset val="136"/>
      </rPr>
      <t xml:space="preserve">".</t>
    </r>
  </si>
  <si>
    <t xml:space="preserve">   b. The percentage of mode split doesn't change significantly during the analysis period</t>
  </si>
  <si>
    <t xml:space="preserve">   c. Average occupancy per vehicle for each mode doesn't change significantly during the analysis period</t>
  </si>
  <si>
    <r>
      <rPr>
        <vertAlign val="superscript"/>
        <sz val="10"/>
        <color rgb="FF800000"/>
        <rFont val="Tahoma"/>
        <family val="2"/>
        <charset val="136"/>
      </rPr>
      <t xml:space="preserve">3</t>
    </r>
    <r>
      <rPr>
        <b val="true"/>
        <i val="true"/>
        <sz val="10"/>
        <color rgb="FF800000"/>
        <rFont val="Tahoma"/>
        <family val="2"/>
        <charset val="136"/>
      </rPr>
      <t xml:space="preserve"> Time Difference due to Decelaration: the difference of time spent during the deceleration process between Baseline and ETC Alternative.</t>
    </r>
  </si>
  <si>
    <r>
      <rPr>
        <sz val="10"/>
        <rFont val="Tahoma"/>
        <family val="2"/>
        <charset val="136"/>
      </rPr>
      <t xml:space="preserve">   </t>
    </r>
    <r>
      <rPr>
        <b val="true"/>
        <i val="true"/>
        <sz val="10"/>
        <color rgb="FF800000"/>
        <rFont val="Tahoma"/>
        <family val="2"/>
        <charset val="136"/>
      </rPr>
      <t xml:space="preserve">F</t>
    </r>
    <r>
      <rPr>
        <b val="true"/>
        <i val="true"/>
        <vertAlign val="subscript"/>
        <sz val="10"/>
        <color rgb="FF800000"/>
        <rFont val="Tahoma"/>
        <family val="2"/>
        <charset val="136"/>
      </rPr>
      <t xml:space="preserve">i</t>
    </r>
    <r>
      <rPr>
        <i val="true"/>
        <sz val="10"/>
        <color rgb="FF800000"/>
        <rFont val="Tahoma"/>
        <family val="2"/>
        <charset val="136"/>
      </rPr>
      <t xml:space="preserve"> = (U</t>
    </r>
    <r>
      <rPr>
        <i val="true"/>
        <vertAlign val="subscript"/>
        <sz val="10"/>
        <color rgb="FF800000"/>
        <rFont val="Tahoma"/>
        <family val="2"/>
        <charset val="136"/>
      </rPr>
      <t xml:space="preserve">1</t>
    </r>
    <r>
      <rPr>
        <i val="true"/>
        <sz val="10"/>
        <color rgb="FF800000"/>
        <rFont val="Tahoma"/>
        <family val="2"/>
        <charset val="136"/>
      </rPr>
      <t xml:space="preserve">*VOC</t>
    </r>
    <r>
      <rPr>
        <i val="true"/>
        <vertAlign val="subscript"/>
        <sz val="10"/>
        <color rgb="FF800000"/>
        <rFont val="Tahoma"/>
        <family val="2"/>
        <charset val="136"/>
      </rPr>
      <t xml:space="preserve">1</t>
    </r>
    <r>
      <rPr>
        <i val="true"/>
        <sz val="10"/>
        <color rgb="FF800000"/>
        <rFont val="Tahoma"/>
        <family val="2"/>
        <charset val="136"/>
      </rPr>
      <t xml:space="preserve">*SU</t>
    </r>
    <r>
      <rPr>
        <i val="true"/>
        <vertAlign val="subscript"/>
        <sz val="10"/>
        <color rgb="FF800000"/>
        <rFont val="Tahoma"/>
        <family val="2"/>
        <charset val="136"/>
      </rPr>
      <t xml:space="preserve">1</t>
    </r>
    <r>
      <rPr>
        <i val="true"/>
        <sz val="10"/>
        <color rgb="FF800000"/>
        <rFont val="Tahoma"/>
        <family val="2"/>
        <charset val="136"/>
      </rPr>
      <t xml:space="preserve">+ U</t>
    </r>
    <r>
      <rPr>
        <i val="true"/>
        <vertAlign val="subscript"/>
        <sz val="10"/>
        <color rgb="FF800000"/>
        <rFont val="Tahoma"/>
        <family val="2"/>
        <charset val="136"/>
      </rPr>
      <t xml:space="preserve">2</t>
    </r>
    <r>
      <rPr>
        <i val="true"/>
        <sz val="10"/>
        <color rgb="FF800000"/>
        <rFont val="Tahoma"/>
        <family val="2"/>
        <charset val="136"/>
      </rPr>
      <t xml:space="preserve">*VOC</t>
    </r>
    <r>
      <rPr>
        <i val="true"/>
        <vertAlign val="subscript"/>
        <sz val="10"/>
        <color rgb="FF800000"/>
        <rFont val="Tahoma"/>
        <family val="2"/>
        <charset val="136"/>
      </rPr>
      <t xml:space="preserve">2</t>
    </r>
    <r>
      <rPr>
        <i val="true"/>
        <sz val="10"/>
        <color rgb="FF800000"/>
        <rFont val="Tahoma"/>
        <family val="2"/>
        <charset val="136"/>
      </rPr>
      <t xml:space="preserve">*SU</t>
    </r>
    <r>
      <rPr>
        <i val="true"/>
        <vertAlign val="subscript"/>
        <sz val="10"/>
        <color rgb="FF800000"/>
        <rFont val="Tahoma"/>
        <family val="2"/>
        <charset val="136"/>
      </rPr>
      <t xml:space="preserve">2</t>
    </r>
    <r>
      <rPr>
        <i val="true"/>
        <sz val="10"/>
        <color rgb="FF800000"/>
        <rFont val="Tahoma"/>
        <family val="2"/>
        <charset val="136"/>
      </rPr>
      <t xml:space="preserve">+ U</t>
    </r>
    <r>
      <rPr>
        <i val="true"/>
        <vertAlign val="subscript"/>
        <sz val="10"/>
        <color rgb="FF800000"/>
        <rFont val="Tahoma"/>
        <family val="2"/>
        <charset val="136"/>
      </rPr>
      <t xml:space="preserve">3</t>
    </r>
    <r>
      <rPr>
        <i val="true"/>
        <sz val="10"/>
        <color rgb="FF800000"/>
        <rFont val="Tahoma"/>
        <family val="2"/>
        <charset val="136"/>
      </rPr>
      <t xml:space="preserve">*VOC</t>
    </r>
    <r>
      <rPr>
        <i val="true"/>
        <vertAlign val="subscript"/>
        <sz val="10"/>
        <color rgb="FF800000"/>
        <rFont val="Tahoma"/>
        <family val="2"/>
        <charset val="136"/>
      </rPr>
      <t xml:space="preserve">3</t>
    </r>
    <r>
      <rPr>
        <i val="true"/>
        <sz val="10"/>
        <color rgb="FF800000"/>
        <rFont val="Tahoma"/>
        <family val="2"/>
        <charset val="136"/>
      </rPr>
      <t xml:space="preserve">*SU</t>
    </r>
    <r>
      <rPr>
        <i val="true"/>
        <vertAlign val="subscript"/>
        <sz val="10"/>
        <color rgb="FF800000"/>
        <rFont val="Tahoma"/>
        <family val="2"/>
        <charset val="136"/>
      </rPr>
      <t xml:space="preserve">3</t>
    </r>
    <r>
      <rPr>
        <i val="true"/>
        <sz val="10"/>
        <color rgb="FF800000"/>
        <rFont val="Tahoma"/>
        <family val="2"/>
        <charset val="136"/>
      </rPr>
      <t xml:space="preserve">)*(1+I</t>
    </r>
    <r>
      <rPr>
        <i val="true"/>
        <vertAlign val="subscript"/>
        <sz val="10"/>
        <color rgb="FF800000"/>
        <rFont val="Tahoma"/>
        <family val="2"/>
        <charset val="136"/>
      </rPr>
      <t xml:space="preserve">f</t>
    </r>
    <r>
      <rPr>
        <i val="true"/>
        <sz val="10"/>
        <color rgb="FF800000"/>
        <rFont val="Tahoma"/>
        <family val="2"/>
        <charset val="136"/>
      </rPr>
      <t xml:space="preserve">)</t>
    </r>
    <r>
      <rPr>
        <i val="true"/>
        <vertAlign val="superscript"/>
        <sz val="10"/>
        <color rgb="FF800000"/>
        <rFont val="Tahoma"/>
        <family val="2"/>
        <charset val="136"/>
      </rPr>
      <t xml:space="preserve">i</t>
    </r>
    <r>
      <rPr>
        <i val="true"/>
        <sz val="10"/>
        <color rgb="FF800000"/>
        <rFont val="Tahoma"/>
        <family val="2"/>
        <charset val="136"/>
      </rPr>
      <t xml:space="preserve"> </t>
    </r>
  </si>
  <si>
    <t xml:space="preserve">   Due to the existence of the toll plaza, manual users have to slow down from prevailing travel speed to zero to proceed toll transaction.</t>
  </si>
  <si>
    <t xml:space="preserve">   where,</t>
  </si>
  <si>
    <r>
      <rPr>
        <sz val="10"/>
        <rFont val="Tahoma"/>
        <family val="2"/>
        <charset val="136"/>
      </rPr>
      <t xml:space="preserve">   </t>
    </r>
    <r>
      <rPr>
        <u val="single"/>
        <sz val="10"/>
        <rFont val="Tahoma"/>
        <family val="2"/>
        <charset val="136"/>
      </rPr>
      <t xml:space="preserve">Assumptions</t>
    </r>
    <r>
      <rPr>
        <sz val="10"/>
        <rFont val="Tahoma"/>
        <family val="2"/>
        <charset val="136"/>
      </rPr>
      <t xml:space="preserve">:</t>
    </r>
  </si>
  <si>
    <r>
      <rPr>
        <sz val="10"/>
        <rFont val="Tahoma"/>
        <family val="2"/>
        <charset val="136"/>
      </rPr>
      <t xml:space="preserve">       U</t>
    </r>
    <r>
      <rPr>
        <vertAlign val="subscript"/>
        <sz val="10"/>
        <rFont val="Tahoma"/>
        <family val="2"/>
        <charset val="136"/>
      </rPr>
      <t xml:space="preserve">k</t>
    </r>
    <r>
      <rPr>
        <sz val="10"/>
        <rFont val="Tahoma"/>
        <family val="2"/>
        <charset val="136"/>
      </rPr>
      <t xml:space="preserve">     : time value per hour for mode k, in dollars.  Auto=1, truck=2, and bus=3 </t>
    </r>
  </si>
  <si>
    <t xml:space="preserve">      a. Queue doesn't occupy physical space.</t>
  </si>
  <si>
    <r>
      <rPr>
        <sz val="10"/>
        <rFont val="Tahoma"/>
        <family val="2"/>
        <charset val="136"/>
      </rPr>
      <t xml:space="preserve">       VOC</t>
    </r>
    <r>
      <rPr>
        <vertAlign val="subscript"/>
        <sz val="10"/>
        <rFont val="Tahoma"/>
        <family val="2"/>
        <charset val="136"/>
      </rPr>
      <t xml:space="preserve">k</t>
    </r>
    <r>
      <rPr>
        <sz val="10"/>
        <rFont val="Tahoma"/>
        <family val="2"/>
        <charset val="136"/>
      </rPr>
      <t xml:space="preserve"> : average vehicle occupancy for mode k, where auto=1, truck=2, and bus=3</t>
    </r>
  </si>
  <si>
    <t xml:space="preserve">          That is, imagine that drivers who use manual booths begin to decelerate at certain point and stop completely right before toll plaza</t>
  </si>
  <si>
    <r>
      <rPr>
        <sz val="10"/>
        <rFont val="Tahoma"/>
        <family val="2"/>
        <charset val="136"/>
      </rPr>
      <t xml:space="preserve">       SU</t>
    </r>
    <r>
      <rPr>
        <vertAlign val="subscript"/>
        <sz val="10"/>
        <rFont val="Tahoma"/>
        <family val="2"/>
        <charset val="136"/>
      </rPr>
      <t xml:space="preserve">k</t>
    </r>
    <r>
      <rPr>
        <sz val="10"/>
        <rFont val="Tahoma"/>
        <family val="2"/>
        <charset val="136"/>
      </rPr>
      <t xml:space="preserve">   : mode split among ETC Users for mode k, where auto=1, truck=2, and bus=3</t>
    </r>
  </si>
  <si>
    <r>
      <rPr>
        <sz val="10"/>
        <rFont val="Tahoma"/>
        <family val="2"/>
        <charset val="136"/>
      </rPr>
      <t xml:space="preserve">          where vehicle stack one another vertically.  The length of the deceleration process is defined as "</t>
    </r>
    <r>
      <rPr>
        <i val="true"/>
        <sz val="10"/>
        <rFont val="Tahoma"/>
        <family val="2"/>
        <charset val="136"/>
      </rPr>
      <t xml:space="preserve">ramp prior to toll plaza</t>
    </r>
    <r>
      <rPr>
        <sz val="10"/>
        <rFont val="Tahoma"/>
        <family val="2"/>
        <charset val="136"/>
      </rPr>
      <t xml:space="preserve">". </t>
    </r>
  </si>
  <si>
    <r>
      <rPr>
        <sz val="10"/>
        <rFont val="Tahoma"/>
        <family val="2"/>
        <charset val="136"/>
      </rPr>
      <t xml:space="preserve">       I</t>
    </r>
    <r>
      <rPr>
        <vertAlign val="subscript"/>
        <sz val="10"/>
        <rFont val="Tahoma"/>
        <family val="2"/>
        <charset val="136"/>
      </rPr>
      <t xml:space="preserve">f</t>
    </r>
    <r>
      <rPr>
        <sz val="10"/>
        <rFont val="Tahoma"/>
        <family val="2"/>
        <charset val="136"/>
      </rPr>
      <t xml:space="preserve">      : Inflation Rate</t>
    </r>
  </si>
  <si>
    <t xml:space="preserve">      b. Constant deceleration rate.  Hence, average speed during the deceleration process is equal to one half of prevailing travel speed.</t>
  </si>
  <si>
    <r>
      <rPr>
        <sz val="10"/>
        <rFont val="Tahoma"/>
        <family val="2"/>
        <charset val="136"/>
      </rPr>
      <t xml:space="preserve">       ATV</t>
    </r>
    <r>
      <rPr>
        <vertAlign val="subscript"/>
        <sz val="10"/>
        <rFont val="Tahoma"/>
        <family val="2"/>
        <charset val="136"/>
      </rPr>
      <t xml:space="preserve">i </t>
    </r>
    <r>
      <rPr>
        <sz val="10"/>
        <rFont val="Tahoma"/>
        <family val="2"/>
        <charset val="136"/>
      </rPr>
      <t xml:space="preserve">: annual traffic volume in year i </t>
    </r>
  </si>
  <si>
    <r>
      <rPr>
        <sz val="10"/>
        <rFont val="Tahoma"/>
        <family val="2"/>
        <charset val="136"/>
      </rPr>
      <t xml:space="preserve">       ET</t>
    </r>
    <r>
      <rPr>
        <vertAlign val="subscript"/>
        <sz val="10"/>
        <rFont val="Tahoma"/>
        <family val="2"/>
        <charset val="136"/>
      </rPr>
      <t xml:space="preserve">i</t>
    </r>
    <r>
      <rPr>
        <sz val="10"/>
        <rFont val="Tahoma"/>
        <family val="2"/>
        <charset val="136"/>
      </rPr>
      <t xml:space="preserve">   : total number of ETC transaction in year i = ATVi * (forecast ETC split in Year i)</t>
    </r>
  </si>
  <si>
    <r>
      <rPr>
        <sz val="10"/>
        <rFont val="Tahoma"/>
        <family val="2"/>
        <charset val="136"/>
      </rPr>
      <t xml:space="preserve">       D</t>
    </r>
    <r>
      <rPr>
        <vertAlign val="subscript"/>
        <sz val="10"/>
        <rFont val="Tahoma"/>
        <family val="2"/>
        <charset val="136"/>
      </rPr>
      <t xml:space="preserve">d</t>
    </r>
    <r>
      <rPr>
        <sz val="10"/>
        <rFont val="Tahoma"/>
        <family val="2"/>
        <charset val="136"/>
      </rPr>
      <t xml:space="preserve">    : The length of ramp prior to toll plaza, in miles</t>
    </r>
  </si>
  <si>
    <r>
      <rPr>
        <sz val="10"/>
        <rFont val="Tahoma"/>
        <family val="2"/>
        <charset val="136"/>
      </rPr>
      <t xml:space="preserve">       V</t>
    </r>
    <r>
      <rPr>
        <vertAlign val="subscript"/>
        <sz val="10"/>
        <rFont val="Tahoma"/>
        <family val="2"/>
        <charset val="136"/>
      </rPr>
      <t xml:space="preserve">n</t>
    </r>
    <r>
      <rPr>
        <sz val="10"/>
        <rFont val="Tahoma"/>
        <family val="2"/>
        <charset val="136"/>
      </rPr>
      <t xml:space="preserve">    : Prevailing Travel Speed on highway, in mph</t>
    </r>
  </si>
  <si>
    <r>
      <rPr>
        <sz val="10"/>
        <rFont val="Tahoma"/>
        <family val="2"/>
        <charset val="136"/>
      </rPr>
      <t xml:space="preserve">       V</t>
    </r>
    <r>
      <rPr>
        <vertAlign val="subscript"/>
        <sz val="10"/>
        <rFont val="Tahoma"/>
        <family val="2"/>
        <charset val="136"/>
      </rPr>
      <t xml:space="preserve">d</t>
    </r>
    <r>
      <rPr>
        <sz val="10"/>
        <rFont val="Tahoma"/>
        <family val="2"/>
        <charset val="136"/>
      </rPr>
      <t xml:space="preserve">    : Average speed during the deceleration process, V</t>
    </r>
    <r>
      <rPr>
        <vertAlign val="subscript"/>
        <sz val="10"/>
        <rFont val="Tahoma"/>
        <family val="2"/>
        <charset val="136"/>
      </rPr>
      <t xml:space="preserve">d</t>
    </r>
    <r>
      <rPr>
        <sz val="10"/>
        <rFont val="Tahoma"/>
        <family val="2"/>
        <charset val="136"/>
      </rPr>
      <t xml:space="preserve"> = 0.5 * V</t>
    </r>
    <r>
      <rPr>
        <vertAlign val="subscript"/>
        <sz val="10"/>
        <rFont val="Tahoma"/>
        <family val="2"/>
        <charset val="136"/>
      </rPr>
      <t xml:space="preserve">n</t>
    </r>
  </si>
  <si>
    <t xml:space="preserve">    For ETC Users, they don't need to slow down.</t>
  </si>
  <si>
    <r>
      <rPr>
        <sz val="10"/>
        <rFont val="Tahoma"/>
        <family val="2"/>
        <charset val="136"/>
      </rPr>
      <t xml:space="preserve">    </t>
    </r>
    <r>
      <rPr>
        <b val="true"/>
        <i val="true"/>
        <sz val="10"/>
        <color rgb="FF800000"/>
        <rFont val="Tahoma"/>
        <family val="2"/>
        <charset val="136"/>
      </rPr>
      <t xml:space="preserve">Hence, total time spent in "ramp prior to toll plaza"  in year i (T</t>
    </r>
    <r>
      <rPr>
        <b val="true"/>
        <i val="true"/>
        <vertAlign val="subscript"/>
        <sz val="10"/>
        <color rgb="FF800000"/>
        <rFont val="Tahoma"/>
        <family val="2"/>
        <charset val="136"/>
      </rPr>
      <t xml:space="preserve">dei</t>
    </r>
    <r>
      <rPr>
        <b val="true"/>
        <i val="true"/>
        <sz val="10"/>
        <color rgb="FF800000"/>
        <rFont val="Tahoma"/>
        <family val="2"/>
        <charset val="136"/>
      </rPr>
      <t xml:space="preserve">)</t>
    </r>
    <r>
      <rPr>
        <i val="true"/>
        <sz val="10"/>
        <color rgb="FF800000"/>
        <rFont val="Tahoma"/>
        <family val="2"/>
        <charset val="136"/>
      </rPr>
      <t xml:space="preserve">: ET</t>
    </r>
    <r>
      <rPr>
        <i val="true"/>
        <vertAlign val="subscript"/>
        <sz val="10"/>
        <color rgb="FF800000"/>
        <rFont val="Tahoma"/>
        <family val="2"/>
        <charset val="136"/>
      </rPr>
      <t xml:space="preserve">i</t>
    </r>
    <r>
      <rPr>
        <i val="true"/>
        <sz val="10"/>
        <color rgb="FF800000"/>
        <rFont val="Tahoma"/>
        <family val="2"/>
        <charset val="136"/>
      </rPr>
      <t xml:space="preserve"> * D</t>
    </r>
    <r>
      <rPr>
        <i val="true"/>
        <vertAlign val="subscript"/>
        <sz val="10"/>
        <color rgb="FF800000"/>
        <rFont val="Tahoma"/>
        <family val="2"/>
        <charset val="136"/>
      </rPr>
      <t xml:space="preserve">d</t>
    </r>
    <r>
      <rPr>
        <i val="true"/>
        <sz val="10"/>
        <color rgb="FF800000"/>
        <rFont val="Tahoma"/>
        <family val="2"/>
        <charset val="136"/>
      </rPr>
      <t xml:space="preserve"> / V</t>
    </r>
    <r>
      <rPr>
        <i val="true"/>
        <vertAlign val="subscript"/>
        <sz val="10"/>
        <color rgb="FF800000"/>
        <rFont val="Tahoma"/>
        <family val="2"/>
        <charset val="136"/>
      </rPr>
      <t xml:space="preserve">n</t>
    </r>
  </si>
  <si>
    <r>
      <rPr>
        <vertAlign val="superscript"/>
        <sz val="10"/>
        <color rgb="FF800000"/>
        <rFont val="Tahoma"/>
        <family val="2"/>
        <charset val="136"/>
      </rPr>
      <t xml:space="preserve">4</t>
    </r>
    <r>
      <rPr>
        <b val="true"/>
        <i val="true"/>
        <sz val="10"/>
        <color rgb="FF800000"/>
        <rFont val="Tahoma"/>
        <family val="2"/>
        <charset val="136"/>
      </rPr>
      <t xml:space="preserve"> Time Difference due to Accelaration: the difference of time spent during the acceleration process between Baseline and ETC Alternative.</t>
    </r>
  </si>
  <si>
    <t xml:space="preserve">   Due to the existence of the toll plaza, manual users have to accelerate from zero to prevailing travel speed after toll transactions.</t>
  </si>
  <si>
    <t xml:space="preserve">      a. Constant acceleration rate.  Hence, average speed during the deceleration process is equal to one half of prevailing travel speed.</t>
  </si>
  <si>
    <r>
      <rPr>
        <sz val="10"/>
        <rFont val="Tahoma"/>
        <family val="2"/>
        <charset val="136"/>
      </rPr>
      <t xml:space="preserve">   </t>
    </r>
    <r>
      <rPr>
        <b val="true"/>
        <i val="true"/>
        <sz val="10"/>
        <color rgb="FF800000"/>
        <rFont val="Tahoma"/>
        <family val="2"/>
        <charset val="136"/>
      </rPr>
      <t xml:space="preserve">For Manual Users, total time spent during the decelaration in year i (T</t>
    </r>
    <r>
      <rPr>
        <b val="true"/>
        <i val="true"/>
        <vertAlign val="subscript"/>
        <sz val="10"/>
        <color rgb="FF800000"/>
        <rFont val="Tahoma"/>
        <family val="2"/>
        <charset val="136"/>
      </rPr>
      <t xml:space="preserve">ami</t>
    </r>
    <r>
      <rPr>
        <b val="true"/>
        <i val="true"/>
        <sz val="10"/>
        <color rgb="FF800000"/>
        <rFont val="Tahoma"/>
        <family val="2"/>
        <charset val="136"/>
      </rPr>
      <t xml:space="preserve">)</t>
    </r>
    <r>
      <rPr>
        <sz val="10"/>
        <rFont val="Tahoma"/>
        <family val="2"/>
        <charset val="136"/>
      </rPr>
      <t xml:space="preserve">:</t>
    </r>
    <r>
      <rPr>
        <sz val="10"/>
        <color rgb="FF800000"/>
        <rFont val="Tahoma"/>
        <family val="2"/>
        <charset val="136"/>
      </rPr>
      <t xml:space="preserve"> (ATV</t>
    </r>
    <r>
      <rPr>
        <vertAlign val="subscript"/>
        <sz val="10"/>
        <color rgb="FF800000"/>
        <rFont val="Tahoma"/>
        <family val="2"/>
        <charset val="136"/>
      </rPr>
      <t xml:space="preserve">i </t>
    </r>
    <r>
      <rPr>
        <sz val="10"/>
        <color rgb="FF800000"/>
        <rFont val="Tahoma"/>
        <family val="2"/>
        <charset val="136"/>
      </rPr>
      <t xml:space="preserve">- ET</t>
    </r>
    <r>
      <rPr>
        <vertAlign val="subscript"/>
        <sz val="10"/>
        <color rgb="FF800000"/>
        <rFont val="Tahoma"/>
        <family val="2"/>
        <charset val="136"/>
      </rPr>
      <t xml:space="preserve">i</t>
    </r>
    <r>
      <rPr>
        <sz val="10"/>
        <color rgb="FF800000"/>
        <rFont val="Tahoma"/>
        <family val="2"/>
        <charset val="136"/>
      </rPr>
      <t xml:space="preserve">) * D</t>
    </r>
    <r>
      <rPr>
        <vertAlign val="subscript"/>
        <sz val="10"/>
        <color rgb="FF800000"/>
        <rFont val="Tahoma"/>
        <family val="2"/>
        <charset val="136"/>
      </rPr>
      <t xml:space="preserve">a </t>
    </r>
    <r>
      <rPr>
        <sz val="10"/>
        <color rgb="FF800000"/>
        <rFont val="Tahoma"/>
        <family val="2"/>
        <charset val="136"/>
      </rPr>
      <t xml:space="preserve">/ V</t>
    </r>
    <r>
      <rPr>
        <vertAlign val="subscript"/>
        <sz val="10"/>
        <color rgb="FF800000"/>
        <rFont val="Tahoma"/>
        <family val="2"/>
        <charset val="136"/>
      </rPr>
      <t xml:space="preserve">a</t>
    </r>
  </si>
  <si>
    <r>
      <rPr>
        <sz val="10"/>
        <rFont val="Tahoma"/>
        <family val="2"/>
        <charset val="136"/>
      </rPr>
      <t xml:space="preserve">       D</t>
    </r>
    <r>
      <rPr>
        <vertAlign val="subscript"/>
        <sz val="10"/>
        <rFont val="Tahoma"/>
        <family val="2"/>
        <charset val="136"/>
      </rPr>
      <t xml:space="preserve">a</t>
    </r>
    <r>
      <rPr>
        <sz val="10"/>
        <rFont val="Tahoma"/>
        <family val="2"/>
        <charset val="136"/>
      </rPr>
      <t xml:space="preserve">    : The length of ramp leading from toll plaza, in miles.  I.e. the distance required to achieve prevailing travel speed</t>
    </r>
  </si>
  <si>
    <r>
      <rPr>
        <sz val="10"/>
        <rFont val="Tahoma"/>
        <family val="2"/>
        <charset val="136"/>
      </rPr>
      <t xml:space="preserve">       V</t>
    </r>
    <r>
      <rPr>
        <vertAlign val="subscript"/>
        <sz val="10"/>
        <rFont val="Tahoma"/>
        <family val="2"/>
        <charset val="136"/>
      </rPr>
      <t xml:space="preserve">a</t>
    </r>
    <r>
      <rPr>
        <sz val="10"/>
        <rFont val="Tahoma"/>
        <family val="2"/>
        <charset val="136"/>
      </rPr>
      <t xml:space="preserve">    : Average speed during the acceleration process, V</t>
    </r>
    <r>
      <rPr>
        <vertAlign val="subscript"/>
        <sz val="10"/>
        <rFont val="Tahoma"/>
        <family val="2"/>
        <charset val="136"/>
      </rPr>
      <t xml:space="preserve">d</t>
    </r>
    <r>
      <rPr>
        <sz val="10"/>
        <rFont val="Tahoma"/>
        <family val="2"/>
        <charset val="136"/>
      </rPr>
      <t xml:space="preserve"> = 0.5 * V</t>
    </r>
    <r>
      <rPr>
        <vertAlign val="subscript"/>
        <sz val="10"/>
        <rFont val="Tahoma"/>
        <family val="2"/>
        <charset val="136"/>
      </rPr>
      <t xml:space="preserve">n</t>
    </r>
  </si>
  <si>
    <t xml:space="preserve">    For ETC Users, they don't need to slow down, and therefore, they don't need to speed up.</t>
  </si>
  <si>
    <r>
      <rPr>
        <sz val="10"/>
        <rFont val="Tahoma"/>
        <family val="2"/>
        <charset val="136"/>
      </rPr>
      <t xml:space="preserve">   </t>
    </r>
    <r>
      <rPr>
        <b val="true"/>
        <i val="true"/>
        <sz val="10"/>
        <color rgb="FF800000"/>
        <rFont val="Tahoma"/>
        <family val="2"/>
        <charset val="136"/>
      </rPr>
      <t xml:space="preserve"> Total time spent in "ramp prior to toll plaza"  in year i (T</t>
    </r>
    <r>
      <rPr>
        <b val="true"/>
        <i val="true"/>
        <vertAlign val="subscript"/>
        <sz val="10"/>
        <color rgb="FF800000"/>
        <rFont val="Tahoma"/>
        <family val="2"/>
        <charset val="136"/>
      </rPr>
      <t xml:space="preserve">dei</t>
    </r>
    <r>
      <rPr>
        <b val="true"/>
        <i val="true"/>
        <sz val="10"/>
        <color rgb="FF800000"/>
        <rFont val="Tahoma"/>
        <family val="2"/>
        <charset val="136"/>
      </rPr>
      <t xml:space="preserve">)</t>
    </r>
    <r>
      <rPr>
        <i val="true"/>
        <sz val="10"/>
        <color rgb="FF800000"/>
        <rFont val="Tahoma"/>
        <family val="2"/>
        <charset val="136"/>
      </rPr>
      <t xml:space="preserve">: ET</t>
    </r>
    <r>
      <rPr>
        <i val="true"/>
        <vertAlign val="subscript"/>
        <sz val="10"/>
        <color rgb="FF800000"/>
        <rFont val="Tahoma"/>
        <family val="2"/>
        <charset val="136"/>
      </rPr>
      <t xml:space="preserve">i</t>
    </r>
    <r>
      <rPr>
        <i val="true"/>
        <sz val="10"/>
        <color rgb="FF800000"/>
        <rFont val="Tahoma"/>
        <family val="2"/>
        <charset val="136"/>
      </rPr>
      <t xml:space="preserve"> * D</t>
    </r>
    <r>
      <rPr>
        <i val="true"/>
        <vertAlign val="subscript"/>
        <sz val="10"/>
        <color rgb="FF800000"/>
        <rFont val="Tahoma"/>
        <family val="2"/>
        <charset val="136"/>
      </rPr>
      <t xml:space="preserve">a</t>
    </r>
    <r>
      <rPr>
        <i val="true"/>
        <sz val="10"/>
        <color rgb="FF800000"/>
        <rFont val="Tahoma"/>
        <family val="2"/>
        <charset val="136"/>
      </rPr>
      <t xml:space="preserve"> / V</t>
    </r>
    <r>
      <rPr>
        <i val="true"/>
        <vertAlign val="subscript"/>
        <sz val="10"/>
        <color rgb="FF800000"/>
        <rFont val="Tahoma"/>
        <family val="2"/>
        <charset val="136"/>
      </rPr>
      <t xml:space="preserve">n</t>
    </r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</si>
  <si>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Valuation of Emission Reduction per Year</t>
    </r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</si>
  <si>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Estimates of Vehicle Emissions Reduction per Year</t>
    </r>
  </si>
  <si>
    <t xml:space="preserve">Total Emission Reduction (kgs)</t>
  </si>
  <si>
    <t xml:space="preserve">Value of Emission Reduction</t>
  </si>
  <si>
    <t xml:space="preserve">Value of Fuel Reduction</t>
  </si>
  <si>
    <t xml:space="preserve">Total Time Saving per Year (hrs)</t>
  </si>
  <si>
    <r>
      <rPr>
        <b val="true"/>
        <sz val="10"/>
        <color rgb="FF800000"/>
        <rFont val="Times New Roman"/>
        <family val="1"/>
        <charset val="136"/>
      </rPr>
      <t xml:space="preserve">Emission Reduction from Idling (kgs)</t>
    </r>
    <r>
      <rPr>
        <b val="true"/>
        <vertAlign val="superscript"/>
        <sz val="10"/>
        <color rgb="FF800000"/>
        <rFont val="Times New Roman"/>
        <family val="1"/>
        <charset val="136"/>
      </rPr>
      <t xml:space="preserve">1</t>
    </r>
  </si>
  <si>
    <r>
      <rPr>
        <b val="true"/>
        <sz val="10"/>
        <color rgb="FF800000"/>
        <rFont val="Times New Roman"/>
        <family val="1"/>
        <charset val="136"/>
      </rPr>
      <t xml:space="preserve">Emission Reduction from Acceleration(kgs)</t>
    </r>
    <r>
      <rPr>
        <b val="true"/>
        <vertAlign val="superscript"/>
        <sz val="10"/>
        <color rgb="FF800000"/>
        <rFont val="Times New Roman"/>
        <family val="1"/>
        <charset val="136"/>
      </rPr>
      <t xml:space="preserve">2</t>
    </r>
  </si>
  <si>
    <t xml:space="preserve">Total Emission Reduction (kgs)**</t>
  </si>
  <si>
    <t xml:space="preserve"> Idling</t>
  </si>
  <si>
    <t xml:space="preserve">Average Fuel Consumption per gallon (miles)</t>
  </si>
  <si>
    <t xml:space="preserve">Average Fuel consumption per hour (gallons)</t>
  </si>
  <si>
    <t xml:space="preserve">Acceleration Emissions Rates (grams/gallon)</t>
  </si>
  <si>
    <t xml:space="preserve">Idle Emission Rates (grams/minute)</t>
  </si>
  <si>
    <t xml:space="preserve">Costs of Air Pollution ($ / kg pollutant)</t>
  </si>
  <si>
    <t xml:space="preserve">Fuel Price per Gallon </t>
  </si>
  <si>
    <t xml:space="preserve">** Estimation of the Emission Reduction</t>
  </si>
  <si>
    <r>
      <rPr>
        <vertAlign val="superscript"/>
        <sz val="10"/>
        <color rgb="FF800000"/>
        <rFont val="Tahoma"/>
        <family val="2"/>
      </rPr>
      <t xml:space="preserve">1 </t>
    </r>
    <r>
      <rPr>
        <sz val="10"/>
        <color rgb="FF800000"/>
        <rFont val="Tahoma"/>
        <family val="2"/>
      </rPr>
      <t xml:space="preserve"> Emission Reduction from Idling (ER_</t>
    </r>
    <r>
      <rPr>
        <vertAlign val="subscript"/>
        <sz val="10"/>
        <color rgb="FF800000"/>
        <rFont val="Tahoma"/>
        <family val="2"/>
      </rPr>
      <t xml:space="preserve">idle</t>
    </r>
    <r>
      <rPr>
        <sz val="10"/>
        <color rgb="FF800000"/>
        <rFont val="Tahoma"/>
        <family val="2"/>
      </rPr>
      <t xml:space="preserve">) for pollutant type r : </t>
    </r>
  </si>
  <si>
    <r>
      <rPr>
        <i val="true"/>
        <sz val="10"/>
        <color rgb="FF800000"/>
        <rFont val="Tahoma"/>
        <family val="2"/>
        <charset val="136"/>
      </rPr>
      <t xml:space="preserve">    ER_</t>
    </r>
    <r>
      <rPr>
        <i val="true"/>
        <vertAlign val="subscript"/>
        <sz val="10"/>
        <color rgb="FF800000"/>
        <rFont val="Tahoma"/>
        <family val="2"/>
        <charset val="136"/>
      </rPr>
      <t xml:space="preserve">idle,r</t>
    </r>
    <r>
      <rPr>
        <i val="true"/>
        <sz val="10"/>
        <color rgb="FF800000"/>
        <rFont val="Tahoma"/>
        <family val="2"/>
        <charset val="136"/>
      </rPr>
      <t xml:space="preserve"> = TS</t>
    </r>
    <r>
      <rPr>
        <i val="true"/>
        <vertAlign val="subscript"/>
        <sz val="10"/>
        <color rgb="FF800000"/>
        <rFont val="Tahoma"/>
        <family val="2"/>
        <charset val="136"/>
      </rPr>
      <t xml:space="preserve">idle</t>
    </r>
    <r>
      <rPr>
        <i val="true"/>
        <sz val="10"/>
        <color rgb="FF800000"/>
        <rFont val="Tahoma"/>
        <family val="2"/>
        <charset val="136"/>
      </rPr>
      <t xml:space="preserve"> * E</t>
    </r>
    <r>
      <rPr>
        <i val="true"/>
        <vertAlign val="subscript"/>
        <sz val="10"/>
        <color rgb="FF800000"/>
        <rFont val="Tahoma"/>
        <family val="2"/>
        <charset val="136"/>
      </rPr>
      <t xml:space="preserve">_idle</t>
    </r>
    <r>
      <rPr>
        <i val="true"/>
        <sz val="10"/>
        <color rgb="FF800000"/>
        <rFont val="Tahoma"/>
        <family val="2"/>
        <charset val="136"/>
      </rPr>
      <t xml:space="preserve">* 60 / 1000</t>
    </r>
  </si>
  <si>
    <r>
      <rPr>
        <sz val="10"/>
        <rFont val="Tahoma"/>
        <family val="2"/>
        <charset val="136"/>
      </rPr>
      <t xml:space="preserve">       TS</t>
    </r>
    <r>
      <rPr>
        <vertAlign val="subscript"/>
        <sz val="10"/>
        <rFont val="Tahoma"/>
        <family val="2"/>
        <charset val="136"/>
      </rPr>
      <t xml:space="preserve">idle</t>
    </r>
    <r>
      <rPr>
        <sz val="10"/>
        <rFont val="Tahoma"/>
        <family val="2"/>
        <charset val="136"/>
      </rPr>
      <t xml:space="preserve"> : time saved in the idling event per year, in hr</t>
    </r>
  </si>
  <si>
    <r>
      <rPr>
        <sz val="10"/>
        <rFont val="Tahoma"/>
        <family val="2"/>
        <charset val="136"/>
      </rPr>
      <t xml:space="preserve">       E</t>
    </r>
    <r>
      <rPr>
        <vertAlign val="subscript"/>
        <sz val="10"/>
        <rFont val="Tahoma"/>
        <family val="2"/>
        <charset val="136"/>
      </rPr>
      <t xml:space="preserve">_idle,r</t>
    </r>
    <r>
      <rPr>
        <sz val="10"/>
        <rFont val="Tahoma"/>
        <family val="2"/>
        <charset val="136"/>
      </rPr>
      <t xml:space="preserve"> : Emission rate for pollutant type r during the idling event, in grams per minute</t>
    </r>
  </si>
  <si>
    <r>
      <rPr>
        <vertAlign val="superscript"/>
        <sz val="10"/>
        <color rgb="FF800000"/>
        <rFont val="Tahoma"/>
        <family val="2"/>
      </rPr>
      <t xml:space="preserve">2 </t>
    </r>
    <r>
      <rPr>
        <sz val="10"/>
        <color rgb="FF800000"/>
        <rFont val="Tahoma"/>
        <family val="2"/>
      </rPr>
      <t xml:space="preserve"> Emission Reduction from Acceleration (ER_acc) for pollutant type r : </t>
    </r>
  </si>
  <si>
    <r>
      <rPr>
        <i val="true"/>
        <sz val="10"/>
        <color rgb="FF800000"/>
        <rFont val="Tahoma"/>
        <family val="2"/>
        <charset val="136"/>
      </rPr>
      <t xml:space="preserve">    ET_</t>
    </r>
    <r>
      <rPr>
        <i val="true"/>
        <vertAlign val="subscript"/>
        <sz val="10"/>
        <color rgb="FF800000"/>
        <rFont val="Tahoma"/>
        <family val="2"/>
        <charset val="136"/>
      </rPr>
      <t xml:space="preserve">acc,r</t>
    </r>
    <r>
      <rPr>
        <i val="true"/>
        <sz val="10"/>
        <color rgb="FF800000"/>
        <rFont val="Tahoma"/>
        <family val="2"/>
        <charset val="136"/>
      </rPr>
      <t xml:space="preserve"> = TS</t>
    </r>
    <r>
      <rPr>
        <i val="true"/>
        <vertAlign val="subscript"/>
        <sz val="10"/>
        <color rgb="FF800000"/>
        <rFont val="Tahoma"/>
        <family val="2"/>
        <charset val="136"/>
      </rPr>
      <t xml:space="preserve">a</t>
    </r>
    <r>
      <rPr>
        <i val="true"/>
        <sz val="10"/>
        <color rgb="FF800000"/>
        <rFont val="Tahoma"/>
        <family val="2"/>
        <charset val="136"/>
      </rPr>
      <t xml:space="preserve"> * FG</t>
    </r>
    <r>
      <rPr>
        <i val="true"/>
        <vertAlign val="subscript"/>
        <sz val="10"/>
        <color rgb="FF800000"/>
        <rFont val="Tahoma"/>
        <family val="2"/>
        <charset val="136"/>
      </rPr>
      <t xml:space="preserve">a</t>
    </r>
    <r>
      <rPr>
        <i val="true"/>
        <sz val="10"/>
        <color rgb="FF800000"/>
        <rFont val="Tahoma"/>
        <family val="2"/>
        <charset val="136"/>
      </rPr>
      <t xml:space="preserve"> * E_</t>
    </r>
    <r>
      <rPr>
        <i val="true"/>
        <vertAlign val="subscript"/>
        <sz val="10"/>
        <color rgb="FF800000"/>
        <rFont val="Tahoma"/>
        <family val="2"/>
        <charset val="136"/>
      </rPr>
      <t xml:space="preserve">acc,r</t>
    </r>
    <r>
      <rPr>
        <i val="true"/>
        <sz val="10"/>
        <color rgb="FF800000"/>
        <rFont val="Tahoma"/>
        <family val="2"/>
        <charset val="136"/>
      </rPr>
      <t xml:space="preserve"> / 1000</t>
    </r>
  </si>
  <si>
    <r>
      <rPr>
        <sz val="10"/>
        <rFont val="Tahoma"/>
        <family val="2"/>
        <charset val="136"/>
      </rPr>
      <t xml:space="preserve">       TS</t>
    </r>
    <r>
      <rPr>
        <vertAlign val="subscript"/>
        <sz val="10"/>
        <rFont val="Tahoma"/>
        <family val="2"/>
        <charset val="136"/>
      </rPr>
      <t xml:space="preserve">a</t>
    </r>
    <r>
      <rPr>
        <sz val="10"/>
        <rFont val="Tahoma"/>
        <family val="2"/>
        <charset val="136"/>
      </rPr>
      <t xml:space="preserve">    : time saved in the acceleration process per year, in hr</t>
    </r>
  </si>
  <si>
    <r>
      <rPr>
        <sz val="10"/>
        <rFont val="Tahoma"/>
        <family val="2"/>
        <charset val="136"/>
      </rPr>
      <t xml:space="preserve">       FG</t>
    </r>
    <r>
      <rPr>
        <vertAlign val="subscript"/>
        <sz val="10"/>
        <rFont val="Tahoma"/>
        <family val="2"/>
        <charset val="136"/>
      </rPr>
      <t xml:space="preserve">a</t>
    </r>
    <r>
      <rPr>
        <sz val="10"/>
        <rFont val="Tahoma"/>
        <family val="2"/>
        <charset val="136"/>
      </rPr>
      <t xml:space="preserve">    : average fuel consumption per hour, in gallon</t>
    </r>
  </si>
  <si>
    <r>
      <rPr>
        <sz val="10"/>
        <rFont val="Tahoma"/>
        <family val="2"/>
        <charset val="136"/>
      </rPr>
      <t xml:space="preserve">       E_</t>
    </r>
    <r>
      <rPr>
        <vertAlign val="subscript"/>
        <sz val="10"/>
        <rFont val="Tahoma"/>
        <family val="2"/>
        <charset val="136"/>
      </rPr>
      <t xml:space="preserve">acc,r</t>
    </r>
    <r>
      <rPr>
        <sz val="10"/>
        <rFont val="Tahoma"/>
        <family val="2"/>
        <charset val="136"/>
      </rPr>
      <t xml:space="preserve"> : Emission rate for pollutant type r during the acceleration process, in grams per gallon</t>
    </r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</si>
</sst>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\$#,##0\ ;&quot;($&quot;#,##0\)"/>
    <numFmt numFmtId="166" formatCode="0.00"/>
    <numFmt numFmtId="167" formatCode="0.00000"/>
    <numFmt numFmtId="168" formatCode="#,##0"/>
    <numFmt numFmtId="169" formatCode="\$#,##0.00_);[RED]&quot;($&quot;#,##0.00\)"/>
    <numFmt numFmtId="170" formatCode="#,##0.0"/>
    <numFmt numFmtId="171" formatCode="\$#,##0"/>
    <numFmt numFmtId="172" formatCode="#,##0.00"/>
    <numFmt numFmtId="173" formatCode="0%"/>
    <numFmt numFmtId="174" formatCode="0.0%"/>
    <numFmt numFmtId="175" formatCode="0.00%"/>
    <numFmt numFmtId="176" formatCode="#,##0.000"/>
    <numFmt numFmtId="177" formatCode="#,##0.0000"/>
    <numFmt numFmtId="178" formatCode="0.0"/>
    <numFmt numFmtId="179" formatCode="\$#,##0.00"/>
    <numFmt numFmtId="180" formatCode="\$#,##0_);[RED]&quot;($&quot;#,##0\)"/>
    <numFmt numFmtId="181" formatCode="_(* #,##0.00_);_(* \(#,##0.00\);_(* \-??_);_(@_)"/>
    <numFmt numFmtId="182" formatCode="#,##0;\-#,##0"/>
    <numFmt numFmtId="183" formatCode="0"/>
    <numFmt numFmtId="184" formatCode="#,##0.0_);\(#,##0.0\)"/>
    <numFmt numFmtId="185" formatCode="#,##0;[RED]\-#,##0"/>
    <numFmt numFmtId="186" formatCode="\$#,##0.000"/>
    <numFmt numFmtId="187" formatCode="\$#,##0.0000"/>
    <numFmt numFmtId="188" formatCode="\$#,##0.0"/>
  </numFmts>
  <fonts count="11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ahoma"/>
      <family val="2"/>
    </font>
    <font>
      <sz val="10"/>
      <name val="Tahoma"/>
      <family val="2"/>
      <charset val="136"/>
    </font>
    <font>
      <sz val="10"/>
      <name val="CG Times"/>
      <family val="0"/>
      <charset val="136"/>
    </font>
    <font>
      <sz val="10"/>
      <name val="Times New Roman"/>
      <family val="1"/>
      <charset val="136"/>
    </font>
    <font>
      <b val="true"/>
      <sz val="12"/>
      <name val="Tahoma"/>
      <family val="2"/>
      <charset val="136"/>
    </font>
    <font>
      <b val="true"/>
      <sz val="14"/>
      <color rgb="FF000080"/>
      <name val="Tahoma"/>
      <family val="2"/>
      <charset val="136"/>
    </font>
    <font>
      <sz val="8"/>
      <name val="CG Times"/>
      <family val="0"/>
      <charset val="136"/>
    </font>
    <font>
      <b val="true"/>
      <sz val="10"/>
      <name val="Tahoma"/>
      <family val="2"/>
      <charset val="136"/>
    </font>
    <font>
      <b val="true"/>
      <u val="single"/>
      <sz val="10"/>
      <name val="Tahoma"/>
      <family val="2"/>
      <charset val="136"/>
    </font>
    <font>
      <sz val="8"/>
      <name val="Tahoma"/>
      <family val="2"/>
      <charset val="136"/>
    </font>
    <font>
      <b val="true"/>
      <sz val="10"/>
      <name val="Times New Roman"/>
      <family val="1"/>
      <charset val="136"/>
    </font>
    <font>
      <i val="true"/>
      <sz val="10"/>
      <color rgb="FF800000"/>
      <name val="Tahoma"/>
      <family val="2"/>
      <charset val="136"/>
    </font>
    <font>
      <sz val="10"/>
      <color rgb="FF800000"/>
      <name val="Tahoma"/>
      <family val="2"/>
      <charset val="136"/>
    </font>
    <font>
      <sz val="10"/>
      <color rgb="FF800000"/>
      <name val="Tahoma"/>
      <family val="2"/>
    </font>
    <font>
      <sz val="12"/>
      <name val="Tahoma"/>
      <family val="2"/>
      <charset val="136"/>
    </font>
    <font>
      <sz val="10"/>
      <name val="NewsGothic"/>
      <family val="2"/>
    </font>
    <font>
      <i val="true"/>
      <sz val="10"/>
      <color rgb="FF800000"/>
      <name val="Tahoma"/>
      <family val="2"/>
    </font>
    <font>
      <u val="single"/>
      <sz val="10"/>
      <color rgb="FF800000"/>
      <name val="Tahoma"/>
      <family val="2"/>
      <charset val="136"/>
    </font>
    <font>
      <sz val="10"/>
      <color rgb="FF666699"/>
      <name val="Tahoma"/>
      <family val="2"/>
      <charset val="136"/>
    </font>
    <font>
      <b val="true"/>
      <sz val="10"/>
      <name val="NewsGothic"/>
      <family val="2"/>
    </font>
    <font>
      <i val="true"/>
      <sz val="10"/>
      <color rgb="FF666699"/>
      <name val="Tahoma"/>
      <family val="2"/>
      <charset val="136"/>
    </font>
    <font>
      <sz val="11"/>
      <name val="Tahoma"/>
      <family val="2"/>
      <charset val="136"/>
    </font>
    <font>
      <i val="true"/>
      <u val="single"/>
      <sz val="11"/>
      <color rgb="FF800000"/>
      <name val="Tahoma"/>
      <family val="2"/>
      <charset val="136"/>
    </font>
    <font>
      <sz val="12"/>
      <color rgb="FF000080"/>
      <name val="Tahoma"/>
      <family val="2"/>
      <charset val="136"/>
    </font>
    <font>
      <sz val="10"/>
      <color rgb="FF993300"/>
      <name val="Tahoma"/>
      <family val="2"/>
      <charset val="136"/>
    </font>
    <font>
      <i val="true"/>
      <sz val="10"/>
      <name val="Tahoma"/>
      <family val="2"/>
    </font>
    <font>
      <sz val="10"/>
      <color rgb="FF000080"/>
      <name val="Tahoma"/>
      <family val="2"/>
      <charset val="136"/>
    </font>
    <font>
      <b val="true"/>
      <sz val="11"/>
      <name val="Tahoma"/>
      <family val="2"/>
      <charset val="136"/>
    </font>
    <font>
      <b val="true"/>
      <i val="true"/>
      <u val="single"/>
      <sz val="12"/>
      <color rgb="FF800000"/>
      <name val="Times New Roman"/>
      <family val="1"/>
    </font>
    <font>
      <sz val="10"/>
      <name val="Wingdings"/>
      <family val="0"/>
      <charset val="2"/>
    </font>
    <font>
      <b val="true"/>
      <sz val="11"/>
      <color rgb="FF800000"/>
      <name val="Times New Roman"/>
      <family val="1"/>
      <charset val="136"/>
    </font>
    <font>
      <b val="true"/>
      <sz val="11"/>
      <color rgb="FF800000"/>
      <name val="Times New Roman"/>
      <family val="1"/>
    </font>
    <font>
      <sz val="11"/>
      <name val="Tahoma"/>
      <family val="2"/>
    </font>
    <font>
      <sz val="11"/>
      <color rgb="FF800000"/>
      <name val="Tahoma"/>
      <family val="2"/>
    </font>
    <font>
      <i val="true"/>
      <sz val="11"/>
      <color rgb="FF993300"/>
      <name val="Times New Roman"/>
      <family val="1"/>
      <charset val="136"/>
    </font>
    <font>
      <sz val="10"/>
      <color rgb="FF333399"/>
      <name val="Tahoma"/>
      <family val="2"/>
      <charset val="136"/>
    </font>
    <font>
      <sz val="12"/>
      <color rgb="FF993300"/>
      <name val="Tahoma"/>
      <family val="2"/>
      <charset val="136"/>
    </font>
    <font>
      <b val="true"/>
      <u val="single"/>
      <sz val="12"/>
      <color rgb="FF000000"/>
      <name val="Times New Roman"/>
      <family val="1"/>
    </font>
    <font>
      <b val="true"/>
      <i val="true"/>
      <sz val="10"/>
      <name val="Tahoma"/>
      <family val="2"/>
      <charset val="136"/>
    </font>
    <font>
      <sz val="11"/>
      <name val="Times New Roman"/>
      <family val="1"/>
      <charset val="136"/>
    </font>
    <font>
      <b val="true"/>
      <sz val="12"/>
      <color rgb="FF000000"/>
      <name val="Times New Roman"/>
      <family val="1"/>
    </font>
    <font>
      <i val="true"/>
      <sz val="11"/>
      <color rgb="FF800000"/>
      <name val="Times New Roman"/>
      <family val="1"/>
    </font>
    <font>
      <u val="single"/>
      <sz val="11"/>
      <color rgb="FF800000"/>
      <name val="Tahoma"/>
      <family val="2"/>
    </font>
    <font>
      <sz val="11"/>
      <color rgb="FF800000"/>
      <name val="Tahoma"/>
      <family val="2"/>
      <charset val="136"/>
    </font>
    <font>
      <b val="true"/>
      <i val="true"/>
      <sz val="11"/>
      <color rgb="FF800000"/>
      <name val="Times New Roman"/>
      <family val="1"/>
    </font>
    <font>
      <sz val="11"/>
      <color rgb="FF333399"/>
      <name val="Times New Roman"/>
      <family val="1"/>
      <charset val="136"/>
    </font>
    <font>
      <i val="true"/>
      <sz val="11"/>
      <name val="Tahoma"/>
      <family val="2"/>
      <charset val="136"/>
    </font>
    <font>
      <sz val="11"/>
      <name val="Times New Roman"/>
      <family val="1"/>
    </font>
    <font>
      <b val="true"/>
      <sz val="12"/>
      <color rgb="FF000000"/>
      <name val="Tahoma"/>
      <family val="2"/>
      <charset val="136"/>
    </font>
    <font>
      <sz val="11"/>
      <color rgb="FF0000FF"/>
      <name val="Times New Roman"/>
      <family val="1"/>
      <charset val="136"/>
    </font>
    <font>
      <u val="single"/>
      <sz val="11"/>
      <color rgb="FF800000"/>
      <name val="Tahoma"/>
      <family val="2"/>
      <charset val="136"/>
    </font>
    <font>
      <sz val="10"/>
      <name val="OG Times"/>
      <family val="0"/>
      <charset val="136"/>
    </font>
    <font>
      <i val="true"/>
      <u val="single"/>
      <sz val="11"/>
      <name val="Tahoma"/>
      <family val="2"/>
      <charset val="136"/>
    </font>
    <font>
      <sz val="12"/>
      <color rgb="FF333399"/>
      <name val="Tahoma"/>
      <family val="2"/>
      <charset val="136"/>
    </font>
    <font>
      <b val="true"/>
      <sz val="10"/>
      <color rgb="FF800000"/>
      <name val="Tahoma"/>
      <family val="2"/>
    </font>
    <font>
      <b val="true"/>
      <sz val="10"/>
      <name val="Tahoma"/>
      <family val="2"/>
    </font>
    <font>
      <sz val="10"/>
      <color rgb="FF800000"/>
      <name val="Arial"/>
      <family val="0"/>
    </font>
    <font>
      <b val="true"/>
      <sz val="12"/>
      <color rgb="FF000000"/>
      <name val="Tahoma"/>
      <family val="2"/>
    </font>
    <font>
      <sz val="12"/>
      <color rgb="FF800000"/>
      <name val="Tahoma"/>
      <family val="2"/>
      <charset val="136"/>
    </font>
    <font>
      <sz val="9"/>
      <color rgb="FFFF0000"/>
      <name val="Tahoma"/>
      <family val="2"/>
      <charset val="136"/>
    </font>
    <font>
      <b val="true"/>
      <i val="true"/>
      <sz val="10"/>
      <name val="Bookman"/>
      <family val="1"/>
      <charset val="136"/>
    </font>
    <font>
      <b val="true"/>
      <i val="true"/>
      <sz val="10"/>
      <color rgb="FF800000"/>
      <name val="Tahoma"/>
      <family val="2"/>
      <charset val="136"/>
    </font>
    <font>
      <vertAlign val="subscript"/>
      <sz val="10"/>
      <name val="Tahoma"/>
      <family val="2"/>
      <charset val="136"/>
    </font>
    <font>
      <sz val="12"/>
      <name val="Times New Roman"/>
      <family val="1"/>
    </font>
    <font>
      <b val="true"/>
      <sz val="12"/>
      <name val="Wingdings"/>
      <family val="0"/>
      <charset val="2"/>
    </font>
    <font>
      <b val="true"/>
      <sz val="12"/>
      <name val="Times New Roman"/>
      <family val="1"/>
    </font>
    <font>
      <vertAlign val="superscript"/>
      <sz val="12"/>
      <name val="Times New Roman"/>
      <family val="1"/>
    </font>
    <font>
      <sz val="12"/>
      <color rgb="FF333399"/>
      <name val="Times New Roman"/>
      <family val="1"/>
    </font>
    <font>
      <vertAlign val="superscript"/>
      <sz val="10"/>
      <name val="Times New Roman"/>
      <family val="1"/>
    </font>
    <font>
      <sz val="10"/>
      <name val="Times New Roman"/>
      <family val="1"/>
    </font>
    <font>
      <b val="true"/>
      <i val="true"/>
      <sz val="12"/>
      <color rgb="FF800000"/>
      <name val="Times New Roman"/>
      <family val="1"/>
    </font>
    <font>
      <sz val="12"/>
      <color rgb="FF993300"/>
      <name val="Times New Roman"/>
      <family val="1"/>
    </font>
    <font>
      <sz val="10"/>
      <name val="Arial"/>
      <family val="2"/>
      <charset val="136"/>
    </font>
    <font>
      <b val="true"/>
      <sz val="10"/>
      <color rgb="FF800000"/>
      <name val="Times New Roman"/>
      <family val="1"/>
    </font>
    <font>
      <b val="true"/>
      <i val="true"/>
      <sz val="10"/>
      <color rgb="FF800000"/>
      <name val="Times New Roman"/>
      <family val="1"/>
    </font>
    <font>
      <b val="true"/>
      <sz val="10"/>
      <color rgb="FF800000"/>
      <name val="Symbol"/>
      <family val="1"/>
      <charset val="2"/>
    </font>
    <font>
      <i val="true"/>
      <sz val="10"/>
      <color rgb="FF993300"/>
      <name val="Times New Roman"/>
      <family val="1"/>
    </font>
    <font>
      <sz val="10"/>
      <color rgb="FF993300"/>
      <name val="Times New Roman"/>
      <family val="1"/>
    </font>
    <font>
      <sz val="10"/>
      <color rgb="FF800000"/>
      <name val="Times New Roman"/>
      <family val="1"/>
    </font>
    <font>
      <sz val="10"/>
      <name val="Symbol"/>
      <family val="1"/>
      <charset val="2"/>
    </font>
    <font>
      <u val="single"/>
      <sz val="10"/>
      <name val="Arial"/>
      <family val="2"/>
    </font>
    <font>
      <b val="true"/>
      <i val="true"/>
      <sz val="12"/>
      <color rgb="FF9999FF"/>
      <name val="Times New Roman"/>
      <family val="1"/>
      <charset val="136"/>
    </font>
    <font>
      <b val="true"/>
      <sz val="10"/>
      <color rgb="FF800000"/>
      <name val="Times New Roman"/>
      <family val="1"/>
      <charset val="136"/>
    </font>
    <font>
      <b val="true"/>
      <i val="true"/>
      <sz val="10"/>
      <color rgb="FF800000"/>
      <name val="Times New Roman"/>
      <family val="1"/>
      <charset val="136"/>
    </font>
    <font>
      <i val="true"/>
      <sz val="10"/>
      <color rgb="FF993300"/>
      <name val="Times New Roman"/>
      <family val="1"/>
      <charset val="136"/>
    </font>
    <font>
      <sz val="10"/>
      <color rgb="FF800000"/>
      <name val="Times New Roman"/>
      <family val="1"/>
      <charset val="136"/>
    </font>
    <font>
      <b val="true"/>
      <u val="single"/>
      <sz val="10"/>
      <name val="Tahoma"/>
      <family val="2"/>
    </font>
    <font>
      <u val="single"/>
      <sz val="10"/>
      <name val="Tahoma"/>
      <family val="2"/>
      <charset val="136"/>
    </font>
    <font>
      <i val="true"/>
      <u val="single"/>
      <sz val="10"/>
      <name val="Tahoma"/>
      <family val="2"/>
      <charset val="136"/>
    </font>
    <font>
      <i val="true"/>
      <sz val="10"/>
      <name val="Tahoma"/>
      <family val="2"/>
      <charset val="136"/>
    </font>
    <font>
      <sz val="10"/>
      <color rgb="FFFF0000"/>
      <name val="Times New Roman"/>
      <family val="1"/>
      <charset val="136"/>
    </font>
    <font>
      <vertAlign val="superscript"/>
      <sz val="10"/>
      <name val="Tahoma"/>
      <family val="2"/>
      <charset val="136"/>
    </font>
    <font>
      <vertAlign val="superscript"/>
      <sz val="10"/>
      <name val="Tahoma"/>
      <family val="2"/>
    </font>
    <font>
      <i val="true"/>
      <u val="single"/>
      <sz val="10"/>
      <name val="Tahoma"/>
      <family val="2"/>
    </font>
    <font>
      <sz val="10"/>
      <color rgb="FF993300"/>
      <name val="Times New Roman"/>
      <family val="1"/>
      <charset val="136"/>
    </font>
    <font>
      <b val="true"/>
      <vertAlign val="superscript"/>
      <sz val="10"/>
      <name val="Times New Roman"/>
      <family val="1"/>
      <charset val="136"/>
    </font>
    <font>
      <b val="true"/>
      <i val="true"/>
      <sz val="10"/>
      <name val="Times New Roman"/>
      <family val="1"/>
      <charset val="136"/>
    </font>
    <font>
      <b val="true"/>
      <sz val="10"/>
      <color rgb="FF800000"/>
      <name val="Tahoma"/>
      <family val="2"/>
      <charset val="136"/>
    </font>
    <font>
      <b val="true"/>
      <i val="true"/>
      <vertAlign val="subscript"/>
      <sz val="10"/>
      <color rgb="FF800000"/>
      <name val="Tahoma"/>
      <family val="2"/>
      <charset val="136"/>
    </font>
    <font>
      <sz val="10"/>
      <color rgb="FF333399"/>
      <name val="Arial"/>
      <family val="2"/>
      <charset val="136"/>
    </font>
    <font>
      <b val="true"/>
      <vertAlign val="superscript"/>
      <sz val="10"/>
      <color rgb="FF800000"/>
      <name val="Times New Roman"/>
      <family val="1"/>
      <charset val="136"/>
    </font>
    <font>
      <b val="true"/>
      <sz val="10"/>
      <name val="Arial"/>
      <family val="2"/>
    </font>
    <font>
      <i val="true"/>
      <vertAlign val="subscript"/>
      <sz val="10"/>
      <color rgb="FF800000"/>
      <name val="Tahoma"/>
      <family val="2"/>
    </font>
    <font>
      <vertAlign val="subscript"/>
      <sz val="10"/>
      <color rgb="FF800000"/>
      <name val="Tahoma"/>
      <family val="2"/>
    </font>
    <font>
      <sz val="10"/>
      <name val="Bookman"/>
      <family val="1"/>
      <charset val="136"/>
    </font>
    <font>
      <vertAlign val="superscript"/>
      <sz val="10"/>
      <color rgb="FF800000"/>
      <name val="Tahoma"/>
      <family val="2"/>
    </font>
    <font>
      <vertAlign val="superscript"/>
      <sz val="10"/>
      <color rgb="FF800000"/>
      <name val="Tahoma"/>
      <family val="2"/>
      <charset val="136"/>
    </font>
    <font>
      <i val="true"/>
      <vertAlign val="subscript"/>
      <sz val="10"/>
      <color rgb="FF800000"/>
      <name val="Tahoma"/>
      <family val="2"/>
      <charset val="136"/>
    </font>
    <font>
      <i val="true"/>
      <vertAlign val="superscript"/>
      <sz val="10"/>
      <color rgb="FF800000"/>
      <name val="Tahoma"/>
      <family val="2"/>
      <charset val="136"/>
    </font>
    <font>
      <vertAlign val="subscript"/>
      <sz val="10"/>
      <color rgb="FF800000"/>
      <name val="Tahoma"/>
      <family val="2"/>
      <charset val="136"/>
    </font>
    <font>
      <b val="true"/>
      <sz val="10"/>
      <color rgb="FF9933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8080"/>
        <bgColor rgb="FFFF99CC"/>
      </patternFill>
    </fill>
    <fill>
      <patternFill patternType="solid">
        <fgColor rgb="FF99BFBF"/>
        <bgColor rgb="FF99CCFF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CC99"/>
        <bgColor rgb="FFFFFF99"/>
      </patternFill>
    </fill>
  </fills>
  <borders count="86">
    <border diagonalUp="false" diagonalDown="false">
      <left/>
      <right/>
      <top/>
      <bottom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 style="double"/>
      <top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/>
      <right style="double"/>
      <top style="thin"/>
      <bottom style="double"/>
      <diagonal/>
    </border>
    <border diagonalUp="false" diagonalDown="false">
      <left style="double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thin"/>
      <right style="double"/>
      <top style="double"/>
      <bottom/>
      <diagonal/>
    </border>
    <border diagonalUp="false" diagonalDown="false">
      <left style="double"/>
      <right style="thin"/>
      <top style="double"/>
      <bottom/>
      <diagonal/>
    </border>
    <border diagonalUp="false" diagonalDown="false">
      <left style="thin"/>
      <right style="thin"/>
      <top style="double"/>
      <bottom/>
      <diagonal/>
    </border>
    <border diagonalUp="false" diagonalDown="false">
      <left style="thin"/>
      <right style="double"/>
      <top/>
      <bottom/>
      <diagonal/>
    </border>
    <border diagonalUp="false" diagonalDown="false">
      <left style="double"/>
      <right style="thin"/>
      <top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 style="thin"/>
      <right style="hair"/>
      <top style="hair"/>
      <bottom style="double"/>
      <diagonal/>
    </border>
    <border diagonalUp="false" diagonalDown="false">
      <left/>
      <right style="thin"/>
      <top style="hair"/>
      <bottom style="double"/>
      <diagonal/>
    </border>
    <border diagonalUp="false" diagonalDown="false">
      <left style="hair"/>
      <right style="hair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double"/>
      <right style="thin"/>
      <top/>
      <bottom style="double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/>
      <right style="thin"/>
      <top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double"/>
      <right style="double"/>
      <top style="double"/>
      <bottom style="thin"/>
      <diagonal/>
    </border>
    <border diagonalUp="false" diagonalDown="false">
      <left style="double"/>
      <right style="hair"/>
      <top style="double"/>
      <bottom style="thin"/>
      <diagonal/>
    </border>
    <border diagonalUp="false" diagonalDown="false">
      <left style="hair"/>
      <right style="hair"/>
      <top style="double"/>
      <bottom style="thin"/>
      <diagonal/>
    </border>
    <border diagonalUp="false" diagonalDown="false">
      <left/>
      <right style="double"/>
      <top style="double"/>
      <bottom style="thin"/>
      <diagonal/>
    </border>
    <border diagonalUp="false" diagonalDown="false">
      <left style="double"/>
      <right style="hair"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double"/>
      <right style="hair"/>
      <top/>
      <bottom style="double"/>
      <diagonal/>
    </border>
    <border diagonalUp="false" diagonalDown="false">
      <left style="hair"/>
      <right style="hair"/>
      <top/>
      <bottom style="double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 style="thin"/>
      <right style="double"/>
      <top style="double"/>
      <bottom style="double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/>
      <right style="thin"/>
      <top style="double"/>
      <bottom style="double"/>
      <diagonal/>
    </border>
    <border diagonalUp="false" diagonalDown="false">
      <left style="thin"/>
      <right style="double"/>
      <top style="double"/>
      <bottom style="hair"/>
      <diagonal/>
    </border>
    <border diagonalUp="false" diagonalDown="false">
      <left/>
      <right style="thin"/>
      <top style="double"/>
      <bottom style="hair"/>
      <diagonal/>
    </border>
    <border diagonalUp="false" diagonalDown="false">
      <left style="thin"/>
      <right style="double"/>
      <top style="hair"/>
      <bottom style="double"/>
      <diagonal/>
    </border>
    <border diagonalUp="false" diagonalDown="false">
      <left style="thin"/>
      <right style="double"/>
      <top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double"/>
      <right style="double"/>
      <top style="thin"/>
      <bottom style="hair"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 style="thin"/>
      <right style="thin"/>
      <top style="hair"/>
      <bottom style="double"/>
      <diagonal/>
    </border>
    <border diagonalUp="false" diagonalDown="false">
      <left/>
      <right style="thin"/>
      <top style="double"/>
      <bottom/>
      <diagonal/>
    </border>
    <border diagonalUp="false" diagonalDown="false">
      <left/>
      <right style="double"/>
      <top/>
      <bottom style="thin"/>
      <diagonal/>
    </border>
    <border diagonalUp="false" diagonalDown="false">
      <left style="hair"/>
      <right style="double"/>
      <top style="hair"/>
      <bottom style="double"/>
      <diagonal/>
    </border>
    <border diagonalUp="false" diagonalDown="false">
      <left style="double"/>
      <right style="thin"/>
      <top style="hair"/>
      <bottom style="double"/>
      <diagonal/>
    </border>
    <border diagonalUp="false" diagonalDown="false">
      <left style="hair"/>
      <right style="thin"/>
      <top/>
      <bottom/>
      <diagonal/>
    </border>
    <border diagonalUp="false" diagonalDown="false">
      <left/>
      <right/>
      <top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81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</cellStyleXfs>
  <cellXfs count="7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7" fillId="3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7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7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6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30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7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2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30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9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9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9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0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1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4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9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9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9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3" fillId="4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3" fillId="4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7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4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0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7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4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27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7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7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1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1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27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0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27" fillId="2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2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3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2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3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3" fillId="4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2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8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1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7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5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25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7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7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6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7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2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2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9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9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3" fillId="4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3" fillId="4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9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8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3" fillId="0" borderId="3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3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8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1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6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2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2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43" fillId="0" borderId="4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3" fillId="5" borderId="4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3" fillId="5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43" fillId="0" borderId="1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3" fillId="0" borderId="4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3" fillId="5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3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3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5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43" fillId="6" borderId="50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2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43" fillId="6" borderId="14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43" fillId="6" borderId="51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3" fillId="6" borderId="2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7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6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6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6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3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3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3" fillId="5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3" fillId="0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43" fillId="0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3" fillId="5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3" fillId="6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43" fillId="5" borderId="2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43" fillId="6" borderId="2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43" fillId="6" borderId="2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8" fillId="2" borderId="2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43" fillId="5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3" fillId="0" borderId="5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3" fillId="5" borderId="5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3" fillId="5" borderId="3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43" fillId="0" borderId="52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43" fillId="0" borderId="5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5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3" fillId="6" borderId="37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6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6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6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3" fillId="6" borderId="3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43" fillId="5" borderId="37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43" fillId="6" borderId="37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43" fillId="6" borderId="37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8" fillId="2" borderId="3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43" fillId="5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7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7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5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1" fillId="8" borderId="5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1" fillId="8" borderId="6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1" fillId="8" borderId="6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1" fillId="8" borderId="6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1" fillId="8" borderId="6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1" fillId="8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1" fillId="8" borderId="6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1" fillId="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1" fillId="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1" fillId="8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1" fillId="8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1" fillId="8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1" fillId="8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5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7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7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7" fillId="2" borderId="6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2" borderId="6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8" fillId="2" borderId="6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9" fillId="2" borderId="6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2" borderId="6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2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2" borderId="6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1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3" fillId="8" borderId="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81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2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3" fillId="8" borderId="3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81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2" fillId="0" borderId="6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2" fillId="0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2" fillId="0" borderId="6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3" fillId="8" borderId="6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3" fillId="0" borderId="6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6" fillId="2" borderId="6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2" borderId="7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2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7" fillId="2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6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2" borderId="7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7" fillId="2" borderId="2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8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9" fillId="5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9" fillId="8" borderId="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89" fillId="5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8" fillId="2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9" fillId="5" borderId="7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9" fillId="8" borderId="3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7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2" borderId="7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2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2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2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2" borderId="7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6" fillId="2" borderId="4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6" fillId="2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2" borderId="7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2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2" borderId="7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2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2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7" fillId="2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7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9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2" borderId="7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2" borderId="3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6" fillId="2" borderId="2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9" fillId="2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2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6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3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0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73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3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73" fillId="5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73" fillId="5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73" fillId="5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73" fillId="8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73" fillId="8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3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3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3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3" fillId="5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3" fillId="5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3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3" fillId="5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3" fillId="8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3" fillId="8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3" fillId="8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3" fillId="0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3" fillId="5" borderId="2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3" fillId="5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3" fillId="5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3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3" fillId="5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3" fillId="5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3" fillId="5" borderId="8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3" fillId="5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3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3" fillId="8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3" fillId="8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3" fillId="0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73" fillId="0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4" fillId="8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3" fillId="8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3" fillId="5" borderId="2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3" fillId="5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3" fillId="5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3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3" fillId="5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3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3" fillId="5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3" fillId="5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2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3" fontId="39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2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0" fillId="2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73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3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3" fillId="5" borderId="3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3" fillId="5" borderId="3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3" fillId="5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3" fillId="8" borderId="3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3" fillId="5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3" fillId="8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73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3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3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3" fillId="0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73" fillId="0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3" fillId="5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3" fillId="5" borderId="8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4" fillId="8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3" fillId="8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3" fillId="0" borderId="3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3" fillId="5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3" fillId="5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3" fillId="5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3" fillId="5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3" fillId="5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3" fillId="5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3" fillId="5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3" fillId="5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3" fillId="5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3" fillId="5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3" fillId="5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6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2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8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5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7" fillId="5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7" fillId="8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7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6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6" fillId="2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6" fillId="2" borderId="7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84" fontId="73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3" fillId="5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3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3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3" fillId="5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3" fillId="5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73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3" fillId="5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8" fillId="2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5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7" fillId="5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7" fillId="8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73" fillId="5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73" fillId="5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3" fillId="5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3" fillId="5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3" fillId="5" borderId="3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3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7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7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7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7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7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2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2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7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7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0" fillId="2" borderId="7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0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2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0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5" borderId="2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5" borderId="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5" borderId="2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5" borderId="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8" borderId="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7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2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8" borderId="2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5" borderId="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8" borderId="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0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5" borderId="2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8" borderId="2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8" borderId="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0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30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2" fillId="2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5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5" borderId="3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5" borderId="3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5" borderId="3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5" borderId="3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8" borderId="3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3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8" borderId="3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5" borderId="3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8" borderId="3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5" fillId="7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7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7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8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5" fillId="7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7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1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6" fillId="2" borderId="7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6" fillId="2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2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2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6" fillId="2" borderId="7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7" fillId="0" borderId="2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7" fillId="0" borderId="8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5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5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8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39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7" fillId="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7" fillId="0" borderId="1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9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9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9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3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5" fillId="2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5" borderId="3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7" fillId="0" borderId="3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7" fillId="0" borderId="3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5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8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7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7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6" fillId="7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2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86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78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2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2" borderId="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2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7" fillId="5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7" fillId="5" borderId="2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7" fillId="5" borderId="8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5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8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7" fillId="5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5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5" borderId="1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3" fillId="5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3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9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3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39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39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9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7" fillId="5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5" borderId="3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5" borderId="3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3" fillId="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3" fillId="5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9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14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9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8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7" fillId="8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7" fillId="8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8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39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39" fillId="2" borderId="8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9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9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39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39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8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8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0" xfId="20"/>
    <cellStyle name="Fixed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9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476640</xdr:colOff>
      <xdr:row>1</xdr:row>
      <xdr:rowOff>0</xdr:rowOff>
    </xdr:from>
    <xdr:to>
      <xdr:col>4</xdr:col>
      <xdr:colOff>95400</xdr:colOff>
      <xdr:row>1</xdr:row>
      <xdr:rowOff>221040</xdr:rowOff>
    </xdr:to>
    <xdr:sp>
      <xdr:nvSpPr>
        <xdr:cNvPr id="1" name="Oval 1"/>
        <xdr:cNvSpPr/>
      </xdr:nvSpPr>
      <xdr:spPr>
        <a:xfrm>
          <a:off x="7351920" y="175320"/>
          <a:ext cx="603360" cy="22104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17</xdr:row>
      <xdr:rowOff>182520</xdr:rowOff>
    </xdr:from>
    <xdr:to>
      <xdr:col>0</xdr:col>
      <xdr:colOff>6480</xdr:colOff>
      <xdr:row>18</xdr:row>
      <xdr:rowOff>174960</xdr:rowOff>
    </xdr:to>
    <xdr:sp>
      <xdr:nvSpPr>
        <xdr:cNvPr id="2" name="Oval 2"/>
        <xdr:cNvSpPr/>
      </xdr:nvSpPr>
      <xdr:spPr>
        <a:xfrm>
          <a:off x="0" y="3590640"/>
          <a:ext cx="6480" cy="19044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17</xdr:row>
      <xdr:rowOff>182520</xdr:rowOff>
    </xdr:from>
    <xdr:to>
      <xdr:col>0</xdr:col>
      <xdr:colOff>6480</xdr:colOff>
      <xdr:row>18</xdr:row>
      <xdr:rowOff>174960</xdr:rowOff>
    </xdr:to>
    <xdr:sp>
      <xdr:nvSpPr>
        <xdr:cNvPr id="3" name="Oval 3"/>
        <xdr:cNvSpPr/>
      </xdr:nvSpPr>
      <xdr:spPr>
        <a:xfrm>
          <a:off x="0" y="3590640"/>
          <a:ext cx="6480" cy="19044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351720</xdr:colOff>
      <xdr:row>0</xdr:row>
      <xdr:rowOff>167760</xdr:rowOff>
    </xdr:from>
    <xdr:to>
      <xdr:col>13</xdr:col>
      <xdr:colOff>78840</xdr:colOff>
      <xdr:row>1</xdr:row>
      <xdr:rowOff>190800</xdr:rowOff>
    </xdr:to>
    <xdr:sp>
      <xdr:nvSpPr>
        <xdr:cNvPr id="4" name="Oval 4"/>
        <xdr:cNvSpPr/>
      </xdr:nvSpPr>
      <xdr:spPr>
        <a:xfrm>
          <a:off x="13755240" y="167760"/>
          <a:ext cx="641520" cy="19836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312120</xdr:colOff>
      <xdr:row>0</xdr:row>
      <xdr:rowOff>160200</xdr:rowOff>
    </xdr:from>
    <xdr:to>
      <xdr:col>22</xdr:col>
      <xdr:colOff>47520</xdr:colOff>
      <xdr:row>1</xdr:row>
      <xdr:rowOff>221040</xdr:rowOff>
    </xdr:to>
    <xdr:sp>
      <xdr:nvSpPr>
        <xdr:cNvPr id="5" name="Oval 5"/>
        <xdr:cNvSpPr/>
      </xdr:nvSpPr>
      <xdr:spPr>
        <a:xfrm>
          <a:off x="19754640" y="160200"/>
          <a:ext cx="556200" cy="23616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0</xdr:colOff>
      <xdr:row>0</xdr:row>
      <xdr:rowOff>160200</xdr:rowOff>
    </xdr:from>
    <xdr:to>
      <xdr:col>31</xdr:col>
      <xdr:colOff>658080</xdr:colOff>
      <xdr:row>1</xdr:row>
      <xdr:rowOff>221040</xdr:rowOff>
    </xdr:to>
    <xdr:sp>
      <xdr:nvSpPr>
        <xdr:cNvPr id="6" name="Oval 7"/>
        <xdr:cNvSpPr/>
      </xdr:nvSpPr>
      <xdr:spPr>
        <a:xfrm>
          <a:off x="26256600" y="160200"/>
          <a:ext cx="658080" cy="23616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0</xdr:colOff>
      <xdr:row>0</xdr:row>
      <xdr:rowOff>160200</xdr:rowOff>
    </xdr:from>
    <xdr:to>
      <xdr:col>41</xdr:col>
      <xdr:colOff>48240</xdr:colOff>
      <xdr:row>1</xdr:row>
      <xdr:rowOff>221040</xdr:rowOff>
    </xdr:to>
    <xdr:sp>
      <xdr:nvSpPr>
        <xdr:cNvPr id="7" name="Oval 8"/>
        <xdr:cNvSpPr/>
      </xdr:nvSpPr>
      <xdr:spPr>
        <a:xfrm>
          <a:off x="32789520" y="160200"/>
          <a:ext cx="572040" cy="23616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49</xdr:col>
      <xdr:colOff>0</xdr:colOff>
      <xdr:row>0</xdr:row>
      <xdr:rowOff>160200</xdr:rowOff>
    </xdr:from>
    <xdr:to>
      <xdr:col>50</xdr:col>
      <xdr:colOff>48240</xdr:colOff>
      <xdr:row>1</xdr:row>
      <xdr:rowOff>221040</xdr:rowOff>
    </xdr:to>
    <xdr:sp>
      <xdr:nvSpPr>
        <xdr:cNvPr id="8" name="Oval 10"/>
        <xdr:cNvSpPr/>
      </xdr:nvSpPr>
      <xdr:spPr>
        <a:xfrm>
          <a:off x="38867040" y="160200"/>
          <a:ext cx="478080" cy="23616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191160</xdr:colOff>
      <xdr:row>1</xdr:row>
      <xdr:rowOff>0</xdr:rowOff>
    </xdr:from>
    <xdr:to>
      <xdr:col>0</xdr:col>
      <xdr:colOff>770760</xdr:colOff>
      <xdr:row>1</xdr:row>
      <xdr:rowOff>213120</xdr:rowOff>
    </xdr:to>
    <xdr:sp>
      <xdr:nvSpPr>
        <xdr:cNvPr id="9" name="Oval 12"/>
        <xdr:cNvSpPr/>
      </xdr:nvSpPr>
      <xdr:spPr>
        <a:xfrm>
          <a:off x="191160" y="175320"/>
          <a:ext cx="579600" cy="213120"/>
        </a:xfrm>
        <a:prstGeom prst="ellipse">
          <a:avLst/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31680</xdr:colOff>
      <xdr:row>1</xdr:row>
      <xdr:rowOff>7560</xdr:rowOff>
    </xdr:from>
    <xdr:to>
      <xdr:col>3</xdr:col>
      <xdr:colOff>40320</xdr:colOff>
      <xdr:row>1</xdr:row>
      <xdr:rowOff>221040</xdr:rowOff>
    </xdr:to>
    <xdr:sp>
      <xdr:nvSpPr>
        <xdr:cNvPr id="10" name="Oval 1"/>
        <xdr:cNvSpPr/>
      </xdr:nvSpPr>
      <xdr:spPr>
        <a:xfrm>
          <a:off x="1080000" y="182880"/>
          <a:ext cx="646920" cy="21348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29</xdr:col>
      <xdr:colOff>0</xdr:colOff>
      <xdr:row>1</xdr:row>
      <xdr:rowOff>0</xdr:rowOff>
    </xdr:from>
    <xdr:to>
      <xdr:col>30</xdr:col>
      <xdr:colOff>71640</xdr:colOff>
      <xdr:row>2</xdr:row>
      <xdr:rowOff>7560</xdr:rowOff>
    </xdr:to>
    <xdr:sp>
      <xdr:nvSpPr>
        <xdr:cNvPr id="11" name="Oval 7"/>
        <xdr:cNvSpPr/>
      </xdr:nvSpPr>
      <xdr:spPr>
        <a:xfrm>
          <a:off x="19424160" y="175320"/>
          <a:ext cx="709560" cy="22860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0</xdr:colOff>
      <xdr:row>1</xdr:row>
      <xdr:rowOff>7560</xdr:rowOff>
    </xdr:from>
    <xdr:to>
      <xdr:col>12</xdr:col>
      <xdr:colOff>47520</xdr:colOff>
      <xdr:row>1</xdr:row>
      <xdr:rowOff>221040</xdr:rowOff>
    </xdr:to>
    <xdr:sp>
      <xdr:nvSpPr>
        <xdr:cNvPr id="12" name="Oval 9"/>
        <xdr:cNvSpPr/>
      </xdr:nvSpPr>
      <xdr:spPr>
        <a:xfrm>
          <a:off x="7238520" y="182880"/>
          <a:ext cx="685440" cy="21348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48</xdr:col>
      <xdr:colOff>0</xdr:colOff>
      <xdr:row>0</xdr:row>
      <xdr:rowOff>167760</xdr:rowOff>
    </xdr:from>
    <xdr:to>
      <xdr:col>49</xdr:col>
      <xdr:colOff>109800</xdr:colOff>
      <xdr:row>1</xdr:row>
      <xdr:rowOff>221040</xdr:rowOff>
    </xdr:to>
    <xdr:sp>
      <xdr:nvSpPr>
        <xdr:cNvPr id="13" name="Oval 10"/>
        <xdr:cNvSpPr/>
      </xdr:nvSpPr>
      <xdr:spPr>
        <a:xfrm>
          <a:off x="32067000" y="167760"/>
          <a:ext cx="523800" cy="22860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56</xdr:col>
      <xdr:colOff>226440</xdr:colOff>
      <xdr:row>1</xdr:row>
      <xdr:rowOff>7560</xdr:rowOff>
    </xdr:from>
    <xdr:to>
      <xdr:col>58</xdr:col>
      <xdr:colOff>78480</xdr:colOff>
      <xdr:row>1</xdr:row>
      <xdr:rowOff>221040</xdr:rowOff>
    </xdr:to>
    <xdr:sp>
      <xdr:nvSpPr>
        <xdr:cNvPr id="14" name="Oval 12"/>
        <xdr:cNvSpPr/>
      </xdr:nvSpPr>
      <xdr:spPr>
        <a:xfrm>
          <a:off x="38301120" y="182880"/>
          <a:ext cx="508680" cy="21348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70</xdr:col>
      <xdr:colOff>0</xdr:colOff>
      <xdr:row>0</xdr:row>
      <xdr:rowOff>167760</xdr:rowOff>
    </xdr:from>
    <xdr:to>
      <xdr:col>70</xdr:col>
      <xdr:colOff>637920</xdr:colOff>
      <xdr:row>1</xdr:row>
      <xdr:rowOff>221040</xdr:rowOff>
    </xdr:to>
    <xdr:sp>
      <xdr:nvSpPr>
        <xdr:cNvPr id="15" name="Oval 13"/>
        <xdr:cNvSpPr/>
      </xdr:nvSpPr>
      <xdr:spPr>
        <a:xfrm>
          <a:off x="44892720" y="167760"/>
          <a:ext cx="637920" cy="22860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477000</xdr:colOff>
      <xdr:row>0</xdr:row>
      <xdr:rowOff>152640</xdr:rowOff>
    </xdr:from>
    <xdr:to>
      <xdr:col>21</xdr:col>
      <xdr:colOff>47880</xdr:colOff>
      <xdr:row>1</xdr:row>
      <xdr:rowOff>213120</xdr:rowOff>
    </xdr:to>
    <xdr:sp>
      <xdr:nvSpPr>
        <xdr:cNvPr id="16" name="Oval 15"/>
        <xdr:cNvSpPr/>
      </xdr:nvSpPr>
      <xdr:spPr>
        <a:xfrm>
          <a:off x="13352760" y="152640"/>
          <a:ext cx="681480" cy="23580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38</xdr:col>
      <xdr:colOff>0</xdr:colOff>
      <xdr:row>1</xdr:row>
      <xdr:rowOff>0</xdr:rowOff>
    </xdr:from>
    <xdr:to>
      <xdr:col>38</xdr:col>
      <xdr:colOff>445680</xdr:colOff>
      <xdr:row>2</xdr:row>
      <xdr:rowOff>7560</xdr:rowOff>
    </xdr:to>
    <xdr:sp>
      <xdr:nvSpPr>
        <xdr:cNvPr id="17" name="Oval 16"/>
        <xdr:cNvSpPr/>
      </xdr:nvSpPr>
      <xdr:spPr>
        <a:xfrm>
          <a:off x="25581600" y="175320"/>
          <a:ext cx="445680" cy="22860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1" width="92.55"/>
    <col collapsed="false" customWidth="true" hidden="false" outlineLevel="0" max="2" min="2" style="2" width="4.99"/>
    <col collapsed="false" customWidth="true" hidden="false" outlineLevel="0" max="3" min="3" style="0" width="7.1"/>
    <col collapsed="false" customWidth="true" hidden="false" outlineLevel="0" max="4" min="4" style="0" width="6.87"/>
    <col collapsed="false" customWidth="true" hidden="false" outlineLevel="0" max="5" min="5" style="0" width="16.88"/>
    <col collapsed="false" customWidth="true" hidden="false" outlineLevel="0" max="7" min="6" style="0" width="15.87"/>
    <col collapsed="false" customWidth="true" hidden="false" outlineLevel="0" max="9" min="9" style="0" width="7.55"/>
    <col collapsed="false" customWidth="true" hidden="false" outlineLevel="0" max="10" min="10" style="0" width="6.1"/>
    <col collapsed="false" customWidth="true" hidden="false" outlineLevel="0" max="11" min="11" style="0" width="7.32"/>
    <col collapsed="false" customWidth="true" hidden="false" outlineLevel="0" max="12" min="12" style="0" width="6.1"/>
    <col collapsed="false" customWidth="true" hidden="false" outlineLevel="0" max="13" min="13" style="0" width="6.87"/>
    <col collapsed="false" customWidth="true" hidden="false" outlineLevel="0" max="14" min="14" style="0" width="11.55"/>
    <col collapsed="false" customWidth="true" hidden="false" outlineLevel="0" max="15" min="15" style="0" width="11.1"/>
    <col collapsed="false" customWidth="true" hidden="false" outlineLevel="0" max="16" min="16" style="0" width="21.88"/>
    <col collapsed="false" customWidth="true" hidden="false" outlineLevel="0" max="17" min="17" style="0" width="9.43"/>
    <col collapsed="false" customWidth="true" hidden="false" outlineLevel="0" max="18" min="18" style="0" width="8.1"/>
    <col collapsed="false" customWidth="true" hidden="false" outlineLevel="0" max="19" min="19" style="0" width="7.32"/>
    <col collapsed="false" customWidth="true" hidden="false" outlineLevel="0" max="20" min="20" style="0" width="3.32"/>
    <col collapsed="false" customWidth="true" hidden="false" outlineLevel="0" max="21" min="21" style="0" width="5.1"/>
    <col collapsed="false" customWidth="true" hidden="false" outlineLevel="0" max="22" min="22" style="0" width="6.55"/>
    <col collapsed="false" customWidth="true" hidden="false" outlineLevel="0" max="23" min="23" style="0" width="12.55"/>
    <col collapsed="false" customWidth="true" hidden="false" outlineLevel="0" max="24" min="24" style="0" width="17.32"/>
    <col collapsed="false" customWidth="true" hidden="false" outlineLevel="0" max="25" min="25" style="0" width="6.55"/>
    <col collapsed="false" customWidth="true" hidden="false" outlineLevel="0" max="26" min="26" style="0" width="21.88"/>
    <col collapsed="false" customWidth="true" hidden="false" outlineLevel="0" max="27" min="27" style="0" width="8.99"/>
    <col collapsed="false" customWidth="true" hidden="false" outlineLevel="0" max="28" min="28" style="0" width="5.1"/>
    <col collapsed="false" customWidth="true" hidden="false" outlineLevel="0" max="29" min="29" style="0" width="2.66"/>
    <col collapsed="false" customWidth="true" hidden="false" outlineLevel="0" max="30" min="30" style="0" width="3.55"/>
    <col collapsed="false" customWidth="true" hidden="false" outlineLevel="0" max="31" min="31" style="0" width="6.43"/>
    <col collapsed="false" customWidth="true" hidden="false" outlineLevel="0" max="32" min="32" style="0" width="11.66"/>
    <col collapsed="false" customWidth="true" hidden="false" outlineLevel="0" max="33" min="33" style="0" width="14.43"/>
    <col collapsed="false" customWidth="true" hidden="false" outlineLevel="0" max="34" min="34" style="0" width="14.55"/>
    <col collapsed="false" customWidth="true" hidden="false" outlineLevel="0" max="35" min="35" style="0" width="14.66"/>
    <col collapsed="false" customWidth="true" hidden="false" outlineLevel="0" max="36" min="36" style="0" width="11.55"/>
    <col collapsed="false" customWidth="true" hidden="false" outlineLevel="0" max="37" min="37" style="0" width="9.43"/>
    <col collapsed="false" customWidth="true" hidden="false" outlineLevel="0" max="38" min="38" style="0" width="3.87"/>
    <col collapsed="false" customWidth="true" hidden="false" outlineLevel="0" max="39" min="39" style="0" width="5.87"/>
    <col collapsed="false" customWidth="true" hidden="false" outlineLevel="0" max="40" min="40" style="0" width="6.66"/>
    <col collapsed="false" customWidth="true" hidden="false" outlineLevel="0" max="41" min="41" style="0" width="7.43"/>
    <col collapsed="false" customWidth="true" hidden="false" outlineLevel="0" max="42" min="42" style="0" width="15.87"/>
    <col collapsed="false" customWidth="true" hidden="false" outlineLevel="0" max="43" min="43" style="0" width="26.66"/>
    <col collapsed="false" customWidth="true" hidden="false" outlineLevel="0" max="44" min="44" style="0" width="9.87"/>
    <col collapsed="false" customWidth="true" hidden="false" outlineLevel="0" max="45" min="45" style="0" width="6.99"/>
    <col collapsed="false" customWidth="true" hidden="false" outlineLevel="0" max="46" min="46" style="0" width="5.99"/>
    <col collapsed="false" customWidth="true" hidden="false" outlineLevel="0" max="47" min="47" style="0" width="3.87"/>
    <col collapsed="false" customWidth="true" hidden="false" outlineLevel="0" max="48" min="48" style="0" width="2.88"/>
    <col collapsed="false" customWidth="true" hidden="false" outlineLevel="0" max="49" min="49" style="0" width="6.66"/>
    <col collapsed="false" customWidth="true" hidden="false" outlineLevel="0" max="50" min="50" style="0" width="6.1"/>
    <col collapsed="false" customWidth="true" hidden="false" outlineLevel="0" max="51" min="51" style="0" width="17.1"/>
    <col collapsed="false" customWidth="true" hidden="false" outlineLevel="0" max="52" min="52" style="0" width="23.66"/>
    <col collapsed="false" customWidth="true" hidden="false" outlineLevel="0" max="53" min="53" style="0" width="11.66"/>
    <col collapsed="false" customWidth="true" hidden="false" outlineLevel="0" max="54" min="54" style="0" width="4.87"/>
    <col collapsed="false" customWidth="true" hidden="false" outlineLevel="0" max="55" min="55" style="0" width="7.32"/>
    <col collapsed="false" customWidth="true" hidden="false" outlineLevel="0" max="56" min="56" style="0" width="3.99"/>
  </cols>
  <sheetData>
    <row r="1" customFormat="false" ht="13.8" hidden="false" customHeight="false" outlineLevel="0" collapsed="false">
      <c r="A1" s="3"/>
      <c r="B1" s="1"/>
      <c r="C1" s="4"/>
      <c r="D1" s="5"/>
      <c r="E1" s="5"/>
      <c r="F1" s="5"/>
      <c r="G1" s="5"/>
      <c r="H1" s="5"/>
      <c r="I1" s="6"/>
      <c r="K1" s="7"/>
      <c r="L1" s="4"/>
      <c r="M1" s="5"/>
      <c r="N1" s="5"/>
      <c r="O1" s="5"/>
      <c r="P1" s="5"/>
      <c r="Q1" s="5"/>
      <c r="R1" s="8"/>
      <c r="S1" s="7"/>
      <c r="U1" s="4"/>
      <c r="V1" s="5"/>
      <c r="W1" s="5"/>
      <c r="X1" s="5"/>
      <c r="Y1" s="5"/>
      <c r="Z1" s="5"/>
      <c r="AA1" s="5"/>
      <c r="AB1" s="6"/>
      <c r="AC1" s="9"/>
      <c r="AE1" s="10"/>
      <c r="AF1" s="11"/>
      <c r="AG1" s="11"/>
      <c r="AH1" s="11"/>
      <c r="AI1" s="11"/>
      <c r="AJ1" s="11"/>
      <c r="AK1" s="12"/>
      <c r="AN1" s="10"/>
      <c r="AO1" s="11"/>
      <c r="AP1" s="11"/>
      <c r="AQ1" s="11"/>
      <c r="AR1" s="11"/>
      <c r="AS1" s="11"/>
      <c r="AT1" s="12"/>
      <c r="AW1" s="10"/>
      <c r="AX1" s="11"/>
      <c r="AY1" s="11"/>
      <c r="AZ1" s="11"/>
      <c r="BA1" s="11"/>
      <c r="BB1" s="11"/>
      <c r="BC1" s="12"/>
    </row>
    <row r="2" customFormat="false" ht="17.4" hidden="false" customHeight="false" outlineLevel="0" collapsed="false">
      <c r="A2" s="13" t="s">
        <v>0</v>
      </c>
      <c r="C2" s="14"/>
      <c r="D2" s="15" t="s">
        <v>1</v>
      </c>
      <c r="E2" s="16"/>
      <c r="F2" s="17" t="s">
        <v>2</v>
      </c>
      <c r="G2" s="18"/>
      <c r="H2" s="19"/>
      <c r="I2" s="20"/>
      <c r="J2" s="21"/>
      <c r="K2" s="22"/>
      <c r="L2" s="14"/>
      <c r="M2" s="15" t="s">
        <v>3</v>
      </c>
      <c r="N2" s="23" t="s">
        <v>4</v>
      </c>
      <c r="O2" s="23"/>
      <c r="P2" s="23"/>
      <c r="Q2" s="23"/>
      <c r="R2" s="23"/>
      <c r="S2" s="7"/>
      <c r="U2" s="14"/>
      <c r="V2" s="15" t="s">
        <v>5</v>
      </c>
      <c r="W2" s="17" t="s">
        <v>6</v>
      </c>
      <c r="X2" s="17"/>
      <c r="Y2" s="17"/>
      <c r="Z2" s="17"/>
      <c r="AA2" s="17"/>
      <c r="AB2" s="23"/>
      <c r="AC2" s="24"/>
      <c r="AE2" s="25"/>
      <c r="AF2" s="17" t="s">
        <v>7</v>
      </c>
      <c r="AG2" s="26" t="s">
        <v>8</v>
      </c>
      <c r="AH2" s="17"/>
      <c r="AI2" s="27"/>
      <c r="AJ2" s="19"/>
      <c r="AK2" s="28"/>
      <c r="AN2" s="25"/>
      <c r="AO2" s="15" t="s">
        <v>9</v>
      </c>
      <c r="AP2" s="26" t="s">
        <v>10</v>
      </c>
      <c r="AQ2" s="17"/>
      <c r="AR2" s="27"/>
      <c r="AS2" s="19"/>
      <c r="AT2" s="28"/>
      <c r="AW2" s="27"/>
      <c r="AX2" s="15" t="s">
        <v>11</v>
      </c>
      <c r="AY2" s="26" t="s">
        <v>12</v>
      </c>
      <c r="AZ2" s="17"/>
      <c r="BA2" s="27"/>
      <c r="BB2" s="19"/>
      <c r="BC2" s="28"/>
    </row>
    <row r="3" customFormat="false" ht="17.4" hidden="false" customHeight="false" outlineLevel="0" collapsed="false">
      <c r="A3" s="13" t="s">
        <v>13</v>
      </c>
      <c r="C3" s="29" t="s">
        <v>14</v>
      </c>
      <c r="D3" s="30"/>
      <c r="E3" s="16"/>
      <c r="F3" s="31"/>
      <c r="G3" s="19"/>
      <c r="H3" s="19"/>
      <c r="I3" s="20"/>
      <c r="K3" s="7"/>
      <c r="L3" s="29" t="s">
        <v>14</v>
      </c>
      <c r="M3" s="30"/>
      <c r="N3" s="16"/>
      <c r="O3" s="31"/>
      <c r="P3" s="19"/>
      <c r="Q3" s="19"/>
      <c r="R3" s="32"/>
      <c r="S3" s="7"/>
      <c r="U3" s="29" t="s">
        <v>15</v>
      </c>
      <c r="V3" s="30"/>
      <c r="W3" s="30"/>
      <c r="X3" s="16"/>
      <c r="Y3" s="31"/>
      <c r="Z3" s="19"/>
      <c r="AA3" s="19"/>
      <c r="AB3" s="20"/>
      <c r="AC3" s="24"/>
      <c r="AE3" s="29" t="s">
        <v>16</v>
      </c>
      <c r="AF3" s="30"/>
      <c r="AG3" s="16"/>
      <c r="AH3" s="31"/>
      <c r="AI3" s="19"/>
      <c r="AJ3" s="19"/>
      <c r="AK3" s="32"/>
      <c r="AN3" s="29" t="s">
        <v>14</v>
      </c>
      <c r="AO3" s="30"/>
      <c r="AP3" s="16"/>
      <c r="AQ3" s="31"/>
      <c r="AR3" s="19"/>
      <c r="AS3" s="19"/>
      <c r="AT3" s="32"/>
      <c r="AW3" s="29" t="s">
        <v>14</v>
      </c>
      <c r="AX3" s="30"/>
      <c r="AY3" s="16"/>
      <c r="AZ3" s="31"/>
      <c r="BA3" s="19"/>
      <c r="BB3" s="19"/>
      <c r="BC3" s="32"/>
    </row>
    <row r="4" customFormat="false" ht="13.5" hidden="false" customHeight="true" outlineLevel="0" collapsed="false">
      <c r="A4" s="13" t="s">
        <v>17</v>
      </c>
      <c r="B4" s="33"/>
      <c r="C4" s="34"/>
      <c r="D4" s="35" t="s">
        <v>18</v>
      </c>
      <c r="E4" s="35"/>
      <c r="F4" s="35"/>
      <c r="G4" s="35"/>
      <c r="H4" s="35"/>
      <c r="I4" s="35"/>
      <c r="K4" s="7"/>
      <c r="L4" s="29"/>
      <c r="M4" s="35" t="s">
        <v>19</v>
      </c>
      <c r="N4" s="35"/>
      <c r="O4" s="35"/>
      <c r="P4" s="35"/>
      <c r="Q4" s="35"/>
      <c r="R4" s="35"/>
      <c r="S4" s="7"/>
      <c r="U4" s="34"/>
      <c r="V4" s="36" t="s">
        <v>20</v>
      </c>
      <c r="W4" s="36"/>
      <c r="X4" s="36"/>
      <c r="Y4" s="36"/>
      <c r="Z4" s="36"/>
      <c r="AA4" s="36"/>
      <c r="AB4" s="35"/>
      <c r="AC4" s="36"/>
      <c r="AE4" s="37"/>
      <c r="AF4" s="38" t="s">
        <v>21</v>
      </c>
      <c r="AG4" s="38"/>
      <c r="AH4" s="38"/>
      <c r="AI4" s="38"/>
      <c r="AJ4" s="38"/>
      <c r="AK4" s="38"/>
      <c r="AN4" s="29"/>
      <c r="AO4" s="35" t="s">
        <v>22</v>
      </c>
      <c r="AP4" s="35"/>
      <c r="AQ4" s="35"/>
      <c r="AR4" s="35"/>
      <c r="AS4" s="35"/>
      <c r="AT4" s="35"/>
      <c r="AW4" s="29"/>
      <c r="AX4" s="35" t="s">
        <v>23</v>
      </c>
      <c r="AY4" s="35"/>
      <c r="AZ4" s="35"/>
      <c r="BA4" s="35"/>
      <c r="BB4" s="35"/>
      <c r="BC4" s="35"/>
    </row>
    <row r="5" customFormat="false" ht="15" hidden="false" customHeight="false" outlineLevel="0" collapsed="false">
      <c r="A5" s="39"/>
      <c r="B5" s="40"/>
      <c r="C5" s="34"/>
      <c r="D5" s="41" t="s">
        <v>24</v>
      </c>
      <c r="E5" s="41"/>
      <c r="F5" s="41"/>
      <c r="G5" s="41"/>
      <c r="H5" s="41"/>
      <c r="I5" s="41"/>
      <c r="K5" s="7"/>
      <c r="L5" s="29"/>
      <c r="M5" s="42" t="s">
        <v>25</v>
      </c>
      <c r="N5" s="42"/>
      <c r="O5" s="42"/>
      <c r="P5" s="42"/>
      <c r="Q5" s="42"/>
      <c r="R5" s="42"/>
      <c r="S5" s="7"/>
      <c r="U5" s="34"/>
      <c r="V5" s="36" t="s">
        <v>26</v>
      </c>
      <c r="W5" s="43"/>
      <c r="X5" s="43"/>
      <c r="Y5" s="43"/>
      <c r="Z5" s="43"/>
      <c r="AA5" s="43"/>
      <c r="AB5" s="42"/>
      <c r="AC5" s="43"/>
      <c r="AE5" s="37"/>
      <c r="AF5" s="44" t="s">
        <v>27</v>
      </c>
      <c r="AG5" s="45"/>
      <c r="AH5" s="45"/>
      <c r="AI5" s="45"/>
      <c r="AJ5" s="45"/>
      <c r="AK5" s="38"/>
      <c r="AN5" s="37"/>
      <c r="AO5" s="38" t="s">
        <v>21</v>
      </c>
      <c r="AP5" s="38"/>
      <c r="AQ5" s="38"/>
      <c r="AR5" s="38"/>
      <c r="AS5" s="38"/>
      <c r="AT5" s="38"/>
      <c r="AW5" s="37"/>
      <c r="AX5" s="46" t="s">
        <v>28</v>
      </c>
      <c r="AY5" s="46"/>
      <c r="AZ5" s="46"/>
      <c r="BA5" s="46"/>
      <c r="BB5" s="46"/>
      <c r="BC5" s="47"/>
    </row>
    <row r="6" customFormat="false" ht="18.75" hidden="false" customHeight="true" outlineLevel="0" collapsed="false">
      <c r="A6" s="13" t="s">
        <v>29</v>
      </c>
      <c r="B6" s="48"/>
      <c r="C6" s="34"/>
      <c r="D6" s="49" t="s">
        <v>30</v>
      </c>
      <c r="E6" s="43"/>
      <c r="F6" s="43"/>
      <c r="G6" s="43"/>
      <c r="H6" s="43"/>
      <c r="I6" s="42"/>
      <c r="K6" s="7"/>
      <c r="L6" s="29"/>
      <c r="M6" s="43" t="s">
        <v>31</v>
      </c>
      <c r="N6" s="43"/>
      <c r="O6" s="43"/>
      <c r="P6" s="43"/>
      <c r="Q6" s="43"/>
      <c r="R6" s="42"/>
      <c r="S6" s="7"/>
      <c r="U6" s="34"/>
      <c r="V6" s="36" t="s">
        <v>32</v>
      </c>
      <c r="W6" s="36"/>
      <c r="X6" s="36"/>
      <c r="Y6" s="36"/>
      <c r="Z6" s="36"/>
      <c r="AA6" s="36"/>
      <c r="AB6" s="35"/>
      <c r="AC6" s="36"/>
      <c r="AE6" s="37"/>
      <c r="AF6" s="44" t="s">
        <v>33</v>
      </c>
      <c r="AG6" s="45"/>
      <c r="AH6" s="45"/>
      <c r="AI6" s="45"/>
      <c r="AJ6" s="45"/>
      <c r="AK6" s="38"/>
      <c r="AN6" s="37"/>
      <c r="AO6" s="46" t="s">
        <v>34</v>
      </c>
      <c r="AP6" s="27"/>
      <c r="AQ6" s="27"/>
      <c r="AR6" s="27"/>
      <c r="AS6" s="27"/>
      <c r="AT6" s="28"/>
      <c r="AW6" s="37"/>
      <c r="AX6" s="46" t="s">
        <v>35</v>
      </c>
      <c r="AY6" s="46"/>
      <c r="AZ6" s="46"/>
      <c r="BA6" s="46"/>
      <c r="BB6" s="46"/>
      <c r="BC6" s="47"/>
    </row>
    <row r="7" customFormat="false" ht="18" hidden="false" customHeight="true" outlineLevel="0" collapsed="false">
      <c r="A7" s="39" t="s">
        <v>36</v>
      </c>
      <c r="B7" s="48"/>
      <c r="C7" s="34"/>
      <c r="D7" s="44" t="s">
        <v>37</v>
      </c>
      <c r="E7" s="43"/>
      <c r="F7" s="43"/>
      <c r="G7" s="43"/>
      <c r="H7" s="43"/>
      <c r="I7" s="42"/>
      <c r="K7" s="7"/>
      <c r="L7" s="34"/>
      <c r="M7" s="44" t="s">
        <v>38</v>
      </c>
      <c r="N7" s="43"/>
      <c r="O7" s="43"/>
      <c r="P7" s="43"/>
      <c r="Q7" s="43"/>
      <c r="R7" s="42"/>
      <c r="S7" s="7"/>
      <c r="U7" s="34"/>
      <c r="V7" s="44" t="s">
        <v>39</v>
      </c>
      <c r="W7" s="44"/>
      <c r="X7" s="43"/>
      <c r="Y7" s="43"/>
      <c r="Z7" s="43"/>
      <c r="AA7" s="43"/>
      <c r="AB7" s="42"/>
      <c r="AC7" s="45"/>
      <c r="AE7" s="37"/>
      <c r="AF7" s="38" t="s">
        <v>40</v>
      </c>
      <c r="AG7" s="38"/>
      <c r="AH7" s="38"/>
      <c r="AI7" s="38"/>
      <c r="AJ7" s="38"/>
      <c r="AK7" s="38"/>
      <c r="AN7" s="37"/>
      <c r="AO7" s="46" t="s">
        <v>41</v>
      </c>
      <c r="AP7" s="27"/>
      <c r="AQ7" s="27"/>
      <c r="AR7" s="27"/>
      <c r="AS7" s="27"/>
      <c r="AT7" s="28"/>
      <c r="AW7" s="37"/>
      <c r="AX7" s="50" t="s">
        <v>42</v>
      </c>
      <c r="AY7" s="27"/>
      <c r="AZ7" s="27"/>
      <c r="BA7" s="27"/>
      <c r="BB7" s="27"/>
      <c r="BC7" s="28"/>
    </row>
    <row r="8" customFormat="false" ht="18" hidden="false" customHeight="true" outlineLevel="0" collapsed="false">
      <c r="A8" s="39" t="s">
        <v>43</v>
      </c>
      <c r="B8" s="48"/>
      <c r="C8" s="34"/>
      <c r="D8" s="44" t="s">
        <v>44</v>
      </c>
      <c r="E8" s="43"/>
      <c r="F8" s="43"/>
      <c r="G8" s="43"/>
      <c r="H8" s="43"/>
      <c r="I8" s="42"/>
      <c r="K8" s="7"/>
      <c r="L8" s="34"/>
      <c r="M8" s="44" t="s">
        <v>45</v>
      </c>
      <c r="N8" s="43"/>
      <c r="O8" s="43"/>
      <c r="P8" s="43"/>
      <c r="Q8" s="43"/>
      <c r="R8" s="42"/>
      <c r="S8" s="7"/>
      <c r="U8" s="37"/>
      <c r="V8" s="45" t="s">
        <v>21</v>
      </c>
      <c r="W8" s="45"/>
      <c r="X8" s="45"/>
      <c r="Y8" s="45"/>
      <c r="Z8" s="45"/>
      <c r="AA8" s="45"/>
      <c r="AB8" s="38"/>
      <c r="AC8" s="51"/>
      <c r="AE8" s="37"/>
      <c r="AF8" s="44" t="s">
        <v>46</v>
      </c>
      <c r="AG8" s="45"/>
      <c r="AH8" s="45"/>
      <c r="AI8" s="45"/>
      <c r="AJ8" s="45"/>
      <c r="AK8" s="38"/>
      <c r="AN8" s="37"/>
      <c r="AO8" s="27" t="s">
        <v>47</v>
      </c>
      <c r="AP8" s="27"/>
      <c r="AQ8" s="27"/>
      <c r="AR8" s="27"/>
      <c r="AS8" s="27"/>
      <c r="AT8" s="28"/>
      <c r="AW8" s="37"/>
      <c r="AX8" s="27" t="s">
        <v>48</v>
      </c>
      <c r="AY8" s="27"/>
      <c r="AZ8" s="27"/>
      <c r="BA8" s="27"/>
      <c r="BB8" s="27"/>
      <c r="BC8" s="28"/>
    </row>
    <row r="9" customFormat="false" ht="15" hidden="false" customHeight="false" outlineLevel="0" collapsed="false">
      <c r="A9" s="39" t="s">
        <v>49</v>
      </c>
      <c r="B9" s="48"/>
      <c r="C9" s="34"/>
      <c r="D9" s="38" t="s">
        <v>21</v>
      </c>
      <c r="E9" s="38"/>
      <c r="F9" s="38"/>
      <c r="G9" s="38"/>
      <c r="H9" s="38"/>
      <c r="I9" s="38"/>
      <c r="K9" s="7"/>
      <c r="L9" s="37"/>
      <c r="M9" s="38" t="s">
        <v>21</v>
      </c>
      <c r="N9" s="38"/>
      <c r="O9" s="38"/>
      <c r="P9" s="38"/>
      <c r="Q9" s="38"/>
      <c r="R9" s="38"/>
      <c r="S9" s="7"/>
      <c r="U9" s="34"/>
      <c r="V9" s="36" t="s">
        <v>50</v>
      </c>
      <c r="W9" s="45"/>
      <c r="X9" s="45"/>
      <c r="Y9" s="45"/>
      <c r="Z9" s="45"/>
      <c r="AA9" s="45"/>
      <c r="AB9" s="38"/>
      <c r="AC9" s="45"/>
      <c r="AE9" s="37"/>
      <c r="AF9" s="44" t="s">
        <v>51</v>
      </c>
      <c r="AG9" s="45"/>
      <c r="AH9" s="45"/>
      <c r="AI9" s="45"/>
      <c r="AJ9" s="45"/>
      <c r="AK9" s="38"/>
      <c r="AN9" s="37"/>
      <c r="AO9" s="52" t="s">
        <v>52</v>
      </c>
      <c r="AP9" s="27"/>
      <c r="AQ9" s="27"/>
      <c r="AR9" s="27"/>
      <c r="AS9" s="27"/>
      <c r="AT9" s="28"/>
      <c r="AW9" s="37"/>
      <c r="AX9" s="53"/>
      <c r="AY9" s="53"/>
      <c r="AZ9" s="53"/>
      <c r="BA9" s="53"/>
      <c r="BB9" s="53"/>
      <c r="BC9" s="54"/>
    </row>
    <row r="10" customFormat="false" ht="15" hidden="false" customHeight="false" outlineLevel="0" collapsed="false">
      <c r="A10" s="13" t="s">
        <v>53</v>
      </c>
      <c r="B10" s="55"/>
      <c r="C10" s="37"/>
      <c r="D10" s="35" t="s">
        <v>54</v>
      </c>
      <c r="E10" s="35"/>
      <c r="F10" s="35"/>
      <c r="G10" s="35"/>
      <c r="H10" s="35"/>
      <c r="I10" s="35"/>
      <c r="K10" s="7"/>
      <c r="L10" s="29"/>
      <c r="M10" s="35" t="s">
        <v>55</v>
      </c>
      <c r="N10" s="35"/>
      <c r="O10" s="35"/>
      <c r="P10" s="35"/>
      <c r="Q10" s="35"/>
      <c r="R10" s="35"/>
      <c r="S10" s="7"/>
      <c r="U10" s="37"/>
      <c r="V10" s="53" t="s">
        <v>56</v>
      </c>
      <c r="W10" s="56"/>
      <c r="X10" s="51"/>
      <c r="Y10" s="51"/>
      <c r="Z10" s="51"/>
      <c r="AA10" s="51"/>
      <c r="AB10" s="57"/>
      <c r="AC10" s="50"/>
      <c r="AE10" s="37"/>
      <c r="AF10" s="27" t="s">
        <v>57</v>
      </c>
      <c r="AG10" s="27"/>
      <c r="AH10" s="27"/>
      <c r="AI10" s="27"/>
      <c r="AJ10" s="27"/>
      <c r="AK10" s="28"/>
      <c r="AN10" s="37"/>
      <c r="AO10" s="38" t="s">
        <v>40</v>
      </c>
      <c r="AP10" s="38"/>
      <c r="AQ10" s="38"/>
      <c r="AR10" s="38"/>
      <c r="AS10" s="38"/>
      <c r="AT10" s="38"/>
      <c r="AW10" s="37"/>
      <c r="AX10" s="58" t="s">
        <v>58</v>
      </c>
      <c r="AY10" s="59"/>
      <c r="AZ10" s="59"/>
      <c r="BA10" s="59"/>
      <c r="BB10" s="60"/>
      <c r="BC10" s="28"/>
    </row>
    <row r="11" customFormat="false" ht="15" hidden="false" customHeight="false" outlineLevel="0" collapsed="false">
      <c r="A11" s="39"/>
      <c r="B11" s="55"/>
      <c r="C11" s="37"/>
      <c r="D11" s="61" t="s">
        <v>59</v>
      </c>
      <c r="E11" s="62"/>
      <c r="F11" s="62"/>
      <c r="G11" s="62"/>
      <c r="H11" s="62"/>
      <c r="I11" s="57"/>
      <c r="K11" s="7"/>
      <c r="L11" s="37"/>
      <c r="M11" s="63" t="s">
        <v>60</v>
      </c>
      <c r="N11" s="63"/>
      <c r="O11" s="63"/>
      <c r="P11" s="63"/>
      <c r="Q11" s="63"/>
      <c r="R11" s="63"/>
      <c r="S11" s="7"/>
      <c r="U11" s="37"/>
      <c r="V11" s="53" t="s">
        <v>61</v>
      </c>
      <c r="W11" s="56"/>
      <c r="X11" s="51"/>
      <c r="Y11" s="51"/>
      <c r="Z11" s="51"/>
      <c r="AA11" s="51"/>
      <c r="AB11" s="57"/>
      <c r="AC11" s="51"/>
      <c r="AE11" s="37"/>
      <c r="AF11" s="27" t="s">
        <v>62</v>
      </c>
      <c r="AG11" s="27"/>
      <c r="AH11" s="27"/>
      <c r="AI11" s="27"/>
      <c r="AJ11" s="27"/>
      <c r="AK11" s="28"/>
      <c r="AN11" s="37"/>
      <c r="AO11" s="64" t="s">
        <v>63</v>
      </c>
      <c r="AP11" s="65"/>
      <c r="AQ11" s="46"/>
      <c r="AR11" s="46"/>
      <c r="AS11" s="46"/>
      <c r="AT11" s="47"/>
      <c r="AW11" s="37"/>
      <c r="AX11" s="66"/>
      <c r="AY11" s="67"/>
      <c r="AZ11" s="67"/>
      <c r="BA11" s="67"/>
      <c r="BB11" s="68"/>
      <c r="BC11" s="28"/>
    </row>
    <row r="12" customFormat="false" ht="15" hidden="false" customHeight="false" outlineLevel="0" collapsed="false">
      <c r="A12" s="39" t="s">
        <v>64</v>
      </c>
      <c r="B12" s="55"/>
      <c r="C12" s="37"/>
      <c r="D12" s="36" t="s">
        <v>65</v>
      </c>
      <c r="E12" s="62"/>
      <c r="F12" s="62"/>
      <c r="G12" s="62"/>
      <c r="H12" s="62"/>
      <c r="I12" s="57"/>
      <c r="K12" s="7"/>
      <c r="L12" s="37"/>
      <c r="M12" s="54" t="s">
        <v>66</v>
      </c>
      <c r="N12" s="54"/>
      <c r="O12" s="54"/>
      <c r="P12" s="54"/>
      <c r="Q12" s="54"/>
      <c r="R12" s="54"/>
      <c r="S12" s="7"/>
      <c r="U12" s="37"/>
      <c r="V12" s="46" t="s">
        <v>67</v>
      </c>
      <c r="W12" s="46"/>
      <c r="X12" s="46"/>
      <c r="Y12" s="46"/>
      <c r="Z12" s="46"/>
      <c r="AA12" s="46"/>
      <c r="AB12" s="47"/>
      <c r="AC12" s="51"/>
      <c r="AE12" s="37"/>
      <c r="AF12" s="47" t="s">
        <v>68</v>
      </c>
      <c r="AG12" s="47"/>
      <c r="AH12" s="47"/>
      <c r="AI12" s="47"/>
      <c r="AJ12" s="47"/>
      <c r="AK12" s="47"/>
      <c r="AN12" s="37"/>
      <c r="AO12" s="69" t="s">
        <v>69</v>
      </c>
      <c r="AP12" s="65"/>
      <c r="AQ12" s="46"/>
      <c r="AR12" s="46"/>
      <c r="AS12" s="46"/>
      <c r="AT12" s="47"/>
      <c r="AW12" s="37"/>
      <c r="AX12" s="70" t="s">
        <v>70</v>
      </c>
      <c r="AY12" s="67"/>
      <c r="AZ12" s="67"/>
      <c r="BA12" s="71" t="n">
        <v>25</v>
      </c>
      <c r="BB12" s="68"/>
      <c r="BC12" s="28"/>
    </row>
    <row r="13" customFormat="false" ht="15" hidden="false" customHeight="false" outlineLevel="0" collapsed="false">
      <c r="A13" s="39" t="s">
        <v>71</v>
      </c>
      <c r="B13" s="40"/>
      <c r="C13" s="37"/>
      <c r="D13" s="35" t="s">
        <v>72</v>
      </c>
      <c r="E13" s="35"/>
      <c r="F13" s="35"/>
      <c r="G13" s="35"/>
      <c r="H13" s="35"/>
      <c r="I13" s="35"/>
      <c r="K13" s="7"/>
      <c r="L13" s="37"/>
      <c r="M13" s="27" t="s">
        <v>73</v>
      </c>
      <c r="N13" s="27"/>
      <c r="O13" s="27"/>
      <c r="P13" s="27"/>
      <c r="Q13" s="27"/>
      <c r="R13" s="28"/>
      <c r="S13" s="7"/>
      <c r="U13" s="37"/>
      <c r="V13" s="46" t="s">
        <v>74</v>
      </c>
      <c r="W13" s="46"/>
      <c r="X13" s="46"/>
      <c r="Y13" s="46"/>
      <c r="Z13" s="46"/>
      <c r="AA13" s="46"/>
      <c r="AB13" s="47"/>
      <c r="AC13" s="51"/>
      <c r="AE13" s="37"/>
      <c r="AF13" s="72" t="s">
        <v>75</v>
      </c>
      <c r="AG13" s="72"/>
      <c r="AH13" s="72"/>
      <c r="AI13" s="72"/>
      <c r="AJ13" s="72"/>
      <c r="AK13" s="72"/>
      <c r="AN13" s="37"/>
      <c r="AO13" s="73"/>
      <c r="AP13" s="73"/>
      <c r="AQ13" s="73"/>
      <c r="AR13" s="73"/>
      <c r="AS13" s="73"/>
      <c r="AT13" s="73"/>
      <c r="AW13" s="25"/>
      <c r="AX13" s="70" t="s">
        <v>76</v>
      </c>
      <c r="AY13" s="74"/>
      <c r="AZ13" s="74"/>
      <c r="BA13" s="75" t="n">
        <v>1.1</v>
      </c>
      <c r="BB13" s="76"/>
      <c r="BC13" s="28"/>
    </row>
    <row r="14" customFormat="false" ht="15" hidden="false" customHeight="false" outlineLevel="0" collapsed="false">
      <c r="A14" s="39" t="s">
        <v>77</v>
      </c>
      <c r="B14" s="77"/>
      <c r="C14" s="37"/>
      <c r="D14" s="35" t="s">
        <v>78</v>
      </c>
      <c r="E14" s="35"/>
      <c r="F14" s="35"/>
      <c r="G14" s="35"/>
      <c r="H14" s="35"/>
      <c r="I14" s="35"/>
      <c r="K14" s="7"/>
      <c r="L14" s="37"/>
      <c r="M14" s="27" t="s">
        <v>79</v>
      </c>
      <c r="N14" s="27"/>
      <c r="O14" s="27"/>
      <c r="P14" s="27"/>
      <c r="Q14" s="27"/>
      <c r="R14" s="28"/>
      <c r="S14" s="7"/>
      <c r="U14" s="37"/>
      <c r="V14" s="46" t="s">
        <v>80</v>
      </c>
      <c r="W14" s="46"/>
      <c r="X14" s="46"/>
      <c r="Y14" s="46"/>
      <c r="Z14" s="46"/>
      <c r="AA14" s="46"/>
      <c r="AB14" s="47"/>
      <c r="AC14" s="51"/>
      <c r="AE14" s="37"/>
      <c r="AF14" s="72" t="s">
        <v>81</v>
      </c>
      <c r="AG14" s="72"/>
      <c r="AH14" s="72"/>
      <c r="AI14" s="72"/>
      <c r="AJ14" s="72"/>
      <c r="AK14" s="72"/>
      <c r="AN14" s="37"/>
      <c r="AO14" s="78"/>
      <c r="AP14" s="59"/>
      <c r="AQ14" s="59"/>
      <c r="AR14" s="59"/>
      <c r="AS14" s="60"/>
      <c r="AT14" s="28"/>
      <c r="AW14" s="25"/>
      <c r="AX14" s="70" t="s">
        <v>82</v>
      </c>
      <c r="AY14" s="74"/>
      <c r="AZ14" s="74"/>
      <c r="BA14" s="79"/>
      <c r="BB14" s="76"/>
      <c r="BC14" s="28"/>
    </row>
    <row r="15" customFormat="false" ht="15" hidden="false" customHeight="false" outlineLevel="0" collapsed="false">
      <c r="A15" s="39" t="s">
        <v>83</v>
      </c>
      <c r="B15" s="33"/>
      <c r="C15" s="37"/>
      <c r="D15" s="36" t="s">
        <v>84</v>
      </c>
      <c r="E15" s="62"/>
      <c r="F15" s="62"/>
      <c r="G15" s="62"/>
      <c r="H15" s="62"/>
      <c r="I15" s="57"/>
      <c r="K15" s="7"/>
      <c r="L15" s="37"/>
      <c r="M15" s="27" t="s">
        <v>85</v>
      </c>
      <c r="N15" s="27"/>
      <c r="O15" s="27"/>
      <c r="P15" s="27"/>
      <c r="Q15" s="27"/>
      <c r="R15" s="28"/>
      <c r="S15" s="7"/>
      <c r="U15" s="37"/>
      <c r="V15" s="46" t="s">
        <v>86</v>
      </c>
      <c r="W15" s="46"/>
      <c r="X15" s="46"/>
      <c r="Y15" s="46"/>
      <c r="Z15" s="46"/>
      <c r="AA15" s="46"/>
      <c r="AB15" s="47"/>
      <c r="AC15" s="50"/>
      <c r="AE15" s="37"/>
      <c r="AF15" s="53"/>
      <c r="AG15" s="53"/>
      <c r="AH15" s="53"/>
      <c r="AI15" s="53"/>
      <c r="AJ15" s="53"/>
      <c r="AK15" s="54"/>
      <c r="AN15" s="37"/>
      <c r="AO15" s="80" t="s">
        <v>87</v>
      </c>
      <c r="AP15" s="81"/>
      <c r="AQ15" s="81"/>
      <c r="AR15" s="81"/>
      <c r="AS15" s="82"/>
      <c r="AT15" s="28"/>
      <c r="AW15" s="25"/>
      <c r="AX15" s="83"/>
      <c r="AY15" s="74" t="s">
        <v>88</v>
      </c>
      <c r="AZ15" s="74"/>
      <c r="BA15" s="84" t="n">
        <v>24.7</v>
      </c>
      <c r="BB15" s="76"/>
      <c r="BC15" s="28"/>
    </row>
    <row r="16" customFormat="false" ht="15" hidden="false" customHeight="true" outlineLevel="0" collapsed="false">
      <c r="A16" s="39"/>
      <c r="B16" s="48"/>
      <c r="C16" s="37"/>
      <c r="D16" s="85" t="s">
        <v>89</v>
      </c>
      <c r="E16" s="85"/>
      <c r="F16" s="85"/>
      <c r="G16" s="85"/>
      <c r="H16" s="85"/>
      <c r="I16" s="85"/>
      <c r="K16" s="7"/>
      <c r="L16" s="37"/>
      <c r="M16" s="27" t="s">
        <v>90</v>
      </c>
      <c r="N16" s="27"/>
      <c r="O16" s="27"/>
      <c r="P16" s="27"/>
      <c r="Q16" s="27"/>
      <c r="R16" s="28"/>
      <c r="S16" s="7"/>
      <c r="U16" s="21"/>
      <c r="V16" s="50"/>
      <c r="W16" s="50"/>
      <c r="X16" s="50"/>
      <c r="Y16" s="50"/>
      <c r="Z16" s="50"/>
      <c r="AA16" s="50"/>
      <c r="AB16" s="86"/>
      <c r="AC16" s="50"/>
      <c r="AE16" s="37"/>
      <c r="AF16" s="87" t="s">
        <v>91</v>
      </c>
      <c r="AG16" s="88"/>
      <c r="AH16" s="88"/>
      <c r="AI16" s="88"/>
      <c r="AJ16" s="89"/>
      <c r="AK16" s="28"/>
      <c r="AN16" s="37"/>
      <c r="AO16" s="83"/>
      <c r="AP16" s="74" t="s">
        <v>92</v>
      </c>
      <c r="AQ16" s="74"/>
      <c r="AR16" s="90" t="n">
        <v>12</v>
      </c>
      <c r="AS16" s="76"/>
      <c r="AT16" s="28"/>
      <c r="AW16" s="25"/>
      <c r="AX16" s="83"/>
      <c r="AY16" s="74" t="s">
        <v>93</v>
      </c>
      <c r="AZ16" s="74"/>
      <c r="BA16" s="84" t="n">
        <v>9.5</v>
      </c>
      <c r="BB16" s="76"/>
      <c r="BC16" s="28"/>
    </row>
    <row r="17" customFormat="false" ht="16.5" hidden="false" customHeight="true" outlineLevel="0" collapsed="false">
      <c r="A17" s="91" t="s">
        <v>94</v>
      </c>
      <c r="B17" s="77"/>
      <c r="C17" s="37"/>
      <c r="D17" s="35" t="s">
        <v>95</v>
      </c>
      <c r="E17" s="35"/>
      <c r="F17" s="35"/>
      <c r="G17" s="35"/>
      <c r="H17" s="35"/>
      <c r="I17" s="35"/>
      <c r="K17" s="7"/>
      <c r="L17" s="37"/>
      <c r="M17" s="35"/>
      <c r="N17" s="35"/>
      <c r="O17" s="35"/>
      <c r="P17" s="35"/>
      <c r="Q17" s="35"/>
      <c r="R17" s="35"/>
      <c r="S17" s="7"/>
      <c r="U17" s="21"/>
      <c r="V17" s="92" t="s">
        <v>96</v>
      </c>
      <c r="W17" s="93" t="s">
        <v>97</v>
      </c>
      <c r="X17" s="94" t="s">
        <v>98</v>
      </c>
      <c r="Y17" s="94"/>
      <c r="Z17" s="94"/>
      <c r="AA17" s="94"/>
      <c r="AB17" s="86"/>
      <c r="AC17" s="50"/>
      <c r="AE17" s="37"/>
      <c r="AF17" s="83"/>
      <c r="AG17" s="74" t="s">
        <v>99</v>
      </c>
      <c r="AH17" s="74"/>
      <c r="AI17" s="90" t="n">
        <v>7</v>
      </c>
      <c r="AJ17" s="76"/>
      <c r="AK17" s="28"/>
      <c r="AN17" s="25"/>
      <c r="AO17" s="83"/>
      <c r="AP17" s="74" t="s">
        <v>100</v>
      </c>
      <c r="AQ17" s="74"/>
      <c r="AR17" s="90" t="n">
        <v>0.2</v>
      </c>
      <c r="AS17" s="76"/>
      <c r="AT17" s="28"/>
      <c r="AW17" s="25"/>
      <c r="AX17" s="83"/>
      <c r="AY17" s="74" t="s">
        <v>101</v>
      </c>
      <c r="AZ17" s="74"/>
      <c r="BA17" s="84" t="n">
        <v>209</v>
      </c>
      <c r="BB17" s="76"/>
      <c r="BC17" s="28"/>
    </row>
    <row r="18" customFormat="false" ht="15.6" hidden="false" customHeight="true" outlineLevel="0" collapsed="false">
      <c r="A18" s="95" t="s">
        <v>102</v>
      </c>
      <c r="C18" s="37"/>
      <c r="D18" s="36" t="s">
        <v>103</v>
      </c>
      <c r="E18" s="62"/>
      <c r="F18" s="62"/>
      <c r="G18" s="62"/>
      <c r="H18" s="62"/>
      <c r="I18" s="57"/>
      <c r="K18" s="7"/>
      <c r="L18" s="37"/>
      <c r="M18" s="96" t="s">
        <v>96</v>
      </c>
      <c r="N18" s="96" t="s">
        <v>104</v>
      </c>
      <c r="O18" s="97" t="s">
        <v>105</v>
      </c>
      <c r="P18" s="97"/>
      <c r="Q18" s="97"/>
      <c r="R18" s="28"/>
      <c r="S18" s="7"/>
      <c r="U18" s="21"/>
      <c r="V18" s="92"/>
      <c r="W18" s="93"/>
      <c r="X18" s="98" t="s">
        <v>104</v>
      </c>
      <c r="Y18" s="99" t="s">
        <v>106</v>
      </c>
      <c r="Z18" s="100" t="s">
        <v>107</v>
      </c>
      <c r="AA18" s="100" t="s">
        <v>108</v>
      </c>
      <c r="AB18" s="86"/>
      <c r="AC18" s="50"/>
      <c r="AE18" s="37"/>
      <c r="AF18" s="83"/>
      <c r="AG18" s="74" t="s">
        <v>109</v>
      </c>
      <c r="AH18" s="74"/>
      <c r="AI18" s="90" t="n">
        <v>4.5</v>
      </c>
      <c r="AJ18" s="76"/>
      <c r="AK18" s="28"/>
      <c r="AN18" s="25"/>
      <c r="AO18" s="83"/>
      <c r="AP18" s="74" t="s">
        <v>110</v>
      </c>
      <c r="AQ18" s="74"/>
      <c r="AR18" s="90" t="n">
        <v>0.2</v>
      </c>
      <c r="AS18" s="76"/>
      <c r="AT18" s="28"/>
      <c r="AW18" s="25"/>
      <c r="AX18" s="70" t="s">
        <v>111</v>
      </c>
      <c r="AY18" s="74"/>
      <c r="AZ18" s="74"/>
      <c r="BA18" s="79"/>
      <c r="BB18" s="76"/>
      <c r="BC18" s="28"/>
    </row>
    <row r="19" customFormat="false" ht="15.6" hidden="false" customHeight="true" outlineLevel="0" collapsed="false">
      <c r="A19" s="95" t="s">
        <v>112</v>
      </c>
      <c r="C19" s="101"/>
      <c r="D19" s="102" t="s">
        <v>113</v>
      </c>
      <c r="E19" s="102"/>
      <c r="F19" s="102"/>
      <c r="G19" s="103"/>
      <c r="H19" s="103"/>
      <c r="I19" s="20"/>
      <c r="K19" s="7"/>
      <c r="L19" s="25"/>
      <c r="M19" s="96"/>
      <c r="N19" s="96"/>
      <c r="O19" s="104" t="s">
        <v>106</v>
      </c>
      <c r="P19" s="104" t="s">
        <v>107</v>
      </c>
      <c r="Q19" s="104" t="s">
        <v>108</v>
      </c>
      <c r="R19" s="28"/>
      <c r="S19" s="7"/>
      <c r="U19" s="21"/>
      <c r="V19" s="105" t="s">
        <v>114</v>
      </c>
      <c r="W19" s="106" t="n">
        <v>3009340</v>
      </c>
      <c r="X19" s="107" t="n">
        <v>0</v>
      </c>
      <c r="Y19" s="108"/>
      <c r="Z19" s="109" t="n">
        <v>8356</v>
      </c>
      <c r="AA19" s="109" t="n">
        <v>301760</v>
      </c>
      <c r="AB19" s="86"/>
      <c r="AC19" s="50"/>
      <c r="AE19" s="25"/>
      <c r="AF19" s="83"/>
      <c r="AG19" s="74" t="s">
        <v>115</v>
      </c>
      <c r="AH19" s="74"/>
      <c r="AI19" s="90" t="n">
        <v>2.4</v>
      </c>
      <c r="AJ19" s="76"/>
      <c r="AK19" s="28"/>
      <c r="AN19" s="25"/>
      <c r="AO19" s="83"/>
      <c r="AP19" s="74"/>
      <c r="AQ19" s="74"/>
      <c r="AR19" s="110"/>
      <c r="AS19" s="76"/>
      <c r="AT19" s="28"/>
      <c r="AW19" s="25"/>
      <c r="AX19" s="83"/>
      <c r="AY19" s="74" t="s">
        <v>88</v>
      </c>
      <c r="AZ19" s="74"/>
      <c r="BA19" s="111" t="n">
        <v>0</v>
      </c>
      <c r="BB19" s="76"/>
      <c r="BC19" s="28"/>
    </row>
    <row r="20" customFormat="false" ht="16.8" hidden="false" customHeight="false" outlineLevel="0" collapsed="false">
      <c r="A20" s="95" t="s">
        <v>116</v>
      </c>
      <c r="C20" s="101"/>
      <c r="D20" s="112" t="s">
        <v>117</v>
      </c>
      <c r="E20" s="113"/>
      <c r="F20" s="113"/>
      <c r="G20" s="114"/>
      <c r="H20" s="115"/>
      <c r="I20" s="20"/>
      <c r="K20" s="7"/>
      <c r="L20" s="25"/>
      <c r="M20" s="105" t="s">
        <v>114</v>
      </c>
      <c r="N20" s="116" t="n">
        <v>0</v>
      </c>
      <c r="O20" s="117"/>
      <c r="P20" s="118" t="n">
        <v>8356.16</v>
      </c>
      <c r="Q20" s="119" t="n">
        <v>297120</v>
      </c>
      <c r="R20" s="28"/>
      <c r="S20" s="7"/>
      <c r="U20" s="21"/>
      <c r="V20" s="105" t="n">
        <v>1</v>
      </c>
      <c r="W20" s="120" t="n">
        <v>0</v>
      </c>
      <c r="X20" s="121" t="n">
        <v>231886.252605656</v>
      </c>
      <c r="Y20" s="122"/>
      <c r="Z20" s="123"/>
      <c r="AA20" s="123"/>
      <c r="AB20" s="86"/>
      <c r="AC20" s="50"/>
      <c r="AE20" s="25"/>
      <c r="AF20" s="124" t="s">
        <v>118</v>
      </c>
      <c r="AG20" s="74"/>
      <c r="AH20" s="74"/>
      <c r="AI20" s="74"/>
      <c r="AJ20" s="125"/>
      <c r="AK20" s="28"/>
      <c r="AN20" s="25"/>
      <c r="AO20" s="70" t="s">
        <v>119</v>
      </c>
      <c r="AP20" s="74"/>
      <c r="AQ20" s="74"/>
      <c r="AR20" s="90" t="n">
        <v>55</v>
      </c>
      <c r="AS20" s="76"/>
      <c r="AT20" s="28"/>
      <c r="AW20" s="25"/>
      <c r="AX20" s="83"/>
      <c r="AY20" s="74" t="s">
        <v>93</v>
      </c>
      <c r="AZ20" s="74"/>
      <c r="BA20" s="126" t="n">
        <v>0.15</v>
      </c>
      <c r="BB20" s="76"/>
      <c r="BC20" s="28"/>
    </row>
    <row r="21" customFormat="false" ht="15.6" hidden="false" customHeight="false" outlineLevel="0" collapsed="false">
      <c r="A21" s="127" t="s">
        <v>120</v>
      </c>
      <c r="C21" s="101"/>
      <c r="D21" s="128"/>
      <c r="E21" s="129"/>
      <c r="F21" s="130" t="s">
        <v>121</v>
      </c>
      <c r="G21" s="130" t="s">
        <v>122</v>
      </c>
      <c r="H21" s="131"/>
      <c r="I21" s="20"/>
      <c r="K21" s="7"/>
      <c r="L21" s="25"/>
      <c r="M21" s="105" t="n">
        <v>1</v>
      </c>
      <c r="N21" s="116" t="n">
        <v>0</v>
      </c>
      <c r="O21" s="123"/>
      <c r="P21" s="123"/>
      <c r="Q21" s="123"/>
      <c r="R21" s="28"/>
      <c r="S21" s="7"/>
      <c r="U21" s="21"/>
      <c r="V21" s="105" t="n">
        <v>2</v>
      </c>
      <c r="W21" s="120" t="n">
        <v>0</v>
      </c>
      <c r="X21" s="121" t="n">
        <v>244904.147068219</v>
      </c>
      <c r="Y21" s="122"/>
      <c r="Z21" s="123"/>
      <c r="AA21" s="123"/>
      <c r="AB21" s="86"/>
      <c r="AC21" s="50"/>
      <c r="AE21" s="25"/>
      <c r="AF21" s="132" t="s">
        <v>123</v>
      </c>
      <c r="AG21" s="74"/>
      <c r="AH21" s="130" t="s">
        <v>121</v>
      </c>
      <c r="AI21" s="130" t="s">
        <v>122</v>
      </c>
      <c r="AJ21" s="125"/>
      <c r="AK21" s="28"/>
      <c r="AN21" s="25"/>
      <c r="AO21" s="70"/>
      <c r="AP21" s="74"/>
      <c r="AQ21" s="74"/>
      <c r="AR21" s="110"/>
      <c r="AS21" s="76"/>
      <c r="AT21" s="28"/>
      <c r="AW21" s="25"/>
      <c r="AX21" s="83"/>
      <c r="AY21" s="74" t="s">
        <v>101</v>
      </c>
      <c r="AZ21" s="74"/>
      <c r="BA21" s="84" t="n">
        <v>2.5</v>
      </c>
      <c r="BB21" s="76"/>
      <c r="BC21" s="28"/>
    </row>
    <row r="22" customFormat="false" ht="15.6" hidden="false" customHeight="false" outlineLevel="0" collapsed="false">
      <c r="A22" s="95" t="s">
        <v>124</v>
      </c>
      <c r="C22" s="101"/>
      <c r="D22" s="128"/>
      <c r="E22" s="133" t="s">
        <v>125</v>
      </c>
      <c r="F22" s="134" t="n">
        <v>19016173</v>
      </c>
      <c r="G22" s="134" t="n">
        <v>30000000</v>
      </c>
      <c r="H22" s="131"/>
      <c r="I22" s="20"/>
      <c r="K22" s="7"/>
      <c r="L22" s="25"/>
      <c r="M22" s="105" t="n">
        <v>2</v>
      </c>
      <c r="N22" s="116" t="n">
        <v>0</v>
      </c>
      <c r="O22" s="123"/>
      <c r="P22" s="123"/>
      <c r="Q22" s="123"/>
      <c r="R22" s="28"/>
      <c r="S22" s="7"/>
      <c r="U22" s="21"/>
      <c r="V22" s="105" t="n">
        <v>3</v>
      </c>
      <c r="W22" s="120" t="n">
        <v>0</v>
      </c>
      <c r="X22" s="121" t="n">
        <v>257922.041530781</v>
      </c>
      <c r="Y22" s="122"/>
      <c r="Z22" s="123"/>
      <c r="AA22" s="123"/>
      <c r="AB22" s="86"/>
      <c r="AC22" s="50"/>
      <c r="AE22" s="25"/>
      <c r="AF22" s="135"/>
      <c r="AG22" s="74" t="s">
        <v>99</v>
      </c>
      <c r="AH22" s="136" t="n">
        <v>0.83</v>
      </c>
      <c r="AI22" s="136" t="n">
        <v>0.83</v>
      </c>
      <c r="AJ22" s="76"/>
      <c r="AK22" s="28"/>
      <c r="AN22" s="25"/>
      <c r="AO22" s="70" t="s">
        <v>126</v>
      </c>
      <c r="AP22" s="74"/>
      <c r="AQ22" s="74"/>
      <c r="AR22" s="110"/>
      <c r="AS22" s="76"/>
      <c r="AT22" s="28"/>
      <c r="AW22" s="25"/>
      <c r="AX22" s="70" t="s">
        <v>127</v>
      </c>
      <c r="AY22" s="74"/>
      <c r="AZ22" s="74"/>
      <c r="BA22" s="79"/>
      <c r="BB22" s="76"/>
      <c r="BC22" s="28"/>
    </row>
    <row r="23" customFormat="false" ht="15.6" hidden="false" customHeight="false" outlineLevel="0" collapsed="false">
      <c r="A23" s="127" t="s">
        <v>128</v>
      </c>
      <c r="C23" s="101"/>
      <c r="D23" s="128"/>
      <c r="E23" s="133" t="s">
        <v>129</v>
      </c>
      <c r="F23" s="137" t="n">
        <v>0</v>
      </c>
      <c r="G23" s="137" t="n">
        <v>0.95</v>
      </c>
      <c r="H23" s="131"/>
      <c r="I23" s="20"/>
      <c r="K23" s="7"/>
      <c r="L23" s="25"/>
      <c r="M23" s="105" t="n">
        <v>3</v>
      </c>
      <c r="N23" s="116" t="n">
        <v>0</v>
      </c>
      <c r="O23" s="123"/>
      <c r="P23" s="123"/>
      <c r="Q23" s="123"/>
      <c r="R23" s="28"/>
      <c r="S23" s="7"/>
      <c r="U23" s="21"/>
      <c r="V23" s="105" t="n">
        <v>4</v>
      </c>
      <c r="W23" s="120" t="n">
        <v>0</v>
      </c>
      <c r="X23" s="121" t="n">
        <v>270939.935993344</v>
      </c>
      <c r="Y23" s="122"/>
      <c r="Z23" s="123"/>
      <c r="AA23" s="123"/>
      <c r="AB23" s="86"/>
      <c r="AC23" s="50"/>
      <c r="AE23" s="25"/>
      <c r="AF23" s="135"/>
      <c r="AG23" s="74" t="s">
        <v>109</v>
      </c>
      <c r="AH23" s="138" t="n">
        <f aca="false">1-AH22</f>
        <v>0.17</v>
      </c>
      <c r="AI23" s="138" t="n">
        <f aca="false">1-AI22</f>
        <v>0.17</v>
      </c>
      <c r="AJ23" s="76"/>
      <c r="AK23" s="28"/>
      <c r="AN23" s="25"/>
      <c r="AO23" s="83"/>
      <c r="AP23" s="74" t="s">
        <v>130</v>
      </c>
      <c r="AQ23" s="74"/>
      <c r="AR23" s="139" t="n">
        <v>0.9476</v>
      </c>
      <c r="AS23" s="76"/>
      <c r="AT23" s="28"/>
      <c r="AW23" s="25"/>
      <c r="AX23" s="83"/>
      <c r="AY23" s="74" t="s">
        <v>88</v>
      </c>
      <c r="AZ23" s="74"/>
      <c r="BA23" s="140" t="n">
        <v>1.275</v>
      </c>
      <c r="BB23" s="76"/>
      <c r="BC23" s="28"/>
    </row>
    <row r="24" customFormat="false" ht="15.6" hidden="false" customHeight="false" outlineLevel="0" collapsed="false">
      <c r="A24" s="141"/>
      <c r="C24" s="101"/>
      <c r="D24" s="128"/>
      <c r="E24" s="133"/>
      <c r="F24" s="142"/>
      <c r="G24" s="142"/>
      <c r="H24" s="131"/>
      <c r="I24" s="20"/>
      <c r="K24" s="7"/>
      <c r="L24" s="25"/>
      <c r="M24" s="105" t="n">
        <v>4</v>
      </c>
      <c r="N24" s="116" t="n">
        <v>0</v>
      </c>
      <c r="O24" s="123"/>
      <c r="P24" s="123"/>
      <c r="Q24" s="123"/>
      <c r="R24" s="28"/>
      <c r="S24" s="7"/>
      <c r="U24" s="21"/>
      <c r="V24" s="105" t="n">
        <v>5</v>
      </c>
      <c r="W24" s="120" t="n">
        <v>0</v>
      </c>
      <c r="X24" s="121" t="n">
        <v>283957.830455906</v>
      </c>
      <c r="Y24" s="122"/>
      <c r="Z24" s="123"/>
      <c r="AA24" s="123"/>
      <c r="AB24" s="86"/>
      <c r="AC24" s="50"/>
      <c r="AE24" s="25"/>
      <c r="AF24" s="132" t="s">
        <v>131</v>
      </c>
      <c r="AG24" s="74"/>
      <c r="AH24" s="130"/>
      <c r="AI24" s="130"/>
      <c r="AJ24" s="125"/>
      <c r="AK24" s="28"/>
      <c r="AN24" s="25"/>
      <c r="AO24" s="83"/>
      <c r="AP24" s="74" t="s">
        <v>132</v>
      </c>
      <c r="AQ24" s="74"/>
      <c r="AR24" s="139" t="n">
        <v>0.0511</v>
      </c>
      <c r="AS24" s="76"/>
      <c r="AT24" s="28"/>
      <c r="AW24" s="25"/>
      <c r="AX24" s="83"/>
      <c r="AY24" s="74" t="s">
        <v>93</v>
      </c>
      <c r="AZ24" s="74"/>
      <c r="BA24" s="140" t="n">
        <v>1.275</v>
      </c>
      <c r="BB24" s="76"/>
      <c r="BC24" s="28"/>
    </row>
    <row r="25" customFormat="false" ht="15.6" hidden="false" customHeight="false" outlineLevel="0" collapsed="false">
      <c r="A25" s="91" t="s">
        <v>133</v>
      </c>
      <c r="C25" s="101"/>
      <c r="D25" s="143" t="s">
        <v>134</v>
      </c>
      <c r="E25" s="133"/>
      <c r="F25" s="144"/>
      <c r="G25" s="144"/>
      <c r="H25" s="131"/>
      <c r="I25" s="20"/>
      <c r="K25" s="7"/>
      <c r="L25" s="25"/>
      <c r="M25" s="105" t="n">
        <v>5</v>
      </c>
      <c r="N25" s="116" t="n">
        <v>0</v>
      </c>
      <c r="O25" s="123"/>
      <c r="P25" s="123"/>
      <c r="Q25" s="123"/>
      <c r="R25" s="28"/>
      <c r="S25" s="7"/>
      <c r="U25" s="21"/>
      <c r="V25" s="105" t="n">
        <v>6</v>
      </c>
      <c r="W25" s="120" t="n">
        <v>0</v>
      </c>
      <c r="X25" s="121" t="n">
        <v>296975.724918469</v>
      </c>
      <c r="Y25" s="122"/>
      <c r="Z25" s="123"/>
      <c r="AA25" s="123"/>
      <c r="AB25" s="86"/>
      <c r="AC25" s="50"/>
      <c r="AE25" s="25"/>
      <c r="AF25" s="135"/>
      <c r="AG25" s="74" t="s">
        <v>99</v>
      </c>
      <c r="AH25" s="136" t="n">
        <v>0.83</v>
      </c>
      <c r="AI25" s="136" t="n">
        <v>1</v>
      </c>
      <c r="AJ25" s="76"/>
      <c r="AK25" s="28"/>
      <c r="AN25" s="25"/>
      <c r="AO25" s="83"/>
      <c r="AP25" s="74" t="s">
        <v>135</v>
      </c>
      <c r="AQ25" s="74"/>
      <c r="AR25" s="139" t="n">
        <v>0.0013</v>
      </c>
      <c r="AS25" s="76"/>
      <c r="AT25" s="28"/>
      <c r="AW25" s="25"/>
      <c r="AX25" s="83"/>
      <c r="AY25" s="74" t="s">
        <v>101</v>
      </c>
      <c r="AZ25" s="74"/>
      <c r="BA25" s="145" t="n">
        <v>0.0063</v>
      </c>
      <c r="BB25" s="76"/>
      <c r="BC25" s="28"/>
    </row>
    <row r="26" customFormat="false" ht="15.6" hidden="false" customHeight="false" outlineLevel="0" collapsed="false">
      <c r="A26" s="95" t="s">
        <v>136</v>
      </c>
      <c r="C26" s="101"/>
      <c r="D26" s="128"/>
      <c r="E26" s="133"/>
      <c r="F26" s="130" t="s">
        <v>137</v>
      </c>
      <c r="G26" s="130" t="s">
        <v>138</v>
      </c>
      <c r="H26" s="131"/>
      <c r="I26" s="20"/>
      <c r="K26" s="7"/>
      <c r="L26" s="25"/>
      <c r="M26" s="105" t="n">
        <v>6</v>
      </c>
      <c r="N26" s="116" t="n">
        <v>0</v>
      </c>
      <c r="O26" s="123"/>
      <c r="P26" s="123"/>
      <c r="Q26" s="123"/>
      <c r="R26" s="28"/>
      <c r="S26" s="7"/>
      <c r="U26" s="21"/>
      <c r="V26" s="105" t="n">
        <v>7</v>
      </c>
      <c r="W26" s="120" t="n">
        <v>0</v>
      </c>
      <c r="X26" s="121" t="n">
        <v>309993.619381031</v>
      </c>
      <c r="Y26" s="122"/>
      <c r="Z26" s="123"/>
      <c r="AA26" s="123"/>
      <c r="AB26" s="86"/>
      <c r="AC26" s="50"/>
      <c r="AE26" s="25"/>
      <c r="AF26" s="135"/>
      <c r="AG26" s="74" t="s">
        <v>109</v>
      </c>
      <c r="AH26" s="138" t="n">
        <f aca="false">1-AH25</f>
        <v>0.17</v>
      </c>
      <c r="AI26" s="138" t="n">
        <f aca="false">1-AI25</f>
        <v>0</v>
      </c>
      <c r="AJ26" s="76"/>
      <c r="AK26" s="28"/>
      <c r="AN26" s="25"/>
      <c r="AO26" s="70" t="s">
        <v>139</v>
      </c>
      <c r="AP26" s="74"/>
      <c r="AQ26" s="74"/>
      <c r="AR26" s="110"/>
      <c r="AS26" s="76"/>
      <c r="AT26" s="28"/>
      <c r="AW26" s="25"/>
      <c r="AX26" s="146"/>
      <c r="AY26" s="147"/>
      <c r="AZ26" s="147"/>
      <c r="BA26" s="148"/>
      <c r="BB26" s="149"/>
      <c r="BC26" s="28"/>
    </row>
    <row r="27" customFormat="false" ht="15" hidden="false" customHeight="false" outlineLevel="0" collapsed="false">
      <c r="A27" s="95" t="s">
        <v>140</v>
      </c>
      <c r="C27" s="101"/>
      <c r="D27" s="150"/>
      <c r="E27" s="133" t="s">
        <v>141</v>
      </c>
      <c r="F27" s="151" t="n">
        <v>8200</v>
      </c>
      <c r="G27" s="151" t="n">
        <v>8200</v>
      </c>
      <c r="H27" s="131"/>
      <c r="I27" s="20"/>
      <c r="K27" s="7"/>
      <c r="L27" s="25"/>
      <c r="M27" s="105" t="n">
        <v>7</v>
      </c>
      <c r="N27" s="116" t="n">
        <v>0</v>
      </c>
      <c r="O27" s="123"/>
      <c r="P27" s="123"/>
      <c r="Q27" s="123"/>
      <c r="R27" s="28"/>
      <c r="S27" s="7"/>
      <c r="U27" s="21"/>
      <c r="V27" s="105" t="n">
        <v>8</v>
      </c>
      <c r="W27" s="120" t="n">
        <v>0</v>
      </c>
      <c r="X27" s="121" t="n">
        <v>323011.513843594</v>
      </c>
      <c r="Y27" s="122"/>
      <c r="Z27" s="123"/>
      <c r="AA27" s="123"/>
      <c r="AB27" s="86"/>
      <c r="AC27" s="50"/>
      <c r="AE27" s="25"/>
      <c r="AF27" s="132" t="s">
        <v>142</v>
      </c>
      <c r="AG27" s="74"/>
      <c r="AH27" s="74"/>
      <c r="AI27" s="152"/>
      <c r="AJ27" s="76"/>
      <c r="AK27" s="28"/>
      <c r="AN27" s="25"/>
      <c r="AO27" s="83"/>
      <c r="AP27" s="74" t="s">
        <v>130</v>
      </c>
      <c r="AQ27" s="74"/>
      <c r="AR27" s="90" t="n">
        <v>1.8</v>
      </c>
      <c r="AS27" s="76"/>
      <c r="AT27" s="28"/>
      <c r="AW27" s="25"/>
      <c r="AX27" s="27"/>
      <c r="AY27" s="27"/>
      <c r="AZ27" s="27"/>
      <c r="BA27" s="27"/>
      <c r="BB27" s="27"/>
      <c r="BC27" s="28"/>
    </row>
    <row r="28" customFormat="false" ht="15" hidden="false" customHeight="false" outlineLevel="0" collapsed="false">
      <c r="A28" s="141"/>
      <c r="C28" s="101"/>
      <c r="D28" s="150"/>
      <c r="E28" s="133" t="s">
        <v>143</v>
      </c>
      <c r="F28" s="151" t="n">
        <v>2</v>
      </c>
      <c r="G28" s="151" t="n">
        <v>2</v>
      </c>
      <c r="H28" s="131"/>
      <c r="I28" s="20"/>
      <c r="K28" s="7"/>
      <c r="L28" s="25"/>
      <c r="M28" s="105" t="n">
        <v>8</v>
      </c>
      <c r="N28" s="116" t="n">
        <v>0</v>
      </c>
      <c r="O28" s="123"/>
      <c r="P28" s="123"/>
      <c r="Q28" s="123"/>
      <c r="R28" s="28"/>
      <c r="S28" s="7"/>
      <c r="U28" s="21"/>
      <c r="V28" s="105" t="n">
        <v>9</v>
      </c>
      <c r="W28" s="120" t="n">
        <v>0</v>
      </c>
      <c r="X28" s="121" t="n">
        <v>336029.408306156</v>
      </c>
      <c r="Y28" s="122"/>
      <c r="Z28" s="123"/>
      <c r="AA28" s="123"/>
      <c r="AB28" s="86"/>
      <c r="AC28" s="50"/>
      <c r="AE28" s="25"/>
      <c r="AF28" s="135"/>
      <c r="AG28" s="74" t="s">
        <v>144</v>
      </c>
      <c r="AH28" s="136" t="n">
        <v>0.64</v>
      </c>
      <c r="AI28" s="136" t="n">
        <v>0.64</v>
      </c>
      <c r="AJ28" s="76"/>
      <c r="AK28" s="28"/>
      <c r="AN28" s="25"/>
      <c r="AO28" s="83"/>
      <c r="AP28" s="74" t="s">
        <v>132</v>
      </c>
      <c r="AQ28" s="74"/>
      <c r="AR28" s="90" t="n">
        <v>1.1</v>
      </c>
      <c r="AS28" s="76"/>
      <c r="AT28" s="28"/>
      <c r="AW28" s="25"/>
      <c r="AX28" s="153" t="s">
        <v>145</v>
      </c>
      <c r="AY28" s="154"/>
      <c r="AZ28" s="154"/>
      <c r="BA28" s="154"/>
      <c r="BB28" s="155"/>
      <c r="BC28" s="28"/>
    </row>
    <row r="29" customFormat="false" ht="15" hidden="false" customHeight="false" outlineLevel="0" collapsed="false">
      <c r="A29" s="91" t="s">
        <v>146</v>
      </c>
      <c r="C29" s="101"/>
      <c r="D29" s="150"/>
      <c r="E29" s="133" t="s">
        <v>147</v>
      </c>
      <c r="F29" s="156" t="n">
        <v>0.3</v>
      </c>
      <c r="G29" s="156" t="n">
        <v>0.7</v>
      </c>
      <c r="H29" s="131"/>
      <c r="I29" s="20"/>
      <c r="K29" s="7"/>
      <c r="L29" s="25"/>
      <c r="M29" s="105" t="n">
        <v>9</v>
      </c>
      <c r="N29" s="116" t="n">
        <v>0</v>
      </c>
      <c r="O29" s="123"/>
      <c r="P29" s="123"/>
      <c r="Q29" s="123"/>
      <c r="R29" s="28"/>
      <c r="S29" s="7"/>
      <c r="U29" s="21"/>
      <c r="V29" s="105" t="n">
        <v>10</v>
      </c>
      <c r="W29" s="120" t="n">
        <v>0</v>
      </c>
      <c r="X29" s="121" t="n">
        <v>349047.302768719</v>
      </c>
      <c r="Y29" s="122"/>
      <c r="Z29" s="157"/>
      <c r="AA29" s="123"/>
      <c r="AB29" s="86"/>
      <c r="AC29" s="50"/>
      <c r="AE29" s="25"/>
      <c r="AF29" s="135"/>
      <c r="AG29" s="74" t="s">
        <v>148</v>
      </c>
      <c r="AH29" s="138" t="n">
        <f aca="false">1-AH28</f>
        <v>0.36</v>
      </c>
      <c r="AI29" s="138" t="n">
        <f aca="false">1-AI28</f>
        <v>0.36</v>
      </c>
      <c r="AJ29" s="76"/>
      <c r="AK29" s="28"/>
      <c r="AN29" s="25"/>
      <c r="AO29" s="83"/>
      <c r="AP29" s="74" t="s">
        <v>135</v>
      </c>
      <c r="AQ29" s="74"/>
      <c r="AR29" s="90" t="n">
        <v>20</v>
      </c>
      <c r="AS29" s="76"/>
      <c r="AT29" s="28"/>
      <c r="AW29" s="25"/>
      <c r="AX29" s="158"/>
      <c r="AY29" s="159"/>
      <c r="AZ29" s="159"/>
      <c r="BA29" s="159"/>
      <c r="BB29" s="76"/>
      <c r="BC29" s="28"/>
    </row>
    <row r="30" customFormat="false" ht="16.2" hidden="false" customHeight="false" outlineLevel="0" collapsed="false">
      <c r="A30" s="95" t="s">
        <v>149</v>
      </c>
      <c r="C30" s="101"/>
      <c r="D30" s="160"/>
      <c r="E30" s="161"/>
      <c r="F30" s="162"/>
      <c r="G30" s="163"/>
      <c r="H30" s="164"/>
      <c r="I30" s="20"/>
      <c r="K30" s="7"/>
      <c r="L30" s="25"/>
      <c r="M30" s="105" t="n">
        <v>10</v>
      </c>
      <c r="N30" s="116" t="n">
        <v>0</v>
      </c>
      <c r="O30" s="123"/>
      <c r="P30" s="157"/>
      <c r="Q30" s="123"/>
      <c r="R30" s="28"/>
      <c r="S30" s="7"/>
      <c r="U30" s="21"/>
      <c r="V30" s="105" t="n">
        <v>11</v>
      </c>
      <c r="W30" s="165" t="n">
        <v>0</v>
      </c>
      <c r="X30" s="121" t="n">
        <v>362065.197231281</v>
      </c>
      <c r="Y30" s="122"/>
      <c r="Z30" s="123"/>
      <c r="AA30" s="123"/>
      <c r="AB30" s="86"/>
      <c r="AC30" s="50"/>
      <c r="AE30" s="25"/>
      <c r="AF30" s="124" t="s">
        <v>150</v>
      </c>
      <c r="AG30" s="74"/>
      <c r="AH30" s="74"/>
      <c r="AI30" s="152"/>
      <c r="AJ30" s="76"/>
      <c r="AK30" s="28"/>
      <c r="AN30" s="25"/>
      <c r="AO30" s="83"/>
      <c r="AP30" s="74"/>
      <c r="AQ30" s="74"/>
      <c r="AR30" s="110"/>
      <c r="AS30" s="76"/>
      <c r="AT30" s="28"/>
      <c r="AW30" s="25"/>
      <c r="AX30" s="70" t="s">
        <v>151</v>
      </c>
      <c r="AY30" s="74"/>
      <c r="AZ30" s="74"/>
      <c r="BA30" s="166" t="n">
        <v>0.03</v>
      </c>
      <c r="BB30" s="76"/>
      <c r="BC30" s="28"/>
    </row>
    <row r="31" customFormat="false" ht="15.6" hidden="false" customHeight="false" outlineLevel="0" collapsed="false">
      <c r="A31" s="95" t="s">
        <v>152</v>
      </c>
      <c r="C31" s="167"/>
      <c r="D31" s="168"/>
      <c r="E31" s="168"/>
      <c r="F31" s="168"/>
      <c r="G31" s="168"/>
      <c r="H31" s="168"/>
      <c r="I31" s="169"/>
      <c r="K31" s="7"/>
      <c r="L31" s="25"/>
      <c r="M31" s="105" t="n">
        <v>11</v>
      </c>
      <c r="N31" s="116" t="n">
        <v>0</v>
      </c>
      <c r="O31" s="123"/>
      <c r="P31" s="123"/>
      <c r="Q31" s="123"/>
      <c r="R31" s="28"/>
      <c r="S31" s="7"/>
      <c r="U31" s="21"/>
      <c r="V31" s="105" t="n">
        <v>12</v>
      </c>
      <c r="W31" s="165" t="n">
        <v>0</v>
      </c>
      <c r="X31" s="121" t="n">
        <v>375083.091693844</v>
      </c>
      <c r="Y31" s="122"/>
      <c r="Z31" s="123"/>
      <c r="AA31" s="123"/>
      <c r="AB31" s="86"/>
      <c r="AC31" s="50"/>
      <c r="AE31" s="25"/>
      <c r="AF31" s="170" t="s">
        <v>153</v>
      </c>
      <c r="AG31" s="74"/>
      <c r="AH31" s="74"/>
      <c r="AI31" s="130" t="s">
        <v>121</v>
      </c>
      <c r="AJ31" s="76"/>
      <c r="AK31" s="28"/>
      <c r="AN31" s="25"/>
      <c r="AO31" s="70" t="s">
        <v>154</v>
      </c>
      <c r="AP31" s="74"/>
      <c r="AQ31" s="74"/>
      <c r="AR31" s="152"/>
      <c r="AS31" s="76"/>
      <c r="AT31" s="28"/>
      <c r="AW31" s="25"/>
      <c r="AX31" s="70" t="s">
        <v>155</v>
      </c>
      <c r="AY31" s="171"/>
      <c r="AZ31" s="172"/>
      <c r="BA31" s="173" t="n">
        <v>0.06</v>
      </c>
      <c r="BB31" s="76"/>
      <c r="BC31" s="28"/>
    </row>
    <row r="32" customFormat="false" ht="15.6" hidden="false" customHeight="false" outlineLevel="0" collapsed="false">
      <c r="A32" s="141"/>
      <c r="K32" s="7"/>
      <c r="L32" s="25"/>
      <c r="M32" s="105" t="n">
        <v>12</v>
      </c>
      <c r="N32" s="116" t="n">
        <v>0</v>
      </c>
      <c r="O32" s="123"/>
      <c r="P32" s="123"/>
      <c r="Q32" s="123"/>
      <c r="R32" s="28"/>
      <c r="S32" s="7"/>
      <c r="U32" s="21"/>
      <c r="V32" s="105" t="n">
        <v>13</v>
      </c>
      <c r="W32" s="165" t="n">
        <v>0</v>
      </c>
      <c r="X32" s="121" t="n">
        <v>388100.986156406</v>
      </c>
      <c r="Y32" s="122"/>
      <c r="Z32" s="123"/>
      <c r="AA32" s="123"/>
      <c r="AB32" s="86"/>
      <c r="AC32" s="50"/>
      <c r="AE32" s="25"/>
      <c r="AF32" s="135"/>
      <c r="AG32" s="74" t="s">
        <v>156</v>
      </c>
      <c r="AH32" s="74"/>
      <c r="AI32" s="126" t="n">
        <v>1.35</v>
      </c>
      <c r="AJ32" s="76"/>
      <c r="AK32" s="28"/>
      <c r="AN32" s="25"/>
      <c r="AO32" s="70"/>
      <c r="AP32" s="74" t="s">
        <v>130</v>
      </c>
      <c r="AQ32" s="74"/>
      <c r="AR32" s="174" t="n">
        <v>12.75</v>
      </c>
      <c r="AS32" s="76"/>
      <c r="AT32" s="28"/>
      <c r="AW32" s="25"/>
      <c r="AX32" s="70" t="s">
        <v>157</v>
      </c>
      <c r="AY32" s="171"/>
      <c r="AZ32" s="172"/>
      <c r="BA32" s="173" t="n">
        <v>0.03</v>
      </c>
      <c r="BB32" s="76"/>
      <c r="BC32" s="28"/>
    </row>
    <row r="33" customFormat="false" ht="15" hidden="false" customHeight="false" outlineLevel="0" collapsed="false">
      <c r="A33" s="91" t="s">
        <v>158</v>
      </c>
      <c r="K33" s="7"/>
      <c r="L33" s="25"/>
      <c r="M33" s="105" t="n">
        <v>13</v>
      </c>
      <c r="N33" s="116" t="n">
        <v>0</v>
      </c>
      <c r="O33" s="123"/>
      <c r="P33" s="123"/>
      <c r="Q33" s="123"/>
      <c r="R33" s="28"/>
      <c r="S33" s="7"/>
      <c r="U33" s="21"/>
      <c r="V33" s="105" t="n">
        <v>14</v>
      </c>
      <c r="W33" s="165" t="n">
        <v>0</v>
      </c>
      <c r="X33" s="121" t="n">
        <v>401118.880618968</v>
      </c>
      <c r="Y33" s="122"/>
      <c r="Z33" s="123"/>
      <c r="AA33" s="123"/>
      <c r="AB33" s="86"/>
      <c r="AC33" s="50"/>
      <c r="AE33" s="25"/>
      <c r="AF33" s="135"/>
      <c r="AG33" s="74" t="s">
        <v>159</v>
      </c>
      <c r="AH33" s="74"/>
      <c r="AI33" s="175" t="n">
        <v>160</v>
      </c>
      <c r="AJ33" s="76"/>
      <c r="AK33" s="28"/>
      <c r="AN33" s="25"/>
      <c r="AO33" s="70"/>
      <c r="AP33" s="74" t="s">
        <v>132</v>
      </c>
      <c r="AQ33" s="74"/>
      <c r="AR33" s="174" t="n">
        <v>33.41</v>
      </c>
      <c r="AS33" s="76"/>
      <c r="AT33" s="28"/>
      <c r="AW33" s="25"/>
      <c r="AX33" s="70" t="s">
        <v>160</v>
      </c>
      <c r="AY33" s="74"/>
      <c r="AZ33" s="74"/>
      <c r="BA33" s="152"/>
      <c r="BB33" s="76"/>
      <c r="BC33" s="28"/>
    </row>
    <row r="34" customFormat="false" ht="15" hidden="false" customHeight="false" outlineLevel="0" collapsed="false">
      <c r="A34" s="95" t="s">
        <v>161</v>
      </c>
      <c r="K34" s="7"/>
      <c r="L34" s="25"/>
      <c r="M34" s="105" t="n">
        <v>14</v>
      </c>
      <c r="N34" s="116" t="n">
        <v>0</v>
      </c>
      <c r="O34" s="123"/>
      <c r="P34" s="123"/>
      <c r="Q34" s="123"/>
      <c r="R34" s="28"/>
      <c r="S34" s="7"/>
      <c r="U34" s="21"/>
      <c r="V34" s="105" t="n">
        <v>15</v>
      </c>
      <c r="W34" s="165" t="n">
        <v>0</v>
      </c>
      <c r="X34" s="121" t="n">
        <v>414136.775081532</v>
      </c>
      <c r="Y34" s="122"/>
      <c r="Z34" s="123"/>
      <c r="AA34" s="123"/>
      <c r="AB34" s="86"/>
      <c r="AC34" s="50"/>
      <c r="AE34" s="25"/>
      <c r="AF34" s="135"/>
      <c r="AG34" s="74" t="s">
        <v>162</v>
      </c>
      <c r="AH34" s="74"/>
      <c r="AI34" s="176" t="n">
        <v>30</v>
      </c>
      <c r="AJ34" s="76"/>
      <c r="AK34" s="28"/>
      <c r="AN34" s="25"/>
      <c r="AO34" s="135"/>
      <c r="AP34" s="74" t="s">
        <v>163</v>
      </c>
      <c r="AQ34" s="74"/>
      <c r="AR34" s="174" t="n">
        <v>12.75</v>
      </c>
      <c r="AS34" s="76"/>
      <c r="AT34" s="28"/>
      <c r="AW34" s="25"/>
      <c r="AX34" s="177"/>
      <c r="AY34" s="74" t="s">
        <v>164</v>
      </c>
      <c r="AZ34" s="74"/>
      <c r="BA34" s="175" t="n">
        <v>1768</v>
      </c>
      <c r="BB34" s="76"/>
      <c r="BC34" s="28"/>
    </row>
    <row r="35" customFormat="false" ht="15" hidden="false" customHeight="false" outlineLevel="0" collapsed="false">
      <c r="A35" s="95" t="s">
        <v>165</v>
      </c>
      <c r="K35" s="7"/>
      <c r="L35" s="25"/>
      <c r="M35" s="105" t="n">
        <v>15</v>
      </c>
      <c r="N35" s="116" t="n">
        <v>0</v>
      </c>
      <c r="O35" s="123"/>
      <c r="P35" s="123"/>
      <c r="Q35" s="123"/>
      <c r="R35" s="28"/>
      <c r="S35" s="7"/>
      <c r="U35" s="21"/>
      <c r="V35" s="105" t="n">
        <v>16</v>
      </c>
      <c r="W35" s="165" t="n">
        <v>0</v>
      </c>
      <c r="X35" s="121" t="n">
        <v>427154.669544094</v>
      </c>
      <c r="Y35" s="122"/>
      <c r="Z35" s="123"/>
      <c r="AA35" s="123"/>
      <c r="AB35" s="86"/>
      <c r="AC35" s="50"/>
      <c r="AE35" s="25"/>
      <c r="AF35" s="135"/>
      <c r="AG35" s="74" t="s">
        <v>166</v>
      </c>
      <c r="AH35" s="74"/>
      <c r="AI35" s="176" t="n">
        <v>20</v>
      </c>
      <c r="AJ35" s="76"/>
      <c r="AK35" s="28"/>
      <c r="AN35" s="25"/>
      <c r="AO35" s="146"/>
      <c r="AP35" s="147"/>
      <c r="AQ35" s="147"/>
      <c r="AR35" s="148"/>
      <c r="AS35" s="149"/>
      <c r="AT35" s="28"/>
      <c r="AW35" s="25"/>
      <c r="AX35" s="177"/>
      <c r="AY35" s="74" t="s">
        <v>167</v>
      </c>
      <c r="AZ35" s="74"/>
      <c r="BA35" s="178" t="n">
        <v>0.11</v>
      </c>
      <c r="BB35" s="76"/>
      <c r="BC35" s="28"/>
    </row>
    <row r="36" customFormat="false" ht="15.6" hidden="false" customHeight="false" outlineLevel="0" collapsed="false">
      <c r="A36" s="141"/>
      <c r="K36" s="7"/>
      <c r="L36" s="25"/>
      <c r="M36" s="105" t="n">
        <v>16</v>
      </c>
      <c r="N36" s="116" t="n">
        <v>0</v>
      </c>
      <c r="O36" s="123"/>
      <c r="P36" s="123"/>
      <c r="Q36" s="123"/>
      <c r="R36" s="28"/>
      <c r="S36" s="7"/>
      <c r="U36" s="21"/>
      <c r="V36" s="105" t="n">
        <v>17</v>
      </c>
      <c r="W36" s="165" t="n">
        <v>0</v>
      </c>
      <c r="X36" s="121" t="n">
        <v>440172.564006655</v>
      </c>
      <c r="Y36" s="122"/>
      <c r="Z36" s="123"/>
      <c r="AA36" s="123"/>
      <c r="AB36" s="86"/>
      <c r="AC36" s="50"/>
      <c r="AE36" s="25"/>
      <c r="AF36" s="170" t="s">
        <v>168</v>
      </c>
      <c r="AG36" s="74"/>
      <c r="AH36" s="74"/>
      <c r="AI36" s="130" t="s">
        <v>121</v>
      </c>
      <c r="AJ36" s="76"/>
      <c r="AK36" s="28"/>
      <c r="AN36" s="179"/>
      <c r="AO36" s="180"/>
      <c r="AP36" s="180"/>
      <c r="AQ36" s="180"/>
      <c r="AR36" s="180"/>
      <c r="AS36" s="180"/>
      <c r="AT36" s="181"/>
      <c r="AW36" s="25"/>
      <c r="AX36" s="177"/>
      <c r="AY36" s="74" t="s">
        <v>169</v>
      </c>
      <c r="AZ36" s="74"/>
      <c r="BA36" s="178" t="n">
        <v>61.5</v>
      </c>
      <c r="BB36" s="76"/>
      <c r="BC36" s="28"/>
    </row>
    <row r="37" customFormat="false" ht="16.2" hidden="false" customHeight="false" outlineLevel="0" collapsed="false">
      <c r="A37" s="182"/>
      <c r="K37" s="7"/>
      <c r="L37" s="25"/>
      <c r="M37" s="105" t="n">
        <v>17</v>
      </c>
      <c r="N37" s="116" t="n">
        <v>0</v>
      </c>
      <c r="O37" s="123"/>
      <c r="P37" s="123"/>
      <c r="Q37" s="123"/>
      <c r="R37" s="28"/>
      <c r="S37" s="7"/>
      <c r="U37" s="21"/>
      <c r="V37" s="105" t="n">
        <v>18</v>
      </c>
      <c r="W37" s="165" t="n">
        <v>0</v>
      </c>
      <c r="X37" s="121" t="n">
        <v>453190.458469219</v>
      </c>
      <c r="Y37" s="122"/>
      <c r="Z37" s="123"/>
      <c r="AA37" s="123"/>
      <c r="AB37" s="86"/>
      <c r="AC37" s="50"/>
      <c r="AE37" s="25"/>
      <c r="AF37" s="70"/>
      <c r="AG37" s="74" t="s">
        <v>156</v>
      </c>
      <c r="AH37" s="74"/>
      <c r="AI37" s="126" t="n">
        <v>1.35</v>
      </c>
      <c r="AJ37" s="76"/>
      <c r="AK37" s="28"/>
      <c r="AW37" s="25"/>
      <c r="AX37" s="177"/>
      <c r="AY37" s="74" t="s">
        <v>170</v>
      </c>
      <c r="AZ37" s="74"/>
      <c r="BA37" s="176" t="n">
        <v>65000</v>
      </c>
      <c r="BB37" s="76"/>
      <c r="BC37" s="183"/>
    </row>
    <row r="38" customFormat="false" ht="15.6" hidden="false" customHeight="false" outlineLevel="0" collapsed="false">
      <c r="K38" s="7"/>
      <c r="L38" s="25"/>
      <c r="M38" s="105" t="n">
        <v>18</v>
      </c>
      <c r="N38" s="116" t="n">
        <v>0</v>
      </c>
      <c r="O38" s="123"/>
      <c r="P38" s="123"/>
      <c r="Q38" s="123"/>
      <c r="R38" s="28"/>
      <c r="S38" s="7"/>
      <c r="U38" s="21"/>
      <c r="V38" s="105" t="n">
        <v>19</v>
      </c>
      <c r="W38" s="165" t="n">
        <v>0</v>
      </c>
      <c r="X38" s="121" t="n">
        <v>466208.352931781</v>
      </c>
      <c r="Y38" s="122"/>
      <c r="Z38" s="123"/>
      <c r="AA38" s="123"/>
      <c r="AB38" s="86"/>
      <c r="AC38" s="50"/>
      <c r="AE38" s="25"/>
      <c r="AF38" s="70"/>
      <c r="AG38" s="74" t="s">
        <v>159</v>
      </c>
      <c r="AH38" s="74"/>
      <c r="AI38" s="175" t="n">
        <v>160</v>
      </c>
      <c r="AJ38" s="76"/>
      <c r="AK38" s="28"/>
      <c r="AW38" s="25"/>
      <c r="AX38" s="146"/>
      <c r="AY38" s="147"/>
      <c r="AZ38" s="147"/>
      <c r="BA38" s="184"/>
      <c r="BB38" s="149"/>
      <c r="BC38" s="28"/>
    </row>
    <row r="39" customFormat="false" ht="15.6" hidden="false" customHeight="false" outlineLevel="0" collapsed="false">
      <c r="K39" s="7"/>
      <c r="L39" s="25"/>
      <c r="M39" s="105" t="n">
        <v>19</v>
      </c>
      <c r="N39" s="116" t="n">
        <v>0</v>
      </c>
      <c r="O39" s="123"/>
      <c r="P39" s="123"/>
      <c r="Q39" s="123"/>
      <c r="R39" s="28"/>
      <c r="S39" s="7"/>
      <c r="U39" s="21"/>
      <c r="V39" s="185" t="n">
        <v>20</v>
      </c>
      <c r="W39" s="186" t="n">
        <v>0</v>
      </c>
      <c r="X39" s="187" t="n">
        <v>479226.247394344</v>
      </c>
      <c r="Y39" s="188"/>
      <c r="Z39" s="189"/>
      <c r="AA39" s="189"/>
      <c r="AB39" s="86"/>
      <c r="AC39" s="50"/>
      <c r="AE39" s="25"/>
      <c r="AF39" s="135"/>
      <c r="AG39" s="74" t="s">
        <v>162</v>
      </c>
      <c r="AH39" s="74"/>
      <c r="AI39" s="176" t="n">
        <v>0</v>
      </c>
      <c r="AJ39" s="76"/>
      <c r="AK39" s="28"/>
      <c r="AW39" s="179"/>
      <c r="AX39" s="190"/>
      <c r="AY39" s="190"/>
      <c r="AZ39" s="190"/>
      <c r="BA39" s="190"/>
      <c r="BB39" s="190"/>
      <c r="BC39" s="181"/>
      <c r="BD39" s="50"/>
    </row>
    <row r="40" customFormat="false" ht="16.2" hidden="false" customHeight="false" outlineLevel="0" collapsed="false">
      <c r="K40" s="7"/>
      <c r="L40" s="25"/>
      <c r="M40" s="185" t="n">
        <v>20</v>
      </c>
      <c r="N40" s="191" t="n">
        <v>0</v>
      </c>
      <c r="O40" s="189"/>
      <c r="P40" s="189"/>
      <c r="Q40" s="189"/>
      <c r="R40" s="28"/>
      <c r="S40" s="7"/>
      <c r="U40" s="192"/>
      <c r="V40" s="180"/>
      <c r="W40" s="180"/>
      <c r="X40" s="180"/>
      <c r="Y40" s="180"/>
      <c r="Z40" s="180"/>
      <c r="AA40" s="180"/>
      <c r="AB40" s="193"/>
      <c r="AE40" s="25"/>
      <c r="AF40" s="70"/>
      <c r="AG40" s="74" t="s">
        <v>166</v>
      </c>
      <c r="AH40" s="74"/>
      <c r="AI40" s="176" t="n">
        <v>20</v>
      </c>
      <c r="AJ40" s="76"/>
      <c r="AK40" s="28"/>
      <c r="AW40" s="27"/>
      <c r="AX40" s="18"/>
      <c r="AY40" s="18"/>
      <c r="AZ40" s="18"/>
      <c r="BA40" s="18"/>
      <c r="BB40" s="18"/>
      <c r="BC40" s="27"/>
      <c r="BD40" s="50"/>
    </row>
    <row r="41" customFormat="false" ht="13.95" hidden="false" customHeight="true" outlineLevel="0" collapsed="false">
      <c r="L41" s="179"/>
      <c r="M41" s="194"/>
      <c r="N41" s="195"/>
      <c r="O41" s="196"/>
      <c r="P41" s="196"/>
      <c r="Q41" s="196"/>
      <c r="R41" s="181"/>
      <c r="AE41" s="25"/>
      <c r="AF41" s="146"/>
      <c r="AG41" s="147"/>
      <c r="AH41" s="147"/>
      <c r="AI41" s="148"/>
      <c r="AJ41" s="149"/>
      <c r="AK41" s="28"/>
      <c r="AW41" s="27"/>
      <c r="AX41" s="18"/>
      <c r="AY41" s="18"/>
      <c r="AZ41" s="18"/>
      <c r="BA41" s="18"/>
      <c r="BB41" s="18"/>
      <c r="BC41" s="27"/>
    </row>
    <row r="42" customFormat="false" ht="15" hidden="false" customHeight="false" outlineLevel="0" collapsed="false">
      <c r="L42" s="27"/>
      <c r="M42" s="197"/>
      <c r="N42" s="198"/>
      <c r="O42" s="199"/>
      <c r="P42" s="199"/>
      <c r="Q42" s="199"/>
      <c r="R42" s="27"/>
      <c r="AE42" s="192"/>
      <c r="AF42" s="180"/>
      <c r="AG42" s="180"/>
      <c r="AH42" s="180"/>
      <c r="AI42" s="180"/>
      <c r="AJ42" s="180"/>
      <c r="AK42" s="193"/>
      <c r="AW42" s="50"/>
    </row>
    <row r="43" customFormat="false" ht="13.8" hidden="false" customHeight="false" outlineLevel="0" collapsed="false">
      <c r="L43" s="27"/>
      <c r="M43" s="27"/>
      <c r="N43" s="27"/>
      <c r="O43" s="27"/>
      <c r="P43" s="27"/>
      <c r="Q43" s="27"/>
      <c r="R43" s="27"/>
      <c r="AF43" s="18"/>
      <c r="AG43" s="18"/>
      <c r="AH43" s="18"/>
      <c r="AI43" s="18"/>
      <c r="AJ43" s="18"/>
      <c r="AW43" s="50"/>
    </row>
    <row r="44" customFormat="false" ht="13.2" hidden="false" customHeight="false" outlineLevel="0" collapsed="false">
      <c r="L44" s="7"/>
      <c r="M44" s="7"/>
      <c r="N44" s="7"/>
      <c r="O44" s="7"/>
      <c r="P44" s="7"/>
      <c r="Q44" s="7"/>
      <c r="R44" s="7"/>
      <c r="AW44" s="50"/>
    </row>
  </sheetData>
  <mergeCells count="33">
    <mergeCell ref="N2:R2"/>
    <mergeCell ref="W2:AA2"/>
    <mergeCell ref="D4:I4"/>
    <mergeCell ref="M4:R4"/>
    <mergeCell ref="AF4:AK4"/>
    <mergeCell ref="AO4:AT4"/>
    <mergeCell ref="AX4:BC4"/>
    <mergeCell ref="D5:I5"/>
    <mergeCell ref="M5:R5"/>
    <mergeCell ref="AO5:AT5"/>
    <mergeCell ref="AF7:AK7"/>
    <mergeCell ref="D9:I9"/>
    <mergeCell ref="M9:R9"/>
    <mergeCell ref="D10:I10"/>
    <mergeCell ref="M10:R10"/>
    <mergeCell ref="AO10:AT10"/>
    <mergeCell ref="M11:R11"/>
    <mergeCell ref="M12:R12"/>
    <mergeCell ref="AF12:AK12"/>
    <mergeCell ref="D13:I13"/>
    <mergeCell ref="AF13:AK13"/>
    <mergeCell ref="AO13:AT13"/>
    <mergeCell ref="D14:I14"/>
    <mergeCell ref="AF14:AK14"/>
    <mergeCell ref="D16:I16"/>
    <mergeCell ref="D17:I17"/>
    <mergeCell ref="M17:R17"/>
    <mergeCell ref="V17:V18"/>
    <mergeCell ref="W17:W18"/>
    <mergeCell ref="X17:AA17"/>
    <mergeCell ref="M18:M19"/>
    <mergeCell ref="N18:N19"/>
    <mergeCell ref="O18:Q1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H26" activeCellId="0" sqref="AH26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2" width="7.32"/>
    <col collapsed="false" customWidth="true" hidden="false" outlineLevel="0" max="2" min="2" style="0" width="7.55"/>
    <col collapsed="false" customWidth="true" hidden="false" outlineLevel="0" max="5" min="5" style="0" width="14.99"/>
    <col collapsed="false" customWidth="true" hidden="false" outlineLevel="0" max="6" min="6" style="0" width="13.43"/>
    <col collapsed="false" customWidth="true" hidden="false" outlineLevel="0" max="7" min="7" style="0" width="10.99"/>
    <col collapsed="false" customWidth="true" hidden="false" outlineLevel="0" max="8" min="8" style="0" width="8.43"/>
    <col collapsed="false" customWidth="true" hidden="false" outlineLevel="0" max="9" min="9" style="0" width="7.99"/>
    <col collapsed="false" customWidth="true" hidden="false" outlineLevel="0" max="10" min="10" style="2" width="6.55"/>
    <col collapsed="false" customWidth="true" hidden="false" outlineLevel="0" max="11" min="11" style="0" width="7.32"/>
    <col collapsed="false" customWidth="true" hidden="false" outlineLevel="0" max="13" min="13" style="0" width="11.32"/>
    <col collapsed="false" customWidth="true" hidden="false" outlineLevel="0" max="14" min="14" style="0" width="13.99"/>
    <col collapsed="false" customWidth="true" hidden="false" outlineLevel="0" max="15" min="15" style="0" width="12.1"/>
    <col collapsed="false" customWidth="true" hidden="false" outlineLevel="0" max="16" min="16" style="0" width="13.87"/>
    <col collapsed="false" customWidth="true" hidden="false" outlineLevel="0" max="17" min="17" style="0" width="7.1"/>
    <col collapsed="false" customWidth="true" hidden="false" outlineLevel="0" max="18" min="18" style="0" width="6.55"/>
    <col collapsed="false" customWidth="true" hidden="false" outlineLevel="0" max="19" min="19" style="0" width="5.99"/>
    <col collapsed="false" customWidth="true" hidden="false" outlineLevel="0" max="20" min="20" style="0" width="7.32"/>
    <col collapsed="false" customWidth="true" hidden="false" outlineLevel="0" max="21" min="21" style="0" width="8.43"/>
    <col collapsed="false" customWidth="true" hidden="false" outlineLevel="0" max="22" min="22" style="0" width="13.33"/>
    <col collapsed="false" customWidth="true" hidden="false" outlineLevel="0" max="23" min="23" style="0" width="14.43"/>
    <col collapsed="false" customWidth="true" hidden="false" outlineLevel="0" max="24" min="24" style="0" width="11.1"/>
    <col collapsed="false" customWidth="true" hidden="false" outlineLevel="0" max="25" min="25" style="0" width="14.1"/>
    <col collapsed="false" customWidth="true" hidden="false" outlineLevel="0" max="26" min="26" style="0" width="7.55"/>
    <col collapsed="false" customWidth="true" hidden="false" outlineLevel="0" max="27" min="27" style="0" width="6.32"/>
    <col collapsed="false" customWidth="true" hidden="false" outlineLevel="0" max="28" min="28" style="0" width="3.32"/>
    <col collapsed="false" customWidth="true" hidden="false" outlineLevel="0" max="29" min="29" style="0" width="6.99"/>
    <col collapsed="false" customWidth="true" hidden="false" outlineLevel="0" max="31" min="31" style="0" width="12.1"/>
    <col collapsed="false" customWidth="true" hidden="false" outlineLevel="0" max="32" min="32" style="0" width="13.87"/>
    <col collapsed="false" customWidth="true" hidden="false" outlineLevel="0" max="33" min="33" style="0" width="21.55"/>
    <col collapsed="false" customWidth="true" hidden="false" outlineLevel="0" max="34" min="34" style="0" width="11.32"/>
    <col collapsed="false" customWidth="true" hidden="false" outlineLevel="0" max="36" min="36" style="0" width="3.1"/>
    <col collapsed="false" customWidth="true" hidden="false" outlineLevel="0" max="37" min="37" style="0" width="3.43"/>
    <col collapsed="false" customWidth="true" hidden="false" outlineLevel="0" max="38" min="38" style="0" width="3.87"/>
    <col collapsed="false" customWidth="true" hidden="false" outlineLevel="0" max="39" min="39" style="0" width="6.32"/>
    <col collapsed="false" customWidth="true" hidden="false" outlineLevel="0" max="40" min="40" style="0" width="12.1"/>
    <col collapsed="false" customWidth="true" hidden="false" outlineLevel="0" max="41" min="41" style="50" width="16.99"/>
    <col collapsed="false" customWidth="true" hidden="false" outlineLevel="0" max="42" min="42" style="50" width="10.55"/>
    <col collapsed="false" customWidth="true" hidden="false" outlineLevel="0" max="43" min="43" style="0" width="21.88"/>
    <col collapsed="false" customWidth="true" hidden="false" outlineLevel="0" max="44" min="44" style="0" width="8.99"/>
    <col collapsed="false" customWidth="true" hidden="false" outlineLevel="0" max="45" min="45" style="0" width="2.99"/>
    <col collapsed="false" customWidth="true" hidden="false" outlineLevel="0" max="46" min="46" style="0" width="3.32"/>
    <col collapsed="false" customWidth="true" hidden="false" outlineLevel="0" max="47" min="47" style="0" width="4.99"/>
    <col collapsed="false" customWidth="true" hidden="false" outlineLevel="0" max="48" min="48" style="0" width="3.87"/>
    <col collapsed="false" customWidth="true" hidden="false" outlineLevel="0" max="49" min="49" style="0" width="5.87"/>
    <col collapsed="false" customWidth="true" hidden="false" outlineLevel="0" max="50" min="50" style="0" width="7.99"/>
    <col collapsed="false" customWidth="true" hidden="false" outlineLevel="0" max="51" min="51" style="0" width="33.43"/>
    <col collapsed="false" customWidth="true" hidden="false" outlineLevel="0" max="52" min="52" style="0" width="15.87"/>
    <col collapsed="false" customWidth="true" hidden="false" outlineLevel="0" max="53" min="53" style="0" width="5.66"/>
    <col collapsed="false" customWidth="true" hidden="false" outlineLevel="0" max="54" min="54" style="0" width="7.1"/>
    <col collapsed="false" customWidth="true" hidden="false" outlineLevel="0" max="55" min="55" style="0" width="4.43"/>
    <col collapsed="false" customWidth="true" hidden="false" outlineLevel="0" max="56" min="56" style="0" width="4.87"/>
    <col collapsed="false" customWidth="true" hidden="false" outlineLevel="0" max="58" min="57" style="0" width="4.66"/>
    <col collapsed="false" customWidth="true" hidden="false" outlineLevel="0" max="59" min="59" style="0" width="5.55"/>
    <col collapsed="false" customWidth="true" hidden="false" outlineLevel="0" max="60" min="60" style="0" width="6.66"/>
    <col collapsed="false" customWidth="true" hidden="false" outlineLevel="0" max="61" min="61" style="0" width="7.43"/>
    <col collapsed="false" customWidth="true" hidden="false" outlineLevel="0" max="62" min="62" style="0" width="6.43"/>
    <col collapsed="false" customWidth="true" hidden="false" outlineLevel="0" max="63" min="63" style="0" width="7.88"/>
    <col collapsed="false" customWidth="true" hidden="false" outlineLevel="0" max="64" min="64" style="0" width="15.1"/>
    <col collapsed="false" customWidth="true" hidden="false" outlineLevel="0" max="65" min="65" style="0" width="12.88"/>
    <col collapsed="false" customWidth="true" hidden="false" outlineLevel="0" max="66" min="66" style="0" width="5.1"/>
    <col collapsed="false" customWidth="true" hidden="false" outlineLevel="0" max="68" min="67" style="0" width="4.87"/>
    <col collapsed="false" customWidth="true" hidden="false" outlineLevel="0" max="69" min="69" style="0" width="3.32"/>
    <col collapsed="false" customWidth="true" hidden="false" outlineLevel="0" max="70" min="70" style="0" width="7.32"/>
    <col collapsed="false" customWidth="true" hidden="false" outlineLevel="0" max="72" min="72" style="0" width="13.33"/>
    <col collapsed="false" customWidth="true" hidden="false" outlineLevel="0" max="73" min="73" style="0" width="23.99"/>
    <col collapsed="false" customWidth="true" hidden="false" outlineLevel="0" max="74" min="74" style="0" width="11.66"/>
    <col collapsed="false" customWidth="true" hidden="false" outlineLevel="0" max="75" min="75" style="0" width="8.43"/>
    <col collapsed="false" customWidth="true" hidden="false" outlineLevel="0" max="76" min="76" style="0" width="7.88"/>
    <col collapsed="false" customWidth="true" hidden="false" outlineLevel="0" max="77" min="77" style="0" width="3.55"/>
  </cols>
  <sheetData>
    <row r="1" customFormat="false" ht="13.8" hidden="false" customHeight="false" outlineLevel="0" collapsed="false">
      <c r="B1" s="4"/>
      <c r="C1" s="5"/>
      <c r="D1" s="5"/>
      <c r="E1" s="5"/>
      <c r="F1" s="5"/>
      <c r="G1" s="5"/>
      <c r="H1" s="6"/>
      <c r="K1" s="4"/>
      <c r="L1" s="5"/>
      <c r="M1" s="5"/>
      <c r="N1" s="5"/>
      <c r="O1" s="5"/>
      <c r="P1" s="5"/>
      <c r="Q1" s="6"/>
      <c r="T1" s="4"/>
      <c r="U1" s="5"/>
      <c r="V1" s="5"/>
      <c r="W1" s="5"/>
      <c r="X1" s="5"/>
      <c r="Y1" s="5"/>
      <c r="Z1" s="6"/>
      <c r="AA1" s="9"/>
      <c r="AB1" s="7"/>
      <c r="AC1" s="4"/>
      <c r="AD1" s="5"/>
      <c r="AE1" s="5"/>
      <c r="AF1" s="5"/>
      <c r="AG1" s="5"/>
      <c r="AH1" s="5"/>
      <c r="AI1" s="8"/>
      <c r="AJ1" s="7"/>
      <c r="AL1" s="4"/>
      <c r="AM1" s="5"/>
      <c r="AN1" s="5"/>
      <c r="AO1" s="5"/>
      <c r="AP1" s="5"/>
      <c r="AQ1" s="5"/>
      <c r="AR1" s="5"/>
      <c r="AS1" s="8"/>
      <c r="AT1" s="9"/>
      <c r="AV1" s="10"/>
      <c r="AW1" s="11"/>
      <c r="AX1" s="11"/>
      <c r="AY1" s="11"/>
      <c r="AZ1" s="11"/>
      <c r="BA1" s="11"/>
      <c r="BB1" s="12"/>
      <c r="BE1" s="4"/>
      <c r="BF1" s="5"/>
      <c r="BG1" s="5"/>
      <c r="BH1" s="5"/>
      <c r="BI1" s="5"/>
      <c r="BJ1" s="5"/>
      <c r="BK1" s="5"/>
      <c r="BL1" s="5"/>
      <c r="BM1" s="5"/>
      <c r="BN1" s="5"/>
      <c r="BO1" s="6"/>
      <c r="BR1" s="10"/>
      <c r="BS1" s="11"/>
      <c r="BT1" s="11"/>
      <c r="BU1" s="11"/>
      <c r="BV1" s="11"/>
      <c r="BW1" s="11"/>
      <c r="BX1" s="12"/>
    </row>
    <row r="2" customFormat="false" ht="17.4" hidden="false" customHeight="false" outlineLevel="0" collapsed="false">
      <c r="B2" s="14"/>
      <c r="C2" s="17" t="s">
        <v>171</v>
      </c>
      <c r="D2" s="26" t="s">
        <v>172</v>
      </c>
      <c r="E2" s="17"/>
      <c r="F2" s="27"/>
      <c r="G2" s="19"/>
      <c r="H2" s="20"/>
      <c r="K2" s="14"/>
      <c r="L2" s="17" t="s">
        <v>173</v>
      </c>
      <c r="M2" s="26" t="s">
        <v>174</v>
      </c>
      <c r="N2" s="17"/>
      <c r="O2" s="17"/>
      <c r="P2" s="17"/>
      <c r="Q2" s="23"/>
      <c r="T2" s="14"/>
      <c r="U2" s="17" t="s">
        <v>175</v>
      </c>
      <c r="V2" s="26" t="s">
        <v>176</v>
      </c>
      <c r="W2" s="17"/>
      <c r="X2" s="17"/>
      <c r="Y2" s="17"/>
      <c r="Z2" s="23"/>
      <c r="AA2" s="24"/>
      <c r="AB2" s="7"/>
      <c r="AC2" s="14"/>
      <c r="AD2" s="17" t="s">
        <v>3</v>
      </c>
      <c r="AE2" s="23" t="s">
        <v>4</v>
      </c>
      <c r="AF2" s="23"/>
      <c r="AG2" s="23"/>
      <c r="AH2" s="23"/>
      <c r="AI2" s="23"/>
      <c r="AJ2" s="7"/>
      <c r="AL2" s="14"/>
      <c r="AM2" s="17" t="s">
        <v>3</v>
      </c>
      <c r="AN2" s="17" t="s">
        <v>177</v>
      </c>
      <c r="AO2" s="17"/>
      <c r="AP2" s="17"/>
      <c r="AQ2" s="17"/>
      <c r="AR2" s="17"/>
      <c r="AS2" s="23"/>
      <c r="AT2" s="24"/>
      <c r="AV2" s="25"/>
      <c r="AW2" s="15" t="s">
        <v>7</v>
      </c>
      <c r="AX2" s="26" t="s">
        <v>178</v>
      </c>
      <c r="AY2" s="17"/>
      <c r="AZ2" s="27"/>
      <c r="BA2" s="19"/>
      <c r="BB2" s="28"/>
      <c r="BE2" s="14"/>
      <c r="BF2" s="15" t="s">
        <v>9</v>
      </c>
      <c r="BG2" s="16"/>
      <c r="BH2" s="200"/>
      <c r="BI2" s="200" t="s">
        <v>179</v>
      </c>
      <c r="BJ2" s="19"/>
      <c r="BK2" s="19"/>
      <c r="BL2" s="19"/>
      <c r="BM2" s="19"/>
      <c r="BN2" s="19"/>
      <c r="BO2" s="20"/>
      <c r="BR2" s="25"/>
      <c r="BS2" s="15" t="s">
        <v>11</v>
      </c>
      <c r="BT2" s="26" t="s">
        <v>180</v>
      </c>
      <c r="BU2" s="17"/>
      <c r="BV2" s="27"/>
      <c r="BW2" s="19"/>
      <c r="BX2" s="28"/>
    </row>
    <row r="3" customFormat="false" ht="17.4" hidden="false" customHeight="false" outlineLevel="0" collapsed="false">
      <c r="B3" s="29" t="s">
        <v>14</v>
      </c>
      <c r="C3" s="30"/>
      <c r="D3" s="16"/>
      <c r="E3" s="31"/>
      <c r="F3" s="19"/>
      <c r="G3" s="19"/>
      <c r="H3" s="20"/>
      <c r="K3" s="29" t="s">
        <v>14</v>
      </c>
      <c r="L3" s="30"/>
      <c r="M3" s="16"/>
      <c r="N3" s="31"/>
      <c r="O3" s="19"/>
      <c r="P3" s="19"/>
      <c r="Q3" s="20"/>
      <c r="T3" s="29" t="s">
        <v>14</v>
      </c>
      <c r="U3" s="30"/>
      <c r="V3" s="16"/>
      <c r="W3" s="31"/>
      <c r="X3" s="19"/>
      <c r="Y3" s="19"/>
      <c r="Z3" s="20"/>
      <c r="AA3" s="24"/>
      <c r="AB3" s="7"/>
      <c r="AC3" s="29" t="s">
        <v>14</v>
      </c>
      <c r="AD3" s="30"/>
      <c r="AE3" s="16"/>
      <c r="AF3" s="31"/>
      <c r="AG3" s="19"/>
      <c r="AH3" s="19"/>
      <c r="AI3" s="32"/>
      <c r="AJ3" s="7"/>
      <c r="AL3" s="29" t="s">
        <v>14</v>
      </c>
      <c r="AM3" s="30"/>
      <c r="AN3" s="16"/>
      <c r="AO3" s="16"/>
      <c r="AP3" s="31"/>
      <c r="AQ3" s="19"/>
      <c r="AR3" s="19"/>
      <c r="AS3" s="32"/>
      <c r="AT3" s="24"/>
      <c r="AV3" s="29" t="s">
        <v>14</v>
      </c>
      <c r="AW3" s="30"/>
      <c r="AX3" s="16"/>
      <c r="AY3" s="31"/>
      <c r="AZ3" s="19"/>
      <c r="BA3" s="19"/>
      <c r="BB3" s="32"/>
      <c r="BE3" s="29" t="s">
        <v>14</v>
      </c>
      <c r="BF3" s="30"/>
      <c r="BG3" s="16"/>
      <c r="BH3" s="31"/>
      <c r="BI3" s="19"/>
      <c r="BJ3" s="19"/>
      <c r="BK3" s="19"/>
      <c r="BL3" s="19"/>
      <c r="BM3" s="19"/>
      <c r="BN3" s="19"/>
      <c r="BO3" s="20"/>
      <c r="BR3" s="29" t="s">
        <v>14</v>
      </c>
      <c r="BS3" s="30"/>
      <c r="BT3" s="16"/>
      <c r="BU3" s="31"/>
      <c r="BV3" s="19"/>
      <c r="BW3" s="19"/>
      <c r="BX3" s="32"/>
    </row>
    <row r="4" customFormat="false" ht="13.2" hidden="false" customHeight="false" outlineLevel="0" collapsed="false">
      <c r="A4" s="33"/>
      <c r="B4" s="37"/>
      <c r="C4" s="201" t="s">
        <v>181</v>
      </c>
      <c r="D4" s="201"/>
      <c r="E4" s="201"/>
      <c r="F4" s="201"/>
      <c r="G4" s="201"/>
      <c r="H4" s="201"/>
      <c r="J4" s="33"/>
      <c r="K4" s="34"/>
      <c r="L4" s="201" t="s">
        <v>181</v>
      </c>
      <c r="M4" s="201"/>
      <c r="N4" s="201"/>
      <c r="O4" s="201"/>
      <c r="P4" s="201"/>
      <c r="Q4" s="201"/>
      <c r="T4" s="34"/>
      <c r="U4" s="202" t="s">
        <v>181</v>
      </c>
      <c r="V4" s="202"/>
      <c r="W4" s="202"/>
      <c r="X4" s="202"/>
      <c r="Y4" s="202"/>
      <c r="Z4" s="201"/>
      <c r="AA4" s="36"/>
      <c r="AB4" s="7"/>
      <c r="AC4" s="29"/>
      <c r="AD4" s="201" t="s">
        <v>181</v>
      </c>
      <c r="AE4" s="201"/>
      <c r="AF4" s="201"/>
      <c r="AG4" s="201"/>
      <c r="AH4" s="201"/>
      <c r="AI4" s="201"/>
      <c r="AJ4" s="7"/>
      <c r="AL4" s="29"/>
      <c r="AM4" s="202" t="s">
        <v>181</v>
      </c>
      <c r="AN4" s="202"/>
      <c r="AO4" s="202"/>
      <c r="AP4" s="202"/>
      <c r="AQ4" s="202"/>
      <c r="AR4" s="202"/>
      <c r="AS4" s="201"/>
      <c r="AT4" s="36"/>
      <c r="AV4" s="37"/>
      <c r="AW4" s="36" t="s">
        <v>182</v>
      </c>
      <c r="AX4" s="36"/>
      <c r="AY4" s="36"/>
      <c r="AZ4" s="36"/>
      <c r="BA4" s="36"/>
      <c r="BB4" s="35"/>
      <c r="BE4" s="203"/>
      <c r="BF4" s="202" t="s">
        <v>181</v>
      </c>
      <c r="BG4" s="202"/>
      <c r="BH4" s="202"/>
      <c r="BI4" s="202"/>
      <c r="BJ4" s="202"/>
      <c r="BK4" s="202"/>
      <c r="BL4" s="202"/>
      <c r="BM4" s="202"/>
      <c r="BN4" s="202"/>
      <c r="BO4" s="201"/>
      <c r="BR4" s="29"/>
      <c r="BS4" s="36" t="s">
        <v>182</v>
      </c>
      <c r="BT4" s="36"/>
      <c r="BU4" s="36"/>
      <c r="BV4" s="36"/>
      <c r="BW4" s="36"/>
      <c r="BX4" s="35"/>
    </row>
    <row r="5" customFormat="false" ht="13.2" hidden="false" customHeight="false" outlineLevel="0" collapsed="false">
      <c r="A5" s="40"/>
      <c r="B5" s="34"/>
      <c r="C5" s="35" t="s">
        <v>183</v>
      </c>
      <c r="D5" s="35"/>
      <c r="E5" s="35"/>
      <c r="F5" s="35"/>
      <c r="G5" s="35"/>
      <c r="H5" s="35"/>
      <c r="J5" s="40"/>
      <c r="K5" s="34"/>
      <c r="L5" s="35" t="s">
        <v>183</v>
      </c>
      <c r="M5" s="35"/>
      <c r="N5" s="35"/>
      <c r="O5" s="35"/>
      <c r="P5" s="35"/>
      <c r="Q5" s="35"/>
      <c r="T5" s="34"/>
      <c r="U5" s="36" t="s">
        <v>183</v>
      </c>
      <c r="V5" s="36"/>
      <c r="W5" s="36"/>
      <c r="X5" s="36"/>
      <c r="Y5" s="36"/>
      <c r="Z5" s="35"/>
      <c r="AA5" s="43"/>
      <c r="AB5" s="7"/>
      <c r="AC5" s="29"/>
      <c r="AD5" s="35" t="s">
        <v>184</v>
      </c>
      <c r="AE5" s="35"/>
      <c r="AF5" s="35"/>
      <c r="AG5" s="35"/>
      <c r="AH5" s="35"/>
      <c r="AI5" s="35"/>
      <c r="AJ5" s="7"/>
      <c r="AL5" s="29"/>
      <c r="AM5" s="36" t="s">
        <v>185</v>
      </c>
      <c r="AN5" s="36"/>
      <c r="AO5" s="36"/>
      <c r="AP5" s="36"/>
      <c r="AQ5" s="36"/>
      <c r="AR5" s="36"/>
      <c r="AS5" s="35"/>
      <c r="AT5" s="43"/>
      <c r="AV5" s="37"/>
      <c r="AW5" s="46" t="s">
        <v>186</v>
      </c>
      <c r="AX5" s="46"/>
      <c r="AY5" s="46"/>
      <c r="AZ5" s="46"/>
      <c r="BA5" s="46"/>
      <c r="BB5" s="47"/>
      <c r="BE5" s="34"/>
      <c r="BF5" s="36" t="s">
        <v>187</v>
      </c>
      <c r="BG5" s="36"/>
      <c r="BH5" s="36"/>
      <c r="BI5" s="36"/>
      <c r="BJ5" s="36"/>
      <c r="BK5" s="36"/>
      <c r="BL5" s="36"/>
      <c r="BM5" s="36"/>
      <c r="BN5" s="36"/>
      <c r="BO5" s="35"/>
      <c r="BR5" s="37"/>
      <c r="BS5" s="46" t="s">
        <v>188</v>
      </c>
      <c r="BT5" s="46"/>
      <c r="BU5" s="46"/>
      <c r="BV5" s="46"/>
      <c r="BW5" s="46"/>
      <c r="BX5" s="47"/>
    </row>
    <row r="6" customFormat="false" ht="13.2" hidden="false" customHeight="false" outlineLevel="0" collapsed="false">
      <c r="A6" s="48"/>
      <c r="B6" s="34"/>
      <c r="C6" s="204" t="s">
        <v>189</v>
      </c>
      <c r="D6" s="204"/>
      <c r="E6" s="204"/>
      <c r="F6" s="204"/>
      <c r="G6" s="204"/>
      <c r="H6" s="204"/>
      <c r="J6" s="48"/>
      <c r="K6" s="34"/>
      <c r="L6" s="204" t="s">
        <v>189</v>
      </c>
      <c r="M6" s="204"/>
      <c r="N6" s="204"/>
      <c r="O6" s="204"/>
      <c r="P6" s="204"/>
      <c r="Q6" s="204"/>
      <c r="T6" s="34"/>
      <c r="U6" s="44" t="s">
        <v>190</v>
      </c>
      <c r="V6" s="44"/>
      <c r="W6" s="44"/>
      <c r="X6" s="44"/>
      <c r="Y6" s="44"/>
      <c r="Z6" s="204"/>
      <c r="AA6" s="45"/>
      <c r="AB6" s="7"/>
      <c r="AC6" s="29"/>
      <c r="AD6" s="204" t="s">
        <v>191</v>
      </c>
      <c r="AE6" s="204"/>
      <c r="AF6" s="204"/>
      <c r="AG6" s="204"/>
      <c r="AH6" s="204"/>
      <c r="AI6" s="204"/>
      <c r="AJ6" s="7"/>
      <c r="AL6" s="29"/>
      <c r="AM6" s="44" t="s">
        <v>192</v>
      </c>
      <c r="AN6" s="44"/>
      <c r="AO6" s="44"/>
      <c r="AP6" s="44"/>
      <c r="AQ6" s="44"/>
      <c r="AR6" s="44"/>
      <c r="AS6" s="204"/>
      <c r="AT6" s="36"/>
      <c r="AV6" s="37"/>
      <c r="AW6" s="46" t="s">
        <v>193</v>
      </c>
      <c r="AX6" s="46"/>
      <c r="AY6" s="46"/>
      <c r="AZ6" s="46"/>
      <c r="BA6" s="46"/>
      <c r="BB6" s="47"/>
      <c r="BE6" s="34"/>
      <c r="BF6" s="43" t="s">
        <v>194</v>
      </c>
      <c r="BG6" s="43"/>
      <c r="BH6" s="43"/>
      <c r="BI6" s="43"/>
      <c r="BJ6" s="43"/>
      <c r="BK6" s="43"/>
      <c r="BL6" s="43"/>
      <c r="BM6" s="43"/>
      <c r="BN6" s="43"/>
      <c r="BO6" s="42"/>
      <c r="BR6" s="37"/>
      <c r="BS6" s="46" t="s">
        <v>193</v>
      </c>
      <c r="BT6" s="46"/>
      <c r="BU6" s="46"/>
      <c r="BV6" s="46"/>
      <c r="BW6" s="46"/>
      <c r="BX6" s="47"/>
    </row>
    <row r="7" customFormat="false" ht="13.2" hidden="false" customHeight="false" outlineLevel="0" collapsed="false">
      <c r="A7" s="48"/>
      <c r="B7" s="34"/>
      <c r="C7" s="205" t="s">
        <v>195</v>
      </c>
      <c r="D7" s="205"/>
      <c r="E7" s="205"/>
      <c r="F7" s="205"/>
      <c r="G7" s="205"/>
      <c r="H7" s="206"/>
      <c r="J7" s="48"/>
      <c r="K7" s="37"/>
      <c r="L7" s="205" t="s">
        <v>196</v>
      </c>
      <c r="M7" s="207"/>
      <c r="N7" s="207"/>
      <c r="O7" s="207"/>
      <c r="P7" s="207"/>
      <c r="Q7" s="208"/>
      <c r="T7" s="37"/>
      <c r="U7" s="209" t="s">
        <v>197</v>
      </c>
      <c r="V7" s="207"/>
      <c r="W7" s="207"/>
      <c r="X7" s="207"/>
      <c r="Y7" s="207"/>
      <c r="Z7" s="208"/>
      <c r="AA7" s="207"/>
      <c r="AB7" s="7"/>
      <c r="AC7" s="29"/>
      <c r="AD7" s="44" t="s">
        <v>198</v>
      </c>
      <c r="AE7" s="44"/>
      <c r="AF7" s="44"/>
      <c r="AG7" s="44"/>
      <c r="AH7" s="44"/>
      <c r="AI7" s="204"/>
      <c r="AJ7" s="7"/>
      <c r="AL7" s="29"/>
      <c r="AM7" s="44" t="s">
        <v>199</v>
      </c>
      <c r="AN7" s="44"/>
      <c r="AO7" s="44"/>
      <c r="AP7" s="44"/>
      <c r="AQ7" s="44"/>
      <c r="AR7" s="44"/>
      <c r="AS7" s="204"/>
      <c r="AT7" s="45"/>
      <c r="AV7" s="37"/>
      <c r="AW7" s="46" t="s">
        <v>200</v>
      </c>
      <c r="AX7" s="46"/>
      <c r="AY7" s="46"/>
      <c r="AZ7" s="46"/>
      <c r="BA7" s="46"/>
      <c r="BB7" s="47"/>
      <c r="BE7" s="101"/>
      <c r="BF7" s="102" t="s">
        <v>113</v>
      </c>
      <c r="BG7" s="102"/>
      <c r="BH7" s="102"/>
      <c r="BI7" s="103"/>
      <c r="BJ7" s="103"/>
      <c r="BK7" s="103"/>
      <c r="BL7" s="103"/>
      <c r="BM7" s="103"/>
      <c r="BN7" s="103"/>
      <c r="BO7" s="20"/>
      <c r="BR7" s="37"/>
      <c r="BS7" s="46" t="s">
        <v>200</v>
      </c>
      <c r="BT7" s="46"/>
      <c r="BU7" s="46"/>
      <c r="BV7" s="46"/>
      <c r="BW7" s="46"/>
      <c r="BX7" s="47"/>
    </row>
    <row r="8" customFormat="false" ht="15" hidden="false" customHeight="false" outlineLevel="0" collapsed="false">
      <c r="A8" s="48"/>
      <c r="B8" s="37"/>
      <c r="C8" s="204" t="s">
        <v>201</v>
      </c>
      <c r="D8" s="204"/>
      <c r="E8" s="204"/>
      <c r="F8" s="204"/>
      <c r="G8" s="204"/>
      <c r="H8" s="204"/>
      <c r="J8" s="48"/>
      <c r="K8" s="37"/>
      <c r="L8" s="44" t="s">
        <v>202</v>
      </c>
      <c r="M8" s="207"/>
      <c r="N8" s="207"/>
      <c r="O8" s="207"/>
      <c r="P8" s="207"/>
      <c r="Q8" s="208"/>
      <c r="T8" s="37"/>
      <c r="U8" s="210" t="s">
        <v>203</v>
      </c>
      <c r="V8" s="207"/>
      <c r="W8" s="207"/>
      <c r="X8" s="207"/>
      <c r="Y8" s="207"/>
      <c r="Z8" s="208"/>
      <c r="AA8" s="207"/>
      <c r="AB8" s="7"/>
      <c r="AC8" s="29"/>
      <c r="AD8" s="205" t="s">
        <v>204</v>
      </c>
      <c r="AE8" s="207"/>
      <c r="AF8" s="207"/>
      <c r="AG8" s="207"/>
      <c r="AH8" s="207"/>
      <c r="AI8" s="208"/>
      <c r="AJ8" s="7"/>
      <c r="AL8" s="29"/>
      <c r="AM8" s="209" t="s">
        <v>205</v>
      </c>
      <c r="AN8" s="207"/>
      <c r="AO8" s="207"/>
      <c r="AP8" s="207"/>
      <c r="AQ8" s="207"/>
      <c r="AR8" s="207"/>
      <c r="AS8" s="208"/>
      <c r="AT8" s="51"/>
      <c r="AV8" s="37"/>
      <c r="AW8" s="53"/>
      <c r="AX8" s="53"/>
      <c r="AY8" s="53"/>
      <c r="AZ8" s="53"/>
      <c r="BA8" s="53"/>
      <c r="BB8" s="54"/>
      <c r="BE8" s="101"/>
      <c r="BF8" s="211" t="s">
        <v>118</v>
      </c>
      <c r="BG8" s="113"/>
      <c r="BH8" s="113"/>
      <c r="BI8" s="113"/>
      <c r="BJ8" s="113"/>
      <c r="BK8" s="113"/>
      <c r="BL8" s="113"/>
      <c r="BM8" s="114"/>
      <c r="BN8" s="115"/>
      <c r="BO8" s="20"/>
      <c r="BR8" s="37"/>
      <c r="BS8" s="53"/>
      <c r="BT8" s="53"/>
      <c r="BU8" s="53"/>
      <c r="BV8" s="53"/>
      <c r="BW8" s="53"/>
      <c r="BX8" s="54"/>
    </row>
    <row r="9" customFormat="false" ht="15" hidden="false" customHeight="false" outlineLevel="0" collapsed="false">
      <c r="A9" s="48"/>
      <c r="B9" s="37"/>
      <c r="C9" s="35" t="s">
        <v>206</v>
      </c>
      <c r="D9" s="35"/>
      <c r="E9" s="35"/>
      <c r="F9" s="35"/>
      <c r="G9" s="35"/>
      <c r="H9" s="35"/>
      <c r="J9" s="48"/>
      <c r="K9" s="37"/>
      <c r="L9" s="36" t="s">
        <v>207</v>
      </c>
      <c r="M9" s="207"/>
      <c r="N9" s="207"/>
      <c r="O9" s="207"/>
      <c r="P9" s="207"/>
      <c r="Q9" s="208"/>
      <c r="T9" s="37"/>
      <c r="U9" s="36" t="s">
        <v>208</v>
      </c>
      <c r="V9" s="207"/>
      <c r="W9" s="207"/>
      <c r="X9" s="207"/>
      <c r="Y9" s="207"/>
      <c r="Z9" s="208"/>
      <c r="AA9" s="207"/>
      <c r="AB9" s="7"/>
      <c r="AC9" s="29"/>
      <c r="AD9" s="205" t="s">
        <v>209</v>
      </c>
      <c r="AE9" s="207"/>
      <c r="AF9" s="207"/>
      <c r="AG9" s="207"/>
      <c r="AH9" s="207"/>
      <c r="AI9" s="208"/>
      <c r="AJ9" s="7"/>
      <c r="AL9" s="29"/>
      <c r="AM9" s="209" t="s">
        <v>210</v>
      </c>
      <c r="AN9" s="207"/>
      <c r="AO9" s="207"/>
      <c r="AP9" s="207"/>
      <c r="AQ9" s="207"/>
      <c r="AR9" s="207"/>
      <c r="AS9" s="208"/>
      <c r="AT9" s="45"/>
      <c r="AV9" s="37"/>
      <c r="AW9" s="212" t="s">
        <v>91</v>
      </c>
      <c r="AX9" s="88"/>
      <c r="AY9" s="88"/>
      <c r="AZ9" s="88"/>
      <c r="BA9" s="89"/>
      <c r="BB9" s="28"/>
      <c r="BE9" s="101"/>
      <c r="BF9" s="150"/>
      <c r="BG9" s="172"/>
      <c r="BH9" s="213"/>
      <c r="BI9" s="213"/>
      <c r="BJ9" s="213"/>
      <c r="BK9" s="213"/>
      <c r="BL9" s="213"/>
      <c r="BM9" s="213"/>
      <c r="BN9" s="131"/>
      <c r="BO9" s="20"/>
      <c r="BR9" s="37"/>
      <c r="BS9" s="58" t="s">
        <v>58</v>
      </c>
      <c r="BT9" s="59"/>
      <c r="BU9" s="59"/>
      <c r="BV9" s="59"/>
      <c r="BW9" s="60"/>
      <c r="BX9" s="28"/>
    </row>
    <row r="10" customFormat="false" ht="15" hidden="false" customHeight="false" outlineLevel="0" collapsed="false">
      <c r="A10" s="55"/>
      <c r="B10" s="37"/>
      <c r="C10" s="36"/>
      <c r="D10" s="51"/>
      <c r="E10" s="51"/>
      <c r="F10" s="51"/>
      <c r="G10" s="51"/>
      <c r="H10" s="57"/>
      <c r="J10" s="55"/>
      <c r="K10" s="37"/>
      <c r="L10" s="44" t="s">
        <v>211</v>
      </c>
      <c r="M10" s="207"/>
      <c r="N10" s="207"/>
      <c r="O10" s="207"/>
      <c r="P10" s="207"/>
      <c r="Q10" s="208"/>
      <c r="T10" s="37"/>
      <c r="U10" s="44" t="s">
        <v>212</v>
      </c>
      <c r="V10" s="207"/>
      <c r="W10" s="207"/>
      <c r="X10" s="207"/>
      <c r="Y10" s="207"/>
      <c r="Z10" s="208"/>
      <c r="AA10" s="207"/>
      <c r="AB10" s="7"/>
      <c r="AC10" s="29"/>
      <c r="AD10" s="35" t="s">
        <v>213</v>
      </c>
      <c r="AE10" s="35"/>
      <c r="AF10" s="35"/>
      <c r="AG10" s="35"/>
      <c r="AH10" s="35"/>
      <c r="AI10" s="35"/>
      <c r="AJ10" s="7"/>
      <c r="AL10" s="29"/>
      <c r="AM10" s="36" t="s">
        <v>214</v>
      </c>
      <c r="AN10" s="36"/>
      <c r="AO10" s="36"/>
      <c r="AP10" s="36"/>
      <c r="AQ10" s="36"/>
      <c r="AR10" s="36"/>
      <c r="AS10" s="35"/>
      <c r="AT10" s="50"/>
      <c r="AV10" s="37"/>
      <c r="AW10" s="83"/>
      <c r="AX10" s="74" t="s">
        <v>99</v>
      </c>
      <c r="AY10" s="74"/>
      <c r="AZ10" s="90" t="n">
        <f aca="false">'Input-Start'!AI17</f>
        <v>7</v>
      </c>
      <c r="BA10" s="76"/>
      <c r="BB10" s="28"/>
      <c r="BE10" s="101"/>
      <c r="BF10" s="214"/>
      <c r="BG10" s="215" t="s">
        <v>96</v>
      </c>
      <c r="BH10" s="216" t="s">
        <v>215</v>
      </c>
      <c r="BI10" s="216"/>
      <c r="BJ10" s="216" t="s">
        <v>216</v>
      </c>
      <c r="BK10" s="216"/>
      <c r="BL10" s="216"/>
      <c r="BM10" s="216"/>
      <c r="BN10" s="217"/>
      <c r="BO10" s="20"/>
      <c r="BR10" s="37"/>
      <c r="BS10" s="66"/>
      <c r="BT10" s="67"/>
      <c r="BU10" s="67"/>
      <c r="BV10" s="67"/>
      <c r="BW10" s="68"/>
      <c r="BX10" s="28"/>
    </row>
    <row r="11" customFormat="false" ht="15" hidden="false" customHeight="false" outlineLevel="0" collapsed="false">
      <c r="A11" s="55"/>
      <c r="B11" s="101"/>
      <c r="C11" s="211" t="s">
        <v>117</v>
      </c>
      <c r="D11" s="113"/>
      <c r="E11" s="113"/>
      <c r="F11" s="114"/>
      <c r="G11" s="115"/>
      <c r="H11" s="20"/>
      <c r="J11" s="55"/>
      <c r="K11" s="37"/>
      <c r="L11" s="50" t="s">
        <v>217</v>
      </c>
      <c r="M11" s="51"/>
      <c r="N11" s="51"/>
      <c r="O11" s="51"/>
      <c r="P11" s="51"/>
      <c r="Q11" s="57"/>
      <c r="T11" s="37"/>
      <c r="U11" s="218" t="s">
        <v>217</v>
      </c>
      <c r="V11" s="51"/>
      <c r="W11" s="51"/>
      <c r="X11" s="51"/>
      <c r="Y11" s="51"/>
      <c r="Z11" s="57"/>
      <c r="AA11" s="51"/>
      <c r="AB11" s="7"/>
      <c r="AC11" s="25"/>
      <c r="AD11" s="27"/>
      <c r="AE11" s="27"/>
      <c r="AF11" s="27"/>
      <c r="AG11" s="27"/>
      <c r="AH11" s="27"/>
      <c r="AI11" s="28"/>
      <c r="AJ11" s="7"/>
      <c r="AL11" s="25"/>
      <c r="AM11" s="27"/>
      <c r="AN11" s="27"/>
      <c r="AO11" s="27"/>
      <c r="AP11" s="27"/>
      <c r="AQ11" s="27"/>
      <c r="AR11" s="27"/>
      <c r="AS11" s="28"/>
      <c r="AT11" s="51"/>
      <c r="AV11" s="37"/>
      <c r="AW11" s="83"/>
      <c r="AX11" s="74" t="s">
        <v>109</v>
      </c>
      <c r="AY11" s="74"/>
      <c r="AZ11" s="90" t="n">
        <f aca="false">'Input-Start'!AI18</f>
        <v>4.5</v>
      </c>
      <c r="BA11" s="76"/>
      <c r="BB11" s="28"/>
      <c r="BE11" s="101"/>
      <c r="BF11" s="214"/>
      <c r="BG11" s="215"/>
      <c r="BH11" s="219" t="s">
        <v>218</v>
      </c>
      <c r="BI11" s="219"/>
      <c r="BJ11" s="219" t="s">
        <v>218</v>
      </c>
      <c r="BK11" s="219"/>
      <c r="BL11" s="219" t="s">
        <v>219</v>
      </c>
      <c r="BM11" s="219"/>
      <c r="BN11" s="217"/>
      <c r="BO11" s="20"/>
      <c r="BR11" s="37"/>
      <c r="BS11" s="70" t="s">
        <v>70</v>
      </c>
      <c r="BT11" s="67"/>
      <c r="BU11" s="67"/>
      <c r="BV11" s="71" t="n">
        <f aca="false">'Input-Start'!BA12</f>
        <v>25</v>
      </c>
      <c r="BW11" s="68"/>
      <c r="BX11" s="28"/>
    </row>
    <row r="12" customFormat="false" ht="15" hidden="false" customHeight="true" outlineLevel="0" collapsed="false">
      <c r="A12" s="55"/>
      <c r="B12" s="101"/>
      <c r="C12" s="150"/>
      <c r="D12" s="172"/>
      <c r="E12" s="213"/>
      <c r="F12" s="213"/>
      <c r="G12" s="131"/>
      <c r="H12" s="20"/>
      <c r="J12" s="55"/>
      <c r="K12" s="37"/>
      <c r="L12" s="36" t="s">
        <v>220</v>
      </c>
      <c r="M12" s="50"/>
      <c r="N12" s="50"/>
      <c r="O12" s="50"/>
      <c r="P12" s="50"/>
      <c r="Q12" s="86"/>
      <c r="T12" s="37"/>
      <c r="U12" s="36" t="s">
        <v>220</v>
      </c>
      <c r="V12" s="218"/>
      <c r="W12" s="218"/>
      <c r="X12" s="218"/>
      <c r="Y12" s="218"/>
      <c r="Z12" s="220"/>
      <c r="AA12" s="51"/>
      <c r="AB12" s="7"/>
      <c r="AC12" s="25"/>
      <c r="AD12" s="96" t="s">
        <v>96</v>
      </c>
      <c r="AE12" s="96" t="s">
        <v>104</v>
      </c>
      <c r="AF12" s="97" t="s">
        <v>105</v>
      </c>
      <c r="AG12" s="97"/>
      <c r="AH12" s="97"/>
      <c r="AI12" s="28"/>
      <c r="AJ12" s="7"/>
      <c r="AL12" s="25"/>
      <c r="AM12" s="96" t="s">
        <v>96</v>
      </c>
      <c r="AN12" s="221" t="s">
        <v>97</v>
      </c>
      <c r="AO12" s="94" t="s">
        <v>105</v>
      </c>
      <c r="AP12" s="94"/>
      <c r="AQ12" s="94"/>
      <c r="AR12" s="94"/>
      <c r="AS12" s="28"/>
      <c r="AT12" s="51"/>
      <c r="AV12" s="25"/>
      <c r="AW12" s="83"/>
      <c r="AX12" s="74" t="s">
        <v>115</v>
      </c>
      <c r="AY12" s="74"/>
      <c r="AZ12" s="90" t="n">
        <f aca="false">'Input-Start'!AI19</f>
        <v>2.4</v>
      </c>
      <c r="BA12" s="76"/>
      <c r="BB12" s="28"/>
      <c r="BE12" s="101"/>
      <c r="BF12" s="214"/>
      <c r="BG12" s="215"/>
      <c r="BH12" s="222" t="s">
        <v>99</v>
      </c>
      <c r="BI12" s="223" t="s">
        <v>109</v>
      </c>
      <c r="BJ12" s="222" t="s">
        <v>99</v>
      </c>
      <c r="BK12" s="223" t="s">
        <v>109</v>
      </c>
      <c r="BL12" s="222" t="s">
        <v>221</v>
      </c>
      <c r="BM12" s="223" t="s">
        <v>148</v>
      </c>
      <c r="BN12" s="217"/>
      <c r="BO12" s="20"/>
      <c r="BR12" s="25"/>
      <c r="BS12" s="70" t="s">
        <v>76</v>
      </c>
      <c r="BT12" s="74"/>
      <c r="BU12" s="74"/>
      <c r="BV12" s="75" t="n">
        <f aca="false">'Input-Start'!BA13</f>
        <v>1.1</v>
      </c>
      <c r="BW12" s="76"/>
      <c r="BX12" s="28"/>
    </row>
    <row r="13" customFormat="false" ht="16.2" hidden="false" customHeight="false" outlineLevel="0" collapsed="false">
      <c r="A13" s="40"/>
      <c r="B13" s="101"/>
      <c r="C13" s="214"/>
      <c r="D13" s="215" t="s">
        <v>96</v>
      </c>
      <c r="E13" s="224" t="s">
        <v>222</v>
      </c>
      <c r="F13" s="225" t="s">
        <v>129</v>
      </c>
      <c r="G13" s="217"/>
      <c r="H13" s="20"/>
      <c r="J13" s="40"/>
      <c r="K13" s="37"/>
      <c r="L13" s="36" t="s">
        <v>223</v>
      </c>
      <c r="M13" s="51"/>
      <c r="N13" s="51"/>
      <c r="O13" s="51"/>
      <c r="P13" s="51"/>
      <c r="Q13" s="57"/>
      <c r="T13" s="37"/>
      <c r="U13" s="36" t="s">
        <v>224</v>
      </c>
      <c r="V13" s="51"/>
      <c r="W13" s="51"/>
      <c r="X13" s="51"/>
      <c r="Y13" s="51"/>
      <c r="Z13" s="57"/>
      <c r="AA13" s="24"/>
      <c r="AB13" s="7"/>
      <c r="AC13" s="25"/>
      <c r="AD13" s="96"/>
      <c r="AE13" s="96"/>
      <c r="AF13" s="104" t="s">
        <v>225</v>
      </c>
      <c r="AG13" s="104" t="s">
        <v>107</v>
      </c>
      <c r="AH13" s="104" t="s">
        <v>108</v>
      </c>
      <c r="AI13" s="28"/>
      <c r="AJ13" s="7"/>
      <c r="AL13" s="25"/>
      <c r="AM13" s="96"/>
      <c r="AN13" s="221"/>
      <c r="AO13" s="226" t="s">
        <v>104</v>
      </c>
      <c r="AP13" s="104" t="s">
        <v>106</v>
      </c>
      <c r="AQ13" s="227" t="s">
        <v>107</v>
      </c>
      <c r="AR13" s="104" t="s">
        <v>108</v>
      </c>
      <c r="AS13" s="28"/>
      <c r="AT13" s="51"/>
      <c r="AV13" s="25"/>
      <c r="AW13" s="70" t="s">
        <v>150</v>
      </c>
      <c r="AX13" s="74"/>
      <c r="AY13" s="74"/>
      <c r="AZ13" s="152"/>
      <c r="BA13" s="76"/>
      <c r="BB13" s="28"/>
      <c r="BE13" s="101"/>
      <c r="BF13" s="228"/>
      <c r="BG13" s="105" t="s">
        <v>114</v>
      </c>
      <c r="BH13" s="229" t="n">
        <f aca="false">'Input-Start'!AH22</f>
        <v>0.83</v>
      </c>
      <c r="BI13" s="230" t="n">
        <f aca="false">1-BH13</f>
        <v>0.17</v>
      </c>
      <c r="BJ13" s="229" t="n">
        <f aca="false">'Input-Start'!AH25</f>
        <v>0.83</v>
      </c>
      <c r="BK13" s="230" t="n">
        <f aca="false">1-BJ13</f>
        <v>0.17</v>
      </c>
      <c r="BL13" s="229" t="n">
        <f aca="false">'Input-Start'!AH28</f>
        <v>0.64</v>
      </c>
      <c r="BM13" s="231" t="n">
        <f aca="false">1-BL13</f>
        <v>0.36</v>
      </c>
      <c r="BN13" s="217"/>
      <c r="BO13" s="20"/>
      <c r="BR13" s="25"/>
      <c r="BS13" s="70" t="s">
        <v>82</v>
      </c>
      <c r="BT13" s="74"/>
      <c r="BU13" s="74"/>
      <c r="BV13" s="79"/>
      <c r="BW13" s="76"/>
      <c r="BX13" s="28"/>
    </row>
    <row r="14" customFormat="false" ht="15.6" hidden="false" customHeight="false" outlineLevel="0" collapsed="false">
      <c r="A14" s="77"/>
      <c r="B14" s="101"/>
      <c r="C14" s="228"/>
      <c r="D14" s="105" t="s">
        <v>114</v>
      </c>
      <c r="E14" s="232" t="n">
        <f aca="false">'Input-Start'!F22</f>
        <v>19016173</v>
      </c>
      <c r="F14" s="233" t="n">
        <f aca="false">'Input-Start'!F23</f>
        <v>0</v>
      </c>
      <c r="G14" s="217"/>
      <c r="H14" s="20"/>
      <c r="J14" s="77"/>
      <c r="K14" s="101"/>
      <c r="L14" s="53" t="s">
        <v>226</v>
      </c>
      <c r="M14" s="102"/>
      <c r="N14" s="102"/>
      <c r="O14" s="103"/>
      <c r="P14" s="103"/>
      <c r="Q14" s="20"/>
      <c r="T14" s="101"/>
      <c r="U14" s="53" t="s">
        <v>227</v>
      </c>
      <c r="V14" s="102"/>
      <c r="W14" s="102"/>
      <c r="X14" s="103"/>
      <c r="Y14" s="103"/>
      <c r="Z14" s="20"/>
      <c r="AA14" s="24"/>
      <c r="AB14" s="7"/>
      <c r="AC14" s="25"/>
      <c r="AD14" s="105" t="s">
        <v>114</v>
      </c>
      <c r="AE14" s="234" t="n">
        <f aca="false">'Input-Start'!N20</f>
        <v>0</v>
      </c>
      <c r="AF14" s="235" t="n">
        <f aca="false">Cost_PY*('Input-Start'!BA36+PY_for_Inf)</f>
        <v>4004650</v>
      </c>
      <c r="AG14" s="236" t="n">
        <v>8356.16</v>
      </c>
      <c r="AH14" s="237" t="n">
        <v>297120</v>
      </c>
      <c r="AI14" s="28"/>
      <c r="AJ14" s="7"/>
      <c r="AL14" s="25"/>
      <c r="AM14" s="105" t="s">
        <v>114</v>
      </c>
      <c r="AN14" s="238" t="n">
        <f aca="false">'Input-Start'!W19</f>
        <v>3009340</v>
      </c>
      <c r="AO14" s="239" t="n">
        <f aca="false">'Input-Start'!X19</f>
        <v>0</v>
      </c>
      <c r="AP14" s="240" t="n">
        <f aca="false">Cost_PY*('Input-Start'!BA36+PY_for_Inf)</f>
        <v>4004650</v>
      </c>
      <c r="AQ14" s="241" t="n">
        <v>8356.16</v>
      </c>
      <c r="AR14" s="242" t="n">
        <v>301760</v>
      </c>
      <c r="AS14" s="28"/>
      <c r="AT14" s="243"/>
      <c r="AV14" s="25"/>
      <c r="AW14" s="170" t="s">
        <v>228</v>
      </c>
      <c r="AX14" s="74"/>
      <c r="AY14" s="74"/>
      <c r="AZ14" s="152"/>
      <c r="BA14" s="76"/>
      <c r="BB14" s="28"/>
      <c r="BE14" s="101"/>
      <c r="BF14" s="244"/>
      <c r="BG14" s="105" t="n">
        <v>1</v>
      </c>
      <c r="BH14" s="245" t="n">
        <f aca="false">BH$13+(BH$33-BH$13)*$D15/$D$34</f>
        <v>0.83</v>
      </c>
      <c r="BI14" s="230" t="n">
        <f aca="false">1-BH14</f>
        <v>0.17</v>
      </c>
      <c r="BJ14" s="245" t="n">
        <f aca="false">BJ$13+(BJ$33-BJ$13)*$D15/$D$34</f>
        <v>0.8385</v>
      </c>
      <c r="BK14" s="230" t="n">
        <f aca="false">1-BJ14</f>
        <v>0.1615</v>
      </c>
      <c r="BL14" s="245" t="n">
        <f aca="false">BL$13+(BL$33-BL$13)*$D15/$D$34</f>
        <v>0.64</v>
      </c>
      <c r="BM14" s="231" t="n">
        <f aca="false">1-BL14</f>
        <v>0.36</v>
      </c>
      <c r="BN14" s="246"/>
      <c r="BO14" s="20"/>
      <c r="BR14" s="25"/>
      <c r="BS14" s="83"/>
      <c r="BT14" s="74" t="s">
        <v>88</v>
      </c>
      <c r="BU14" s="74"/>
      <c r="BV14" s="84" t="n">
        <f aca="false">'Input-Start'!BA15</f>
        <v>24.7</v>
      </c>
      <c r="BW14" s="76"/>
      <c r="BX14" s="28"/>
    </row>
    <row r="15" customFormat="false" ht="15" hidden="false" customHeight="false" outlineLevel="0" collapsed="false">
      <c r="A15" s="33"/>
      <c r="B15" s="101"/>
      <c r="C15" s="244"/>
      <c r="D15" s="105" t="n">
        <v>1</v>
      </c>
      <c r="E15" s="247" t="n">
        <f aca="false">E$14+(E$34-E$14)*$D15/$D$34</f>
        <v>19565364.35</v>
      </c>
      <c r="F15" s="248" t="n">
        <v>0.06</v>
      </c>
      <c r="G15" s="246"/>
      <c r="H15" s="20"/>
      <c r="J15" s="33"/>
      <c r="K15" s="101"/>
      <c r="L15" s="35" t="s">
        <v>213</v>
      </c>
      <c r="M15" s="35"/>
      <c r="N15" s="35"/>
      <c r="O15" s="35"/>
      <c r="P15" s="35"/>
      <c r="Q15" s="35"/>
      <c r="T15" s="101"/>
      <c r="U15" s="36" t="s">
        <v>213</v>
      </c>
      <c r="V15" s="36"/>
      <c r="W15" s="36"/>
      <c r="X15" s="36"/>
      <c r="Y15" s="36"/>
      <c r="Z15" s="35"/>
      <c r="AA15" s="24"/>
      <c r="AB15" s="7"/>
      <c r="AC15" s="25"/>
      <c r="AD15" s="105" t="n">
        <v>1</v>
      </c>
      <c r="AE15" s="234" t="n">
        <f aca="false">'Input-Start'!N21^(1+Inflation_Rate)^Year</f>
        <v>0</v>
      </c>
      <c r="AF15" s="249" t="n">
        <f aca="false">Cost_PY*(PY_for_Inf+PY!$L7)*(1+Inflation_Rate)^Year</f>
        <v>4230053.20491783</v>
      </c>
      <c r="AG15" s="249" t="n">
        <v>9390.3712</v>
      </c>
      <c r="AH15" s="249" t="n">
        <v>302720</v>
      </c>
      <c r="AI15" s="28"/>
      <c r="AJ15" s="7"/>
      <c r="AL15" s="25"/>
      <c r="AM15" s="105" t="n">
        <v>1</v>
      </c>
      <c r="AN15" s="238" t="n">
        <f aca="false">'Input-Start'!W20*(1+Inflation_Rate)^Year</f>
        <v>0</v>
      </c>
      <c r="AO15" s="250" t="n">
        <f aca="false">'Input-Start'!X20*(1+Inflation_Rate)^'Input-Detail'!$AM15</f>
        <v>238842.840183826</v>
      </c>
      <c r="AP15" s="251" t="n">
        <f aca="false">Cost_PY*(PY_for_Inf+PY!$Q7)*(1+Inflation_Rate)^Year</f>
        <v>3965664.82379923</v>
      </c>
      <c r="AQ15" s="252" t="n">
        <v>9390.4</v>
      </c>
      <c r="AR15" s="253" t="n">
        <v>325760</v>
      </c>
      <c r="AS15" s="28"/>
      <c r="AT15" s="50"/>
      <c r="AV15" s="25"/>
      <c r="AW15" s="135"/>
      <c r="AX15" s="74" t="s">
        <v>156</v>
      </c>
      <c r="AY15" s="74"/>
      <c r="AZ15" s="126" t="n">
        <f aca="false">'Input-Start'!AI32</f>
        <v>1.35</v>
      </c>
      <c r="BA15" s="76"/>
      <c r="BB15" s="28"/>
      <c r="BE15" s="101"/>
      <c r="BF15" s="66"/>
      <c r="BG15" s="105" t="n">
        <v>2</v>
      </c>
      <c r="BH15" s="245" t="n">
        <f aca="false">BH$13+(BH$33-BH$13)*$D16/$D$34</f>
        <v>0.83</v>
      </c>
      <c r="BI15" s="230" t="n">
        <f aca="false">1-BH15</f>
        <v>0.17</v>
      </c>
      <c r="BJ15" s="245" t="n">
        <f aca="false">BJ$13+(BJ$33-BJ$13)*$D16/$D$34</f>
        <v>0.847</v>
      </c>
      <c r="BK15" s="230" t="n">
        <f aca="false">1-BJ15</f>
        <v>0.153</v>
      </c>
      <c r="BL15" s="245" t="n">
        <f aca="false">BL$13+(BL$33-BL$13)*$D16/$D$34</f>
        <v>0.64</v>
      </c>
      <c r="BM15" s="231" t="n">
        <f aca="false">1-BL15</f>
        <v>0.36</v>
      </c>
      <c r="BN15" s="254"/>
      <c r="BO15" s="20"/>
      <c r="BR15" s="25"/>
      <c r="BS15" s="83"/>
      <c r="BT15" s="74" t="s">
        <v>93</v>
      </c>
      <c r="BU15" s="74"/>
      <c r="BV15" s="84" t="n">
        <f aca="false">'Input-Start'!BA16</f>
        <v>9.5</v>
      </c>
      <c r="BW15" s="76"/>
      <c r="BX15" s="28"/>
    </row>
    <row r="16" customFormat="false" ht="15" hidden="false" customHeight="true" outlineLevel="0" collapsed="false">
      <c r="A16" s="48"/>
      <c r="B16" s="101"/>
      <c r="C16" s="66"/>
      <c r="D16" s="105" t="n">
        <v>2</v>
      </c>
      <c r="E16" s="247" t="n">
        <f aca="false">E$14+(E$34-E$14)*$D16/$D$34</f>
        <v>20114555.7</v>
      </c>
      <c r="F16" s="248" t="n">
        <v>0.15</v>
      </c>
      <c r="G16" s="254"/>
      <c r="H16" s="20"/>
      <c r="J16" s="48"/>
      <c r="K16" s="101"/>
      <c r="L16" s="255"/>
      <c r="M16" s="255"/>
      <c r="N16" s="255"/>
      <c r="O16" s="256"/>
      <c r="P16" s="256"/>
      <c r="Q16" s="20"/>
      <c r="T16" s="101"/>
      <c r="U16" s="255"/>
      <c r="V16" s="255"/>
      <c r="W16" s="255"/>
      <c r="X16" s="256"/>
      <c r="Y16" s="256"/>
      <c r="Z16" s="20"/>
      <c r="AA16" s="24"/>
      <c r="AB16" s="7"/>
      <c r="AC16" s="25"/>
      <c r="AD16" s="105" t="n">
        <v>2</v>
      </c>
      <c r="AE16" s="234" t="n">
        <f aca="false">'Input-Start'!N22^(1+Inflation_Rate)^Year</f>
        <v>0</v>
      </c>
      <c r="AF16" s="249" t="n">
        <f aca="false">Cost_PY*(PY_for_Inf+PY!$L8)*(1+Inflation_Rate)^Year</f>
        <v>4465376.41713074</v>
      </c>
      <c r="AG16" s="249" t="n">
        <v>10586.833184</v>
      </c>
      <c r="AH16" s="249" t="n">
        <v>308800</v>
      </c>
      <c r="AI16" s="28"/>
      <c r="AJ16" s="7"/>
      <c r="AL16" s="25"/>
      <c r="AM16" s="105" t="n">
        <v>2</v>
      </c>
      <c r="AN16" s="238" t="n">
        <f aca="false">'Input-Start'!W21*(1+Inflation_Rate)^Year</f>
        <v>0</v>
      </c>
      <c r="AO16" s="250" t="n">
        <f aca="false">'Input-Start'!X21*(1+Inflation_Rate)^'Input-Detail'!$AM16</f>
        <v>259818.809624673</v>
      </c>
      <c r="AP16" s="251" t="n">
        <f aca="false">Cost_PY*(PY_for_Inf+PY!$Q8)*(1+Inflation_Rate)^Year</f>
        <v>3829158.82863465</v>
      </c>
      <c r="AQ16" s="252" t="n">
        <v>3600</v>
      </c>
      <c r="AR16" s="253" t="n">
        <v>122080</v>
      </c>
      <c r="AS16" s="28"/>
      <c r="AT16" s="50"/>
      <c r="AV16" s="25"/>
      <c r="AW16" s="135"/>
      <c r="AX16" s="74" t="s">
        <v>159</v>
      </c>
      <c r="AY16" s="74"/>
      <c r="AZ16" s="175" t="n">
        <f aca="false">'Input-Start'!AI33</f>
        <v>160</v>
      </c>
      <c r="BA16" s="76"/>
      <c r="BB16" s="28"/>
      <c r="BE16" s="101"/>
      <c r="BF16" s="214"/>
      <c r="BG16" s="105" t="n">
        <v>3</v>
      </c>
      <c r="BH16" s="245" t="n">
        <f aca="false">BH$13+(BH$33-BH$13)*$D17/$D$34</f>
        <v>0.83</v>
      </c>
      <c r="BI16" s="230" t="n">
        <f aca="false">1-BH16</f>
        <v>0.17</v>
      </c>
      <c r="BJ16" s="245" t="n">
        <f aca="false">BJ$13+(BJ$33-BJ$13)*$D17/$D$34</f>
        <v>0.8555</v>
      </c>
      <c r="BK16" s="230" t="n">
        <f aca="false">1-BJ16</f>
        <v>0.1445</v>
      </c>
      <c r="BL16" s="245" t="n">
        <f aca="false">BL$13+(BL$33-BL$13)*$D17/$D$34</f>
        <v>0.64</v>
      </c>
      <c r="BM16" s="231" t="n">
        <f aca="false">1-BL16</f>
        <v>0.36</v>
      </c>
      <c r="BN16" s="246"/>
      <c r="BO16" s="20"/>
      <c r="BR16" s="25"/>
      <c r="BS16" s="83"/>
      <c r="BT16" s="74" t="s">
        <v>101</v>
      </c>
      <c r="BU16" s="74"/>
      <c r="BV16" s="84" t="n">
        <f aca="false">'Input-Start'!BA17</f>
        <v>209</v>
      </c>
      <c r="BW16" s="76"/>
      <c r="BX16" s="28"/>
    </row>
    <row r="17" customFormat="false" ht="16.5" hidden="false" customHeight="true" outlineLevel="0" collapsed="false">
      <c r="A17" s="77"/>
      <c r="B17" s="101"/>
      <c r="C17" s="214"/>
      <c r="D17" s="105" t="n">
        <v>3</v>
      </c>
      <c r="E17" s="247" t="n">
        <f aca="false">E$14+(E$34-E$14)*$D17/$D$34</f>
        <v>20663747.05</v>
      </c>
      <c r="F17" s="248" t="n">
        <v>0.2</v>
      </c>
      <c r="G17" s="246"/>
      <c r="H17" s="20"/>
      <c r="J17" s="77"/>
      <c r="K17" s="101"/>
      <c r="L17" s="215" t="s">
        <v>96</v>
      </c>
      <c r="M17" s="215" t="s">
        <v>229</v>
      </c>
      <c r="N17" s="257" t="s">
        <v>230</v>
      </c>
      <c r="O17" s="257" t="s">
        <v>143</v>
      </c>
      <c r="P17" s="257" t="s">
        <v>231</v>
      </c>
      <c r="Q17" s="20"/>
      <c r="T17" s="101"/>
      <c r="U17" s="215" t="s">
        <v>96</v>
      </c>
      <c r="V17" s="215" t="s">
        <v>229</v>
      </c>
      <c r="W17" s="257" t="s">
        <v>230</v>
      </c>
      <c r="X17" s="257" t="s">
        <v>143</v>
      </c>
      <c r="Y17" s="257" t="s">
        <v>231</v>
      </c>
      <c r="Z17" s="20"/>
      <c r="AA17" s="24"/>
      <c r="AB17" s="7"/>
      <c r="AC17" s="25"/>
      <c r="AD17" s="105" t="n">
        <v>3</v>
      </c>
      <c r="AE17" s="234" t="n">
        <f aca="false">'Input-Start'!N23^(1+Inflation_Rate)^Year</f>
        <v>0</v>
      </c>
      <c r="AF17" s="249" t="n">
        <f aca="false">Cost_PY*(PY_for_Inf+PY!$L9)*(1+Inflation_Rate)^Year</f>
        <v>4711011.97419199</v>
      </c>
      <c r="AG17" s="249" t="n">
        <v>11974.87470688</v>
      </c>
      <c r="AH17" s="249" t="n">
        <v>315200</v>
      </c>
      <c r="AI17" s="28"/>
      <c r="AJ17" s="7"/>
      <c r="AL17" s="25"/>
      <c r="AM17" s="105" t="n">
        <v>3</v>
      </c>
      <c r="AN17" s="238" t="n">
        <f aca="false">'Input-Start'!W22*(1+Inflation_Rate)^Year</f>
        <v>0</v>
      </c>
      <c r="AO17" s="250" t="n">
        <f aca="false">'Input-Start'!X22*(1+Inflation_Rate)^'Input-Detail'!$AM17</f>
        <v>281838.378675806</v>
      </c>
      <c r="AP17" s="251" t="n">
        <f aca="false">Cost_PY*(PY_for_Inf+PY!$Q9)*(1+Inflation_Rate)^Year</f>
        <v>3828865.212493</v>
      </c>
      <c r="AQ17" s="252" t="n">
        <v>3780</v>
      </c>
      <c r="AR17" s="253" t="n">
        <v>133760</v>
      </c>
      <c r="AS17" s="28"/>
      <c r="AT17" s="50"/>
      <c r="AV17" s="25"/>
      <c r="AW17" s="135"/>
      <c r="AX17" s="74" t="s">
        <v>162</v>
      </c>
      <c r="AY17" s="74"/>
      <c r="AZ17" s="176" t="n">
        <f aca="false">'Input-Start'!AI34</f>
        <v>30</v>
      </c>
      <c r="BA17" s="76"/>
      <c r="BB17" s="28"/>
      <c r="BE17" s="101"/>
      <c r="BF17" s="214"/>
      <c r="BG17" s="105" t="n">
        <v>4</v>
      </c>
      <c r="BH17" s="245" t="n">
        <f aca="false">BH$13+(BH$33-BH$13)*$D18/$D$34</f>
        <v>0.83</v>
      </c>
      <c r="BI17" s="230" t="n">
        <f aca="false">1-BH17</f>
        <v>0.17</v>
      </c>
      <c r="BJ17" s="245" t="n">
        <f aca="false">BJ$13+(BJ$33-BJ$13)*$D18/$D$34</f>
        <v>0.864</v>
      </c>
      <c r="BK17" s="230" t="n">
        <f aca="false">1-BJ17</f>
        <v>0.136</v>
      </c>
      <c r="BL17" s="245" t="n">
        <f aca="false">BL$13+(BL$33-BL$13)*$D18/$D$34</f>
        <v>0.64</v>
      </c>
      <c r="BM17" s="231" t="n">
        <f aca="false">1-BL17</f>
        <v>0.36</v>
      </c>
      <c r="BN17" s="246"/>
      <c r="BO17" s="20"/>
      <c r="BR17" s="25"/>
      <c r="BS17" s="70" t="s">
        <v>111</v>
      </c>
      <c r="BT17" s="74"/>
      <c r="BU17" s="74"/>
      <c r="BV17" s="79"/>
      <c r="BW17" s="76"/>
      <c r="BX17" s="28"/>
    </row>
    <row r="18" customFormat="false" ht="15.6" hidden="false" customHeight="false" outlineLevel="0" collapsed="false">
      <c r="B18" s="101"/>
      <c r="C18" s="214"/>
      <c r="D18" s="105" t="n">
        <v>4</v>
      </c>
      <c r="E18" s="247" t="n">
        <f aca="false">E$14+(E$34-E$14)*$D18/$D$34</f>
        <v>21212938.4</v>
      </c>
      <c r="F18" s="248" t="n">
        <v>0.25</v>
      </c>
      <c r="G18" s="246"/>
      <c r="H18" s="20"/>
      <c r="K18" s="101"/>
      <c r="L18" s="105" t="s">
        <v>114</v>
      </c>
      <c r="M18" s="258" t="n">
        <f aca="false">'Input-Start'!F27</f>
        <v>8200</v>
      </c>
      <c r="N18" s="259" t="n">
        <f aca="false">E14/M18</f>
        <v>2319.04548780488</v>
      </c>
      <c r="O18" s="260" t="n">
        <f aca="false">'Input-Start'!F28</f>
        <v>2</v>
      </c>
      <c r="P18" s="261" t="n">
        <f aca="false">'Input-Start'!F29</f>
        <v>0.3</v>
      </c>
      <c r="Q18" s="20"/>
      <c r="T18" s="101"/>
      <c r="U18" s="105" t="s">
        <v>114</v>
      </c>
      <c r="V18" s="258" t="n">
        <f aca="false">'Input-Start'!G27</f>
        <v>8200</v>
      </c>
      <c r="W18" s="262" t="n">
        <f aca="false">E14/V18</f>
        <v>2319.04548780488</v>
      </c>
      <c r="X18" s="260" t="n">
        <f aca="false">'Input-Start'!G28</f>
        <v>2</v>
      </c>
      <c r="Y18" s="261" t="n">
        <f aca="false">'Input-Start'!G29</f>
        <v>0.7</v>
      </c>
      <c r="Z18" s="20"/>
      <c r="AA18" s="24"/>
      <c r="AB18" s="7"/>
      <c r="AC18" s="25"/>
      <c r="AD18" s="105" t="n">
        <v>4</v>
      </c>
      <c r="AE18" s="234" t="n">
        <f aca="false">'Input-Start'!N24^(1+Inflation_Rate)^Year</f>
        <v>0</v>
      </c>
      <c r="AF18" s="249" t="n">
        <f aca="false">Cost_PY*(PY_for_Inf+PY!$L10)*(1+Inflation_Rate)^Year</f>
        <v>4967366.82590149</v>
      </c>
      <c r="AG18" s="249" t="n">
        <v>13589.4717763616</v>
      </c>
      <c r="AH18" s="249" t="n">
        <v>322240</v>
      </c>
      <c r="AI18" s="28"/>
      <c r="AJ18" s="7"/>
      <c r="AL18" s="25"/>
      <c r="AM18" s="105" t="n">
        <v>4</v>
      </c>
      <c r="AN18" s="238" t="n">
        <f aca="false">'Input-Start'!W23*(1+Inflation_Rate)^Year</f>
        <v>0</v>
      </c>
      <c r="AO18" s="250" t="n">
        <f aca="false">'Input-Start'!X23*(1+Inflation_Rate)^'Input-Detail'!$AM18</f>
        <v>304945.284941344</v>
      </c>
      <c r="AP18" s="251" t="n">
        <f aca="false">Cost_PY*(PY_for_Inf+PY!$Q10)*(1+Inflation_Rate)^Year</f>
        <v>3770571.12680635</v>
      </c>
      <c r="AQ18" s="252" t="n">
        <v>3969.04</v>
      </c>
      <c r="AR18" s="253" t="n">
        <v>133920</v>
      </c>
      <c r="AS18" s="28"/>
      <c r="AT18" s="50"/>
      <c r="AV18" s="25"/>
      <c r="AW18" s="135"/>
      <c r="AX18" s="74" t="s">
        <v>166</v>
      </c>
      <c r="AY18" s="74"/>
      <c r="AZ18" s="176" t="n">
        <f aca="false">'Input-Start'!AI35</f>
        <v>20</v>
      </c>
      <c r="BA18" s="76"/>
      <c r="BB18" s="28"/>
      <c r="BE18" s="101"/>
      <c r="BF18" s="214"/>
      <c r="BG18" s="105" t="n">
        <v>5</v>
      </c>
      <c r="BH18" s="245" t="n">
        <f aca="false">BH$13+(BH$33-BH$13)*$D19/$D$34</f>
        <v>0.83</v>
      </c>
      <c r="BI18" s="230" t="n">
        <f aca="false">1-BH18</f>
        <v>0.17</v>
      </c>
      <c r="BJ18" s="245" t="n">
        <f aca="false">BJ$13+(BJ$33-BJ$13)*$D19/$D$34</f>
        <v>0.8725</v>
      </c>
      <c r="BK18" s="230" t="n">
        <f aca="false">1-BJ18</f>
        <v>0.1275</v>
      </c>
      <c r="BL18" s="245" t="n">
        <f aca="false">BL$13+(BL$33-BL$13)*$D19/$D$34</f>
        <v>0.64</v>
      </c>
      <c r="BM18" s="231" t="n">
        <f aca="false">1-BL18</f>
        <v>0.36</v>
      </c>
      <c r="BN18" s="246"/>
      <c r="BO18" s="20"/>
      <c r="BR18" s="25"/>
      <c r="BS18" s="83"/>
      <c r="BT18" s="74" t="s">
        <v>88</v>
      </c>
      <c r="BU18" s="74"/>
      <c r="BV18" s="111" t="n">
        <f aca="false">'Input-Start'!BA19</f>
        <v>0</v>
      </c>
      <c r="BW18" s="76"/>
      <c r="BX18" s="28"/>
    </row>
    <row r="19" customFormat="false" ht="15" hidden="false" customHeight="false" outlineLevel="0" collapsed="false">
      <c r="B19" s="101"/>
      <c r="C19" s="214"/>
      <c r="D19" s="105" t="n">
        <v>5</v>
      </c>
      <c r="E19" s="247" t="n">
        <f aca="false">E$14+(E$34-E$14)*$D19/$D$34</f>
        <v>21762129.75</v>
      </c>
      <c r="F19" s="248" t="n">
        <v>0.3</v>
      </c>
      <c r="G19" s="246"/>
      <c r="H19" s="20"/>
      <c r="K19" s="101"/>
      <c r="L19" s="105" t="n">
        <v>1</v>
      </c>
      <c r="M19" s="263" t="n">
        <f aca="false">E15/$N$18</f>
        <v>8436.81784289615</v>
      </c>
      <c r="N19" s="264" t="n">
        <f aca="false">E15/M19</f>
        <v>2319.04548780488</v>
      </c>
      <c r="O19" s="265" t="n">
        <f aca="false">O18</f>
        <v>2</v>
      </c>
      <c r="P19" s="266" t="n">
        <f aca="false">P18</f>
        <v>0.3</v>
      </c>
      <c r="Q19" s="20"/>
      <c r="T19" s="101"/>
      <c r="U19" s="267" t="n">
        <v>1</v>
      </c>
      <c r="V19" s="263" t="n">
        <f aca="false">E15/$W$18</f>
        <v>8436.81784289615</v>
      </c>
      <c r="W19" s="268" t="n">
        <f aca="false">E15/V19</f>
        <v>2319.04548780488</v>
      </c>
      <c r="X19" s="265" t="n">
        <f aca="false">X18</f>
        <v>2</v>
      </c>
      <c r="Y19" s="266" t="n">
        <f aca="false">Y18</f>
        <v>0.7</v>
      </c>
      <c r="Z19" s="20"/>
      <c r="AA19" s="24"/>
      <c r="AB19" s="7"/>
      <c r="AC19" s="25"/>
      <c r="AD19" s="105" t="n">
        <v>5</v>
      </c>
      <c r="AE19" s="234" t="n">
        <f aca="false">'Input-Start'!N25^(1+Inflation_Rate)^Year</f>
        <v>0</v>
      </c>
      <c r="AF19" s="249" t="n">
        <f aca="false">Cost_PY*(PY_for_Inf+PY!$L11)*(1+Inflation_Rate)^Year</f>
        <v>5234863.0579368</v>
      </c>
      <c r="AG19" s="249" t="n">
        <v>15472.3618087069</v>
      </c>
      <c r="AH19" s="249" t="n">
        <v>329760</v>
      </c>
      <c r="AI19" s="28"/>
      <c r="AJ19" s="7"/>
      <c r="AL19" s="25"/>
      <c r="AM19" s="105" t="n">
        <v>5</v>
      </c>
      <c r="AN19" s="238" t="n">
        <f aca="false">'Input-Start'!W24*(1+Inflation_Rate)^Year</f>
        <v>0</v>
      </c>
      <c r="AO19" s="250" t="n">
        <f aca="false">'Input-Start'!X24*(1+Inflation_Rate)^'Input-Detail'!$AM19</f>
        <v>329184.951042007</v>
      </c>
      <c r="AP19" s="251" t="n">
        <f aca="false">Cost_PY*(PY_for_Inf+PY!$Q11)*(1+Inflation_Rate)^Year</f>
        <v>3737811.07975525</v>
      </c>
      <c r="AQ19" s="252" t="n">
        <v>4167.44</v>
      </c>
      <c r="AR19" s="253" t="n">
        <v>134080</v>
      </c>
      <c r="AS19" s="28"/>
      <c r="AT19" s="50"/>
      <c r="AV19" s="25"/>
      <c r="AW19" s="170" t="s">
        <v>232</v>
      </c>
      <c r="AX19" s="74"/>
      <c r="AY19" s="74"/>
      <c r="AZ19" s="152"/>
      <c r="BA19" s="76"/>
      <c r="BB19" s="28"/>
      <c r="BE19" s="101"/>
      <c r="BF19" s="158"/>
      <c r="BG19" s="105" t="n">
        <v>6</v>
      </c>
      <c r="BH19" s="245" t="n">
        <f aca="false">BH$13+(BH$33-BH$13)*$D20/$D$34</f>
        <v>0.83</v>
      </c>
      <c r="BI19" s="230" t="n">
        <f aca="false">1-BH19</f>
        <v>0.17</v>
      </c>
      <c r="BJ19" s="245" t="n">
        <f aca="false">BJ$13+(BJ$33-BJ$13)*$D20/$D$34</f>
        <v>0.881</v>
      </c>
      <c r="BK19" s="230" t="n">
        <f aca="false">1-BJ19</f>
        <v>0.119</v>
      </c>
      <c r="BL19" s="245" t="n">
        <f aca="false">BL$13+(BL$33-BL$13)*$D20/$D$34</f>
        <v>0.64</v>
      </c>
      <c r="BM19" s="231" t="n">
        <f aca="false">1-BL19</f>
        <v>0.36</v>
      </c>
      <c r="BN19" s="246"/>
      <c r="BO19" s="20"/>
      <c r="BR19" s="25"/>
      <c r="BS19" s="83"/>
      <c r="BT19" s="74" t="s">
        <v>93</v>
      </c>
      <c r="BU19" s="74"/>
      <c r="BV19" s="126" t="n">
        <f aca="false">'Input-Start'!BA20</f>
        <v>0.15</v>
      </c>
      <c r="BW19" s="76"/>
      <c r="BX19" s="28"/>
    </row>
    <row r="20" customFormat="false" ht="15" hidden="false" customHeight="false" outlineLevel="0" collapsed="false">
      <c r="B20" s="101"/>
      <c r="C20" s="158"/>
      <c r="D20" s="105" t="n">
        <v>6</v>
      </c>
      <c r="E20" s="247" t="n">
        <f aca="false">E$14+(E$34-E$14)*$D20/$D$34</f>
        <v>22311321.1</v>
      </c>
      <c r="F20" s="248" t="n">
        <v>0.35</v>
      </c>
      <c r="G20" s="246"/>
      <c r="H20" s="20"/>
      <c r="K20" s="101"/>
      <c r="L20" s="105" t="n">
        <v>2</v>
      </c>
      <c r="M20" s="263" t="n">
        <f aca="false">E16/$N$18</f>
        <v>8673.6356857923</v>
      </c>
      <c r="N20" s="264" t="n">
        <f aca="false">E16/M20</f>
        <v>2319.04548780488</v>
      </c>
      <c r="O20" s="265" t="n">
        <f aca="false">O19</f>
        <v>2</v>
      </c>
      <c r="P20" s="266" t="n">
        <f aca="false">P19</f>
        <v>0.3</v>
      </c>
      <c r="Q20" s="20"/>
      <c r="T20" s="101"/>
      <c r="U20" s="267" t="n">
        <v>2</v>
      </c>
      <c r="V20" s="263" t="n">
        <f aca="false">E16/$W$18</f>
        <v>8673.6356857923</v>
      </c>
      <c r="W20" s="268" t="n">
        <f aca="false">E16/V20</f>
        <v>2319.04548780488</v>
      </c>
      <c r="X20" s="265" t="n">
        <f aca="false">X19</f>
        <v>2</v>
      </c>
      <c r="Y20" s="266" t="n">
        <f aca="false">Y19</f>
        <v>0.7</v>
      </c>
      <c r="Z20" s="20"/>
      <c r="AA20" s="24"/>
      <c r="AB20" s="7"/>
      <c r="AC20" s="25"/>
      <c r="AD20" s="105" t="n">
        <v>6</v>
      </c>
      <c r="AE20" s="234" t="n">
        <f aca="false">'Input-Start'!N26^(1+Inflation_Rate)^Year</f>
        <v>0</v>
      </c>
      <c r="AF20" s="249" t="n">
        <f aca="false">Cost_PY*(PY_for_Inf+PY!$L12)*(1+Inflation_Rate)^Year</f>
        <v>5513938.43375091</v>
      </c>
      <c r="AG20" s="249" t="n">
        <v>17673.3795449164</v>
      </c>
      <c r="AH20" s="249" t="n">
        <v>339652.8</v>
      </c>
      <c r="AI20" s="28"/>
      <c r="AJ20" s="7"/>
      <c r="AL20" s="25"/>
      <c r="AM20" s="105" t="n">
        <v>6</v>
      </c>
      <c r="AN20" s="238" t="n">
        <f aca="false">'Input-Start'!W25*(1+Inflation_Rate)^Year</f>
        <v>0</v>
      </c>
      <c r="AO20" s="250" t="n">
        <f aca="false">'Input-Start'!X25*(1+Inflation_Rate)^'Input-Detail'!$AM20</f>
        <v>354604.546352262</v>
      </c>
      <c r="AP20" s="251" t="n">
        <f aca="false">Cost_PY*(PY_for_Inf+PY!$Q12)*(1+Inflation_Rate)^Year</f>
        <v>3687488.96745936</v>
      </c>
      <c r="AQ20" s="252" t="n">
        <v>4375.812</v>
      </c>
      <c r="AR20" s="253" t="n">
        <v>138102.4</v>
      </c>
      <c r="AS20" s="28"/>
      <c r="AT20" s="50"/>
      <c r="AV20" s="25"/>
      <c r="AW20" s="70"/>
      <c r="AX20" s="74" t="s">
        <v>156</v>
      </c>
      <c r="AY20" s="74"/>
      <c r="AZ20" s="126" t="n">
        <f aca="false">'Input-Start'!AI37</f>
        <v>1.35</v>
      </c>
      <c r="BA20" s="76"/>
      <c r="BB20" s="28"/>
      <c r="BE20" s="101"/>
      <c r="BF20" s="158"/>
      <c r="BG20" s="105" t="n">
        <v>7</v>
      </c>
      <c r="BH20" s="245" t="n">
        <f aca="false">BH$13+(BH$33-BH$13)*$D21/$D$34</f>
        <v>0.83</v>
      </c>
      <c r="BI20" s="230" t="n">
        <f aca="false">1-BH20</f>
        <v>0.17</v>
      </c>
      <c r="BJ20" s="245" t="n">
        <f aca="false">BJ$13+(BJ$33-BJ$13)*$D21/$D$34</f>
        <v>0.8895</v>
      </c>
      <c r="BK20" s="230" t="n">
        <f aca="false">1-BJ20</f>
        <v>0.1105</v>
      </c>
      <c r="BL20" s="245" t="n">
        <f aca="false">BL$13+(BL$33-BL$13)*$D21/$D$34</f>
        <v>0.64</v>
      </c>
      <c r="BM20" s="231" t="n">
        <f aca="false">1-BL20</f>
        <v>0.36</v>
      </c>
      <c r="BN20" s="246"/>
      <c r="BO20" s="269"/>
      <c r="BR20" s="25"/>
      <c r="BS20" s="83"/>
      <c r="BT20" s="74" t="s">
        <v>101</v>
      </c>
      <c r="BU20" s="74"/>
      <c r="BV20" s="84" t="n">
        <f aca="false">'Input-Start'!BA21</f>
        <v>2.5</v>
      </c>
      <c r="BW20" s="76"/>
      <c r="BX20" s="28"/>
    </row>
    <row r="21" customFormat="false" ht="15" hidden="false" customHeight="false" outlineLevel="0" collapsed="false">
      <c r="B21" s="101"/>
      <c r="C21" s="158"/>
      <c r="D21" s="105" t="n">
        <v>7</v>
      </c>
      <c r="E21" s="247" t="n">
        <f aca="false">E$14+(E$34-E$14)*$D21/$D$34</f>
        <v>22860512.45</v>
      </c>
      <c r="F21" s="248" t="n">
        <v>0.4</v>
      </c>
      <c r="G21" s="246"/>
      <c r="H21" s="20"/>
      <c r="K21" s="101"/>
      <c r="L21" s="105" t="n">
        <v>3</v>
      </c>
      <c r="M21" s="263" t="n">
        <f aca="false">E17/$N$18</f>
        <v>8910.45352868845</v>
      </c>
      <c r="N21" s="264" t="n">
        <f aca="false">E17/M21</f>
        <v>2319.04548780488</v>
      </c>
      <c r="O21" s="265" t="n">
        <f aca="false">O20</f>
        <v>2</v>
      </c>
      <c r="P21" s="266" t="n">
        <f aca="false">P20</f>
        <v>0.3</v>
      </c>
      <c r="Q21" s="20"/>
      <c r="T21" s="101"/>
      <c r="U21" s="267" t="n">
        <v>3</v>
      </c>
      <c r="V21" s="263" t="n">
        <f aca="false">E17/$W$18</f>
        <v>8910.45352868845</v>
      </c>
      <c r="W21" s="268" t="n">
        <f aca="false">E17/V21</f>
        <v>2319.04548780488</v>
      </c>
      <c r="X21" s="265" t="n">
        <f aca="false">X20</f>
        <v>2</v>
      </c>
      <c r="Y21" s="266" t="n">
        <f aca="false">Y20</f>
        <v>0.7</v>
      </c>
      <c r="Z21" s="20"/>
      <c r="AA21" s="24"/>
      <c r="AB21" s="7"/>
      <c r="AC21" s="25"/>
      <c r="AD21" s="105" t="n">
        <v>7</v>
      </c>
      <c r="AE21" s="234" t="n">
        <f aca="false">'Input-Start'!N27^(1+Inflation_Rate)^Year</f>
        <v>0</v>
      </c>
      <c r="AF21" s="249" t="n">
        <f aca="false">Cost_PY*(PY_for_Inf+PY!$L13)*(1+Inflation_Rate)^Year</f>
        <v>5805046.95536173</v>
      </c>
      <c r="AG21" s="249" t="n">
        <v>20252.0590045805</v>
      </c>
      <c r="AH21" s="249" t="n">
        <v>349842.384</v>
      </c>
      <c r="AI21" s="28"/>
      <c r="AJ21" s="7"/>
      <c r="AL21" s="25"/>
      <c r="AM21" s="105" t="n">
        <v>7</v>
      </c>
      <c r="AN21" s="238" t="n">
        <f aca="false">'Input-Start'!W26*(1+Inflation_Rate)^Year</f>
        <v>0</v>
      </c>
      <c r="AO21" s="250" t="n">
        <f aca="false">'Input-Start'!X26*(1+Inflation_Rate)^'Input-Detail'!$AM21</f>
        <v>381253.050925195</v>
      </c>
      <c r="AP21" s="251" t="n">
        <f aca="false">Cost_PY*(PY_for_Inf+PY!$Q13)*(1+Inflation_Rate)^Year</f>
        <v>3571189.87262198</v>
      </c>
      <c r="AQ21" s="252" t="n">
        <v>4594.6026</v>
      </c>
      <c r="AR21" s="253" t="n">
        <v>142245.472</v>
      </c>
      <c r="AS21" s="28"/>
      <c r="AT21" s="50"/>
      <c r="AV21" s="25"/>
      <c r="AW21" s="70"/>
      <c r="AX21" s="74" t="s">
        <v>159</v>
      </c>
      <c r="AY21" s="74"/>
      <c r="AZ21" s="175" t="n">
        <f aca="false">'Input-Start'!AI38</f>
        <v>160</v>
      </c>
      <c r="BA21" s="76"/>
      <c r="BB21" s="28"/>
      <c r="BE21" s="101"/>
      <c r="BF21" s="158"/>
      <c r="BG21" s="105" t="n">
        <v>8</v>
      </c>
      <c r="BH21" s="245" t="n">
        <f aca="false">BH$13+(BH$33-BH$13)*$D22/$D$34</f>
        <v>0.83</v>
      </c>
      <c r="BI21" s="230" t="n">
        <f aca="false">1-BH21</f>
        <v>0.17</v>
      </c>
      <c r="BJ21" s="245" t="n">
        <f aca="false">BJ$13+(BJ$33-BJ$13)*$D22/$D$34</f>
        <v>0.898</v>
      </c>
      <c r="BK21" s="230" t="n">
        <f aca="false">1-BJ21</f>
        <v>0.102</v>
      </c>
      <c r="BL21" s="245" t="n">
        <f aca="false">BL$13+(BL$33-BL$13)*$D22/$D$34</f>
        <v>0.64</v>
      </c>
      <c r="BM21" s="231" t="n">
        <f aca="false">1-BL21</f>
        <v>0.36</v>
      </c>
      <c r="BN21" s="246"/>
      <c r="BO21" s="269"/>
      <c r="BR21" s="25"/>
      <c r="BS21" s="70" t="s">
        <v>127</v>
      </c>
      <c r="BT21" s="74"/>
      <c r="BU21" s="74"/>
      <c r="BV21" s="79"/>
      <c r="BW21" s="76"/>
      <c r="BX21" s="28"/>
    </row>
    <row r="22" customFormat="false" ht="15" hidden="false" customHeight="false" outlineLevel="0" collapsed="false">
      <c r="B22" s="101"/>
      <c r="C22" s="158"/>
      <c r="D22" s="105" t="n">
        <v>8</v>
      </c>
      <c r="E22" s="247" t="n">
        <f aca="false">E$14+(E$34-E$14)*$D22/$D$34</f>
        <v>23409703.8</v>
      </c>
      <c r="F22" s="248" t="n">
        <v>0.45</v>
      </c>
      <c r="G22" s="246"/>
      <c r="H22" s="269"/>
      <c r="K22" s="101"/>
      <c r="L22" s="105" t="n">
        <v>4</v>
      </c>
      <c r="M22" s="263" t="n">
        <f aca="false">E18/$N$18</f>
        <v>9147.2713715846</v>
      </c>
      <c r="N22" s="264" t="n">
        <f aca="false">E18/M22</f>
        <v>2319.04548780488</v>
      </c>
      <c r="O22" s="265" t="n">
        <f aca="false">O21</f>
        <v>2</v>
      </c>
      <c r="P22" s="266" t="n">
        <f aca="false">P21</f>
        <v>0.3</v>
      </c>
      <c r="Q22" s="20"/>
      <c r="T22" s="101"/>
      <c r="U22" s="267" t="n">
        <v>4</v>
      </c>
      <c r="V22" s="263" t="n">
        <f aca="false">E18/$W$18</f>
        <v>9147.2713715846</v>
      </c>
      <c r="W22" s="268" t="n">
        <f aca="false">E18/V22</f>
        <v>2319.04548780488</v>
      </c>
      <c r="X22" s="265" t="n">
        <f aca="false">X21</f>
        <v>2</v>
      </c>
      <c r="Y22" s="266" t="n">
        <f aca="false">Y21</f>
        <v>0.7</v>
      </c>
      <c r="Z22" s="20"/>
      <c r="AA22" s="24"/>
      <c r="AB22" s="7"/>
      <c r="AC22" s="25"/>
      <c r="AD22" s="105" t="n">
        <v>8</v>
      </c>
      <c r="AE22" s="234" t="n">
        <f aca="false">'Input-Start'!N28^(1+Inflation_Rate)^Year</f>
        <v>0</v>
      </c>
      <c r="AF22" s="249" t="n">
        <f aca="false">Cost_PY*(PY_for_Inf+PY!$L14)*(1+Inflation_Rate)^Year</f>
        <v>6108659.44367882</v>
      </c>
      <c r="AG22" s="249" t="n">
        <v>23279.5546047252</v>
      </c>
      <c r="AH22" s="249" t="n">
        <v>360337.65552</v>
      </c>
      <c r="AI22" s="28"/>
      <c r="AJ22" s="7"/>
      <c r="AL22" s="25"/>
      <c r="AM22" s="105" t="n">
        <v>8</v>
      </c>
      <c r="AN22" s="238" t="n">
        <f aca="false">'Input-Start'!W27*(1+Inflation_Rate)^Year</f>
        <v>0</v>
      </c>
      <c r="AO22" s="250" t="n">
        <f aca="false">'Input-Start'!X27*(1+Inflation_Rate)^'Input-Detail'!$AM22</f>
        <v>409181.321680787</v>
      </c>
      <c r="AP22" s="251" t="n">
        <f aca="false">Cost_PY*(PY_for_Inf+PY!$Q14)*(1+Inflation_Rate)^Year</f>
        <v>3480083.31069932</v>
      </c>
      <c r="AQ22" s="252" t="n">
        <v>4824.33273</v>
      </c>
      <c r="AR22" s="253" t="n">
        <v>146512.83616</v>
      </c>
      <c r="AS22" s="28"/>
      <c r="AT22" s="50"/>
      <c r="AV22" s="25"/>
      <c r="AW22" s="135"/>
      <c r="AX22" s="74" t="s">
        <v>162</v>
      </c>
      <c r="AY22" s="74"/>
      <c r="AZ22" s="176" t="n">
        <f aca="false">'Input-Start'!AI39</f>
        <v>0</v>
      </c>
      <c r="BA22" s="76"/>
      <c r="BB22" s="28"/>
      <c r="BE22" s="101"/>
      <c r="BF22" s="158"/>
      <c r="BG22" s="105" t="n">
        <v>9</v>
      </c>
      <c r="BH22" s="245" t="n">
        <f aca="false">BH$13+(BH$33-BH$13)*$D23/$D$34</f>
        <v>0.83</v>
      </c>
      <c r="BI22" s="230" t="n">
        <f aca="false">1-BH22</f>
        <v>0.17</v>
      </c>
      <c r="BJ22" s="245" t="n">
        <f aca="false">BJ$13+(BJ$33-BJ$13)*$D23/$D$34</f>
        <v>0.9065</v>
      </c>
      <c r="BK22" s="230" t="n">
        <f aca="false">1-BJ22</f>
        <v>0.0935</v>
      </c>
      <c r="BL22" s="245" t="n">
        <f aca="false">BL$13+(BL$33-BL$13)*$D23/$D$34</f>
        <v>0.64</v>
      </c>
      <c r="BM22" s="231" t="n">
        <f aca="false">1-BL22</f>
        <v>0.36</v>
      </c>
      <c r="BN22" s="246"/>
      <c r="BO22" s="269"/>
      <c r="BR22" s="25"/>
      <c r="BS22" s="83"/>
      <c r="BT22" s="74" t="s">
        <v>88</v>
      </c>
      <c r="BU22" s="74"/>
      <c r="BV22" s="140" t="n">
        <f aca="false">'Input-Start'!BA23</f>
        <v>1.275</v>
      </c>
      <c r="BW22" s="76"/>
      <c r="BX22" s="28"/>
    </row>
    <row r="23" customFormat="false" ht="15" hidden="false" customHeight="false" outlineLevel="0" collapsed="false">
      <c r="B23" s="101"/>
      <c r="C23" s="158"/>
      <c r="D23" s="105" t="n">
        <v>9</v>
      </c>
      <c r="E23" s="247" t="n">
        <f aca="false">E$14+(E$34-E$14)*$D23/$D$34</f>
        <v>23958895.15</v>
      </c>
      <c r="F23" s="248" t="n">
        <v>0.5</v>
      </c>
      <c r="G23" s="246"/>
      <c r="H23" s="269"/>
      <c r="K23" s="101"/>
      <c r="L23" s="105" t="n">
        <v>5</v>
      </c>
      <c r="M23" s="263" t="n">
        <f aca="false">E19/$N$18</f>
        <v>9384.08921448075</v>
      </c>
      <c r="N23" s="264" t="n">
        <f aca="false">E19/M23</f>
        <v>2319.04548780488</v>
      </c>
      <c r="O23" s="265" t="n">
        <f aca="false">O22</f>
        <v>2</v>
      </c>
      <c r="P23" s="266" t="n">
        <f aca="false">P22</f>
        <v>0.3</v>
      </c>
      <c r="Q23" s="20"/>
      <c r="T23" s="101"/>
      <c r="U23" s="267" t="n">
        <v>5</v>
      </c>
      <c r="V23" s="263" t="n">
        <f aca="false">E19/$W$18</f>
        <v>9384.08921448075</v>
      </c>
      <c r="W23" s="268" t="n">
        <f aca="false">E19/V23</f>
        <v>2319.04548780488</v>
      </c>
      <c r="X23" s="265" t="n">
        <f aca="false">X22</f>
        <v>2</v>
      </c>
      <c r="Y23" s="266" t="n">
        <f aca="false">Y22</f>
        <v>0.7</v>
      </c>
      <c r="Z23" s="20"/>
      <c r="AA23" s="24"/>
      <c r="AB23" s="7"/>
      <c r="AC23" s="25"/>
      <c r="AD23" s="105" t="n">
        <v>9</v>
      </c>
      <c r="AE23" s="234" t="n">
        <f aca="false">'Input-Start'!N29^(1+Inflation_Rate)^Year</f>
        <v>0</v>
      </c>
      <c r="AF23" s="249" t="n">
        <f aca="false">Cost_PY*(PY_for_Inf+PY!$L15)*(1+Inflation_Rate)^Year</f>
        <v>6425264.13903511</v>
      </c>
      <c r="AG23" s="249" t="n">
        <v>26840.9451908447</v>
      </c>
      <c r="AH23" s="249" t="n">
        <v>371147.7851856</v>
      </c>
      <c r="AI23" s="28"/>
      <c r="AJ23" s="7"/>
      <c r="AL23" s="25"/>
      <c r="AM23" s="105" t="n">
        <v>9</v>
      </c>
      <c r="AN23" s="238" t="n">
        <f aca="false">'Input-Start'!W28*(1+Inflation_Rate)^Year</f>
        <v>0</v>
      </c>
      <c r="AO23" s="250" t="n">
        <f aca="false">'Input-Start'!X28*(1+Inflation_Rate)^'Input-Detail'!$AM23</f>
        <v>438442.16093588</v>
      </c>
      <c r="AP23" s="251" t="n">
        <f aca="false">Cost_PY*(PY_for_Inf+PY!$Q15)*(1+Inflation_Rate)^Year</f>
        <v>3366961.79297133</v>
      </c>
      <c r="AQ23" s="252" t="n">
        <v>5065.5493665</v>
      </c>
      <c r="AR23" s="253" t="n">
        <v>150908.2212448</v>
      </c>
      <c r="AS23" s="28"/>
      <c r="AT23" s="50"/>
      <c r="AV23" s="25"/>
      <c r="AW23" s="70"/>
      <c r="AX23" s="74" t="s">
        <v>166</v>
      </c>
      <c r="AY23" s="74"/>
      <c r="AZ23" s="176" t="n">
        <f aca="false">'Input-Start'!AI40</f>
        <v>20</v>
      </c>
      <c r="BA23" s="76"/>
      <c r="BB23" s="28"/>
      <c r="BE23" s="101"/>
      <c r="BF23" s="158"/>
      <c r="BG23" s="105" t="n">
        <v>10</v>
      </c>
      <c r="BH23" s="245" t="n">
        <f aca="false">BH$13+(BH$33-BH$13)*$D24/$D$34</f>
        <v>0.83</v>
      </c>
      <c r="BI23" s="230" t="n">
        <f aca="false">1-BH23</f>
        <v>0.17</v>
      </c>
      <c r="BJ23" s="245" t="n">
        <f aca="false">BJ$13+(BJ$33-BJ$13)*$D24/$D$34</f>
        <v>0.915</v>
      </c>
      <c r="BK23" s="230" t="n">
        <f aca="false">1-BJ23</f>
        <v>0.085</v>
      </c>
      <c r="BL23" s="245" t="n">
        <f aca="false">BL$13+(BL$33-BL$13)*$D24/$D$34</f>
        <v>0.64</v>
      </c>
      <c r="BM23" s="231" t="n">
        <f aca="false">1-BL23</f>
        <v>0.36</v>
      </c>
      <c r="BN23" s="246"/>
      <c r="BO23" s="269"/>
      <c r="BR23" s="25"/>
      <c r="BS23" s="83"/>
      <c r="BT23" s="74" t="s">
        <v>93</v>
      </c>
      <c r="BU23" s="74"/>
      <c r="BV23" s="140" t="n">
        <f aca="false">'Input-Start'!BA24</f>
        <v>1.275</v>
      </c>
      <c r="BW23" s="76"/>
      <c r="BX23" s="28"/>
    </row>
    <row r="24" customFormat="false" ht="15" hidden="false" customHeight="false" outlineLevel="0" collapsed="false">
      <c r="B24" s="101"/>
      <c r="C24" s="158"/>
      <c r="D24" s="105" t="n">
        <v>10</v>
      </c>
      <c r="E24" s="247" t="n">
        <f aca="false">E$14+(E$34-E$14)*$D24/$D$34</f>
        <v>24508086.5</v>
      </c>
      <c r="F24" s="248" t="n">
        <v>0.55</v>
      </c>
      <c r="G24" s="246"/>
      <c r="H24" s="269"/>
      <c r="K24" s="101"/>
      <c r="L24" s="105" t="n">
        <v>6</v>
      </c>
      <c r="M24" s="263" t="n">
        <f aca="false">E20/$N$18</f>
        <v>9620.9070573769</v>
      </c>
      <c r="N24" s="264" t="n">
        <f aca="false">E20/M24</f>
        <v>2319.04548780488</v>
      </c>
      <c r="O24" s="265" t="n">
        <f aca="false">O23</f>
        <v>2</v>
      </c>
      <c r="P24" s="266" t="n">
        <f aca="false">P23</f>
        <v>0.3</v>
      </c>
      <c r="Q24" s="20"/>
      <c r="T24" s="101"/>
      <c r="U24" s="267" t="n">
        <v>6</v>
      </c>
      <c r="V24" s="263" t="n">
        <f aca="false">E20/$W$18</f>
        <v>9620.9070573769</v>
      </c>
      <c r="W24" s="268" t="n">
        <f aca="false">E20/V24</f>
        <v>2319.04548780488</v>
      </c>
      <c r="X24" s="265" t="n">
        <f aca="false">X23</f>
        <v>2</v>
      </c>
      <c r="Y24" s="266" t="n">
        <f aca="false">Y23</f>
        <v>0.7</v>
      </c>
      <c r="Z24" s="20"/>
      <c r="AA24" s="24"/>
      <c r="AB24" s="7"/>
      <c r="AC24" s="25"/>
      <c r="AD24" s="105" t="n">
        <v>10</v>
      </c>
      <c r="AE24" s="234" t="n">
        <f aca="false">'Input-Start'!N30^(1+Inflation_Rate)^Year</f>
        <v>0</v>
      </c>
      <c r="AF24" s="249" t="n">
        <f aca="false">Cost_PY*(PY_for_Inf+PY!$L16)*(1+Inflation_Rate)^Year</f>
        <v>6755367.32261347</v>
      </c>
      <c r="AG24" s="249" t="n">
        <v>31038</v>
      </c>
      <c r="AH24" s="249" t="n">
        <v>382282.218741168</v>
      </c>
      <c r="AI24" s="28"/>
      <c r="AJ24" s="7"/>
      <c r="AL24" s="25"/>
      <c r="AM24" s="105" t="n">
        <v>10</v>
      </c>
      <c r="AN24" s="238" t="n">
        <f aca="false">'Input-Start'!W29*(1+Inflation_Rate)^Year</f>
        <v>0</v>
      </c>
      <c r="AO24" s="250" t="n">
        <f aca="false">'Input-Start'!X29*(1+Inflation_Rate)^'Input-Detail'!$AM24</f>
        <v>469090.387356769</v>
      </c>
      <c r="AP24" s="251" t="n">
        <f aca="false">Cost_PY*(PY_for_Inf+PY!$Q16)*(1+Inflation_Rate)^Year</f>
        <v>3178801.34522557</v>
      </c>
      <c r="AQ24" s="252" t="n">
        <v>5318.826834825</v>
      </c>
      <c r="AR24" s="253" t="n">
        <v>153494.934040393</v>
      </c>
      <c r="AS24" s="28"/>
      <c r="AT24" s="50"/>
      <c r="AV24" s="25"/>
      <c r="AW24" s="80" t="s">
        <v>87</v>
      </c>
      <c r="AX24" s="81"/>
      <c r="AY24" s="81"/>
      <c r="AZ24" s="81"/>
      <c r="BA24" s="82"/>
      <c r="BB24" s="28"/>
      <c r="BE24" s="101"/>
      <c r="BF24" s="158"/>
      <c r="BG24" s="105" t="n">
        <v>11</v>
      </c>
      <c r="BH24" s="245" t="n">
        <f aca="false">BH$13+(BH$33-BH$13)*$D25/$D$34</f>
        <v>0.83</v>
      </c>
      <c r="BI24" s="230" t="n">
        <f aca="false">1-BH24</f>
        <v>0.17</v>
      </c>
      <c r="BJ24" s="245" t="n">
        <f aca="false">BJ$13+(BJ$33-BJ$13)*$D25/$D$34</f>
        <v>0.9235</v>
      </c>
      <c r="BK24" s="230" t="n">
        <f aca="false">1-BJ24</f>
        <v>0.0765</v>
      </c>
      <c r="BL24" s="245" t="n">
        <f aca="false">BL$13+(BL$33-BL$13)*$D25/$D$34</f>
        <v>0.64</v>
      </c>
      <c r="BM24" s="231" t="n">
        <f aca="false">1-BL24</f>
        <v>0.36</v>
      </c>
      <c r="BN24" s="246"/>
      <c r="BO24" s="269"/>
      <c r="BR24" s="25"/>
      <c r="BS24" s="83"/>
      <c r="BT24" s="74" t="s">
        <v>101</v>
      </c>
      <c r="BU24" s="74"/>
      <c r="BV24" s="145" t="n">
        <f aca="false">'Input-Start'!BA25</f>
        <v>0.0063</v>
      </c>
      <c r="BW24" s="76"/>
      <c r="BX24" s="28"/>
    </row>
    <row r="25" customFormat="false" ht="15" hidden="false" customHeight="false" outlineLevel="0" collapsed="false">
      <c r="B25" s="101"/>
      <c r="C25" s="158"/>
      <c r="D25" s="105" t="n">
        <v>11</v>
      </c>
      <c r="E25" s="247" t="n">
        <f aca="false">E$14+(E$34-E$14)*$D25/$D$34</f>
        <v>25057277.85</v>
      </c>
      <c r="F25" s="248" t="n">
        <v>0.6</v>
      </c>
      <c r="G25" s="246"/>
      <c r="H25" s="269"/>
      <c r="K25" s="101"/>
      <c r="L25" s="105" t="n">
        <v>7</v>
      </c>
      <c r="M25" s="263" t="n">
        <f aca="false">E21/$N$18</f>
        <v>9857.72490027305</v>
      </c>
      <c r="N25" s="264" t="n">
        <f aca="false">E21/M25</f>
        <v>2319.04548780488</v>
      </c>
      <c r="O25" s="265" t="n">
        <f aca="false">O24</f>
        <v>2</v>
      </c>
      <c r="P25" s="266" t="n">
        <f aca="false">P24</f>
        <v>0.3</v>
      </c>
      <c r="Q25" s="20"/>
      <c r="T25" s="101"/>
      <c r="U25" s="267" t="n">
        <v>7</v>
      </c>
      <c r="V25" s="263" t="n">
        <f aca="false">E21/$W$18</f>
        <v>9857.72490027305</v>
      </c>
      <c r="W25" s="268" t="n">
        <f aca="false">E21/V25</f>
        <v>2319.04548780488</v>
      </c>
      <c r="X25" s="265" t="n">
        <f aca="false">X24</f>
        <v>2</v>
      </c>
      <c r="Y25" s="266" t="n">
        <f aca="false">Y24</f>
        <v>0.7</v>
      </c>
      <c r="Z25" s="20"/>
      <c r="AA25" s="270"/>
      <c r="AB25" s="7"/>
      <c r="AC25" s="25"/>
      <c r="AD25" s="105" t="n">
        <v>11</v>
      </c>
      <c r="AE25" s="234" t="n">
        <f aca="false">'Input-Start'!N31^(1+Inflation_Rate)^Year</f>
        <v>0</v>
      </c>
      <c r="AF25" s="249" t="n">
        <f aca="false">Cost_PY*(PY_for_Inf+PY!$L17)*(1+Inflation_Rate)^Year</f>
        <v>7099493.95948139</v>
      </c>
      <c r="AG25" s="249" t="n">
        <v>32589.9</v>
      </c>
      <c r="AH25" s="249" t="n">
        <v>393750.685303403</v>
      </c>
      <c r="AI25" s="28"/>
      <c r="AJ25" s="7"/>
      <c r="AL25" s="25"/>
      <c r="AM25" s="105" t="n">
        <v>11</v>
      </c>
      <c r="AN25" s="238" t="n">
        <f aca="false">'Input-Start'!W30*(1+Inflation_Rate)^Year</f>
        <v>0</v>
      </c>
      <c r="AO25" s="250" t="n">
        <f aca="false">'Input-Start'!X30*(1+Inflation_Rate)^'Input-Detail'!$AM25</f>
        <v>501182.909418066</v>
      </c>
      <c r="AP25" s="251" t="n">
        <f aca="false">Cost_PY*(PY_for_Inf+PY!$Q17)*(1+Inflation_Rate)^Year</f>
        <v>3015101.03245719</v>
      </c>
      <c r="AQ25" s="252" t="n">
        <v>5584.76817656625</v>
      </c>
      <c r="AR25" s="253" t="n">
        <v>158099.782061605</v>
      </c>
      <c r="AS25" s="28"/>
      <c r="AT25" s="50"/>
      <c r="AV25" s="25"/>
      <c r="AW25" s="83"/>
      <c r="AX25" s="74" t="s">
        <v>233</v>
      </c>
      <c r="AY25" s="74"/>
      <c r="AZ25" s="90" t="n">
        <f aca="false">'Input-Start'!AR16</f>
        <v>12</v>
      </c>
      <c r="BA25" s="76"/>
      <c r="BB25" s="28"/>
      <c r="BE25" s="101"/>
      <c r="BF25" s="158"/>
      <c r="BG25" s="105" t="n">
        <v>12</v>
      </c>
      <c r="BH25" s="245" t="n">
        <f aca="false">BH$13+(BH$33-BH$13)*$D26/$D$34</f>
        <v>0.83</v>
      </c>
      <c r="BI25" s="230" t="n">
        <f aca="false">1-BH25</f>
        <v>0.17</v>
      </c>
      <c r="BJ25" s="245" t="n">
        <f aca="false">BJ$13+(BJ$33-BJ$13)*$D26/$D$34</f>
        <v>0.932</v>
      </c>
      <c r="BK25" s="230" t="n">
        <f aca="false">1-BJ25</f>
        <v>0.0680000000000001</v>
      </c>
      <c r="BL25" s="245" t="n">
        <f aca="false">BL$13+(BL$33-BL$13)*$D26/$D$34</f>
        <v>0.64</v>
      </c>
      <c r="BM25" s="231" t="n">
        <f aca="false">1-BL25</f>
        <v>0.36</v>
      </c>
      <c r="BN25" s="246"/>
      <c r="BO25" s="269"/>
      <c r="BR25" s="25"/>
      <c r="BS25" s="146"/>
      <c r="BT25" s="147"/>
      <c r="BU25" s="147"/>
      <c r="BV25" s="148"/>
      <c r="BW25" s="149"/>
      <c r="BX25" s="28"/>
    </row>
    <row r="26" customFormat="false" ht="15" hidden="false" customHeight="false" outlineLevel="0" collapsed="false">
      <c r="B26" s="101"/>
      <c r="C26" s="158"/>
      <c r="D26" s="105" t="n">
        <v>12</v>
      </c>
      <c r="E26" s="247" t="n">
        <f aca="false">E$14+(E$34-E$14)*$D26/$D$34</f>
        <v>25606469.2</v>
      </c>
      <c r="F26" s="248" t="n">
        <v>0.65</v>
      </c>
      <c r="G26" s="246"/>
      <c r="H26" s="269"/>
      <c r="K26" s="101"/>
      <c r="L26" s="105" t="n">
        <v>8</v>
      </c>
      <c r="M26" s="263" t="n">
        <f aca="false">E22/$N$18</f>
        <v>10094.5427431692</v>
      </c>
      <c r="N26" s="264" t="n">
        <f aca="false">E22/M26</f>
        <v>2319.04548780488</v>
      </c>
      <c r="O26" s="265" t="n">
        <f aca="false">O25</f>
        <v>2</v>
      </c>
      <c r="P26" s="266" t="n">
        <f aca="false">P25</f>
        <v>0.3</v>
      </c>
      <c r="Q26" s="20"/>
      <c r="T26" s="101"/>
      <c r="U26" s="267" t="n">
        <v>8</v>
      </c>
      <c r="V26" s="263" t="n">
        <f aca="false">E22/$W$18</f>
        <v>10094.5427431692</v>
      </c>
      <c r="W26" s="268" t="n">
        <f aca="false">E22/V26</f>
        <v>2319.04548780488</v>
      </c>
      <c r="X26" s="265" t="n">
        <f aca="false">X25</f>
        <v>2</v>
      </c>
      <c r="Y26" s="266" t="n">
        <f aca="false">Y25</f>
        <v>0.7</v>
      </c>
      <c r="Z26" s="20"/>
      <c r="AA26" s="270"/>
      <c r="AB26" s="7"/>
      <c r="AC26" s="25"/>
      <c r="AD26" s="105" t="n">
        <v>12</v>
      </c>
      <c r="AE26" s="234" t="n">
        <f aca="false">'Input-Start'!N32^(1+Inflation_Rate)^Year</f>
        <v>0</v>
      </c>
      <c r="AF26" s="249" t="n">
        <f aca="false">Cost_PY*(PY_for_Inf+PY!$L18)*(1+Inflation_Rate)^Year</f>
        <v>7458188.36397104</v>
      </c>
      <c r="AG26" s="249" t="n">
        <v>34219.395</v>
      </c>
      <c r="AH26" s="249" t="n">
        <v>405563.205862505</v>
      </c>
      <c r="AI26" s="28"/>
      <c r="AJ26" s="7"/>
      <c r="AL26" s="25"/>
      <c r="AM26" s="105" t="n">
        <v>12</v>
      </c>
      <c r="AN26" s="238" t="n">
        <f aca="false">'Input-Start'!W31*(1+Inflation_Rate)^Year</f>
        <v>0</v>
      </c>
      <c r="AO26" s="250" t="n">
        <f aca="false">'Input-Start'!X31*(1+Inflation_Rate)^'Input-Detail'!$AM26</f>
        <v>534778.801454422</v>
      </c>
      <c r="AP26" s="251" t="n">
        <f aca="false">Cost_PY*(PY_for_Inf+PY!$Q18)*(1+Inflation_Rate)^Year</f>
        <v>2769632.43429148</v>
      </c>
      <c r="AQ26" s="252" t="n">
        <v>5864.00658539456</v>
      </c>
      <c r="AR26" s="253" t="n">
        <v>162842.775523453</v>
      </c>
      <c r="AS26" s="28"/>
      <c r="AT26" s="50"/>
      <c r="AV26" s="25"/>
      <c r="AW26" s="83"/>
      <c r="AX26" s="74" t="s">
        <v>100</v>
      </c>
      <c r="AY26" s="74"/>
      <c r="AZ26" s="90" t="n">
        <f aca="false">'Input-Start'!AR17</f>
        <v>0.2</v>
      </c>
      <c r="BA26" s="76"/>
      <c r="BB26" s="28"/>
      <c r="BE26" s="101"/>
      <c r="BF26" s="158"/>
      <c r="BG26" s="105" t="n">
        <v>13</v>
      </c>
      <c r="BH26" s="245" t="n">
        <f aca="false">BH$13+(BH$33-BH$13)*$D27/$D$34</f>
        <v>0.83</v>
      </c>
      <c r="BI26" s="230" t="n">
        <f aca="false">1-BH26</f>
        <v>0.17</v>
      </c>
      <c r="BJ26" s="245" t="n">
        <f aca="false">BJ$13+(BJ$33-BJ$13)*$D27/$D$34</f>
        <v>0.9405</v>
      </c>
      <c r="BK26" s="230" t="n">
        <f aca="false">1-BJ26</f>
        <v>0.0595</v>
      </c>
      <c r="BL26" s="245" t="n">
        <f aca="false">BL$13+(BL$33-BL$13)*$D27/$D$34</f>
        <v>0.64</v>
      </c>
      <c r="BM26" s="231" t="n">
        <f aca="false">1-BL26</f>
        <v>0.36</v>
      </c>
      <c r="BN26" s="246"/>
      <c r="BO26" s="269"/>
      <c r="BR26" s="25"/>
      <c r="BS26" s="27"/>
      <c r="BT26" s="27"/>
      <c r="BU26" s="27"/>
      <c r="BV26" s="27"/>
      <c r="BW26" s="27"/>
      <c r="BX26" s="28"/>
    </row>
    <row r="27" customFormat="false" ht="15" hidden="false" customHeight="false" outlineLevel="0" collapsed="false">
      <c r="B27" s="101"/>
      <c r="C27" s="158"/>
      <c r="D27" s="105" t="n">
        <v>13</v>
      </c>
      <c r="E27" s="247" t="n">
        <f aca="false">E$14+(E$34-E$14)*$D27/$D$34</f>
        <v>26155660.55</v>
      </c>
      <c r="F27" s="248" t="n">
        <v>0.7</v>
      </c>
      <c r="G27" s="246"/>
      <c r="H27" s="269"/>
      <c r="K27" s="101"/>
      <c r="L27" s="105" t="n">
        <v>9</v>
      </c>
      <c r="M27" s="263" t="n">
        <f aca="false">E23/$N$18</f>
        <v>10331.3605860653</v>
      </c>
      <c r="N27" s="264" t="n">
        <f aca="false">E23/M27</f>
        <v>2319.04548780488</v>
      </c>
      <c r="O27" s="265" t="n">
        <f aca="false">O26</f>
        <v>2</v>
      </c>
      <c r="P27" s="266" t="n">
        <f aca="false">P26</f>
        <v>0.3</v>
      </c>
      <c r="Q27" s="269"/>
      <c r="T27" s="101"/>
      <c r="U27" s="267" t="n">
        <v>9</v>
      </c>
      <c r="V27" s="263" t="n">
        <f aca="false">E23/$W$18</f>
        <v>10331.3605860653</v>
      </c>
      <c r="W27" s="268" t="n">
        <f aca="false">E23/V27</f>
        <v>2319.04548780488</v>
      </c>
      <c r="X27" s="265" t="n">
        <f aca="false">X26</f>
        <v>2</v>
      </c>
      <c r="Y27" s="266" t="n">
        <f aca="false">Y26</f>
        <v>0.7</v>
      </c>
      <c r="Z27" s="269"/>
      <c r="AA27" s="270"/>
      <c r="AB27" s="7"/>
      <c r="AC27" s="25"/>
      <c r="AD27" s="105" t="n">
        <v>13</v>
      </c>
      <c r="AE27" s="234" t="n">
        <f aca="false">'Input-Start'!N33^(1+Inflation_Rate)^Year</f>
        <v>0</v>
      </c>
      <c r="AF27" s="249" t="n">
        <f aca="false">Cost_PY*(PY_for_Inf+PY!$L19)*(1+Inflation_Rate)^Year</f>
        <v>7832014.88816654</v>
      </c>
      <c r="AG27" s="249" t="n">
        <v>35930.36475</v>
      </c>
      <c r="AH27" s="249" t="n">
        <v>417730.10203838</v>
      </c>
      <c r="AI27" s="28"/>
      <c r="AJ27" s="7"/>
      <c r="AL27" s="25"/>
      <c r="AM27" s="105" t="n">
        <v>13</v>
      </c>
      <c r="AN27" s="238" t="n">
        <f aca="false">'Input-Start'!W32*(1+Inflation_Rate)^Year</f>
        <v>0</v>
      </c>
      <c r="AO27" s="250" t="n">
        <f aca="false">'Input-Start'!X32*(1+Inflation_Rate)^'Input-Detail'!$AM27</f>
        <v>569939.382394482</v>
      </c>
      <c r="AP27" s="251" t="n">
        <f aca="false">Cost_PY*(PY_for_Inf+PY!$Q19)*(1+Inflation_Rate)^Year</f>
        <v>2547863.86043449</v>
      </c>
      <c r="AQ27" s="252" t="n">
        <v>6157.20691466429</v>
      </c>
      <c r="AR27" s="253" t="n">
        <v>167728.058789156</v>
      </c>
      <c r="AS27" s="28"/>
      <c r="AT27" s="50"/>
      <c r="AV27" s="25"/>
      <c r="AW27" s="83"/>
      <c r="AX27" s="74" t="s">
        <v>110</v>
      </c>
      <c r="AY27" s="74"/>
      <c r="AZ27" s="90" t="n">
        <f aca="false">'Input-Start'!AR18</f>
        <v>0.2</v>
      </c>
      <c r="BA27" s="76"/>
      <c r="BB27" s="28"/>
      <c r="BE27" s="101"/>
      <c r="BF27" s="158"/>
      <c r="BG27" s="105" t="n">
        <v>14</v>
      </c>
      <c r="BH27" s="245" t="n">
        <f aca="false">BH$13+(BH$33-BH$13)*$D28/$D$34</f>
        <v>0.83</v>
      </c>
      <c r="BI27" s="230" t="n">
        <f aca="false">1-BH27</f>
        <v>0.17</v>
      </c>
      <c r="BJ27" s="245" t="n">
        <f aca="false">BJ$13+(BJ$33-BJ$13)*$D28/$D$34</f>
        <v>0.949</v>
      </c>
      <c r="BK27" s="230" t="n">
        <f aca="false">1-BJ27</f>
        <v>0.051</v>
      </c>
      <c r="BL27" s="245" t="n">
        <f aca="false">BL$13+(BL$33-BL$13)*$D28/$D$34</f>
        <v>0.64</v>
      </c>
      <c r="BM27" s="231" t="n">
        <f aca="false">1-BL27</f>
        <v>0.36</v>
      </c>
      <c r="BN27" s="246"/>
      <c r="BO27" s="269"/>
      <c r="BR27" s="25"/>
      <c r="BS27" s="153" t="s">
        <v>145</v>
      </c>
      <c r="BT27" s="154"/>
      <c r="BU27" s="154"/>
      <c r="BV27" s="154"/>
      <c r="BW27" s="155"/>
      <c r="BX27" s="28"/>
    </row>
    <row r="28" customFormat="false" ht="15" hidden="false" customHeight="false" outlineLevel="0" collapsed="false">
      <c r="B28" s="101"/>
      <c r="C28" s="158"/>
      <c r="D28" s="105" t="n">
        <v>14</v>
      </c>
      <c r="E28" s="247" t="n">
        <f aca="false">E$14+(E$34-E$14)*$D28/$D$34</f>
        <v>26704851.9</v>
      </c>
      <c r="F28" s="248" t="n">
        <v>0.75</v>
      </c>
      <c r="G28" s="246"/>
      <c r="H28" s="269"/>
      <c r="K28" s="101"/>
      <c r="L28" s="105" t="n">
        <v>10</v>
      </c>
      <c r="M28" s="263" t="n">
        <f aca="false">E24/$N$18</f>
        <v>10568.1784289615</v>
      </c>
      <c r="N28" s="264" t="n">
        <f aca="false">E24/M28</f>
        <v>2319.04548780488</v>
      </c>
      <c r="O28" s="265" t="n">
        <f aca="false">O27</f>
        <v>2</v>
      </c>
      <c r="P28" s="266" t="n">
        <f aca="false">P27</f>
        <v>0.3</v>
      </c>
      <c r="Q28" s="269"/>
      <c r="T28" s="101"/>
      <c r="U28" s="267" t="n">
        <v>10</v>
      </c>
      <c r="V28" s="263" t="n">
        <f aca="false">E24/$W$18</f>
        <v>10568.1784289615</v>
      </c>
      <c r="W28" s="268" t="n">
        <f aca="false">E24/V28</f>
        <v>2319.04548780488</v>
      </c>
      <c r="X28" s="265" t="n">
        <f aca="false">X27</f>
        <v>2</v>
      </c>
      <c r="Y28" s="266" t="n">
        <f aca="false">Y27</f>
        <v>0.7</v>
      </c>
      <c r="Z28" s="269"/>
      <c r="AA28" s="270"/>
      <c r="AB28" s="7"/>
      <c r="AC28" s="25"/>
      <c r="AD28" s="105" t="n">
        <v>14</v>
      </c>
      <c r="AE28" s="234" t="n">
        <f aca="false">'Input-Start'!N34^(1+Inflation_Rate)^Year</f>
        <v>0</v>
      </c>
      <c r="AF28" s="249" t="n">
        <f aca="false">Cost_PY*(PY_for_Inf+PY!$L20)*(1+Inflation_Rate)^Year</f>
        <v>8221558.63428619</v>
      </c>
      <c r="AG28" s="249" t="n">
        <v>37726.8829875</v>
      </c>
      <c r="AH28" s="249" t="n">
        <v>430262.005099532</v>
      </c>
      <c r="AI28" s="28"/>
      <c r="AJ28" s="7"/>
      <c r="AL28" s="25"/>
      <c r="AM28" s="105" t="n">
        <v>14</v>
      </c>
      <c r="AN28" s="238" t="n">
        <f aca="false">'Input-Start'!W33*(1+Inflation_Rate)^Year</f>
        <v>0</v>
      </c>
      <c r="AO28" s="250" t="n">
        <f aca="false">'Input-Start'!X33*(1+Inflation_Rate)^'Input-Detail'!$AM28</f>
        <v>606728.297269635</v>
      </c>
      <c r="AP28" s="251" t="n">
        <f aca="false">Cost_PY*(PY_for_Inf+PY!$Q20)*(1+Inflation_Rate)^Year</f>
        <v>2237003.85999858</v>
      </c>
      <c r="AQ28" s="252" t="n">
        <v>6465.06726039751</v>
      </c>
      <c r="AR28" s="253" t="n">
        <v>172759.900552831</v>
      </c>
      <c r="AS28" s="28"/>
      <c r="AT28" s="50"/>
      <c r="AV28" s="25"/>
      <c r="AW28" s="83"/>
      <c r="AX28" s="74"/>
      <c r="AY28" s="74"/>
      <c r="AZ28" s="110"/>
      <c r="BA28" s="76"/>
      <c r="BB28" s="28"/>
      <c r="BE28" s="101"/>
      <c r="BF28" s="158"/>
      <c r="BG28" s="105" t="n">
        <v>15</v>
      </c>
      <c r="BH28" s="245" t="n">
        <f aca="false">BH$13+(BH$33-BH$13)*$D29/$D$34</f>
        <v>0.83</v>
      </c>
      <c r="BI28" s="230" t="n">
        <f aca="false">1-BH28</f>
        <v>0.17</v>
      </c>
      <c r="BJ28" s="245" t="n">
        <f aca="false">BJ$13+(BJ$33-BJ$13)*$D29/$D$34</f>
        <v>0.9575</v>
      </c>
      <c r="BK28" s="230" t="n">
        <f aca="false">1-BJ28</f>
        <v>0.0425</v>
      </c>
      <c r="BL28" s="245" t="n">
        <f aca="false">BL$13+(BL$33-BL$13)*$D29/$D$34</f>
        <v>0.64</v>
      </c>
      <c r="BM28" s="231" t="n">
        <f aca="false">1-BL28</f>
        <v>0.36</v>
      </c>
      <c r="BN28" s="246"/>
      <c r="BO28" s="269"/>
      <c r="BQ28" s="50"/>
      <c r="BR28" s="25"/>
      <c r="BS28" s="158"/>
      <c r="BT28" s="159"/>
      <c r="BU28" s="159"/>
      <c r="BV28" s="159"/>
      <c r="BW28" s="76"/>
      <c r="BX28" s="28"/>
    </row>
    <row r="29" customFormat="false" ht="15" hidden="false" customHeight="false" outlineLevel="0" collapsed="false">
      <c r="B29" s="101"/>
      <c r="C29" s="158"/>
      <c r="D29" s="105" t="n">
        <v>15</v>
      </c>
      <c r="E29" s="247" t="n">
        <f aca="false">E$14+(E$34-E$14)*$D29/$D$34</f>
        <v>27254043.25</v>
      </c>
      <c r="F29" s="248" t="n">
        <v>0.8</v>
      </c>
      <c r="G29" s="246"/>
      <c r="H29" s="269"/>
      <c r="K29" s="101"/>
      <c r="L29" s="105" t="n">
        <v>11</v>
      </c>
      <c r="M29" s="263" t="n">
        <f aca="false">E25/$N$18</f>
        <v>10804.9962718576</v>
      </c>
      <c r="N29" s="264" t="n">
        <f aca="false">E25/M29</f>
        <v>2319.04548780488</v>
      </c>
      <c r="O29" s="265" t="n">
        <f aca="false">O28</f>
        <v>2</v>
      </c>
      <c r="P29" s="266" t="n">
        <f aca="false">P28</f>
        <v>0.3</v>
      </c>
      <c r="Q29" s="269"/>
      <c r="T29" s="101"/>
      <c r="U29" s="267" t="n">
        <v>11</v>
      </c>
      <c r="V29" s="263" t="n">
        <f aca="false">E25/$W$18</f>
        <v>10804.9962718576</v>
      </c>
      <c r="W29" s="268" t="n">
        <f aca="false">E25/V29</f>
        <v>2319.04548780488</v>
      </c>
      <c r="X29" s="265" t="n">
        <f aca="false">X28</f>
        <v>2</v>
      </c>
      <c r="Y29" s="266" t="n">
        <f aca="false">Y28</f>
        <v>0.7</v>
      </c>
      <c r="Z29" s="269"/>
      <c r="AA29" s="270"/>
      <c r="AB29" s="7"/>
      <c r="AC29" s="25"/>
      <c r="AD29" s="105" t="n">
        <v>15</v>
      </c>
      <c r="AE29" s="234" t="n">
        <f aca="false">'Input-Start'!N35^(1+Inflation_Rate)^Year</f>
        <v>0</v>
      </c>
      <c r="AF29" s="249" t="n">
        <f aca="false">Cost_PY*(PY_for_Inf+PY!$L21)*(1+Inflation_Rate)^Year</f>
        <v>8627426.19177367</v>
      </c>
      <c r="AG29" s="249" t="n">
        <v>39613.227136875</v>
      </c>
      <c r="AH29" s="249" t="n">
        <v>443169.865252518</v>
      </c>
      <c r="AI29" s="28"/>
      <c r="AJ29" s="7"/>
      <c r="AL29" s="25"/>
      <c r="AM29" s="105" t="n">
        <v>15</v>
      </c>
      <c r="AN29" s="238" t="n">
        <f aca="false">'Input-Start'!W34*(1+Inflation_Rate)^Year</f>
        <v>0</v>
      </c>
      <c r="AO29" s="250" t="n">
        <f aca="false">'Input-Start'!X34*(1+Inflation_Rate)^'Input-Detail'!$AM29</f>
        <v>645211.601593147</v>
      </c>
      <c r="AP29" s="251" t="n">
        <f aca="false">Cost_PY*(PY_for_Inf+PY!$Q21)*(1+Inflation_Rate)^Year</f>
        <v>1889277.10221624</v>
      </c>
      <c r="AQ29" s="252" t="n">
        <v>6788.32062341738</v>
      </c>
      <c r="AR29" s="253" t="n">
        <v>177942.697569416</v>
      </c>
      <c r="AS29" s="28"/>
      <c r="AT29" s="50"/>
      <c r="AV29" s="25"/>
      <c r="AW29" s="70" t="s">
        <v>119</v>
      </c>
      <c r="AX29" s="74"/>
      <c r="AY29" s="74"/>
      <c r="AZ29" s="90" t="n">
        <f aca="false">'Input-Start'!AR20</f>
        <v>55</v>
      </c>
      <c r="BA29" s="76"/>
      <c r="BB29" s="28"/>
      <c r="BE29" s="101"/>
      <c r="BF29" s="158"/>
      <c r="BG29" s="105" t="n">
        <v>16</v>
      </c>
      <c r="BH29" s="245" t="n">
        <f aca="false">BH$13+(BH$33-BH$13)*$D30/$D$34</f>
        <v>0.83</v>
      </c>
      <c r="BI29" s="230" t="n">
        <f aca="false">1-BH29</f>
        <v>0.17</v>
      </c>
      <c r="BJ29" s="245" t="n">
        <f aca="false">BJ$13+(BJ$33-BJ$13)*$D30/$D$34</f>
        <v>0.966</v>
      </c>
      <c r="BK29" s="230" t="n">
        <f aca="false">1-BJ29</f>
        <v>0.034</v>
      </c>
      <c r="BL29" s="245" t="n">
        <f aca="false">BL$13+(BL$33-BL$13)*$D30/$D$34</f>
        <v>0.64</v>
      </c>
      <c r="BM29" s="231" t="n">
        <f aca="false">1-BL29</f>
        <v>0.36</v>
      </c>
      <c r="BN29" s="246"/>
      <c r="BO29" s="269"/>
      <c r="BQ29" s="50"/>
      <c r="BR29" s="25"/>
      <c r="BS29" s="70" t="s">
        <v>151</v>
      </c>
      <c r="BT29" s="74"/>
      <c r="BU29" s="74"/>
      <c r="BV29" s="166" t="n">
        <f aca="false">'Input-Start'!BA30</f>
        <v>0.03</v>
      </c>
      <c r="BW29" s="76"/>
      <c r="BX29" s="28"/>
    </row>
    <row r="30" customFormat="false" ht="15" hidden="false" customHeight="false" outlineLevel="0" collapsed="false">
      <c r="B30" s="101"/>
      <c r="C30" s="158"/>
      <c r="D30" s="105" t="n">
        <v>16</v>
      </c>
      <c r="E30" s="247" t="n">
        <f aca="false">E$14+(E$34-E$14)*$D30/$D$34</f>
        <v>27803234.6</v>
      </c>
      <c r="F30" s="248" t="n">
        <v>0.85</v>
      </c>
      <c r="G30" s="246"/>
      <c r="H30" s="269"/>
      <c r="K30" s="101"/>
      <c r="L30" s="105" t="n">
        <v>12</v>
      </c>
      <c r="M30" s="263" t="n">
        <f aca="false">E26/$N$18</f>
        <v>11041.8141147538</v>
      </c>
      <c r="N30" s="264" t="n">
        <f aca="false">E26/M30</f>
        <v>2319.04548780488</v>
      </c>
      <c r="O30" s="265" t="n">
        <f aca="false">O29</f>
        <v>2</v>
      </c>
      <c r="P30" s="266" t="n">
        <f aca="false">P29</f>
        <v>0.3</v>
      </c>
      <c r="Q30" s="269"/>
      <c r="T30" s="101"/>
      <c r="U30" s="267" t="n">
        <v>12</v>
      </c>
      <c r="V30" s="263" t="n">
        <f aca="false">E26/$W$18</f>
        <v>11041.8141147538</v>
      </c>
      <c r="W30" s="268" t="n">
        <f aca="false">E26/V30</f>
        <v>2319.04548780488</v>
      </c>
      <c r="X30" s="265" t="n">
        <f aca="false">X29</f>
        <v>2</v>
      </c>
      <c r="Y30" s="266" t="n">
        <f aca="false">Y29</f>
        <v>0.7</v>
      </c>
      <c r="Z30" s="269"/>
      <c r="AA30" s="270"/>
      <c r="AB30" s="7"/>
      <c r="AC30" s="25"/>
      <c r="AD30" s="105" t="n">
        <v>16</v>
      </c>
      <c r="AE30" s="234" t="n">
        <f aca="false">'Input-Start'!N36^(1+Inflation_Rate)^Year</f>
        <v>0</v>
      </c>
      <c r="AF30" s="249" t="n">
        <f aca="false">Cost_PY*(PY_for_Inf+PY!$L22)*(1+Inflation_Rate)^Year</f>
        <v>9050246.39993954</v>
      </c>
      <c r="AG30" s="249" t="n">
        <v>41593.8884937188</v>
      </c>
      <c r="AH30" s="249" t="n">
        <v>456464.961210093</v>
      </c>
      <c r="AI30" s="28"/>
      <c r="AJ30" s="7"/>
      <c r="AL30" s="25"/>
      <c r="AM30" s="105" t="n">
        <v>16</v>
      </c>
      <c r="AN30" s="238" t="n">
        <f aca="false">'Input-Start'!W35*(1+Inflation_Rate)^Year</f>
        <v>0</v>
      </c>
      <c r="AO30" s="250" t="n">
        <f aca="false">'Input-Start'!X35*(1+Inflation_Rate)^'Input-Detail'!$AM30</f>
        <v>685457.848708523</v>
      </c>
      <c r="AP30" s="251" t="n">
        <f aca="false">Cost_PY*(PY_for_Inf+PY!$Q22)*(1+Inflation_Rate)^Year</f>
        <v>1502273.69325169</v>
      </c>
      <c r="AQ30" s="252" t="n">
        <v>7127.73665458825</v>
      </c>
      <c r="AR30" s="253" t="n">
        <v>183280.978496499</v>
      </c>
      <c r="AS30" s="28"/>
      <c r="AT30" s="50"/>
      <c r="AV30" s="25"/>
      <c r="AW30" s="70" t="s">
        <v>126</v>
      </c>
      <c r="AX30" s="74"/>
      <c r="AY30" s="74"/>
      <c r="AZ30" s="110"/>
      <c r="BA30" s="76"/>
      <c r="BB30" s="28"/>
      <c r="BE30" s="101"/>
      <c r="BF30" s="158"/>
      <c r="BG30" s="105" t="n">
        <v>17</v>
      </c>
      <c r="BH30" s="245" t="n">
        <f aca="false">BH$13+(BH$33-BH$13)*$D31/$D$34</f>
        <v>0.83</v>
      </c>
      <c r="BI30" s="230" t="n">
        <f aca="false">1-BH30</f>
        <v>0.17</v>
      </c>
      <c r="BJ30" s="245" t="n">
        <f aca="false">BJ$13+(BJ$33-BJ$13)*$D31/$D$34</f>
        <v>0.9745</v>
      </c>
      <c r="BK30" s="230" t="n">
        <f aca="false">1-BJ30</f>
        <v>0.0255000000000001</v>
      </c>
      <c r="BL30" s="245" t="n">
        <f aca="false">BL$13+(BL$33-BL$13)*$D31/$D$34</f>
        <v>0.64</v>
      </c>
      <c r="BM30" s="231" t="n">
        <f aca="false">1-BL30</f>
        <v>0.36</v>
      </c>
      <c r="BN30" s="246"/>
      <c r="BO30" s="269"/>
      <c r="BQ30" s="50"/>
      <c r="BR30" s="25"/>
      <c r="BS30" s="70" t="s">
        <v>155</v>
      </c>
      <c r="BT30" s="171"/>
      <c r="BU30" s="172"/>
      <c r="BV30" s="173" t="n">
        <f aca="false">'Input-Start'!BA31</f>
        <v>0.06</v>
      </c>
      <c r="BW30" s="76"/>
      <c r="BX30" s="28"/>
    </row>
    <row r="31" customFormat="false" ht="15" hidden="false" customHeight="false" outlineLevel="0" collapsed="false">
      <c r="B31" s="101"/>
      <c r="C31" s="158"/>
      <c r="D31" s="105" t="n">
        <v>17</v>
      </c>
      <c r="E31" s="247" t="n">
        <f aca="false">E$14+(E$34-E$14)*$D31/$D$34</f>
        <v>28352425.95</v>
      </c>
      <c r="F31" s="248" t="n">
        <v>0.9</v>
      </c>
      <c r="G31" s="246"/>
      <c r="H31" s="269"/>
      <c r="K31" s="101"/>
      <c r="L31" s="105" t="n">
        <v>13</v>
      </c>
      <c r="M31" s="263" t="n">
        <f aca="false">E27/$N$18</f>
        <v>11278.6319576499</v>
      </c>
      <c r="N31" s="264" t="n">
        <f aca="false">E27/M31</f>
        <v>2319.04548780488</v>
      </c>
      <c r="O31" s="265" t="n">
        <f aca="false">O30</f>
        <v>2</v>
      </c>
      <c r="P31" s="266" t="n">
        <f aca="false">P30</f>
        <v>0.3</v>
      </c>
      <c r="Q31" s="269"/>
      <c r="T31" s="101"/>
      <c r="U31" s="267" t="n">
        <v>13</v>
      </c>
      <c r="V31" s="263" t="n">
        <f aca="false">E27/$W$18</f>
        <v>11278.6319576499</v>
      </c>
      <c r="W31" s="268" t="n">
        <f aca="false">E27/V31</f>
        <v>2319.04548780488</v>
      </c>
      <c r="X31" s="265" t="n">
        <f aca="false">X30</f>
        <v>2</v>
      </c>
      <c r="Y31" s="266" t="n">
        <f aca="false">Y30</f>
        <v>0.7</v>
      </c>
      <c r="Z31" s="269"/>
      <c r="AA31" s="270"/>
      <c r="AB31" s="7"/>
      <c r="AC31" s="25"/>
      <c r="AD31" s="105" t="n">
        <v>17</v>
      </c>
      <c r="AE31" s="234" t="n">
        <f aca="false">'Input-Start'!N37^(1+Inflation_Rate)^Year</f>
        <v>0</v>
      </c>
      <c r="AF31" s="249" t="n">
        <f aca="false">Cost_PY*(PY_for_Inf+PY!$L23)*(1+Inflation_Rate)^Year</f>
        <v>9490671.13702276</v>
      </c>
      <c r="AG31" s="249" t="n">
        <v>43673.5829184047</v>
      </c>
      <c r="AH31" s="249" t="n">
        <v>470158.910046396</v>
      </c>
      <c r="AI31" s="28"/>
      <c r="AJ31" s="7"/>
      <c r="AL31" s="25"/>
      <c r="AM31" s="105" t="n">
        <v>17</v>
      </c>
      <c r="AN31" s="238" t="n">
        <f aca="false">'Input-Start'!W36*(1+Inflation_Rate)^Year</f>
        <v>0</v>
      </c>
      <c r="AO31" s="250" t="n">
        <f aca="false">'Input-Start'!X36*(1+Inflation_Rate)^'Input-Detail'!$AM31</f>
        <v>727538.180209386</v>
      </c>
      <c r="AP31" s="251" t="n">
        <f aca="false">Cost_PY*(PY_for_Inf+PY!$Q23)*(1+Inflation_Rate)^Year</f>
        <v>1073457.99584877</v>
      </c>
      <c r="AQ31" s="252" t="n">
        <v>7484.12348731766</v>
      </c>
      <c r="AR31" s="253" t="n">
        <v>188779.407851393</v>
      </c>
      <c r="AS31" s="28"/>
      <c r="AT31" s="50"/>
      <c r="AV31" s="25"/>
      <c r="AW31" s="83"/>
      <c r="AX31" s="74" t="s">
        <v>130</v>
      </c>
      <c r="AY31" s="74"/>
      <c r="AZ31" s="139" t="n">
        <f aca="false">'Input-Start'!AR23</f>
        <v>0.9476</v>
      </c>
      <c r="BA31" s="76"/>
      <c r="BB31" s="28"/>
      <c r="BE31" s="101"/>
      <c r="BF31" s="158"/>
      <c r="BG31" s="105" t="n">
        <v>18</v>
      </c>
      <c r="BH31" s="245" t="n">
        <f aca="false">BH$13+(BH$33-BH$13)*$D32/$D$34</f>
        <v>0.83</v>
      </c>
      <c r="BI31" s="230" t="n">
        <f aca="false">1-BH31</f>
        <v>0.17</v>
      </c>
      <c r="BJ31" s="245" t="n">
        <f aca="false">BJ$13+(BJ$33-BJ$13)*$D32/$D$34</f>
        <v>0.983</v>
      </c>
      <c r="BK31" s="230" t="n">
        <f aca="false">1-BJ31</f>
        <v>0.017</v>
      </c>
      <c r="BL31" s="245" t="n">
        <f aca="false">BL$13+(BL$33-BL$13)*$D32/$D$34</f>
        <v>0.64</v>
      </c>
      <c r="BM31" s="231" t="n">
        <f aca="false">1-BL31</f>
        <v>0.36</v>
      </c>
      <c r="BN31" s="246"/>
      <c r="BO31" s="269"/>
      <c r="BQ31" s="50"/>
      <c r="BR31" s="25"/>
      <c r="BS31" s="70" t="s">
        <v>157</v>
      </c>
      <c r="BT31" s="171"/>
      <c r="BU31" s="172"/>
      <c r="BV31" s="173" t="n">
        <f aca="false">'Input-Start'!BA32</f>
        <v>0.03</v>
      </c>
      <c r="BW31" s="76"/>
      <c r="BX31" s="28"/>
    </row>
    <row r="32" customFormat="false" ht="15" hidden="false" customHeight="false" outlineLevel="0" collapsed="false">
      <c r="B32" s="101"/>
      <c r="C32" s="158"/>
      <c r="D32" s="105" t="n">
        <v>18</v>
      </c>
      <c r="E32" s="247" t="n">
        <f aca="false">E$14+(E$34-E$14)*$D32/$D$34</f>
        <v>28901617.3</v>
      </c>
      <c r="F32" s="248" t="n">
        <v>0.95</v>
      </c>
      <c r="G32" s="246"/>
      <c r="H32" s="269"/>
      <c r="K32" s="101"/>
      <c r="L32" s="105" t="n">
        <v>14</v>
      </c>
      <c r="M32" s="263" t="n">
        <f aca="false">E28/$N$18</f>
        <v>11515.4498005461</v>
      </c>
      <c r="N32" s="264" t="n">
        <f aca="false">E28/M32</f>
        <v>2319.04548780488</v>
      </c>
      <c r="O32" s="265" t="n">
        <f aca="false">O31</f>
        <v>2</v>
      </c>
      <c r="P32" s="266" t="n">
        <f aca="false">P31</f>
        <v>0.3</v>
      </c>
      <c r="Q32" s="269"/>
      <c r="T32" s="101"/>
      <c r="U32" s="267" t="n">
        <v>14</v>
      </c>
      <c r="V32" s="263" t="n">
        <f aca="false">E28/$W$18</f>
        <v>11515.4498005461</v>
      </c>
      <c r="W32" s="268" t="n">
        <f aca="false">E28/V32</f>
        <v>2319.04548780488</v>
      </c>
      <c r="X32" s="265" t="n">
        <f aca="false">X31</f>
        <v>2</v>
      </c>
      <c r="Y32" s="266" t="n">
        <f aca="false">Y31</f>
        <v>0.7</v>
      </c>
      <c r="Z32" s="269"/>
      <c r="AA32" s="270"/>
      <c r="AB32" s="7"/>
      <c r="AC32" s="25"/>
      <c r="AD32" s="105" t="n">
        <v>18</v>
      </c>
      <c r="AE32" s="234" t="n">
        <f aca="false">'Input-Start'!N38^(1+Inflation_Rate)^Year</f>
        <v>0</v>
      </c>
      <c r="AF32" s="249" t="n">
        <f aca="false">Cost_PY*(PY_for_Inf+PY!$L24)*(1+Inflation_Rate)^Year</f>
        <v>9949376.13657104</v>
      </c>
      <c r="AG32" s="249" t="n">
        <v>45857.2620643249</v>
      </c>
      <c r="AH32" s="249" t="n">
        <v>484263.677347788</v>
      </c>
      <c r="AI32" s="28"/>
      <c r="AJ32" s="7"/>
      <c r="AL32" s="25"/>
      <c r="AM32" s="105" t="n">
        <v>18</v>
      </c>
      <c r="AN32" s="238" t="n">
        <f aca="false">'Input-Start'!W37*(1+Inflation_Rate)^Year</f>
        <v>0</v>
      </c>
      <c r="AO32" s="250" t="n">
        <f aca="false">'Input-Start'!X37*(1+Inflation_Rate)^'Input-Detail'!$AM32</f>
        <v>771526.419536469</v>
      </c>
      <c r="AP32" s="251" t="n">
        <f aca="false">Cost_PY*(PY_for_Inf+PY!$Q24)*(1+Inflation_Rate)^Year</f>
        <v>600162.823733984</v>
      </c>
      <c r="AQ32" s="252" t="n">
        <v>7858.32966168355</v>
      </c>
      <c r="AR32" s="253" t="n">
        <v>194442.790086935</v>
      </c>
      <c r="AS32" s="28"/>
      <c r="AT32" s="50"/>
      <c r="AV32" s="25"/>
      <c r="AW32" s="83"/>
      <c r="AX32" s="74" t="s">
        <v>132</v>
      </c>
      <c r="AY32" s="74"/>
      <c r="AZ32" s="139" t="n">
        <f aca="false">'Input-Start'!AR24</f>
        <v>0.0511</v>
      </c>
      <c r="BA32" s="76"/>
      <c r="BB32" s="28"/>
      <c r="BE32" s="101"/>
      <c r="BF32" s="158"/>
      <c r="BG32" s="105" t="n">
        <v>19</v>
      </c>
      <c r="BH32" s="245" t="n">
        <f aca="false">BH$13+(BH$33-BH$13)*$D33/$D$34</f>
        <v>0.83</v>
      </c>
      <c r="BI32" s="230" t="n">
        <f aca="false">1-BH32</f>
        <v>0.17</v>
      </c>
      <c r="BJ32" s="245" t="n">
        <f aca="false">BJ$13+(BJ$33-BJ$13)*$D33/$D$34</f>
        <v>0.9915</v>
      </c>
      <c r="BK32" s="230" t="n">
        <f aca="false">1-BJ32</f>
        <v>0.00849999999999995</v>
      </c>
      <c r="BL32" s="245" t="n">
        <f aca="false">BL$13+(BL$33-BL$13)*$D33/$D$34</f>
        <v>0.64</v>
      </c>
      <c r="BM32" s="231" t="n">
        <f aca="false">1-BL32</f>
        <v>0.36</v>
      </c>
      <c r="BN32" s="246"/>
      <c r="BO32" s="269"/>
      <c r="BQ32" s="50"/>
      <c r="BR32" s="25"/>
      <c r="BS32" s="70" t="s">
        <v>160</v>
      </c>
      <c r="BT32" s="74"/>
      <c r="BU32" s="74"/>
      <c r="BV32" s="152"/>
      <c r="BW32" s="76"/>
      <c r="BX32" s="28"/>
    </row>
    <row r="33" customFormat="false" ht="15" hidden="false" customHeight="false" outlineLevel="0" collapsed="false">
      <c r="B33" s="101"/>
      <c r="C33" s="158"/>
      <c r="D33" s="105" t="n">
        <v>19</v>
      </c>
      <c r="E33" s="247" t="n">
        <f aca="false">E$14+(E$34-E$14)*$D33/$D$34</f>
        <v>29450808.65</v>
      </c>
      <c r="F33" s="248" t="n">
        <v>0.95</v>
      </c>
      <c r="G33" s="246"/>
      <c r="H33" s="269"/>
      <c r="K33" s="101"/>
      <c r="L33" s="105" t="n">
        <v>15</v>
      </c>
      <c r="M33" s="263" t="n">
        <f aca="false">E29/$N$18</f>
        <v>11752.2676434422</v>
      </c>
      <c r="N33" s="264" t="n">
        <f aca="false">E29/M33</f>
        <v>2319.04548780488</v>
      </c>
      <c r="O33" s="265" t="n">
        <f aca="false">O32</f>
        <v>2</v>
      </c>
      <c r="P33" s="266" t="n">
        <f aca="false">P32</f>
        <v>0.3</v>
      </c>
      <c r="Q33" s="269"/>
      <c r="T33" s="101"/>
      <c r="U33" s="267" t="n">
        <v>15</v>
      </c>
      <c r="V33" s="263" t="n">
        <f aca="false">E29/$W$18</f>
        <v>11752.2676434422</v>
      </c>
      <c r="W33" s="268" t="n">
        <f aca="false">E29/V33</f>
        <v>2319.04548780488</v>
      </c>
      <c r="X33" s="265" t="n">
        <f aca="false">X32</f>
        <v>2</v>
      </c>
      <c r="Y33" s="266" t="n">
        <f aca="false">Y32</f>
        <v>0.7</v>
      </c>
      <c r="Z33" s="269"/>
      <c r="AA33" s="270"/>
      <c r="AB33" s="7"/>
      <c r="AC33" s="25"/>
      <c r="AD33" s="105" t="n">
        <v>19</v>
      </c>
      <c r="AE33" s="234" t="n">
        <f aca="false">'Input-Start'!N39^(1+Inflation_Rate)^Year</f>
        <v>0</v>
      </c>
      <c r="AF33" s="249" t="n">
        <f aca="false">Cost_PY*(PY_for_Inf+PY!$L25)*(1+Inflation_Rate)^Year</f>
        <v>10427061.8320689</v>
      </c>
      <c r="AG33" s="249" t="n">
        <v>48150.1251675412</v>
      </c>
      <c r="AH33" s="249" t="n">
        <v>498791.587668222</v>
      </c>
      <c r="AI33" s="28"/>
      <c r="AJ33" s="7"/>
      <c r="AL33" s="25"/>
      <c r="AM33" s="105" t="n">
        <v>19</v>
      </c>
      <c r="AN33" s="238" t="n">
        <f aca="false">'Input-Start'!W38*(1+Inflation_Rate)^Year</f>
        <v>0</v>
      </c>
      <c r="AO33" s="250" t="n">
        <f aca="false">'Input-Start'!X38*(1+Inflation_Rate)^'Input-Detail'!$AM33</f>
        <v>817499.168860984</v>
      </c>
      <c r="AP33" s="251" t="n">
        <f aca="false">Cost_PY*(PY_for_Inf+PY!$Q25)*(1+Inflation_Rate)^Year</f>
        <v>627127.92901604</v>
      </c>
      <c r="AQ33" s="252" t="n">
        <v>8251.24614476773</v>
      </c>
      <c r="AR33" s="253" t="n">
        <v>200276.073789543</v>
      </c>
      <c r="AS33" s="28"/>
      <c r="AT33" s="50"/>
      <c r="AV33" s="25"/>
      <c r="AW33" s="83"/>
      <c r="AX33" s="74" t="s">
        <v>135</v>
      </c>
      <c r="AY33" s="74"/>
      <c r="AZ33" s="139" t="n">
        <f aca="false">'Input-Start'!AR25</f>
        <v>0.0013</v>
      </c>
      <c r="BA33" s="76"/>
      <c r="BB33" s="28"/>
      <c r="BE33" s="101"/>
      <c r="BF33" s="158"/>
      <c r="BG33" s="185" t="n">
        <v>20</v>
      </c>
      <c r="BH33" s="271" t="n">
        <f aca="false">'Input-Start'!AI22</f>
        <v>0.83</v>
      </c>
      <c r="BI33" s="272" t="n">
        <f aca="false">1-BH33</f>
        <v>0.17</v>
      </c>
      <c r="BJ33" s="271" t="n">
        <f aca="false">'Input-Start'!AI25</f>
        <v>1</v>
      </c>
      <c r="BK33" s="272" t="n">
        <f aca="false">1-BJ33</f>
        <v>0</v>
      </c>
      <c r="BL33" s="271" t="n">
        <f aca="false">'Input-Start'!AI28</f>
        <v>0.64</v>
      </c>
      <c r="BM33" s="273" t="n">
        <f aca="false">1-BL33</f>
        <v>0.36</v>
      </c>
      <c r="BN33" s="246"/>
      <c r="BO33" s="269"/>
      <c r="BQ33" s="50"/>
      <c r="BR33" s="25"/>
      <c r="BS33" s="177"/>
      <c r="BT33" s="74" t="s">
        <v>164</v>
      </c>
      <c r="BU33" s="74"/>
      <c r="BV33" s="175" t="n">
        <f aca="false">'Input-Start'!BA34</f>
        <v>1768</v>
      </c>
      <c r="BW33" s="76"/>
      <c r="BX33" s="28"/>
    </row>
    <row r="34" customFormat="false" ht="15" hidden="false" customHeight="false" outlineLevel="0" collapsed="false">
      <c r="B34" s="101"/>
      <c r="C34" s="158"/>
      <c r="D34" s="185" t="n">
        <v>20</v>
      </c>
      <c r="E34" s="274" t="n">
        <f aca="false">'Input-Start'!G22</f>
        <v>30000000</v>
      </c>
      <c r="F34" s="275" t="n">
        <v>0.95</v>
      </c>
      <c r="G34" s="246"/>
      <c r="H34" s="269"/>
      <c r="K34" s="101"/>
      <c r="L34" s="105" t="n">
        <v>16</v>
      </c>
      <c r="M34" s="263" t="n">
        <f aca="false">E30/$N$18</f>
        <v>11989.0854863384</v>
      </c>
      <c r="N34" s="264" t="n">
        <f aca="false">E30/M34</f>
        <v>2319.04548780488</v>
      </c>
      <c r="O34" s="265" t="n">
        <f aca="false">O33</f>
        <v>2</v>
      </c>
      <c r="P34" s="266" t="n">
        <f aca="false">P33</f>
        <v>0.3</v>
      </c>
      <c r="Q34" s="269"/>
      <c r="T34" s="101"/>
      <c r="U34" s="267" t="n">
        <v>16</v>
      </c>
      <c r="V34" s="263" t="n">
        <f aca="false">E30/$W$18</f>
        <v>11989.0854863384</v>
      </c>
      <c r="W34" s="268" t="n">
        <f aca="false">E30/V34</f>
        <v>2319.04548780488</v>
      </c>
      <c r="X34" s="265" t="n">
        <f aca="false">X33</f>
        <v>2</v>
      </c>
      <c r="Y34" s="266" t="n">
        <f aca="false">Y33</f>
        <v>0.7</v>
      </c>
      <c r="Z34" s="269"/>
      <c r="AA34" s="270"/>
      <c r="AB34" s="7"/>
      <c r="AC34" s="25"/>
      <c r="AD34" s="185" t="n">
        <v>20</v>
      </c>
      <c r="AE34" s="276" t="n">
        <f aca="false">'Input-Start'!N40^(1+Inflation_Rate)^Year</f>
        <v>0</v>
      </c>
      <c r="AF34" s="277" t="n">
        <f aca="false">Cost_PY*(PY_for_Inf+PY!$L26)*(1+Inflation_Rate)^Year</f>
        <v>10924454.2307737</v>
      </c>
      <c r="AG34" s="277" t="n">
        <v>50557.6314259183</v>
      </c>
      <c r="AH34" s="277" t="n">
        <v>513755.335298268</v>
      </c>
      <c r="AI34" s="28"/>
      <c r="AJ34" s="7"/>
      <c r="AL34" s="25"/>
      <c r="AM34" s="185" t="n">
        <v>20</v>
      </c>
      <c r="AN34" s="278" t="n">
        <f aca="false">'Input-Start'!W39*(1+Inflation_Rate)^Year</f>
        <v>0</v>
      </c>
      <c r="AO34" s="279" t="n">
        <f aca="false">'Input-Start'!X39*(1+Inflation_Rate)^'Input-Detail'!$AM34</f>
        <v>865535.909367389</v>
      </c>
      <c r="AP34" s="280" t="n">
        <f aca="false">Cost_PY*(PY_for_Inf+PY!$Q26)*(1+Inflation_Rate)^Year</f>
        <v>655170.794073658</v>
      </c>
      <c r="AQ34" s="281" t="n">
        <v>8663.80845200611</v>
      </c>
      <c r="AR34" s="282" t="n">
        <v>206284.35600323</v>
      </c>
      <c r="AS34" s="28"/>
      <c r="AT34" s="50"/>
      <c r="AV34" s="25"/>
      <c r="AW34" s="70" t="s">
        <v>139</v>
      </c>
      <c r="AX34" s="74"/>
      <c r="AY34" s="74"/>
      <c r="AZ34" s="110"/>
      <c r="BA34" s="76"/>
      <c r="BB34" s="28"/>
      <c r="BE34" s="101"/>
      <c r="BF34" s="283"/>
      <c r="BG34" s="284"/>
      <c r="BH34" s="284"/>
      <c r="BI34" s="284"/>
      <c r="BJ34" s="284"/>
      <c r="BK34" s="284"/>
      <c r="BL34" s="284"/>
      <c r="BM34" s="284"/>
      <c r="BN34" s="285"/>
      <c r="BO34" s="269"/>
      <c r="BQ34" s="50"/>
      <c r="BR34" s="25"/>
      <c r="BS34" s="177"/>
      <c r="BT34" s="74" t="s">
        <v>167</v>
      </c>
      <c r="BU34" s="74"/>
      <c r="BV34" s="178" t="n">
        <f aca="false">'Input-Start'!BA35</f>
        <v>0.11</v>
      </c>
      <c r="BW34" s="76"/>
      <c r="BX34" s="28"/>
    </row>
    <row r="35" customFormat="false" ht="15.6" hidden="false" customHeight="false" outlineLevel="0" collapsed="false">
      <c r="B35" s="101"/>
      <c r="C35" s="283"/>
      <c r="D35" s="284"/>
      <c r="E35" s="284"/>
      <c r="F35" s="284"/>
      <c r="G35" s="285"/>
      <c r="H35" s="269"/>
      <c r="K35" s="101"/>
      <c r="L35" s="105" t="n">
        <v>17</v>
      </c>
      <c r="M35" s="263" t="n">
        <f aca="false">E31/$N$18</f>
        <v>12225.9033292345</v>
      </c>
      <c r="N35" s="264" t="n">
        <f aca="false">E31/M35</f>
        <v>2319.04548780488</v>
      </c>
      <c r="O35" s="265" t="n">
        <f aca="false">O34</f>
        <v>2</v>
      </c>
      <c r="P35" s="266" t="n">
        <f aca="false">P34</f>
        <v>0.3</v>
      </c>
      <c r="Q35" s="269"/>
      <c r="T35" s="101"/>
      <c r="U35" s="267" t="n">
        <v>17</v>
      </c>
      <c r="V35" s="263" t="n">
        <f aca="false">E31/$W$18</f>
        <v>12225.9033292345</v>
      </c>
      <c r="W35" s="268" t="n">
        <f aca="false">E31/V35</f>
        <v>2319.04548780488</v>
      </c>
      <c r="X35" s="265" t="n">
        <f aca="false">X34</f>
        <v>2</v>
      </c>
      <c r="Y35" s="266" t="n">
        <f aca="false">Y34</f>
        <v>0.7</v>
      </c>
      <c r="Z35" s="269"/>
      <c r="AA35" s="270"/>
      <c r="AB35" s="7"/>
      <c r="AC35" s="179"/>
      <c r="AD35" s="190"/>
      <c r="AE35" s="190"/>
      <c r="AF35" s="190"/>
      <c r="AG35" s="190"/>
      <c r="AH35" s="190"/>
      <c r="AI35" s="181"/>
      <c r="AJ35" s="7"/>
      <c r="AL35" s="179"/>
      <c r="AM35" s="190"/>
      <c r="AN35" s="190"/>
      <c r="AO35" s="190"/>
      <c r="AP35" s="190"/>
      <c r="AQ35" s="190"/>
      <c r="AR35" s="190"/>
      <c r="AS35" s="181"/>
      <c r="AT35" s="50"/>
      <c r="AV35" s="25"/>
      <c r="AW35" s="83"/>
      <c r="AX35" s="74" t="s">
        <v>130</v>
      </c>
      <c r="AY35" s="74"/>
      <c r="AZ35" s="90" t="n">
        <f aca="false">'Input-Start'!AR27</f>
        <v>1.8</v>
      </c>
      <c r="BA35" s="76"/>
      <c r="BB35" s="28"/>
      <c r="BE35" s="192"/>
      <c r="BF35" s="180"/>
      <c r="BG35" s="180"/>
      <c r="BH35" s="168"/>
      <c r="BI35" s="180"/>
      <c r="BJ35" s="180"/>
      <c r="BK35" s="190"/>
      <c r="BL35" s="190"/>
      <c r="BM35" s="190"/>
      <c r="BN35" s="190"/>
      <c r="BO35" s="181"/>
      <c r="BQ35" s="50"/>
      <c r="BR35" s="25"/>
      <c r="BS35" s="177"/>
      <c r="BT35" s="74" t="s">
        <v>169</v>
      </c>
      <c r="BU35" s="74"/>
      <c r="BV35" s="178" t="n">
        <f aca="false">'Input-Start'!BA36</f>
        <v>61.5</v>
      </c>
      <c r="BW35" s="76"/>
      <c r="BX35" s="28"/>
    </row>
    <row r="36" customFormat="false" ht="16.2" hidden="false" customHeight="false" outlineLevel="0" collapsed="false">
      <c r="B36" s="167"/>
      <c r="C36" s="168"/>
      <c r="D36" s="168"/>
      <c r="E36" s="168"/>
      <c r="F36" s="168"/>
      <c r="G36" s="168"/>
      <c r="H36" s="169"/>
      <c r="K36" s="101"/>
      <c r="L36" s="105" t="n">
        <v>18</v>
      </c>
      <c r="M36" s="263" t="n">
        <f aca="false">E32/$N$18</f>
        <v>12462.7211721307</v>
      </c>
      <c r="N36" s="264" t="n">
        <f aca="false">E32/M36</f>
        <v>2319.04548780488</v>
      </c>
      <c r="O36" s="265" t="n">
        <f aca="false">O35</f>
        <v>2</v>
      </c>
      <c r="P36" s="266" t="n">
        <f aca="false">P35</f>
        <v>0.3</v>
      </c>
      <c r="Q36" s="269"/>
      <c r="T36" s="101"/>
      <c r="U36" s="267" t="n">
        <v>18</v>
      </c>
      <c r="V36" s="263" t="n">
        <f aca="false">E32/$W$18</f>
        <v>12462.7211721307</v>
      </c>
      <c r="W36" s="268" t="n">
        <f aca="false">E32/V36</f>
        <v>2319.04548780488</v>
      </c>
      <c r="X36" s="265" t="n">
        <f aca="false">X35</f>
        <v>2</v>
      </c>
      <c r="Y36" s="266" t="n">
        <f aca="false">Y35</f>
        <v>0.7</v>
      </c>
      <c r="Z36" s="269"/>
      <c r="AA36" s="270"/>
      <c r="AB36" s="7"/>
      <c r="AC36" s="7"/>
      <c r="AJ36" s="7"/>
      <c r="AL36" s="7"/>
      <c r="AT36" s="50"/>
      <c r="AV36" s="25"/>
      <c r="AW36" s="83"/>
      <c r="AX36" s="74" t="s">
        <v>132</v>
      </c>
      <c r="AY36" s="74"/>
      <c r="AZ36" s="90" t="n">
        <f aca="false">'Input-Start'!AR28</f>
        <v>1.1</v>
      </c>
      <c r="BA36" s="76"/>
      <c r="BB36" s="28"/>
      <c r="BE36" s="50"/>
      <c r="BF36" s="50"/>
      <c r="BG36" s="50"/>
      <c r="BH36" s="50"/>
      <c r="BJ36" s="50"/>
      <c r="BK36" s="27"/>
      <c r="BL36" s="18"/>
      <c r="BM36" s="18"/>
      <c r="BN36" s="18"/>
      <c r="BO36" s="18"/>
      <c r="BQ36" s="50"/>
      <c r="BR36" s="25"/>
      <c r="BS36" s="177"/>
      <c r="BT36" s="74" t="s">
        <v>170</v>
      </c>
      <c r="BU36" s="74"/>
      <c r="BV36" s="176" t="n">
        <f aca="false">'Input-Start'!BA37</f>
        <v>65000</v>
      </c>
      <c r="BW36" s="76"/>
      <c r="BX36" s="183"/>
    </row>
    <row r="37" customFormat="false" ht="15.6" hidden="false" customHeight="false" outlineLevel="0" collapsed="false">
      <c r="K37" s="101"/>
      <c r="L37" s="105" t="n">
        <v>19</v>
      </c>
      <c r="M37" s="263" t="n">
        <f aca="false">E33/$N$18</f>
        <v>12699.5390150268</v>
      </c>
      <c r="N37" s="264" t="n">
        <f aca="false">E33/M37</f>
        <v>2319.04548780488</v>
      </c>
      <c r="O37" s="265" t="n">
        <f aca="false">O36</f>
        <v>2</v>
      </c>
      <c r="P37" s="266" t="n">
        <f aca="false">P36</f>
        <v>0.3</v>
      </c>
      <c r="Q37" s="269"/>
      <c r="T37" s="101"/>
      <c r="U37" s="267" t="n">
        <v>19</v>
      </c>
      <c r="V37" s="263" t="n">
        <f aca="false">E33/$W$18</f>
        <v>12699.5390150268</v>
      </c>
      <c r="W37" s="268" t="n">
        <f aca="false">E33/V37</f>
        <v>2319.04548780488</v>
      </c>
      <c r="X37" s="265" t="n">
        <f aca="false">X36</f>
        <v>2</v>
      </c>
      <c r="Y37" s="266" t="n">
        <f aca="false">Y36</f>
        <v>0.7</v>
      </c>
      <c r="Z37" s="269"/>
      <c r="AA37" s="286"/>
      <c r="AB37" s="7"/>
      <c r="AC37" s="7"/>
      <c r="AJ37" s="7"/>
      <c r="AV37" s="25"/>
      <c r="AW37" s="83"/>
      <c r="AX37" s="74" t="s">
        <v>135</v>
      </c>
      <c r="AY37" s="74"/>
      <c r="AZ37" s="90" t="n">
        <f aca="false">'Input-Start'!AR29</f>
        <v>20</v>
      </c>
      <c r="BA37" s="76"/>
      <c r="BB37" s="28"/>
      <c r="BJ37" s="50"/>
      <c r="BK37" s="50"/>
      <c r="BQ37" s="50"/>
      <c r="BR37" s="25"/>
      <c r="BS37" s="146"/>
      <c r="BT37" s="147"/>
      <c r="BU37" s="147"/>
      <c r="BV37" s="184"/>
      <c r="BW37" s="149"/>
      <c r="BX37" s="28"/>
    </row>
    <row r="38" customFormat="false" ht="15.6" hidden="false" customHeight="false" outlineLevel="0" collapsed="false">
      <c r="K38" s="101"/>
      <c r="L38" s="185" t="n">
        <v>20</v>
      </c>
      <c r="M38" s="287" t="n">
        <f aca="false">E34/$N$18</f>
        <v>12936.356857923</v>
      </c>
      <c r="N38" s="288" t="n">
        <f aca="false">E34/M38</f>
        <v>2319.04548780488</v>
      </c>
      <c r="O38" s="289" t="n">
        <f aca="false">O37</f>
        <v>2</v>
      </c>
      <c r="P38" s="290" t="n">
        <f aca="false">P37</f>
        <v>0.3</v>
      </c>
      <c r="Q38" s="269"/>
      <c r="T38" s="101"/>
      <c r="U38" s="291" t="n">
        <v>20</v>
      </c>
      <c r="V38" s="287" t="n">
        <f aca="false">E34/$W$18</f>
        <v>12936.356857923</v>
      </c>
      <c r="W38" s="292" t="n">
        <f aca="false">E34/V38</f>
        <v>2319.04548780488</v>
      </c>
      <c r="X38" s="289" t="n">
        <f aca="false">X37</f>
        <v>2</v>
      </c>
      <c r="Y38" s="290" t="n">
        <f aca="false">Y37</f>
        <v>0.7</v>
      </c>
      <c r="Z38" s="269"/>
      <c r="AB38" s="7"/>
      <c r="AC38" s="7"/>
      <c r="AJ38" s="7"/>
      <c r="AV38" s="25"/>
      <c r="AW38" s="70" t="s">
        <v>154</v>
      </c>
      <c r="AX38" s="74"/>
      <c r="AY38" s="74"/>
      <c r="AZ38" s="152"/>
      <c r="BA38" s="76"/>
      <c r="BB38" s="28"/>
      <c r="BJ38" s="50"/>
      <c r="BK38" s="50"/>
      <c r="BQ38" s="50"/>
      <c r="BR38" s="179"/>
      <c r="BS38" s="190"/>
      <c r="BT38" s="190"/>
      <c r="BU38" s="190"/>
      <c r="BV38" s="190"/>
      <c r="BW38" s="190"/>
      <c r="BX38" s="181"/>
    </row>
    <row r="39" customFormat="false" ht="16.2" hidden="false" customHeight="false" outlineLevel="0" collapsed="false">
      <c r="K39" s="167"/>
      <c r="L39" s="168"/>
      <c r="M39" s="168"/>
      <c r="N39" s="168"/>
      <c r="O39" s="168"/>
      <c r="P39" s="168"/>
      <c r="Q39" s="169"/>
      <c r="T39" s="167"/>
      <c r="U39" s="168"/>
      <c r="V39" s="168"/>
      <c r="W39" s="168"/>
      <c r="X39" s="168"/>
      <c r="Y39" s="168"/>
      <c r="Z39" s="169"/>
      <c r="AB39" s="7"/>
      <c r="AC39" s="7"/>
      <c r="AJ39" s="7"/>
      <c r="AV39" s="293"/>
      <c r="AW39" s="70"/>
      <c r="AX39" s="74" t="s">
        <v>130</v>
      </c>
      <c r="AY39" s="74"/>
      <c r="AZ39" s="174" t="n">
        <f aca="false">'Input-Start'!AR32</f>
        <v>12.75</v>
      </c>
      <c r="BA39" s="76"/>
      <c r="BB39" s="86"/>
      <c r="BJ39" s="50"/>
      <c r="BK39" s="50"/>
      <c r="BQ39" s="50"/>
      <c r="BR39" s="50"/>
      <c r="BY39" s="50"/>
    </row>
    <row r="40" customFormat="false" ht="15.6" hidden="false" customHeight="false" outlineLevel="0" collapsed="false">
      <c r="T40" s="7"/>
      <c r="U40" s="7"/>
      <c r="V40" s="7"/>
      <c r="W40" s="7"/>
      <c r="X40" s="7"/>
      <c r="Y40" s="7"/>
      <c r="Z40" s="7"/>
      <c r="AA40" s="7"/>
      <c r="AB40" s="7"/>
      <c r="AC40" s="7"/>
      <c r="AJ40" s="7"/>
      <c r="AV40" s="21"/>
      <c r="AW40" s="70"/>
      <c r="AX40" s="74" t="s">
        <v>132</v>
      </c>
      <c r="AY40" s="74"/>
      <c r="AZ40" s="174" t="n">
        <f aca="false">'Input-Start'!AR33</f>
        <v>33.41</v>
      </c>
      <c r="BA40" s="76"/>
      <c r="BB40" s="86"/>
      <c r="BK40" s="50"/>
      <c r="BP40" s="18"/>
      <c r="BQ40" s="27"/>
    </row>
    <row r="41" customFormat="false" ht="15" hidden="false" customHeight="false" outlineLevel="0" collapsed="false">
      <c r="AB41" s="7"/>
      <c r="AC41" s="7"/>
      <c r="AJ41" s="7"/>
      <c r="AV41" s="21"/>
      <c r="AW41" s="135"/>
      <c r="AX41" s="74" t="s">
        <v>163</v>
      </c>
      <c r="AY41" s="74"/>
      <c r="AZ41" s="174" t="n">
        <f aca="false">'Input-Start'!AR34</f>
        <v>12.75</v>
      </c>
      <c r="BA41" s="76"/>
      <c r="BB41" s="86"/>
      <c r="BK41" s="50"/>
      <c r="BP41" s="18"/>
      <c r="BQ41" s="27"/>
    </row>
    <row r="42" customFormat="false" ht="13.2" hidden="false" customHeight="false" outlineLevel="0" collapsed="false">
      <c r="AB42" s="7"/>
      <c r="AC42" s="7"/>
      <c r="AJ42" s="7"/>
      <c r="AV42" s="21"/>
      <c r="AW42" s="294"/>
      <c r="AX42" s="295"/>
      <c r="AY42" s="295"/>
      <c r="AZ42" s="295"/>
      <c r="BA42" s="296"/>
      <c r="BB42" s="86"/>
    </row>
    <row r="43" customFormat="false" ht="13.8" hidden="false" customHeight="false" outlineLevel="0" collapsed="false">
      <c r="AB43" s="7"/>
      <c r="AC43" s="7"/>
      <c r="AJ43" s="7"/>
      <c r="AV43" s="192"/>
      <c r="AW43" s="180"/>
      <c r="AX43" s="180"/>
      <c r="AY43" s="180"/>
      <c r="AZ43" s="180"/>
      <c r="BA43" s="180"/>
      <c r="BB43" s="193"/>
    </row>
    <row r="44" customFormat="false" ht="14.4" hidden="false" customHeight="false" outlineLevel="0" collapsed="false">
      <c r="AB44" s="7"/>
      <c r="AC44" s="297" t="s">
        <v>234</v>
      </c>
      <c r="AJ44" s="7"/>
    </row>
    <row r="45" customFormat="false" ht="13.8" hidden="false" customHeight="false" outlineLevel="0" collapsed="false">
      <c r="AB45" s="7"/>
      <c r="AC45" s="298" t="s">
        <v>235</v>
      </c>
      <c r="AD45" s="298"/>
      <c r="AE45" s="298"/>
      <c r="AF45" s="298"/>
      <c r="AG45" s="298"/>
      <c r="AH45" s="298"/>
      <c r="AI45" s="298"/>
      <c r="AJ45" s="7"/>
    </row>
    <row r="46" customFormat="false" ht="13.2" hidden="false" customHeight="false" outlineLevel="0" collapsed="false">
      <c r="AB46" s="7"/>
      <c r="AC46" s="299" t="s">
        <v>236</v>
      </c>
      <c r="AD46" s="299"/>
      <c r="AE46" s="299"/>
      <c r="AF46" s="299"/>
      <c r="AG46" s="299"/>
      <c r="AH46" s="299"/>
      <c r="AI46" s="299"/>
      <c r="AJ46" s="7"/>
    </row>
    <row r="47" customFormat="false" ht="13.2" hidden="false" customHeight="false" outlineLevel="0" collapsed="false">
      <c r="AB47" s="7"/>
      <c r="AC47" s="299" t="s">
        <v>237</v>
      </c>
      <c r="AD47" s="299"/>
      <c r="AE47" s="299"/>
      <c r="AF47" s="299"/>
      <c r="AG47" s="299"/>
      <c r="AH47" s="299"/>
      <c r="AI47" s="299"/>
    </row>
    <row r="48" customFormat="false" ht="13.2" hidden="false" customHeight="false" outlineLevel="0" collapsed="false">
      <c r="AC48" s="299"/>
      <c r="AD48" s="299"/>
      <c r="AE48" s="299"/>
      <c r="AF48" s="299"/>
      <c r="AG48" s="299"/>
      <c r="AH48" s="299"/>
      <c r="AI48" s="299"/>
    </row>
    <row r="49" customFormat="false" ht="13.2" hidden="false" customHeight="false" outlineLevel="0" collapsed="false">
      <c r="AC49" s="299" t="s">
        <v>238</v>
      </c>
      <c r="AD49" s="299"/>
      <c r="AE49" s="299"/>
      <c r="AF49" s="299"/>
      <c r="AG49" s="299"/>
      <c r="AH49" s="299"/>
      <c r="AI49" s="299"/>
    </row>
    <row r="50" customFormat="false" ht="13.2" hidden="false" customHeight="false" outlineLevel="0" collapsed="false">
      <c r="AC50" s="299" t="s">
        <v>239</v>
      </c>
      <c r="AD50" s="299"/>
      <c r="AE50" s="299"/>
      <c r="AF50" s="299"/>
      <c r="AG50" s="299"/>
      <c r="AH50" s="299"/>
      <c r="AI50" s="299"/>
    </row>
    <row r="51" customFormat="false" ht="13.2" hidden="false" customHeight="false" outlineLevel="0" collapsed="false">
      <c r="AC51" s="299" t="s">
        <v>240</v>
      </c>
      <c r="AD51" s="299"/>
      <c r="AE51" s="299"/>
      <c r="AF51" s="299"/>
      <c r="AG51" s="299"/>
      <c r="AH51" s="299"/>
      <c r="AI51" s="299"/>
    </row>
    <row r="52" customFormat="false" ht="13.2" hidden="false" customHeight="false" outlineLevel="0" collapsed="false">
      <c r="AC52" s="299" t="s">
        <v>241</v>
      </c>
      <c r="AD52" s="299"/>
      <c r="AE52" s="299"/>
      <c r="AF52" s="299"/>
      <c r="AG52" s="299"/>
      <c r="AH52" s="299"/>
      <c r="AI52" s="299"/>
    </row>
    <row r="53" customFormat="false" ht="13.2" hidden="false" customHeight="false" outlineLevel="0" collapsed="false">
      <c r="AC53" s="299" t="s">
        <v>242</v>
      </c>
      <c r="AD53" s="299"/>
      <c r="AE53" s="299"/>
      <c r="AF53" s="299"/>
      <c r="AG53" s="299"/>
      <c r="AH53" s="299"/>
      <c r="AI53" s="299"/>
    </row>
    <row r="54" customFormat="false" ht="13.2" hidden="false" customHeight="false" outlineLevel="0" collapsed="false">
      <c r="AC54" s="299" t="s">
        <v>243</v>
      </c>
      <c r="AD54" s="299"/>
      <c r="AE54" s="299"/>
      <c r="AF54" s="299"/>
      <c r="AG54" s="299"/>
      <c r="AH54" s="299"/>
      <c r="AI54" s="299"/>
    </row>
    <row r="55" customFormat="false" ht="13.2" hidden="false" customHeight="false" outlineLevel="0" collapsed="false">
      <c r="AC55" s="300"/>
      <c r="AD55" s="301"/>
      <c r="AE55" s="301"/>
      <c r="AF55" s="301"/>
      <c r="AG55" s="301"/>
      <c r="AH55" s="301"/>
      <c r="AI55" s="302"/>
    </row>
    <row r="56" customFormat="false" ht="14.4" hidden="false" customHeight="false" outlineLevel="0" collapsed="false">
      <c r="AC56" s="300" t="s">
        <v>244</v>
      </c>
      <c r="AD56" s="300"/>
      <c r="AE56" s="303"/>
      <c r="AF56" s="304" t="n">
        <f aca="false">'Input-Detail'!$BV$29</f>
        <v>0.03</v>
      </c>
      <c r="AG56" s="303"/>
      <c r="AH56" s="303"/>
      <c r="AI56" s="305"/>
    </row>
    <row r="57" customFormat="false" ht="13.2" hidden="false" customHeight="false" outlineLevel="0" collapsed="false">
      <c r="AC57" s="306" t="s">
        <v>245</v>
      </c>
      <c r="AD57" s="301"/>
      <c r="AE57" s="303"/>
      <c r="AF57" s="307" t="n">
        <f aca="false">'Input-Detail'!$BV$36</f>
        <v>65000</v>
      </c>
      <c r="AG57" s="303"/>
      <c r="AH57" s="303"/>
      <c r="AI57" s="305"/>
    </row>
    <row r="58" customFormat="false" ht="13.8" hidden="false" customHeight="false" outlineLevel="0" collapsed="false">
      <c r="AC58" s="308" t="s">
        <v>246</v>
      </c>
      <c r="AD58" s="309"/>
      <c r="AE58" s="310"/>
      <c r="AF58" s="310" t="n">
        <f aca="false">PY_for_Inf</f>
        <v>0.11</v>
      </c>
      <c r="AG58" s="310"/>
      <c r="AH58" s="310"/>
      <c r="AI58" s="311"/>
    </row>
    <row r="59" customFormat="false" ht="13.8" hidden="false" customHeight="false" outlineLevel="0" collapsed="false"/>
  </sheetData>
  <sheetProtection sheet="true" password="ea2e" objects="true" scenarios="true"/>
  <mergeCells count="38">
    <mergeCell ref="AE2:AI2"/>
    <mergeCell ref="AN2:AQ2"/>
    <mergeCell ref="C4:H4"/>
    <mergeCell ref="L4:Q4"/>
    <mergeCell ref="AD4:AI4"/>
    <mergeCell ref="C5:H5"/>
    <mergeCell ref="L5:Q5"/>
    <mergeCell ref="AD5:AI5"/>
    <mergeCell ref="C6:H6"/>
    <mergeCell ref="L6:Q6"/>
    <mergeCell ref="AD6:AI6"/>
    <mergeCell ref="C8:H8"/>
    <mergeCell ref="C9:H9"/>
    <mergeCell ref="AD10:AI10"/>
    <mergeCell ref="BG10:BG12"/>
    <mergeCell ref="BH10:BI10"/>
    <mergeCell ref="BJ10:BM10"/>
    <mergeCell ref="BH11:BI11"/>
    <mergeCell ref="BJ11:BK11"/>
    <mergeCell ref="BL11:BM11"/>
    <mergeCell ref="AD12:AD13"/>
    <mergeCell ref="AE12:AE13"/>
    <mergeCell ref="AF12:AH12"/>
    <mergeCell ref="AM12:AM13"/>
    <mergeCell ref="AN12:AN13"/>
    <mergeCell ref="AO12:AR12"/>
    <mergeCell ref="L15:Q15"/>
    <mergeCell ref="AC45:AI45"/>
    <mergeCell ref="AC46:AI46"/>
    <mergeCell ref="AC47:AI47"/>
    <mergeCell ref="AC48:AI48"/>
    <mergeCell ref="AC49:AI49"/>
    <mergeCell ref="AC50:AI50"/>
    <mergeCell ref="AC51:AI51"/>
    <mergeCell ref="AC52:AI52"/>
    <mergeCell ref="AC53:AI53"/>
    <mergeCell ref="AC54:AI54"/>
    <mergeCell ref="AC56:AD5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4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1" activeCellId="0" sqref="D21:H24"/>
    </sheetView>
  </sheetViews>
  <sheetFormatPr defaultColWidth="8.875" defaultRowHeight="15.6" customHeight="false" zeroHeight="false" outlineLevelRow="0" outlineLevelCol="0"/>
  <cols>
    <col collapsed="false" customWidth="false" hidden="false" outlineLevel="0" max="1" min="1" style="312" width="8.87"/>
    <col collapsed="false" customWidth="true" hidden="false" outlineLevel="0" max="2" min="2" style="312" width="11.1"/>
    <col collapsed="false" customWidth="true" hidden="false" outlineLevel="0" max="3" min="3" style="312" width="12.32"/>
    <col collapsed="false" customWidth="true" hidden="false" outlineLevel="0" max="4" min="4" style="312" width="13.33"/>
    <col collapsed="false" customWidth="true" hidden="false" outlineLevel="0" max="5" min="5" style="312" width="14.33"/>
    <col collapsed="false" customWidth="true" hidden="false" outlineLevel="0" max="6" min="6" style="313" width="12.43"/>
    <col collapsed="false" customWidth="true" hidden="false" outlineLevel="0" max="7" min="7" style="312" width="11.66"/>
    <col collapsed="false" customWidth="true" hidden="false" outlineLevel="0" max="8" min="8" style="312" width="13.33"/>
    <col collapsed="false" customWidth="true" hidden="false" outlineLevel="0" max="9" min="9" style="312" width="12.66"/>
    <col collapsed="false" customWidth="true" hidden="false" outlineLevel="0" max="10" min="10" style="312" width="11.1"/>
    <col collapsed="false" customWidth="true" hidden="false" outlineLevel="0" max="11" min="11" style="312" width="13.87"/>
    <col collapsed="false" customWidth="true" hidden="false" outlineLevel="0" max="12" min="12" style="312" width="14.33"/>
    <col collapsed="false" customWidth="true" hidden="false" outlineLevel="0" max="13" min="13" style="312" width="13.87"/>
    <col collapsed="false" customWidth="true" hidden="false" outlineLevel="0" max="14" min="14" style="312" width="11.99"/>
    <col collapsed="false" customWidth="true" hidden="false" outlineLevel="0" max="15" min="15" style="312" width="14.1"/>
    <col collapsed="false" customWidth="true" hidden="false" outlineLevel="0" max="16" min="16" style="312" width="11.66"/>
    <col collapsed="false" customWidth="true" hidden="false" outlineLevel="0" max="17" min="17" style="312" width="8.55"/>
    <col collapsed="false" customWidth="false" hidden="false" outlineLevel="0" max="257" min="18" style="312" width="8.87"/>
  </cols>
  <sheetData>
    <row r="1" customFormat="false" ht="16.2" hidden="false" customHeight="false" outlineLevel="0" collapsed="false"/>
    <row r="2" customFormat="false" ht="16.2" hidden="false" customHeight="false" outlineLevel="0" collapsed="false">
      <c r="B2" s="314"/>
      <c r="C2" s="315"/>
      <c r="D2" s="315"/>
      <c r="E2" s="315"/>
      <c r="F2" s="316"/>
      <c r="G2" s="315"/>
      <c r="H2" s="315"/>
      <c r="I2" s="317"/>
    </row>
    <row r="3" customFormat="false" ht="15.6" hidden="false" customHeight="false" outlineLevel="0" collapsed="false">
      <c r="B3" s="318"/>
      <c r="C3" s="319" t="s">
        <v>247</v>
      </c>
      <c r="D3" s="320"/>
      <c r="E3" s="320"/>
      <c r="G3" s="320"/>
      <c r="H3" s="320"/>
      <c r="I3" s="321"/>
    </row>
    <row r="4" customFormat="false" ht="15.6" hidden="false" customHeight="false" outlineLevel="0" collapsed="false">
      <c r="B4" s="318"/>
      <c r="C4" s="319"/>
      <c r="D4" s="320"/>
      <c r="E4" s="320"/>
      <c r="G4" s="320"/>
      <c r="H4" s="320"/>
      <c r="I4" s="321"/>
    </row>
    <row r="5" customFormat="false" ht="16.2" hidden="false" customHeight="false" outlineLevel="0" collapsed="false">
      <c r="B5" s="318"/>
      <c r="C5" s="319" t="s">
        <v>248</v>
      </c>
      <c r="D5" s="320"/>
      <c r="E5" s="320"/>
      <c r="G5" s="320"/>
      <c r="H5" s="320"/>
      <c r="I5" s="321"/>
    </row>
    <row r="6" customFormat="false" ht="19.8" hidden="false" customHeight="false" outlineLevel="0" collapsed="false">
      <c r="B6" s="318"/>
      <c r="C6" s="322"/>
      <c r="D6" s="323" t="s">
        <v>249</v>
      </c>
      <c r="E6" s="324" t="s">
        <v>250</v>
      </c>
      <c r="F6" s="325" t="s">
        <v>251</v>
      </c>
      <c r="G6" s="326" t="s">
        <v>252</v>
      </c>
      <c r="H6" s="326" t="s">
        <v>253</v>
      </c>
      <c r="I6" s="321"/>
    </row>
    <row r="7" customFormat="false" ht="16.2" hidden="false" customHeight="false" outlineLevel="0" collapsed="false">
      <c r="B7" s="318"/>
      <c r="C7" s="327" t="s">
        <v>254</v>
      </c>
      <c r="D7" s="328" t="n">
        <f aca="false">'Results-Detail'!S26</f>
        <v>102375455.688277</v>
      </c>
      <c r="E7" s="329" t="n">
        <f aca="false">'Results-Detail'!R26</f>
        <v>105384795.688277</v>
      </c>
      <c r="F7" s="330" t="n">
        <f aca="false">'Results-Detail'!Q26</f>
        <v>3009340</v>
      </c>
      <c r="G7" s="331" t="n">
        <f aca="false">E7/F7</f>
        <v>35.0192386663776</v>
      </c>
      <c r="H7" s="332" t="n">
        <f aca="false">IRR('Results-Detail'!P5:P25)</f>
        <v>0.484381158220471</v>
      </c>
      <c r="I7" s="321"/>
    </row>
    <row r="8" customFormat="false" ht="15.6" hidden="false" customHeight="false" outlineLevel="0" collapsed="false">
      <c r="B8" s="318"/>
      <c r="C8" s="333" t="s">
        <v>255</v>
      </c>
      <c r="D8" s="334" t="n">
        <f aca="false">'Results-Detail'!R52</f>
        <v>55966010.6140761</v>
      </c>
      <c r="E8" s="335" t="n">
        <f aca="false">'Results-Detail'!Q52</f>
        <v>58975350.6140761</v>
      </c>
      <c r="F8" s="336" t="n">
        <f aca="false">'Results-Detail'!P52</f>
        <v>3009340</v>
      </c>
      <c r="G8" s="337" t="n">
        <f aca="false">E8/F8</f>
        <v>19.597436851295</v>
      </c>
      <c r="H8" s="337"/>
      <c r="I8" s="321"/>
    </row>
    <row r="9" customFormat="false" ht="15.6" hidden="false" customHeight="false" outlineLevel="0" collapsed="false">
      <c r="B9" s="318"/>
      <c r="C9" s="333" t="s">
        <v>256</v>
      </c>
      <c r="D9" s="334" t="n">
        <f aca="false">'Results-Detail'!R78</f>
        <v>46345558.125488</v>
      </c>
      <c r="E9" s="335" t="n">
        <f aca="false">'Results-Detail'!Q78</f>
        <v>46345558.125488</v>
      </c>
      <c r="F9" s="336" t="n">
        <f aca="false">'Results-Detail'!P78</f>
        <v>0</v>
      </c>
      <c r="G9" s="337"/>
      <c r="H9" s="337"/>
      <c r="I9" s="321"/>
    </row>
    <row r="10" customFormat="false" ht="16.2" hidden="false" customHeight="false" outlineLevel="0" collapsed="false">
      <c r="B10" s="318"/>
      <c r="C10" s="338" t="s">
        <v>257</v>
      </c>
      <c r="D10" s="339" t="n">
        <f aca="false">'Results-Detail'!R104</f>
        <v>63886.9487127818</v>
      </c>
      <c r="E10" s="340" t="n">
        <f aca="false">'Results-Detail'!Q104</f>
        <v>63886.9487127818</v>
      </c>
      <c r="F10" s="341" t="n">
        <f aca="false">'Results-Detail'!P104</f>
        <v>0</v>
      </c>
      <c r="G10" s="342"/>
      <c r="H10" s="342"/>
      <c r="I10" s="321"/>
    </row>
    <row r="11" customFormat="false" ht="16.8" hidden="false" customHeight="false" outlineLevel="0" collapsed="false">
      <c r="B11" s="318"/>
      <c r="C11" s="343" t="s">
        <v>258</v>
      </c>
      <c r="D11" s="320"/>
      <c r="E11" s="344"/>
      <c r="G11" s="345"/>
      <c r="H11" s="320"/>
      <c r="I11" s="321"/>
    </row>
    <row r="12" customFormat="false" ht="16.2" hidden="false" customHeight="false" outlineLevel="0" collapsed="false">
      <c r="B12" s="318"/>
      <c r="C12" s="343" t="s">
        <v>259</v>
      </c>
      <c r="D12" s="320"/>
      <c r="E12" s="344"/>
      <c r="G12" s="345"/>
      <c r="H12" s="320"/>
      <c r="I12" s="321"/>
    </row>
    <row r="13" customFormat="false" ht="16.2" hidden="false" customHeight="false" outlineLevel="0" collapsed="false">
      <c r="B13" s="318"/>
      <c r="C13" s="343" t="s">
        <v>260</v>
      </c>
      <c r="D13" s="320"/>
      <c r="E13" s="344"/>
      <c r="G13" s="345"/>
      <c r="H13" s="320"/>
      <c r="I13" s="321"/>
    </row>
    <row r="14" customFormat="false" ht="16.2" hidden="false" customHeight="false" outlineLevel="0" collapsed="false">
      <c r="B14" s="318"/>
      <c r="C14" s="343" t="s">
        <v>261</v>
      </c>
      <c r="D14" s="320"/>
      <c r="E14" s="344"/>
      <c r="G14" s="345"/>
      <c r="H14" s="320"/>
      <c r="I14" s="321"/>
    </row>
    <row r="15" customFormat="false" ht="16.2" hidden="false" customHeight="false" outlineLevel="0" collapsed="false">
      <c r="B15" s="318"/>
      <c r="C15" s="343" t="s">
        <v>262</v>
      </c>
      <c r="D15" s="320"/>
      <c r="E15" s="344"/>
      <c r="G15" s="345"/>
      <c r="H15" s="320"/>
      <c r="I15" s="321"/>
    </row>
    <row r="16" customFormat="false" ht="15.6" hidden="false" customHeight="false" outlineLevel="0" collapsed="false">
      <c r="B16" s="318"/>
      <c r="C16" s="320"/>
      <c r="D16" s="320"/>
      <c r="E16" s="320"/>
      <c r="G16" s="319"/>
      <c r="H16" s="320"/>
      <c r="I16" s="321"/>
      <c r="J16" s="346"/>
    </row>
    <row r="17" customFormat="false" ht="15.6" hidden="false" customHeight="false" outlineLevel="0" collapsed="false">
      <c r="B17" s="318"/>
      <c r="C17" s="320"/>
      <c r="D17" s="320"/>
      <c r="E17" s="320"/>
      <c r="F17" s="320"/>
      <c r="G17" s="320"/>
      <c r="H17" s="320"/>
      <c r="I17" s="321"/>
    </row>
    <row r="18" customFormat="false" ht="16.2" hidden="false" customHeight="false" outlineLevel="0" collapsed="false">
      <c r="B18" s="347"/>
      <c r="C18" s="319" t="s">
        <v>263</v>
      </c>
      <c r="D18" s="320"/>
      <c r="E18" s="320"/>
      <c r="G18" s="320"/>
      <c r="H18" s="320"/>
      <c r="I18" s="321"/>
    </row>
    <row r="19" customFormat="false" ht="16.2" hidden="false" customHeight="false" outlineLevel="0" collapsed="false">
      <c r="B19" s="348"/>
      <c r="C19" s="319"/>
      <c r="D19" s="320"/>
      <c r="E19" s="320"/>
      <c r="G19" s="320"/>
      <c r="H19" s="320"/>
      <c r="I19" s="321"/>
    </row>
    <row r="20" customFormat="false" ht="19.8" hidden="false" customHeight="false" outlineLevel="0" collapsed="false">
      <c r="B20" s="348"/>
      <c r="C20" s="322"/>
      <c r="D20" s="323" t="s">
        <v>249</v>
      </c>
      <c r="E20" s="324" t="s">
        <v>250</v>
      </c>
      <c r="F20" s="325" t="s">
        <v>251</v>
      </c>
      <c r="G20" s="326" t="s">
        <v>252</v>
      </c>
      <c r="H20" s="326" t="s">
        <v>253</v>
      </c>
      <c r="I20" s="321"/>
    </row>
    <row r="21" customFormat="false" ht="16.2" hidden="false" customHeight="false" outlineLevel="0" collapsed="false">
      <c r="B21" s="348"/>
      <c r="C21" s="327" t="s">
        <v>254</v>
      </c>
      <c r="D21" s="328" t="n">
        <f aca="false">SUM('Results-Detail'!S5:S15)</f>
        <v>21137975.6143213</v>
      </c>
      <c r="E21" s="329" t="n">
        <f aca="false">SUM('Results-Detail'!R5:R15)</f>
        <v>24147315.6143213</v>
      </c>
      <c r="F21" s="330" t="n">
        <f aca="false">SUM('Results-Detail'!Q5:Q15)</f>
        <v>3009340</v>
      </c>
      <c r="G21" s="331" t="n">
        <f aca="false">E21/F21</f>
        <v>8.02412343381648</v>
      </c>
      <c r="H21" s="332" t="n">
        <f aca="false">IRR('Results-Detail'!P5:P15)</f>
        <v>0.445746818545013</v>
      </c>
      <c r="I21" s="321"/>
    </row>
    <row r="22" customFormat="false" ht="15.6" hidden="false" customHeight="false" outlineLevel="0" collapsed="false">
      <c r="B22" s="348"/>
      <c r="C22" s="333" t="s">
        <v>255</v>
      </c>
      <c r="D22" s="334" t="n">
        <f aca="false">SUM('Results-Detail'!R31:R41)</f>
        <v>11160310.0456324</v>
      </c>
      <c r="E22" s="335" t="n">
        <f aca="false">SUM('Results-Detail'!Q31:Q41)</f>
        <v>14169650.0456324</v>
      </c>
      <c r="F22" s="336" t="n">
        <f aca="false">SUM('Results-Detail'!P31:P41)</f>
        <v>3009340</v>
      </c>
      <c r="G22" s="337" t="n">
        <f aca="false">E22/F22</f>
        <v>4.70855737325538</v>
      </c>
      <c r="H22" s="337"/>
      <c r="I22" s="321"/>
    </row>
    <row r="23" customFormat="false" ht="15.6" hidden="false" customHeight="false" outlineLevel="0" collapsed="false">
      <c r="B23" s="348"/>
      <c r="C23" s="333" t="s">
        <v>256</v>
      </c>
      <c r="D23" s="334" t="n">
        <f aca="false">SUM('Results-Detail'!R57:R67)</f>
        <v>9960191.69030614</v>
      </c>
      <c r="E23" s="335" t="n">
        <f aca="false">SUM('Results-Detail'!Q57:Q67)</f>
        <v>9960191.69030614</v>
      </c>
      <c r="F23" s="336" t="n">
        <f aca="false">SUM('Results-Detail'!P57:P67)</f>
        <v>0</v>
      </c>
      <c r="G23" s="337"/>
      <c r="H23" s="337"/>
      <c r="I23" s="321"/>
    </row>
    <row r="24" customFormat="false" ht="16.2" hidden="false" customHeight="false" outlineLevel="0" collapsed="false">
      <c r="B24" s="348"/>
      <c r="C24" s="338" t="s">
        <v>257</v>
      </c>
      <c r="D24" s="339" t="n">
        <f aca="false">SUM('Results-Detail'!R83:R93)</f>
        <v>17473.8783828124</v>
      </c>
      <c r="E24" s="340" t="n">
        <f aca="false">SUM('Results-Detail'!Q83:Q93)</f>
        <v>17473.8783828124</v>
      </c>
      <c r="F24" s="341" t="n">
        <f aca="false">SUM('Results-Detail'!P83:P93)</f>
        <v>0</v>
      </c>
      <c r="G24" s="342"/>
      <c r="H24" s="342"/>
      <c r="I24" s="321"/>
    </row>
    <row r="25" customFormat="false" ht="16.8" hidden="false" customHeight="false" outlineLevel="0" collapsed="false">
      <c r="B25" s="349"/>
      <c r="C25" s="350"/>
      <c r="D25" s="350"/>
      <c r="E25" s="350"/>
      <c r="F25" s="350"/>
      <c r="G25" s="350"/>
      <c r="H25" s="350"/>
      <c r="I25" s="351"/>
    </row>
    <row r="26" customFormat="false" ht="19.2" hidden="false" customHeight="false" outlineLevel="0" collapsed="false">
      <c r="B26" s="352"/>
      <c r="C26" s="320"/>
      <c r="D26" s="320"/>
      <c r="E26" s="344"/>
      <c r="G26" s="345"/>
      <c r="H26" s="320"/>
    </row>
    <row r="27" customFormat="false" ht="18.6" hidden="false" customHeight="false" outlineLevel="0" collapsed="false">
      <c r="B27" s="352"/>
      <c r="C27" s="320"/>
      <c r="D27" s="320"/>
      <c r="E27" s="344"/>
      <c r="G27" s="345"/>
      <c r="H27" s="320"/>
    </row>
    <row r="28" customFormat="false" ht="18.6" hidden="false" customHeight="false" outlineLevel="0" collapsed="false">
      <c r="B28" s="352"/>
      <c r="C28" s="320"/>
      <c r="D28" s="320"/>
      <c r="E28" s="344"/>
      <c r="G28" s="345"/>
      <c r="H28" s="320"/>
    </row>
    <row r="29" customFormat="false" ht="18.6" hidden="false" customHeight="false" outlineLevel="0" collapsed="false">
      <c r="B29" s="353"/>
      <c r="C29" s="320"/>
      <c r="D29" s="320"/>
      <c r="E29" s="344"/>
      <c r="G29" s="345"/>
      <c r="H29" s="320"/>
    </row>
    <row r="30" customFormat="false" ht="18.6" hidden="false" customHeight="false" outlineLevel="0" collapsed="false">
      <c r="B30" s="352"/>
      <c r="C30" s="320"/>
      <c r="D30" s="320"/>
      <c r="E30" s="344"/>
      <c r="G30" s="345"/>
      <c r="H30" s="320"/>
    </row>
    <row r="31" customFormat="false" ht="15.6" hidden="false" customHeight="false" outlineLevel="0" collapsed="false">
      <c r="B31" s="352"/>
      <c r="F31" s="312"/>
    </row>
    <row r="32" customFormat="false" ht="15.6" hidden="false" customHeight="false" outlineLevel="0" collapsed="false">
      <c r="B32" s="352"/>
      <c r="F32" s="312"/>
    </row>
    <row r="33" customFormat="false" ht="15.6" hidden="false" customHeight="false" outlineLevel="0" collapsed="false">
      <c r="B33" s="352"/>
      <c r="F33" s="312"/>
    </row>
    <row r="34" customFormat="false" ht="15.6" hidden="false" customHeight="false" outlineLevel="0" collapsed="false">
      <c r="B34" s="352"/>
      <c r="F34" s="312"/>
    </row>
    <row r="35" customFormat="false" ht="15.6" hidden="false" customHeight="false" outlineLevel="0" collapsed="false">
      <c r="B35" s="352"/>
      <c r="F35" s="312"/>
    </row>
    <row r="36" customFormat="false" ht="15.6" hidden="false" customHeight="false" outlineLevel="0" collapsed="false">
      <c r="B36" s="352"/>
      <c r="F36" s="312"/>
    </row>
    <row r="37" customFormat="false" ht="15.6" hidden="false" customHeight="false" outlineLevel="0" collapsed="false">
      <c r="B37" s="352"/>
      <c r="F37" s="312"/>
    </row>
    <row r="38" customFormat="false" ht="15.6" hidden="false" customHeight="false" outlineLevel="0" collapsed="false">
      <c r="B38" s="352"/>
      <c r="F38" s="312"/>
    </row>
    <row r="39" customFormat="false" ht="15.6" hidden="false" customHeight="false" outlineLevel="0" collapsed="false">
      <c r="B39" s="352"/>
      <c r="F39" s="312"/>
    </row>
    <row r="40" customFormat="false" ht="15.6" hidden="false" customHeight="false" outlineLevel="0" collapsed="false">
      <c r="F40" s="312"/>
    </row>
    <row r="41" customFormat="false" ht="15.6" hidden="false" customHeight="false" outlineLevel="0" collapsed="false">
      <c r="F41" s="312"/>
    </row>
    <row r="42" customFormat="false" ht="15.6" hidden="false" customHeight="false" outlineLevel="0" collapsed="false">
      <c r="F42" s="312"/>
    </row>
    <row r="43" customFormat="false" ht="15.6" hidden="false" customHeight="false" outlineLevel="0" collapsed="false">
      <c r="F43" s="312"/>
    </row>
    <row r="44" customFormat="false" ht="15.6" hidden="false" customHeight="false" outlineLevel="0" collapsed="false">
      <c r="F44" s="31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83" activeCellId="0" sqref="P83:R104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2" min="2" style="0" width="11.99"/>
    <col collapsed="false" customWidth="true" hidden="false" outlineLevel="0" max="3" min="3" style="0" width="16.66"/>
    <col collapsed="false" customWidth="true" hidden="false" outlineLevel="0" max="6" min="6" style="0" width="13.87"/>
    <col collapsed="false" customWidth="true" hidden="false" outlineLevel="0" max="7" min="7" style="0" width="14.43"/>
    <col collapsed="false" customWidth="true" hidden="false" outlineLevel="0" max="8" min="8" style="0" width="11.87"/>
    <col collapsed="false" customWidth="true" hidden="false" outlineLevel="0" max="9" min="9" style="0" width="14.1"/>
    <col collapsed="false" customWidth="true" hidden="false" outlineLevel="0" max="10" min="10" style="0" width="12.99"/>
    <col collapsed="false" customWidth="true" hidden="false" outlineLevel="0" max="11" min="11" style="0" width="14.43"/>
    <col collapsed="false" customWidth="true" hidden="false" outlineLevel="0" max="12" min="12" style="0" width="11.99"/>
    <col collapsed="false" customWidth="true" hidden="false" outlineLevel="0" max="13" min="13" style="0" width="16.66"/>
    <col collapsed="false" customWidth="true" hidden="false" outlineLevel="0" max="14" min="14" style="0" width="11.66"/>
    <col collapsed="false" customWidth="true" hidden="false" outlineLevel="0" max="15" min="15" style="0" width="11.1"/>
    <col collapsed="false" customWidth="true" hidden="false" outlineLevel="0" max="16" min="16" style="0" width="12.32"/>
    <col collapsed="false" customWidth="true" hidden="false" outlineLevel="0" max="18" min="17" style="0" width="11.66"/>
    <col collapsed="false" customWidth="true" hidden="false" outlineLevel="0" max="19" min="19" style="0" width="11.87"/>
  </cols>
  <sheetData>
    <row r="1" customFormat="false" ht="13.2" hidden="false" customHeight="false" outlineLevel="0" collapsed="false">
      <c r="C1" s="0" t="s">
        <v>113</v>
      </c>
    </row>
    <row r="2" customFormat="false" ht="13.2" hidden="false" customHeight="false" outlineLevel="0" collapsed="false">
      <c r="A2" s="354" t="s">
        <v>264</v>
      </c>
      <c r="E2" s="354" t="s">
        <v>265</v>
      </c>
      <c r="O2" s="354" t="s">
        <v>266</v>
      </c>
    </row>
    <row r="3" customFormat="false" ht="13.8" hidden="false" customHeight="false" outlineLevel="0" collapsed="false">
      <c r="A3" s="0" t="s">
        <v>267</v>
      </c>
      <c r="C3" s="355" t="n">
        <f aca="false">'Input-Detail'!BV31</f>
        <v>0.03</v>
      </c>
      <c r="G3" s="356"/>
      <c r="O3" s="356"/>
    </row>
    <row r="4" customFormat="false" ht="28.8" hidden="false" customHeight="false" outlineLevel="0" collapsed="false">
      <c r="A4" s="357" t="s">
        <v>96</v>
      </c>
      <c r="B4" s="358" t="s">
        <v>268</v>
      </c>
      <c r="C4" s="359" t="s">
        <v>269</v>
      </c>
      <c r="D4" s="360"/>
      <c r="E4" s="357" t="s">
        <v>96</v>
      </c>
      <c r="F4" s="361" t="s">
        <v>270</v>
      </c>
      <c r="G4" s="362" t="s">
        <v>271</v>
      </c>
      <c r="H4" s="362" t="s">
        <v>272</v>
      </c>
      <c r="I4" s="358" t="s">
        <v>273</v>
      </c>
      <c r="J4" s="362" t="s">
        <v>274</v>
      </c>
      <c r="K4" s="362" t="s">
        <v>275</v>
      </c>
      <c r="L4" s="358" t="s">
        <v>276</v>
      </c>
      <c r="M4" s="359" t="s">
        <v>277</v>
      </c>
      <c r="N4" s="360"/>
      <c r="O4" s="357" t="s">
        <v>96</v>
      </c>
      <c r="P4" s="363" t="s">
        <v>278</v>
      </c>
      <c r="Q4" s="358" t="s">
        <v>279</v>
      </c>
      <c r="R4" s="364" t="s">
        <v>280</v>
      </c>
      <c r="S4" s="359" t="s">
        <v>281</v>
      </c>
    </row>
    <row r="5" customFormat="false" ht="13.8" hidden="false" customHeight="false" outlineLevel="0" collapsed="false">
      <c r="A5" s="365" t="s">
        <v>114</v>
      </c>
      <c r="B5" s="366" t="n">
        <f aca="false">B31+B57+B83</f>
        <v>3009340</v>
      </c>
      <c r="C5" s="367" t="n">
        <f aca="false">B5/(1+Discount_Rate)^0</f>
        <v>3009340</v>
      </c>
      <c r="E5" s="365" t="s">
        <v>114</v>
      </c>
      <c r="F5" s="366" t="n">
        <f aca="false">F57</f>
        <v>0</v>
      </c>
      <c r="G5" s="368" t="n">
        <f aca="false">G57</f>
        <v>0</v>
      </c>
      <c r="H5" s="368" t="n">
        <f aca="false">F83</f>
        <v>0</v>
      </c>
      <c r="I5" s="368" t="n">
        <f aca="false">F31</f>
        <v>-4640</v>
      </c>
      <c r="J5" s="368" t="n">
        <f aca="false">G31</f>
        <v>0</v>
      </c>
      <c r="K5" s="369" t="n">
        <f aca="false">H57</f>
        <v>-0</v>
      </c>
      <c r="L5" s="369" t="n">
        <f aca="false">SUM(F5:K5)</f>
        <v>-4640</v>
      </c>
      <c r="M5" s="367" t="n">
        <f aca="false">L5/(1+Discount_Rate)^0</f>
        <v>-4640</v>
      </c>
      <c r="O5" s="365" t="s">
        <v>114</v>
      </c>
      <c r="P5" s="370" t="n">
        <f aca="false">L5-B5</f>
        <v>-3013980</v>
      </c>
      <c r="Q5" s="366" t="n">
        <f aca="false">C5</f>
        <v>3009340</v>
      </c>
      <c r="R5" s="368" t="n">
        <f aca="false">M5</f>
        <v>-4640</v>
      </c>
      <c r="S5" s="367" t="n">
        <f aca="false">R5-Q5</f>
        <v>-3013980</v>
      </c>
    </row>
    <row r="6" customFormat="false" ht="13.2" hidden="false" customHeight="false" outlineLevel="0" collapsed="false">
      <c r="A6" s="365" t="n">
        <v>1</v>
      </c>
      <c r="B6" s="366" t="n">
        <f aca="false">B32+B58+B84</f>
        <v>0</v>
      </c>
      <c r="C6" s="367" t="n">
        <f aca="false">B6/(1+Discount_Rate)^A6</f>
        <v>0</v>
      </c>
      <c r="E6" s="365" t="n">
        <v>1</v>
      </c>
      <c r="F6" s="366" t="n">
        <f aca="false">F58</f>
        <v>8178.32229830007</v>
      </c>
      <c r="G6" s="369" t="n">
        <f aca="false">G58</f>
        <v>97150.8907364543</v>
      </c>
      <c r="H6" s="369" t="n">
        <f aca="false">F84</f>
        <v>298.938568484618</v>
      </c>
      <c r="I6" s="369" t="n">
        <f aca="false">F32</f>
        <v>2505.51213477366</v>
      </c>
      <c r="J6" s="369" t="n">
        <f aca="false">G32</f>
        <v>20214.93444642</v>
      </c>
      <c r="K6" s="369" t="n">
        <f aca="false">H58</f>
        <v>-20214.93444642</v>
      </c>
      <c r="L6" s="369" t="n">
        <f aca="false">SUM(F6:K6)</f>
        <v>108133.663738013</v>
      </c>
      <c r="M6" s="367" t="n">
        <f aca="false">L6/(1+Discount_Rate)^E6</f>
        <v>104984.139551469</v>
      </c>
      <c r="O6" s="365" t="n">
        <v>1</v>
      </c>
      <c r="P6" s="370" t="n">
        <f aca="false">L6-B6</f>
        <v>108133.663738013</v>
      </c>
      <c r="Q6" s="366" t="n">
        <f aca="false">C6</f>
        <v>0</v>
      </c>
      <c r="R6" s="369" t="n">
        <f aca="false">M6</f>
        <v>104984.139551469</v>
      </c>
      <c r="S6" s="367" t="n">
        <f aca="false">R6-Q6</f>
        <v>104984.139551469</v>
      </c>
    </row>
    <row r="7" customFormat="false" ht="13.2" hidden="false" customHeight="false" outlineLevel="0" collapsed="false">
      <c r="A7" s="365" t="n">
        <v>2</v>
      </c>
      <c r="B7" s="366" t="n">
        <f aca="false">B33+B59+B85</f>
        <v>0</v>
      </c>
      <c r="C7" s="367" t="n">
        <f aca="false">B7/(1+Discount_Rate)^A7</f>
        <v>0</v>
      </c>
      <c r="E7" s="365" t="n">
        <v>2</v>
      </c>
      <c r="F7" s="366" t="n">
        <f aca="false">F59</f>
        <v>16815.7685652</v>
      </c>
      <c r="G7" s="369" t="n">
        <f aca="false">G59</f>
        <v>343912.541504576</v>
      </c>
      <c r="H7" s="369" t="n">
        <f aca="false">F85</f>
        <v>682.176094204877</v>
      </c>
      <c r="I7" s="369" t="n">
        <f aca="false">F33</f>
        <v>570105.612055409</v>
      </c>
      <c r="J7" s="369" t="n">
        <f aca="false">G33</f>
        <v>51955.8973731</v>
      </c>
      <c r="K7" s="369" t="n">
        <f aca="false">H59</f>
        <v>-51955.8973731</v>
      </c>
      <c r="L7" s="369" t="n">
        <f aca="false">SUM(F7:K7)</f>
        <v>931516.09821939</v>
      </c>
      <c r="M7" s="367" t="n">
        <f aca="false">L7/(1+Discount_Rate)^E7</f>
        <v>878043.263473834</v>
      </c>
      <c r="O7" s="365" t="n">
        <v>2</v>
      </c>
      <c r="P7" s="370" t="n">
        <f aca="false">L7-B7</f>
        <v>931516.09821939</v>
      </c>
      <c r="Q7" s="366" t="n">
        <f aca="false">C7</f>
        <v>0</v>
      </c>
      <c r="R7" s="369" t="n">
        <f aca="false">M7</f>
        <v>878043.263473834</v>
      </c>
      <c r="S7" s="367" t="n">
        <f aca="false">R7-Q7</f>
        <v>878043.263473834</v>
      </c>
    </row>
    <row r="8" customFormat="false" ht="13.2" hidden="false" customHeight="false" outlineLevel="0" collapsed="false">
      <c r="A8" s="365" t="n">
        <v>3</v>
      </c>
      <c r="B8" s="366" t="n">
        <f aca="false">B34+B60+B86</f>
        <v>0</v>
      </c>
      <c r="C8" s="367" t="n">
        <f aca="false">B8/(1+Discount_Rate)^A8</f>
        <v>0</v>
      </c>
      <c r="E8" s="365" t="n">
        <v>3</v>
      </c>
      <c r="F8" s="366" t="n">
        <f aca="false">F60</f>
        <v>25912.3388007</v>
      </c>
      <c r="G8" s="369" t="n">
        <f aca="false">G60</f>
        <v>530377.59195309</v>
      </c>
      <c r="H8" s="369" t="n">
        <f aca="false">F86</f>
        <v>1043.86072778724</v>
      </c>
      <c r="I8" s="369" t="n">
        <f aca="false">F34</f>
        <v>789943.257730059</v>
      </c>
      <c r="J8" s="369" t="n">
        <f aca="false">G34</f>
        <v>71165.9448402</v>
      </c>
      <c r="K8" s="369" t="n">
        <f aca="false">H60</f>
        <v>-71165.9448402</v>
      </c>
      <c r="L8" s="369" t="n">
        <f aca="false">SUM(F8:K8)</f>
        <v>1347277.04921164</v>
      </c>
      <c r="M8" s="367" t="n">
        <f aca="false">L8/(1+Discount_Rate)^E8</f>
        <v>1232949.35442397</v>
      </c>
      <c r="O8" s="365" t="n">
        <v>3</v>
      </c>
      <c r="P8" s="370" t="n">
        <f aca="false">L8-B8</f>
        <v>1347277.04921164</v>
      </c>
      <c r="Q8" s="366" t="n">
        <f aca="false">C8</f>
        <v>0</v>
      </c>
      <c r="R8" s="369" t="n">
        <f aca="false">M8</f>
        <v>1232949.35442397</v>
      </c>
      <c r="S8" s="367" t="n">
        <f aca="false">R8-Q8</f>
        <v>1232949.35442397</v>
      </c>
    </row>
    <row r="9" customFormat="false" ht="13.2" hidden="false" customHeight="false" outlineLevel="0" collapsed="false">
      <c r="A9" s="365" t="n">
        <v>4</v>
      </c>
      <c r="B9" s="366" t="n">
        <f aca="false">B35+B61+B87</f>
        <v>0</v>
      </c>
      <c r="C9" s="367" t="n">
        <f aca="false">B9/(1+Discount_Rate)^A9</f>
        <v>0</v>
      </c>
      <c r="E9" s="365" t="n">
        <v>4</v>
      </c>
      <c r="F9" s="366" t="n">
        <f aca="false">F61</f>
        <v>35468.0330048</v>
      </c>
      <c r="G9" s="369" t="n">
        <f aca="false">G61</f>
        <v>776598.0672821</v>
      </c>
      <c r="H9" s="369" t="n">
        <f aca="false">F87</f>
        <v>1442.09607362131</v>
      </c>
      <c r="I9" s="369" t="n">
        <f aca="false">F35</f>
        <v>1089790.84593016</v>
      </c>
      <c r="J9" s="369" t="n">
        <f aca="false">G35</f>
        <v>91321.699812</v>
      </c>
      <c r="K9" s="369" t="n">
        <f aca="false">H61</f>
        <v>-91321.699812</v>
      </c>
      <c r="L9" s="369" t="n">
        <f aca="false">SUM(F9:K9)</f>
        <v>1903299.04229068</v>
      </c>
      <c r="M9" s="367" t="n">
        <f aca="false">L9/(1+Discount_Rate)^E9</f>
        <v>1691056.54738561</v>
      </c>
      <c r="O9" s="365" t="n">
        <v>4</v>
      </c>
      <c r="P9" s="370" t="n">
        <f aca="false">L9-B9</f>
        <v>1903299.04229068</v>
      </c>
      <c r="Q9" s="366" t="n">
        <f aca="false">C9</f>
        <v>0</v>
      </c>
      <c r="R9" s="369" t="n">
        <f aca="false">M9</f>
        <v>1691056.54738561</v>
      </c>
      <c r="S9" s="367" t="n">
        <f aca="false">R9-Q9</f>
        <v>1691056.54738561</v>
      </c>
    </row>
    <row r="10" customFormat="false" ht="13.2" hidden="false" customHeight="false" outlineLevel="0" collapsed="false">
      <c r="A10" s="365" t="n">
        <v>5</v>
      </c>
      <c r="B10" s="366" t="n">
        <f aca="false">B36+B62+B88</f>
        <v>0</v>
      </c>
      <c r="C10" s="367" t="n">
        <f aca="false">B10/(1+Discount_Rate)^A10</f>
        <v>0</v>
      </c>
      <c r="E10" s="365" t="n">
        <v>5</v>
      </c>
      <c r="F10" s="366" t="n">
        <f aca="false">F62</f>
        <v>45482.8511775</v>
      </c>
      <c r="G10" s="369" t="n">
        <f aca="false">G62</f>
        <v>1058900.83501069</v>
      </c>
      <c r="H10" s="369" t="n">
        <f aca="false">F88</f>
        <v>1864.11137136084</v>
      </c>
      <c r="I10" s="369" t="n">
        <f aca="false">F36</f>
        <v>1374851.94894825</v>
      </c>
      <c r="J10" s="369" t="n">
        <f aca="false">G36</f>
        <v>112423.1622885</v>
      </c>
      <c r="K10" s="369" t="n">
        <f aca="false">H62</f>
        <v>-112423.1622885</v>
      </c>
      <c r="L10" s="369" t="n">
        <f aca="false">SUM(F10:K10)</f>
        <v>2481099.7465078</v>
      </c>
      <c r="M10" s="367" t="n">
        <f aca="false">L10/(1+Discount_Rate)^E10</f>
        <v>2140218.43627095</v>
      </c>
      <c r="O10" s="365" t="n">
        <v>5</v>
      </c>
      <c r="P10" s="370" t="n">
        <f aca="false">L10-B10</f>
        <v>2481099.7465078</v>
      </c>
      <c r="Q10" s="366" t="n">
        <f aca="false">C10</f>
        <v>0</v>
      </c>
      <c r="R10" s="369" t="n">
        <f aca="false">M10</f>
        <v>2140218.43627095</v>
      </c>
      <c r="S10" s="367" t="n">
        <f aca="false">R10-Q10</f>
        <v>2140218.43627095</v>
      </c>
    </row>
    <row r="11" customFormat="false" ht="13.2" hidden="false" customHeight="false" outlineLevel="0" collapsed="false">
      <c r="A11" s="365" t="n">
        <v>6</v>
      </c>
      <c r="B11" s="366" t="n">
        <f aca="false">B37+B63+B89</f>
        <v>0</v>
      </c>
      <c r="C11" s="367" t="n">
        <f aca="false">B11/(1+Discount_Rate)^A11</f>
        <v>0</v>
      </c>
      <c r="E11" s="365" t="n">
        <v>6</v>
      </c>
      <c r="F11" s="366" t="n">
        <f aca="false">F63</f>
        <v>55956.7933188</v>
      </c>
      <c r="G11" s="369" t="n">
        <f aca="false">G63</f>
        <v>1345197.90378042</v>
      </c>
      <c r="H11" s="369" t="n">
        <f aca="false">F89</f>
        <v>2294.84719469322</v>
      </c>
      <c r="I11" s="369" t="n">
        <f aca="false">F37</f>
        <v>1686692.88748421</v>
      </c>
      <c r="J11" s="369" t="n">
        <f aca="false">G37</f>
        <v>134470.3322697</v>
      </c>
      <c r="K11" s="369" t="n">
        <f aca="false">H63</f>
        <v>-134470.3322697</v>
      </c>
      <c r="L11" s="369" t="n">
        <f aca="false">SUM(F11:K11)</f>
        <v>3090142.43177812</v>
      </c>
      <c r="M11" s="367" t="n">
        <f aca="false">L11/(1+Discount_Rate)^E11</f>
        <v>2587945.63752432</v>
      </c>
      <c r="O11" s="365" t="n">
        <v>6</v>
      </c>
      <c r="P11" s="370" t="n">
        <f aca="false">L11-B11</f>
        <v>3090142.43177812</v>
      </c>
      <c r="Q11" s="366" t="n">
        <f aca="false">C11</f>
        <v>0</v>
      </c>
      <c r="R11" s="369" t="n">
        <f aca="false">M11</f>
        <v>2587945.63752432</v>
      </c>
      <c r="S11" s="367" t="n">
        <f aca="false">R11-Q11</f>
        <v>2587945.63752432</v>
      </c>
    </row>
    <row r="12" customFormat="false" ht="13.2" hidden="false" customHeight="false" outlineLevel="0" collapsed="false">
      <c r="A12" s="365" t="n">
        <v>7</v>
      </c>
      <c r="B12" s="366" t="n">
        <f aca="false">B38+B64+B90</f>
        <v>0</v>
      </c>
      <c r="C12" s="367" t="n">
        <f aca="false">B12/(1+Discount_Rate)^A12</f>
        <v>0</v>
      </c>
      <c r="E12" s="365" t="n">
        <v>7</v>
      </c>
      <c r="F12" s="366" t="n">
        <f aca="false">F64</f>
        <v>66889.8594287</v>
      </c>
      <c r="G12" s="369" t="n">
        <f aca="false">G64</f>
        <v>1667968.73874725</v>
      </c>
      <c r="H12" s="369" t="n">
        <f aca="false">F90</f>
        <v>2748.15560011289</v>
      </c>
      <c r="I12" s="369" t="n">
        <f aca="false">F38</f>
        <v>2075858.40021913</v>
      </c>
      <c r="J12" s="369" t="n">
        <f aca="false">G38</f>
        <v>157463.2097556</v>
      </c>
      <c r="K12" s="369" t="n">
        <f aca="false">H64</f>
        <v>-157463.2097556</v>
      </c>
      <c r="L12" s="369" t="n">
        <f aca="false">SUM(F12:K12)</f>
        <v>3813465.1539952</v>
      </c>
      <c r="M12" s="367" t="n">
        <f aca="false">L12/(1+Discount_Rate)^E12</f>
        <v>3100696.14551717</v>
      </c>
      <c r="O12" s="365" t="n">
        <v>7</v>
      </c>
      <c r="P12" s="370" t="n">
        <f aca="false">L12-B12</f>
        <v>3813465.1539952</v>
      </c>
      <c r="Q12" s="366" t="n">
        <f aca="false">C12</f>
        <v>0</v>
      </c>
      <c r="R12" s="369" t="n">
        <f aca="false">M12</f>
        <v>3100696.14551717</v>
      </c>
      <c r="S12" s="367" t="n">
        <f aca="false">R12-Q12</f>
        <v>3100696.14551717</v>
      </c>
    </row>
    <row r="13" customFormat="false" ht="13.2" hidden="false" customHeight="false" outlineLevel="0" collapsed="false">
      <c r="A13" s="365" t="n">
        <v>8</v>
      </c>
      <c r="B13" s="366" t="n">
        <f aca="false">B39+B65+B91</f>
        <v>0</v>
      </c>
      <c r="C13" s="367" t="n">
        <f aca="false">B13/(1+Discount_Rate)^A13</f>
        <v>0</v>
      </c>
      <c r="E13" s="365" t="n">
        <v>8</v>
      </c>
      <c r="F13" s="366" t="n">
        <f aca="false">F65</f>
        <v>78282.0495072001</v>
      </c>
      <c r="G13" s="369" t="n">
        <f aca="false">G65</f>
        <v>2033817.20615815</v>
      </c>
      <c r="H13" s="369" t="n">
        <f aca="false">F91</f>
        <v>3225.70046787522</v>
      </c>
      <c r="I13" s="369" t="n">
        <f aca="false">F39</f>
        <v>2451674.85253344</v>
      </c>
      <c r="J13" s="369" t="n">
        <f aca="false">G39</f>
        <v>181401.7947462</v>
      </c>
      <c r="K13" s="369" t="n">
        <f aca="false">H65</f>
        <v>-181401.7947462</v>
      </c>
      <c r="L13" s="369" t="n">
        <f aca="false">SUM(F13:K13)</f>
        <v>4566999.80866667</v>
      </c>
      <c r="M13" s="367" t="n">
        <f aca="false">L13/(1+Discount_Rate)^E13</f>
        <v>3605231.82207145</v>
      </c>
      <c r="O13" s="365" t="n">
        <v>8</v>
      </c>
      <c r="P13" s="370" t="n">
        <f aca="false">L13-B13</f>
        <v>4566999.80866667</v>
      </c>
      <c r="Q13" s="366" t="n">
        <f aca="false">C13</f>
        <v>0</v>
      </c>
      <c r="R13" s="369" t="n">
        <f aca="false">M13</f>
        <v>3605231.82207145</v>
      </c>
      <c r="S13" s="367" t="n">
        <f aca="false">R13-Q13</f>
        <v>3605231.82207145</v>
      </c>
    </row>
    <row r="14" customFormat="false" ht="13.2" hidden="false" customHeight="false" outlineLevel="0" collapsed="false">
      <c r="A14" s="365" t="n">
        <v>9</v>
      </c>
      <c r="B14" s="366" t="n">
        <f aca="false">B40+B66+B92</f>
        <v>0</v>
      </c>
      <c r="C14" s="367" t="n">
        <f aca="false">B14/(1+Discount_Rate)^A14</f>
        <v>0</v>
      </c>
      <c r="E14" s="365" t="n">
        <v>9</v>
      </c>
      <c r="F14" s="366" t="n">
        <f aca="false">F66</f>
        <v>90133.3635543</v>
      </c>
      <c r="G14" s="369" t="n">
        <f aca="false">G66</f>
        <v>2408482.65681669</v>
      </c>
      <c r="H14" s="369" t="n">
        <f aca="false">F92</f>
        <v>3712.66024623717</v>
      </c>
      <c r="I14" s="369" t="n">
        <f aca="false">F40</f>
        <v>2861875.14489304</v>
      </c>
      <c r="J14" s="369" t="n">
        <f aca="false">G40</f>
        <v>206286.0872415</v>
      </c>
      <c r="K14" s="369" t="n">
        <f aca="false">H66</f>
        <v>-206286.0872415</v>
      </c>
      <c r="L14" s="369" t="n">
        <f aca="false">SUM(F14:K14)</f>
        <v>5364203.82551027</v>
      </c>
      <c r="M14" s="367" t="n">
        <f aca="false">L14/(1+Discount_Rate)^E14</f>
        <v>4111215.56757276</v>
      </c>
      <c r="O14" s="365" t="n">
        <v>9</v>
      </c>
      <c r="P14" s="370" t="n">
        <f aca="false">L14-B14</f>
        <v>5364203.82551027</v>
      </c>
      <c r="Q14" s="366" t="n">
        <f aca="false">C14</f>
        <v>0</v>
      </c>
      <c r="R14" s="369" t="n">
        <f aca="false">M14</f>
        <v>4111215.56757276</v>
      </c>
      <c r="S14" s="367" t="n">
        <f aca="false">R14-Q14</f>
        <v>4111215.56757276</v>
      </c>
    </row>
    <row r="15" customFormat="false" ht="13.2" hidden="false" customHeight="false" outlineLevel="0" collapsed="false">
      <c r="A15" s="365" t="n">
        <v>10</v>
      </c>
      <c r="B15" s="366" t="n">
        <f aca="false">B41+B67+B93</f>
        <v>0</v>
      </c>
      <c r="C15" s="367" t="n">
        <f aca="false">B15/(1+Discount_Rate)^A15</f>
        <v>0</v>
      </c>
      <c r="E15" s="365" t="n">
        <v>10</v>
      </c>
      <c r="F15" s="366" t="n">
        <f aca="false">F67</f>
        <v>102443.80157</v>
      </c>
      <c r="G15" s="369" t="n">
        <f aca="false">G67</f>
        <v>2847232.910487</v>
      </c>
      <c r="H15" s="369" t="n">
        <f aca="false">F93</f>
        <v>4230.41269431414</v>
      </c>
      <c r="I15" s="369" t="n">
        <f aca="false">F41</f>
        <v>3361982.04789708</v>
      </c>
      <c r="J15" s="369" t="n">
        <f aca="false">G41</f>
        <v>232116.0872415</v>
      </c>
      <c r="K15" s="369" t="n">
        <f aca="false">H67</f>
        <v>-232116.0872415</v>
      </c>
      <c r="L15" s="369" t="n">
        <f aca="false">SUM(F15:K15)</f>
        <v>6315889.17264839</v>
      </c>
      <c r="M15" s="367" t="n">
        <f aca="false">L15/(1+Discount_Rate)^E15</f>
        <v>4699614.70052978</v>
      </c>
      <c r="O15" s="365" t="n">
        <v>10</v>
      </c>
      <c r="P15" s="370" t="n">
        <f aca="false">L15-B15</f>
        <v>6315889.17264839</v>
      </c>
      <c r="Q15" s="366" t="n">
        <f aca="false">C15</f>
        <v>0</v>
      </c>
      <c r="R15" s="369" t="n">
        <f aca="false">M15</f>
        <v>4699614.70052978</v>
      </c>
      <c r="S15" s="367" t="n">
        <f aca="false">R15-Q15</f>
        <v>4699614.70052978</v>
      </c>
    </row>
    <row r="16" customFormat="false" ht="13.2" hidden="false" customHeight="false" outlineLevel="0" collapsed="false">
      <c r="A16" s="365" t="n">
        <v>11</v>
      </c>
      <c r="B16" s="366" t="n">
        <f aca="false">B42+B68+B94</f>
        <v>0</v>
      </c>
      <c r="C16" s="367" t="n">
        <f aca="false">B16/(1+Discount_Rate)^A16</f>
        <v>0</v>
      </c>
      <c r="E16" s="365" t="n">
        <v>11</v>
      </c>
      <c r="F16" s="366" t="n">
        <f aca="false">F68</f>
        <v>115213.3635543</v>
      </c>
      <c r="G16" s="369" t="n">
        <f aca="false">G68</f>
        <v>3303460.79530524</v>
      </c>
      <c r="H16" s="369" t="n">
        <f aca="false">F94</f>
        <v>4759.70040674242</v>
      </c>
      <c r="I16" s="369" t="n">
        <f aca="false">F42</f>
        <v>3845866.05267137</v>
      </c>
      <c r="J16" s="369" t="n">
        <f aca="false">G42</f>
        <v>258891.7947462</v>
      </c>
      <c r="K16" s="369" t="n">
        <f aca="false">H68</f>
        <v>-258891.7947462</v>
      </c>
      <c r="L16" s="369" t="n">
        <f aca="false">SUM(F16:K16)</f>
        <v>7269299.91193765</v>
      </c>
      <c r="M16" s="367" t="n">
        <f aca="false">L16/(1+Discount_Rate)^E16</f>
        <v>5251496.92236127</v>
      </c>
      <c r="O16" s="365" t="n">
        <v>11</v>
      </c>
      <c r="P16" s="370" t="n">
        <f aca="false">L16-B16</f>
        <v>7269299.91193765</v>
      </c>
      <c r="Q16" s="366" t="n">
        <f aca="false">C16</f>
        <v>0</v>
      </c>
      <c r="R16" s="369" t="n">
        <f aca="false">M16</f>
        <v>5251496.92236127</v>
      </c>
      <c r="S16" s="367" t="n">
        <f aca="false">R16-Q16</f>
        <v>5251496.92236127</v>
      </c>
    </row>
    <row r="17" customFormat="false" ht="13.2" hidden="false" customHeight="false" outlineLevel="0" collapsed="false">
      <c r="A17" s="365" t="n">
        <v>12</v>
      </c>
      <c r="B17" s="366" t="n">
        <f aca="false">B43+B69+B95</f>
        <v>0</v>
      </c>
      <c r="C17" s="367" t="n">
        <f aca="false">B17/(1+Discount_Rate)^A17</f>
        <v>0</v>
      </c>
      <c r="E17" s="365" t="n">
        <v>12</v>
      </c>
      <c r="F17" s="366" t="n">
        <f aca="false">F69</f>
        <v>128442.0495072</v>
      </c>
      <c r="G17" s="369" t="n">
        <f aca="false">G69</f>
        <v>3810007.00295501</v>
      </c>
      <c r="H17" s="369" t="n">
        <f aca="false">F95</f>
        <v>5312.29996157098</v>
      </c>
      <c r="I17" s="369" t="n">
        <f aca="false">F43</f>
        <v>4424852.94697879</v>
      </c>
      <c r="J17" s="369" t="n">
        <f aca="false">G43</f>
        <v>286613.2097556</v>
      </c>
      <c r="K17" s="369" t="n">
        <f aca="false">H69</f>
        <v>-286613.2097556</v>
      </c>
      <c r="L17" s="369" t="n">
        <f aca="false">SUM(F17:K17)</f>
        <v>8368614.29940257</v>
      </c>
      <c r="M17" s="367" t="n">
        <f aca="false">L17/(1+Discount_Rate)^E17</f>
        <v>5869577.69469617</v>
      </c>
      <c r="O17" s="365" t="n">
        <v>12</v>
      </c>
      <c r="P17" s="370" t="n">
        <f aca="false">L17-B17</f>
        <v>8368614.29940257</v>
      </c>
      <c r="Q17" s="366" t="n">
        <f aca="false">C17</f>
        <v>0</v>
      </c>
      <c r="R17" s="369" t="n">
        <f aca="false">M17</f>
        <v>5869577.69469617</v>
      </c>
      <c r="S17" s="367" t="n">
        <f aca="false">R17-Q17</f>
        <v>5869577.69469617</v>
      </c>
    </row>
    <row r="18" customFormat="false" ht="13.2" hidden="false" customHeight="false" outlineLevel="0" collapsed="false">
      <c r="A18" s="365" t="n">
        <v>13</v>
      </c>
      <c r="B18" s="366" t="n">
        <f aca="false">B44+B70+B96</f>
        <v>0</v>
      </c>
      <c r="C18" s="367" t="n">
        <f aca="false">B18/(1+Discount_Rate)^A18</f>
        <v>0</v>
      </c>
      <c r="E18" s="365" t="n">
        <v>13</v>
      </c>
      <c r="F18" s="366" t="n">
        <f aca="false">F70</f>
        <v>142129.8594287</v>
      </c>
      <c r="G18" s="369" t="n">
        <f aca="false">G70</f>
        <v>4346931.0052599</v>
      </c>
      <c r="H18" s="369" t="n">
        <f aca="false">F96</f>
        <v>5879.98081867348</v>
      </c>
      <c r="I18" s="369" t="n">
        <f aca="false">F44</f>
        <v>4993986.84642213</v>
      </c>
      <c r="J18" s="369" t="n">
        <f aca="false">G44</f>
        <v>315280.3322697</v>
      </c>
      <c r="K18" s="369" t="n">
        <f aca="false">H70</f>
        <v>-315280.3322697</v>
      </c>
      <c r="L18" s="369" t="n">
        <f aca="false">SUM(F18:K18)</f>
        <v>9488927.6919294</v>
      </c>
      <c r="M18" s="367" t="n">
        <f aca="false">L18/(1+Discount_Rate)^E18</f>
        <v>6461498.0269177</v>
      </c>
      <c r="O18" s="365" t="n">
        <v>13</v>
      </c>
      <c r="P18" s="370" t="n">
        <f aca="false">L18-B18</f>
        <v>9488927.6919294</v>
      </c>
      <c r="Q18" s="366" t="n">
        <f aca="false">C18</f>
        <v>0</v>
      </c>
      <c r="R18" s="369" t="n">
        <f aca="false">M18</f>
        <v>6461498.0269177</v>
      </c>
      <c r="S18" s="367" t="n">
        <f aca="false">R18-Q18</f>
        <v>6461498.0269177</v>
      </c>
    </row>
    <row r="19" customFormat="false" ht="13.2" hidden="false" customHeight="false" outlineLevel="0" collapsed="false">
      <c r="A19" s="365" t="n">
        <v>14</v>
      </c>
      <c r="B19" s="366" t="n">
        <f aca="false">B45+B71+B97</f>
        <v>0</v>
      </c>
      <c r="C19" s="367" t="n">
        <f aca="false">B19/(1+Discount_Rate)^A19</f>
        <v>0</v>
      </c>
      <c r="E19" s="365" t="n">
        <v>14</v>
      </c>
      <c r="F19" s="366" t="n">
        <f aca="false">F71</f>
        <v>156276.7933188</v>
      </c>
      <c r="G19" s="369" t="n">
        <f aca="false">G71</f>
        <v>4938418.72690006</v>
      </c>
      <c r="H19" s="369" t="n">
        <f aca="false">F97</f>
        <v>6470.53368851604</v>
      </c>
      <c r="I19" s="369" t="n">
        <f aca="false">F45</f>
        <v>5666590.39729177</v>
      </c>
      <c r="J19" s="369" t="n">
        <f aca="false">G45</f>
        <v>344893.1622885</v>
      </c>
      <c r="K19" s="369" t="n">
        <f aca="false">H71</f>
        <v>-344893.1622885</v>
      </c>
      <c r="L19" s="369" t="n">
        <f aca="false">SUM(F19:K19)</f>
        <v>10767756.4511991</v>
      </c>
      <c r="M19" s="367" t="n">
        <f aca="false">L19/(1+Discount_Rate)^E19</f>
        <v>7118755.51860606</v>
      </c>
      <c r="O19" s="365" t="n">
        <v>14</v>
      </c>
      <c r="P19" s="370" t="n">
        <f aca="false">L19-B19</f>
        <v>10767756.4511991</v>
      </c>
      <c r="Q19" s="366" t="n">
        <f aca="false">C19</f>
        <v>0</v>
      </c>
      <c r="R19" s="369" t="n">
        <f aca="false">M19</f>
        <v>7118755.51860606</v>
      </c>
      <c r="S19" s="367" t="n">
        <f aca="false">R19-Q19</f>
        <v>7118755.51860606</v>
      </c>
    </row>
    <row r="20" customFormat="false" ht="13.2" hidden="false" customHeight="false" outlineLevel="0" collapsed="false">
      <c r="A20" s="365" t="n">
        <v>15</v>
      </c>
      <c r="B20" s="366" t="n">
        <f aca="false">B46+B72+B98</f>
        <v>0</v>
      </c>
      <c r="C20" s="367" t="n">
        <f aca="false">B20/(1+Discount_Rate)^A20</f>
        <v>0</v>
      </c>
      <c r="E20" s="365" t="n">
        <v>15</v>
      </c>
      <c r="F20" s="366" t="n">
        <f aca="false">F72</f>
        <v>170882.8511775</v>
      </c>
      <c r="G20" s="369" t="n">
        <f aca="false">G72</f>
        <v>5570695.02275942</v>
      </c>
      <c r="H20" s="369" t="n">
        <f aca="false">F98</f>
        <v>7078.18880634848</v>
      </c>
      <c r="I20" s="369" t="n">
        <f aca="false">F46</f>
        <v>6390989.56216084</v>
      </c>
      <c r="J20" s="369" t="n">
        <f aca="false">G46</f>
        <v>375451.699812</v>
      </c>
      <c r="K20" s="369" t="n">
        <f aca="false">H72</f>
        <v>-375451.699812</v>
      </c>
      <c r="L20" s="369" t="n">
        <f aca="false">SUM(F20:K20)</f>
        <v>12139645.6249041</v>
      </c>
      <c r="M20" s="367" t="n">
        <f aca="false">L20/(1+Discount_Rate)^E20</f>
        <v>7791976.581507</v>
      </c>
      <c r="O20" s="365" t="n">
        <v>15</v>
      </c>
      <c r="P20" s="370" t="n">
        <f aca="false">L20-B20</f>
        <v>12139645.6249041</v>
      </c>
      <c r="Q20" s="366" t="n">
        <f aca="false">C20</f>
        <v>0</v>
      </c>
      <c r="R20" s="369" t="n">
        <f aca="false">M20</f>
        <v>7791976.581507</v>
      </c>
      <c r="S20" s="367" t="n">
        <f aca="false">R20-Q20</f>
        <v>7791976.581507</v>
      </c>
    </row>
    <row r="21" customFormat="false" ht="13.2" hidden="false" customHeight="false" outlineLevel="0" collapsed="false">
      <c r="A21" s="365" t="n">
        <v>16</v>
      </c>
      <c r="B21" s="366" t="n">
        <f aca="false">B47+B73+B99</f>
        <v>0</v>
      </c>
      <c r="C21" s="367" t="n">
        <f aca="false">B21/(1+Discount_Rate)^A21</f>
        <v>0</v>
      </c>
      <c r="E21" s="365" t="n">
        <v>16</v>
      </c>
      <c r="F21" s="366" t="n">
        <f aca="false">F73</f>
        <v>185948.0330048</v>
      </c>
      <c r="G21" s="369" t="n">
        <f aca="false">G73</f>
        <v>6251062.19583336</v>
      </c>
      <c r="H21" s="369" t="n">
        <f aca="false">F99</f>
        <v>7704.59737232293</v>
      </c>
      <c r="I21" s="369" t="n">
        <f aca="false">F47</f>
        <v>7170164.99253205</v>
      </c>
      <c r="J21" s="369" t="n">
        <f aca="false">G47</f>
        <v>406955.9448402</v>
      </c>
      <c r="K21" s="369" t="n">
        <f aca="false">H73</f>
        <v>-406955.9448402</v>
      </c>
      <c r="L21" s="369" t="n">
        <f aca="false">SUM(F21:K21)</f>
        <v>13614879.8187425</v>
      </c>
      <c r="M21" s="367" t="n">
        <f aca="false">L21/(1+Discount_Rate)^E21</f>
        <v>8484342.98449548</v>
      </c>
      <c r="O21" s="365" t="n">
        <v>16</v>
      </c>
      <c r="P21" s="370" t="n">
        <f aca="false">L21-B21</f>
        <v>13614879.8187425</v>
      </c>
      <c r="Q21" s="366" t="n">
        <f aca="false">C21</f>
        <v>0</v>
      </c>
      <c r="R21" s="369" t="n">
        <f aca="false">M21</f>
        <v>8484342.98449548</v>
      </c>
      <c r="S21" s="367" t="n">
        <f aca="false">R21-Q21</f>
        <v>8484342.98449548</v>
      </c>
    </row>
    <row r="22" customFormat="false" ht="13.2" hidden="false" customHeight="false" outlineLevel="0" collapsed="false">
      <c r="A22" s="365" t="n">
        <v>17</v>
      </c>
      <c r="B22" s="366" t="n">
        <f aca="false">B48+B74+B100</f>
        <v>0</v>
      </c>
      <c r="C22" s="367" t="n">
        <f aca="false">B22/(1+Discount_Rate)^A22</f>
        <v>0</v>
      </c>
      <c r="E22" s="365" t="n">
        <v>17</v>
      </c>
      <c r="F22" s="366" t="n">
        <f aca="false">F74</f>
        <v>201472.3388007</v>
      </c>
      <c r="G22" s="369" t="n">
        <f aca="false">G74</f>
        <v>6984377.02746771</v>
      </c>
      <c r="H22" s="369" t="n">
        <f aca="false">F100</f>
        <v>8350.41882731755</v>
      </c>
      <c r="I22" s="369" t="n">
        <f aca="false">F48</f>
        <v>8007243.9225907</v>
      </c>
      <c r="J22" s="369" t="n">
        <f aca="false">G48</f>
        <v>439405.8973731</v>
      </c>
      <c r="K22" s="369" t="n">
        <f aca="false">H74</f>
        <v>-439405.8973731</v>
      </c>
      <c r="L22" s="369" t="n">
        <f aca="false">SUM(F22:K22)</f>
        <v>15201443.7076864</v>
      </c>
      <c r="M22" s="367" t="n">
        <f aca="false">L22/(1+Discount_Rate)^E22</f>
        <v>9197123.4437338</v>
      </c>
      <c r="O22" s="365" t="n">
        <v>17</v>
      </c>
      <c r="P22" s="370" t="n">
        <f aca="false">L22-B22</f>
        <v>15201443.7076864</v>
      </c>
      <c r="Q22" s="366" t="n">
        <f aca="false">C22</f>
        <v>0</v>
      </c>
      <c r="R22" s="369" t="n">
        <f aca="false">M22</f>
        <v>9197123.4437338</v>
      </c>
      <c r="S22" s="367" t="n">
        <f aca="false">R22-Q22</f>
        <v>9197123.4437338</v>
      </c>
    </row>
    <row r="23" customFormat="false" ht="13.2" hidden="false" customHeight="false" outlineLevel="0" collapsed="false">
      <c r="A23" s="365" t="n">
        <v>18</v>
      </c>
      <c r="B23" s="366" t="n">
        <f aca="false">B49+B75+B101</f>
        <v>0</v>
      </c>
      <c r="C23" s="367" t="n">
        <f aca="false">B23/(1+Discount_Rate)^A23</f>
        <v>0</v>
      </c>
      <c r="E23" s="365" t="n">
        <v>18</v>
      </c>
      <c r="F23" s="366" t="n">
        <f aca="false">F75</f>
        <v>217455.7685652</v>
      </c>
      <c r="G23" s="369" t="n">
        <f aca="false">G75</f>
        <v>7774362.73467309</v>
      </c>
      <c r="H23" s="369" t="n">
        <f aca="false">F101</f>
        <v>9015.84943996291</v>
      </c>
      <c r="I23" s="369" t="n">
        <f aca="false">F49</f>
        <v>8905506.71296408</v>
      </c>
      <c r="J23" s="369" t="n">
        <f aca="false">G49</f>
        <v>472801.5574107</v>
      </c>
      <c r="K23" s="369" t="n">
        <f aca="false">H75</f>
        <v>-472801.5574107</v>
      </c>
      <c r="L23" s="369" t="n">
        <f aca="false">SUM(F23:K23)</f>
        <v>16906341.0656423</v>
      </c>
      <c r="M23" s="367" t="n">
        <f aca="false">L23/(1+Discount_Rate)^E23</f>
        <v>9930693.57648002</v>
      </c>
      <c r="O23" s="365" t="n">
        <v>18</v>
      </c>
      <c r="P23" s="370" t="n">
        <f aca="false">L23-B23</f>
        <v>16906341.0656423</v>
      </c>
      <c r="Q23" s="366" t="n">
        <f aca="false">C23</f>
        <v>0</v>
      </c>
      <c r="R23" s="369" t="n">
        <f aca="false">M23</f>
        <v>9930693.57648002</v>
      </c>
      <c r="S23" s="367" t="n">
        <f aca="false">R23-Q23</f>
        <v>9930693.57648002</v>
      </c>
    </row>
    <row r="24" customFormat="false" ht="13.2" hidden="false" customHeight="false" outlineLevel="0" collapsed="false">
      <c r="A24" s="365" t="n">
        <v>19</v>
      </c>
      <c r="B24" s="366" t="n">
        <f aca="false">B50+B76+B102</f>
        <v>0</v>
      </c>
      <c r="C24" s="367" t="n">
        <f aca="false">B24/(1+Discount_Rate)^A24</f>
        <v>0</v>
      </c>
      <c r="E24" s="365" t="n">
        <v>19</v>
      </c>
      <c r="F24" s="366" t="n">
        <f aca="false">F76</f>
        <v>233898.3222983</v>
      </c>
      <c r="G24" s="369" t="n">
        <f aca="false">G76</f>
        <v>8586594.60124561</v>
      </c>
      <c r="H24" s="369" t="n">
        <f aca="false">F102</f>
        <v>9689.73893741743</v>
      </c>
      <c r="I24" s="369" t="n">
        <f aca="false">F50</f>
        <v>9320849.12709332</v>
      </c>
      <c r="J24" s="369" t="n">
        <f aca="false">G50</f>
        <v>481785.77870535</v>
      </c>
      <c r="K24" s="369" t="n">
        <f aca="false">H76</f>
        <v>-481785.77870535</v>
      </c>
      <c r="L24" s="369" t="n">
        <f aca="false">SUM(F24:K24)</f>
        <v>18151031.7895747</v>
      </c>
      <c r="M24" s="367" t="n">
        <f aca="false">L24/(1+Discount_Rate)^E24</f>
        <v>10351279.8018135</v>
      </c>
      <c r="O24" s="365" t="n">
        <v>19</v>
      </c>
      <c r="P24" s="370" t="n">
        <f aca="false">L24-B24</f>
        <v>18151031.7895747</v>
      </c>
      <c r="Q24" s="366" t="n">
        <f aca="false">C24</f>
        <v>0</v>
      </c>
      <c r="R24" s="369" t="n">
        <f aca="false">M24</f>
        <v>10351279.8018135</v>
      </c>
      <c r="S24" s="367" t="n">
        <f aca="false">R24-Q24</f>
        <v>10351279.8018135</v>
      </c>
    </row>
    <row r="25" customFormat="false" ht="13.8" hidden="false" customHeight="false" outlineLevel="0" collapsed="false">
      <c r="A25" s="371" t="n">
        <v>20</v>
      </c>
      <c r="B25" s="372" t="n">
        <f aca="false">B51+B77+B103</f>
        <v>0</v>
      </c>
      <c r="C25" s="373" t="n">
        <f aca="false">B25/(1+Discount_Rate)^A25</f>
        <v>0</v>
      </c>
      <c r="E25" s="371" t="n">
        <v>20</v>
      </c>
      <c r="F25" s="372" t="n">
        <f aca="false">F77</f>
        <v>250800</v>
      </c>
      <c r="G25" s="374" t="n">
        <f aca="false">G77</f>
        <v>9456912.85869601</v>
      </c>
      <c r="H25" s="374" t="n">
        <f aca="false">F103</f>
        <v>10382.3584148118</v>
      </c>
      <c r="I25" s="374" t="n">
        <f aca="false">F51</f>
        <v>9753112.32960161</v>
      </c>
      <c r="J25" s="374" t="n">
        <f aca="false">G51</f>
        <v>490770</v>
      </c>
      <c r="K25" s="374" t="n">
        <f aca="false">H77</f>
        <v>-490770</v>
      </c>
      <c r="L25" s="374" t="n">
        <f aca="false">SUM(F25:K25)</f>
        <v>19471207.5467124</v>
      </c>
      <c r="M25" s="373" t="n">
        <f aca="false">L25/(1+Discount_Rate)^E25</f>
        <v>10780735.5233446</v>
      </c>
      <c r="O25" s="371" t="n">
        <v>20</v>
      </c>
      <c r="P25" s="375" t="n">
        <f aca="false">L25-B25</f>
        <v>19471207.5467124</v>
      </c>
      <c r="Q25" s="372" t="n">
        <f aca="false">C25</f>
        <v>0</v>
      </c>
      <c r="R25" s="374" t="n">
        <f aca="false">M25</f>
        <v>10780735.5233446</v>
      </c>
      <c r="S25" s="373" t="n">
        <f aca="false">R25-Q25</f>
        <v>10780735.5233446</v>
      </c>
    </row>
    <row r="26" customFormat="false" ht="14.4" hidden="false" customHeight="false" outlineLevel="0" collapsed="false">
      <c r="O26" s="376" t="s">
        <v>282</v>
      </c>
      <c r="P26" s="377"/>
      <c r="Q26" s="378" t="n">
        <f aca="false">SUM(Q5:Q25)</f>
        <v>3009340</v>
      </c>
      <c r="R26" s="378" t="n">
        <f aca="false">SUM(R5:R25)</f>
        <v>105384795.688277</v>
      </c>
      <c r="S26" s="379" t="n">
        <f aca="false">SUM(S5:S25)</f>
        <v>102375455.688277</v>
      </c>
    </row>
    <row r="27" customFormat="false" ht="13.8" hidden="false" customHeight="false" outlineLevel="0" collapsed="false">
      <c r="R27" s="380"/>
    </row>
    <row r="28" customFormat="false" ht="13.2" hidden="false" customHeight="false" outlineLevel="0" collapsed="false">
      <c r="A28" s="354" t="s">
        <v>283</v>
      </c>
      <c r="E28" s="354" t="s">
        <v>284</v>
      </c>
      <c r="O28" s="354" t="s">
        <v>285</v>
      </c>
    </row>
    <row r="29" customFormat="false" ht="13.8" hidden="false" customHeight="false" outlineLevel="0" collapsed="false">
      <c r="G29" s="356"/>
      <c r="P29" s="356"/>
    </row>
    <row r="30" customFormat="false" ht="37.5" hidden="false" customHeight="true" outlineLevel="0" collapsed="false">
      <c r="A30" s="357" t="s">
        <v>96</v>
      </c>
      <c r="B30" s="358" t="s">
        <v>97</v>
      </c>
      <c r="C30" s="359" t="s">
        <v>286</v>
      </c>
      <c r="E30" s="357" t="s">
        <v>96</v>
      </c>
      <c r="F30" s="363" t="s">
        <v>287</v>
      </c>
      <c r="G30" s="361" t="s">
        <v>288</v>
      </c>
      <c r="H30" s="364" t="s">
        <v>276</v>
      </c>
      <c r="I30" s="359" t="s">
        <v>289</v>
      </c>
      <c r="O30" s="357" t="s">
        <v>96</v>
      </c>
      <c r="P30" s="358" t="s">
        <v>279</v>
      </c>
      <c r="Q30" s="364" t="s">
        <v>280</v>
      </c>
      <c r="R30" s="359" t="s">
        <v>281</v>
      </c>
    </row>
    <row r="31" customFormat="false" ht="13.8" hidden="false" customHeight="false" outlineLevel="0" collapsed="false">
      <c r="A31" s="365" t="s">
        <v>114</v>
      </c>
      <c r="B31" s="366" t="n">
        <f aca="false">'Input-Detail'!AN14</f>
        <v>3009340</v>
      </c>
      <c r="C31" s="367" t="n">
        <f aca="false">B31/(1+Discount_Rate)^0</f>
        <v>3009340</v>
      </c>
      <c r="E31" s="365" t="s">
        <v>114</v>
      </c>
      <c r="F31" s="366" t="n">
        <f aca="false">'Agency Costs Reduction'!L6</f>
        <v>-4640</v>
      </c>
      <c r="G31" s="366" t="n">
        <f aca="false">'Interest Gain'!T6</f>
        <v>0</v>
      </c>
      <c r="H31" s="368" t="n">
        <f aca="false">SUM(F31:G31)</f>
        <v>-4640</v>
      </c>
      <c r="I31" s="367" t="n">
        <f aca="false">H31/(1+Discount_Rate)^0</f>
        <v>-4640</v>
      </c>
      <c r="O31" s="365" t="s">
        <v>114</v>
      </c>
      <c r="P31" s="366" t="n">
        <f aca="false">C31</f>
        <v>3009340</v>
      </c>
      <c r="Q31" s="368" t="n">
        <f aca="false">I31</f>
        <v>-4640</v>
      </c>
      <c r="R31" s="367" t="n">
        <f aca="false">Q31-P31</f>
        <v>-3013980</v>
      </c>
    </row>
    <row r="32" customFormat="false" ht="13.2" hidden="false" customHeight="false" outlineLevel="0" collapsed="false">
      <c r="A32" s="365" t="n">
        <v>1</v>
      </c>
      <c r="B32" s="366" t="n">
        <f aca="false">'Input-Detail'!AN15</f>
        <v>0</v>
      </c>
      <c r="C32" s="367" t="n">
        <f aca="false">B32/(1+Discount_Rate)^A32</f>
        <v>0</v>
      </c>
      <c r="E32" s="365" t="n">
        <v>1</v>
      </c>
      <c r="F32" s="366" t="n">
        <f aca="false">'Agency Costs Reduction'!L7</f>
        <v>2505.51213477366</v>
      </c>
      <c r="G32" s="366" t="n">
        <f aca="false">'Interest Gain'!T7</f>
        <v>20214.93444642</v>
      </c>
      <c r="H32" s="369" t="n">
        <f aca="false">SUM(F32:G32)</f>
        <v>22720.4465811937</v>
      </c>
      <c r="I32" s="367" t="n">
        <f aca="false">H32/(1+Discount_Rate)^E32</f>
        <v>22058.6860011589</v>
      </c>
      <c r="O32" s="365" t="n">
        <v>1</v>
      </c>
      <c r="P32" s="366" t="n">
        <f aca="false">C32</f>
        <v>0</v>
      </c>
      <c r="Q32" s="369" t="n">
        <f aca="false">I32</f>
        <v>22058.6860011589</v>
      </c>
      <c r="R32" s="367" t="n">
        <f aca="false">Q32-P32</f>
        <v>22058.6860011589</v>
      </c>
    </row>
    <row r="33" customFormat="false" ht="13.2" hidden="false" customHeight="false" outlineLevel="0" collapsed="false">
      <c r="A33" s="365" t="n">
        <v>2</v>
      </c>
      <c r="B33" s="366" t="n">
        <f aca="false">'Input-Detail'!AN16</f>
        <v>0</v>
      </c>
      <c r="C33" s="367" t="n">
        <f aca="false">B33/(1+Discount_Rate)^A33</f>
        <v>0</v>
      </c>
      <c r="E33" s="365" t="n">
        <v>2</v>
      </c>
      <c r="F33" s="366" t="n">
        <f aca="false">'Agency Costs Reduction'!L8</f>
        <v>570105.612055409</v>
      </c>
      <c r="G33" s="366" t="n">
        <f aca="false">'Interest Gain'!T8</f>
        <v>51955.8973731</v>
      </c>
      <c r="H33" s="369" t="n">
        <f aca="false">SUM(F33:G33)</f>
        <v>622061.509428509</v>
      </c>
      <c r="I33" s="367" t="n">
        <f aca="false">H33/(1+Discount_Rate)^E33</f>
        <v>586352.634016881</v>
      </c>
      <c r="O33" s="365" t="n">
        <v>2</v>
      </c>
      <c r="P33" s="366" t="n">
        <f aca="false">C33</f>
        <v>0</v>
      </c>
      <c r="Q33" s="369" t="n">
        <f aca="false">I33</f>
        <v>586352.634016881</v>
      </c>
      <c r="R33" s="367" t="n">
        <f aca="false">Q33-P33</f>
        <v>586352.634016881</v>
      </c>
    </row>
    <row r="34" customFormat="false" ht="13.2" hidden="false" customHeight="false" outlineLevel="0" collapsed="false">
      <c r="A34" s="365" t="n">
        <v>3</v>
      </c>
      <c r="B34" s="366" t="n">
        <f aca="false">'Input-Detail'!AN17</f>
        <v>0</v>
      </c>
      <c r="C34" s="367" t="n">
        <f aca="false">B34/(1+Discount_Rate)^A34</f>
        <v>0</v>
      </c>
      <c r="E34" s="365" t="n">
        <v>3</v>
      </c>
      <c r="F34" s="366" t="n">
        <f aca="false">'Agency Costs Reduction'!L9</f>
        <v>789943.257730059</v>
      </c>
      <c r="G34" s="366" t="n">
        <f aca="false">'Interest Gain'!T9</f>
        <v>71165.9448402</v>
      </c>
      <c r="H34" s="369" t="n">
        <f aca="false">SUM(F34:G34)</f>
        <v>861109.202570259</v>
      </c>
      <c r="I34" s="367" t="n">
        <f aca="false">H34/(1+Discount_Rate)^E34</f>
        <v>788036.904524423</v>
      </c>
      <c r="O34" s="365" t="n">
        <v>3</v>
      </c>
      <c r="P34" s="366" t="n">
        <f aca="false">C34</f>
        <v>0</v>
      </c>
      <c r="Q34" s="369" t="n">
        <f aca="false">I34</f>
        <v>788036.904524423</v>
      </c>
      <c r="R34" s="367" t="n">
        <f aca="false">Q34-P34</f>
        <v>788036.904524423</v>
      </c>
    </row>
    <row r="35" customFormat="false" ht="13.2" hidden="false" customHeight="false" outlineLevel="0" collapsed="false">
      <c r="A35" s="365" t="n">
        <v>4</v>
      </c>
      <c r="B35" s="366" t="n">
        <f aca="false">'Input-Detail'!AN18</f>
        <v>0</v>
      </c>
      <c r="C35" s="367" t="n">
        <f aca="false">B35/(1+Discount_Rate)^A35</f>
        <v>0</v>
      </c>
      <c r="E35" s="365" t="n">
        <v>4</v>
      </c>
      <c r="F35" s="366" t="n">
        <f aca="false">'Agency Costs Reduction'!L10</f>
        <v>1089790.84593016</v>
      </c>
      <c r="G35" s="366" t="n">
        <f aca="false">'Interest Gain'!T10</f>
        <v>91321.699812</v>
      </c>
      <c r="H35" s="369" t="n">
        <f aca="false">SUM(F35:G35)</f>
        <v>1181112.54574216</v>
      </c>
      <c r="I35" s="367" t="n">
        <f aca="false">H35/(1+Discount_Rate)^E35</f>
        <v>1049403.19902264</v>
      </c>
      <c r="O35" s="365" t="n">
        <v>4</v>
      </c>
      <c r="P35" s="366" t="n">
        <f aca="false">C35</f>
        <v>0</v>
      </c>
      <c r="Q35" s="369" t="n">
        <f aca="false">I35</f>
        <v>1049403.19902264</v>
      </c>
      <c r="R35" s="367" t="n">
        <f aca="false">Q35-P35</f>
        <v>1049403.19902264</v>
      </c>
    </row>
    <row r="36" customFormat="false" ht="13.2" hidden="false" customHeight="false" outlineLevel="0" collapsed="false">
      <c r="A36" s="365" t="n">
        <v>5</v>
      </c>
      <c r="B36" s="366" t="n">
        <f aca="false">'Input-Detail'!AN19</f>
        <v>0</v>
      </c>
      <c r="C36" s="367" t="n">
        <f aca="false">B36/(1+Discount_Rate)^A36</f>
        <v>0</v>
      </c>
      <c r="E36" s="365" t="n">
        <v>5</v>
      </c>
      <c r="F36" s="366" t="n">
        <f aca="false">'Agency Costs Reduction'!L11</f>
        <v>1374851.94894825</v>
      </c>
      <c r="G36" s="366" t="n">
        <f aca="false">'Interest Gain'!T11</f>
        <v>112423.1622885</v>
      </c>
      <c r="H36" s="369" t="n">
        <f aca="false">SUM(F36:G36)</f>
        <v>1487275.11123675</v>
      </c>
      <c r="I36" s="367" t="n">
        <f aca="false">H36/(1+Discount_Rate)^E36</f>
        <v>1282936.57574875</v>
      </c>
      <c r="O36" s="365" t="n">
        <v>5</v>
      </c>
      <c r="P36" s="366" t="n">
        <f aca="false">C36</f>
        <v>0</v>
      </c>
      <c r="Q36" s="369" t="n">
        <f aca="false">I36</f>
        <v>1282936.57574875</v>
      </c>
      <c r="R36" s="367" t="n">
        <f aca="false">Q36-P36</f>
        <v>1282936.57574875</v>
      </c>
    </row>
    <row r="37" customFormat="false" ht="13.2" hidden="false" customHeight="false" outlineLevel="0" collapsed="false">
      <c r="A37" s="365" t="n">
        <v>6</v>
      </c>
      <c r="B37" s="366" t="n">
        <f aca="false">'Input-Detail'!AN20</f>
        <v>0</v>
      </c>
      <c r="C37" s="367" t="n">
        <f aca="false">B37/(1+Discount_Rate)^A37</f>
        <v>0</v>
      </c>
      <c r="E37" s="365" t="n">
        <v>6</v>
      </c>
      <c r="F37" s="366" t="n">
        <f aca="false">'Agency Costs Reduction'!L12</f>
        <v>1686692.88748421</v>
      </c>
      <c r="G37" s="366" t="n">
        <f aca="false">'Interest Gain'!T12</f>
        <v>134470.3322697</v>
      </c>
      <c r="H37" s="369" t="n">
        <f aca="false">SUM(F37:G37)</f>
        <v>1821163.21975391</v>
      </c>
      <c r="I37" s="367" t="n">
        <f aca="false">H37/(1+Discount_Rate)^E37</f>
        <v>1525195.52539521</v>
      </c>
      <c r="O37" s="365" t="n">
        <v>6</v>
      </c>
      <c r="P37" s="366" t="n">
        <f aca="false">C37</f>
        <v>0</v>
      </c>
      <c r="Q37" s="369" t="n">
        <f aca="false">I37</f>
        <v>1525195.52539521</v>
      </c>
      <c r="R37" s="367" t="n">
        <f aca="false">Q37-P37</f>
        <v>1525195.52539521</v>
      </c>
    </row>
    <row r="38" customFormat="false" ht="13.2" hidden="false" customHeight="false" outlineLevel="0" collapsed="false">
      <c r="A38" s="365" t="n">
        <v>7</v>
      </c>
      <c r="B38" s="366" t="n">
        <f aca="false">'Input-Detail'!AN21</f>
        <v>0</v>
      </c>
      <c r="C38" s="367" t="n">
        <f aca="false">B38/(1+Discount_Rate)^A38</f>
        <v>0</v>
      </c>
      <c r="E38" s="365" t="n">
        <v>7</v>
      </c>
      <c r="F38" s="366" t="n">
        <f aca="false">'Agency Costs Reduction'!L13</f>
        <v>2075858.40021913</v>
      </c>
      <c r="G38" s="366" t="n">
        <f aca="false">'Interest Gain'!T13</f>
        <v>157463.2097556</v>
      </c>
      <c r="H38" s="369" t="n">
        <f aca="false">SUM(F38:G38)</f>
        <v>2233321.60997473</v>
      </c>
      <c r="I38" s="367" t="n">
        <f aca="false">H38/(1+Discount_Rate)^E38</f>
        <v>1815894.84317013</v>
      </c>
      <c r="O38" s="365" t="n">
        <v>7</v>
      </c>
      <c r="P38" s="366" t="n">
        <f aca="false">C38</f>
        <v>0</v>
      </c>
      <c r="Q38" s="369" t="n">
        <f aca="false">I38</f>
        <v>1815894.84317013</v>
      </c>
      <c r="R38" s="367" t="n">
        <f aca="false">Q38-P38</f>
        <v>1815894.84317013</v>
      </c>
    </row>
    <row r="39" customFormat="false" ht="13.2" hidden="false" customHeight="false" outlineLevel="0" collapsed="false">
      <c r="A39" s="365" t="n">
        <v>8</v>
      </c>
      <c r="B39" s="366" t="n">
        <f aca="false">'Input-Detail'!AN22</f>
        <v>0</v>
      </c>
      <c r="C39" s="367" t="n">
        <f aca="false">B39/(1+Discount_Rate)^A39</f>
        <v>0</v>
      </c>
      <c r="E39" s="365" t="n">
        <v>8</v>
      </c>
      <c r="F39" s="366" t="n">
        <f aca="false">'Agency Costs Reduction'!L14</f>
        <v>2451674.85253344</v>
      </c>
      <c r="G39" s="366" t="n">
        <f aca="false">'Interest Gain'!T14</f>
        <v>181401.7947462</v>
      </c>
      <c r="H39" s="369" t="n">
        <f aca="false">SUM(F39:G39)</f>
        <v>2633076.64727964</v>
      </c>
      <c r="I39" s="367" t="n">
        <f aca="false">H39/(1+Discount_Rate)^E39</f>
        <v>2078575.02001893</v>
      </c>
      <c r="O39" s="365" t="n">
        <v>8</v>
      </c>
      <c r="P39" s="366" t="n">
        <f aca="false">C39</f>
        <v>0</v>
      </c>
      <c r="Q39" s="369" t="n">
        <f aca="false">I39</f>
        <v>2078575.02001893</v>
      </c>
      <c r="R39" s="367" t="n">
        <f aca="false">Q39-P39</f>
        <v>2078575.02001893</v>
      </c>
    </row>
    <row r="40" customFormat="false" ht="13.2" hidden="false" customHeight="false" outlineLevel="0" collapsed="false">
      <c r="A40" s="365" t="n">
        <v>9</v>
      </c>
      <c r="B40" s="366" t="n">
        <f aca="false">'Input-Detail'!AN23</f>
        <v>0</v>
      </c>
      <c r="C40" s="367" t="n">
        <f aca="false">B40/(1+Discount_Rate)^A40</f>
        <v>0</v>
      </c>
      <c r="E40" s="365" t="n">
        <v>9</v>
      </c>
      <c r="F40" s="366" t="n">
        <f aca="false">'Agency Costs Reduction'!L15</f>
        <v>2861875.14489304</v>
      </c>
      <c r="G40" s="366" t="n">
        <f aca="false">'Interest Gain'!T15</f>
        <v>206286.0872415</v>
      </c>
      <c r="H40" s="369" t="n">
        <f aca="false">SUM(F40:G40)</f>
        <v>3068161.23213454</v>
      </c>
      <c r="I40" s="367" t="n">
        <f aca="false">H40/(1+Discount_Rate)^E40</f>
        <v>2351490.10583595</v>
      </c>
      <c r="O40" s="365" t="n">
        <v>9</v>
      </c>
      <c r="P40" s="366" t="n">
        <f aca="false">C40</f>
        <v>0</v>
      </c>
      <c r="Q40" s="369" t="n">
        <f aca="false">I40</f>
        <v>2351490.10583595</v>
      </c>
      <c r="R40" s="367" t="n">
        <f aca="false">Q40-P40</f>
        <v>2351490.10583595</v>
      </c>
    </row>
    <row r="41" customFormat="false" ht="13.2" hidden="false" customHeight="false" outlineLevel="0" collapsed="false">
      <c r="A41" s="365" t="n">
        <v>10</v>
      </c>
      <c r="B41" s="366" t="n">
        <f aca="false">'Input-Detail'!AN24</f>
        <v>0</v>
      </c>
      <c r="C41" s="367" t="n">
        <f aca="false">B41/(1+Discount_Rate)^A41</f>
        <v>0</v>
      </c>
      <c r="E41" s="365" t="n">
        <v>10</v>
      </c>
      <c r="F41" s="366" t="n">
        <f aca="false">'Agency Costs Reduction'!L16</f>
        <v>3361982.04789708</v>
      </c>
      <c r="G41" s="366" t="n">
        <f aca="false">'Interest Gain'!T16</f>
        <v>232116.0872415</v>
      </c>
      <c r="H41" s="369" t="n">
        <f aca="false">SUM(F41:G41)</f>
        <v>3594098.13513858</v>
      </c>
      <c r="I41" s="367" t="n">
        <f aca="false">H41/(1+Discount_Rate)^E41</f>
        <v>2674346.55189828</v>
      </c>
      <c r="O41" s="365" t="n">
        <v>10</v>
      </c>
      <c r="P41" s="366" t="n">
        <f aca="false">C41</f>
        <v>0</v>
      </c>
      <c r="Q41" s="369" t="n">
        <f aca="false">I41</f>
        <v>2674346.55189828</v>
      </c>
      <c r="R41" s="367" t="n">
        <f aca="false">Q41-P41</f>
        <v>2674346.55189828</v>
      </c>
    </row>
    <row r="42" customFormat="false" ht="13.2" hidden="false" customHeight="false" outlineLevel="0" collapsed="false">
      <c r="A42" s="365" t="n">
        <v>11</v>
      </c>
      <c r="B42" s="366" t="n">
        <f aca="false">'Input-Detail'!AN25</f>
        <v>0</v>
      </c>
      <c r="C42" s="367" t="n">
        <f aca="false">B42/(1+Discount_Rate)^A42</f>
        <v>0</v>
      </c>
      <c r="E42" s="365" t="n">
        <v>11</v>
      </c>
      <c r="F42" s="366" t="n">
        <f aca="false">'Agency Costs Reduction'!L17</f>
        <v>3845866.05267137</v>
      </c>
      <c r="G42" s="366" t="n">
        <f aca="false">'Interest Gain'!T17</f>
        <v>258891.7947462</v>
      </c>
      <c r="H42" s="369" t="n">
        <f aca="false">SUM(F42:G42)</f>
        <v>4104757.84741757</v>
      </c>
      <c r="I42" s="367" t="n">
        <f aca="false">H42/(1+Discount_Rate)^E42</f>
        <v>2965364.40426019</v>
      </c>
      <c r="O42" s="365" t="n">
        <v>11</v>
      </c>
      <c r="P42" s="366" t="n">
        <f aca="false">C42</f>
        <v>0</v>
      </c>
      <c r="Q42" s="369" t="n">
        <f aca="false">I42</f>
        <v>2965364.40426019</v>
      </c>
      <c r="R42" s="367" t="n">
        <f aca="false">Q42-P42</f>
        <v>2965364.40426019</v>
      </c>
    </row>
    <row r="43" customFormat="false" ht="13.2" hidden="false" customHeight="false" outlineLevel="0" collapsed="false">
      <c r="A43" s="365" t="n">
        <v>12</v>
      </c>
      <c r="B43" s="366" t="n">
        <f aca="false">'Input-Detail'!AN26</f>
        <v>0</v>
      </c>
      <c r="C43" s="367" t="n">
        <f aca="false">B43/(1+Discount_Rate)^A43</f>
        <v>0</v>
      </c>
      <c r="E43" s="365" t="n">
        <v>12</v>
      </c>
      <c r="F43" s="366" t="n">
        <f aca="false">'Agency Costs Reduction'!L18</f>
        <v>4424852.94697879</v>
      </c>
      <c r="G43" s="366" t="n">
        <f aca="false">'Interest Gain'!T18</f>
        <v>286613.2097556</v>
      </c>
      <c r="H43" s="369" t="n">
        <f aca="false">SUM(F43:G43)</f>
        <v>4711466.15673439</v>
      </c>
      <c r="I43" s="367" t="n">
        <f aca="false">H43/(1+Discount_Rate)^E43</f>
        <v>3304527.56854361</v>
      </c>
      <c r="O43" s="365" t="n">
        <v>12</v>
      </c>
      <c r="P43" s="366" t="n">
        <f aca="false">C43</f>
        <v>0</v>
      </c>
      <c r="Q43" s="369" t="n">
        <f aca="false">I43</f>
        <v>3304527.56854361</v>
      </c>
      <c r="R43" s="367" t="n">
        <f aca="false">Q43-P43</f>
        <v>3304527.56854361</v>
      </c>
    </row>
    <row r="44" customFormat="false" ht="13.2" hidden="false" customHeight="false" outlineLevel="0" collapsed="false">
      <c r="A44" s="365" t="n">
        <v>13</v>
      </c>
      <c r="B44" s="366" t="n">
        <f aca="false">'Input-Detail'!AN27</f>
        <v>0</v>
      </c>
      <c r="C44" s="367" t="n">
        <f aca="false">B44/(1+Discount_Rate)^A44</f>
        <v>0</v>
      </c>
      <c r="E44" s="365" t="n">
        <v>13</v>
      </c>
      <c r="F44" s="366" t="n">
        <f aca="false">'Agency Costs Reduction'!L19</f>
        <v>4993986.84642213</v>
      </c>
      <c r="G44" s="366" t="n">
        <f aca="false">'Interest Gain'!T19</f>
        <v>315280.3322697</v>
      </c>
      <c r="H44" s="369" t="n">
        <f aca="false">SUM(F44:G44)</f>
        <v>5309267.17869183</v>
      </c>
      <c r="I44" s="367" t="n">
        <f aca="false">H44/(1+Discount_Rate)^E44</f>
        <v>3615352.599712</v>
      </c>
      <c r="O44" s="365" t="n">
        <v>13</v>
      </c>
      <c r="P44" s="366" t="n">
        <f aca="false">C44</f>
        <v>0</v>
      </c>
      <c r="Q44" s="369" t="n">
        <f aca="false">I44</f>
        <v>3615352.599712</v>
      </c>
      <c r="R44" s="367" t="n">
        <f aca="false">Q44-P44</f>
        <v>3615352.599712</v>
      </c>
    </row>
    <row r="45" customFormat="false" ht="13.2" hidden="false" customHeight="false" outlineLevel="0" collapsed="false">
      <c r="A45" s="365" t="n">
        <v>14</v>
      </c>
      <c r="B45" s="366" t="n">
        <f aca="false">'Input-Detail'!AN28</f>
        <v>0</v>
      </c>
      <c r="C45" s="367" t="n">
        <f aca="false">B45/(1+Discount_Rate)^A45</f>
        <v>0</v>
      </c>
      <c r="E45" s="365" t="n">
        <v>14</v>
      </c>
      <c r="F45" s="366" t="n">
        <f aca="false">'Agency Costs Reduction'!L20</f>
        <v>5666590.39729177</v>
      </c>
      <c r="G45" s="366" t="n">
        <f aca="false">'Interest Gain'!T20</f>
        <v>344893.1622885</v>
      </c>
      <c r="H45" s="369" t="n">
        <f aca="false">SUM(F45:G45)</f>
        <v>6011483.55958027</v>
      </c>
      <c r="I45" s="367" t="n">
        <f aca="false">H45/(1+Discount_Rate)^E45</f>
        <v>3974298.82062441</v>
      </c>
      <c r="O45" s="365" t="n">
        <v>14</v>
      </c>
      <c r="P45" s="366" t="n">
        <f aca="false">C45</f>
        <v>0</v>
      </c>
      <c r="Q45" s="369" t="n">
        <f aca="false">I45</f>
        <v>3974298.82062441</v>
      </c>
      <c r="R45" s="367" t="n">
        <f aca="false">Q45-P45</f>
        <v>3974298.82062441</v>
      </c>
    </row>
    <row r="46" customFormat="false" ht="13.2" hidden="false" customHeight="false" outlineLevel="0" collapsed="false">
      <c r="A46" s="365" t="n">
        <v>15</v>
      </c>
      <c r="B46" s="366" t="n">
        <f aca="false">'Input-Detail'!AN29</f>
        <v>0</v>
      </c>
      <c r="C46" s="367" t="n">
        <f aca="false">B46/(1+Discount_Rate)^A46</f>
        <v>0</v>
      </c>
      <c r="E46" s="365" t="n">
        <v>15</v>
      </c>
      <c r="F46" s="366" t="n">
        <f aca="false">'Agency Costs Reduction'!L21</f>
        <v>6390989.56216084</v>
      </c>
      <c r="G46" s="366" t="n">
        <f aca="false">'Interest Gain'!T21</f>
        <v>375451.699812</v>
      </c>
      <c r="H46" s="369" t="n">
        <f aca="false">SUM(F46:G46)</f>
        <v>6766441.26197284</v>
      </c>
      <c r="I46" s="367" t="n">
        <f aca="false">H46/(1+Discount_Rate)^E46</f>
        <v>4343121.16535539</v>
      </c>
      <c r="O46" s="365" t="n">
        <v>15</v>
      </c>
      <c r="P46" s="366" t="n">
        <f aca="false">C46</f>
        <v>0</v>
      </c>
      <c r="Q46" s="369" t="n">
        <f aca="false">I46</f>
        <v>4343121.16535539</v>
      </c>
      <c r="R46" s="367" t="n">
        <f aca="false">Q46-P46</f>
        <v>4343121.16535539</v>
      </c>
    </row>
    <row r="47" customFormat="false" ht="13.2" hidden="false" customHeight="false" outlineLevel="0" collapsed="false">
      <c r="A47" s="365" t="n">
        <v>16</v>
      </c>
      <c r="B47" s="366" t="n">
        <f aca="false">'Input-Detail'!AN30</f>
        <v>0</v>
      </c>
      <c r="C47" s="367" t="n">
        <f aca="false">B47/(1+Discount_Rate)^A47</f>
        <v>0</v>
      </c>
      <c r="E47" s="365" t="n">
        <v>16</v>
      </c>
      <c r="F47" s="366" t="n">
        <f aca="false">'Agency Costs Reduction'!L22</f>
        <v>7170164.99253205</v>
      </c>
      <c r="G47" s="366" t="n">
        <f aca="false">'Interest Gain'!T22</f>
        <v>406955.9448402</v>
      </c>
      <c r="H47" s="369" t="n">
        <f aca="false">SUM(F47:G47)</f>
        <v>7577120.93737225</v>
      </c>
      <c r="I47" s="367" t="n">
        <f aca="false">H47/(1+Discount_Rate)^E47</f>
        <v>4721811.26264291</v>
      </c>
      <c r="O47" s="365" t="n">
        <v>16</v>
      </c>
      <c r="P47" s="366" t="n">
        <f aca="false">C47</f>
        <v>0</v>
      </c>
      <c r="Q47" s="369" t="n">
        <f aca="false">I47</f>
        <v>4721811.26264291</v>
      </c>
      <c r="R47" s="367" t="n">
        <f aca="false">Q47-P47</f>
        <v>4721811.26264291</v>
      </c>
    </row>
    <row r="48" customFormat="false" ht="13.2" hidden="false" customHeight="false" outlineLevel="0" collapsed="false">
      <c r="A48" s="365" t="n">
        <v>17</v>
      </c>
      <c r="B48" s="366" t="n">
        <f aca="false">'Input-Detail'!AN31</f>
        <v>0</v>
      </c>
      <c r="C48" s="367" t="n">
        <f aca="false">B48/(1+Discount_Rate)^A48</f>
        <v>0</v>
      </c>
      <c r="E48" s="365" t="n">
        <v>17</v>
      </c>
      <c r="F48" s="366" t="n">
        <f aca="false">'Agency Costs Reduction'!L23</f>
        <v>8007243.9225907</v>
      </c>
      <c r="G48" s="366" t="n">
        <f aca="false">'Interest Gain'!T23</f>
        <v>439405.8973731</v>
      </c>
      <c r="H48" s="369" t="n">
        <f aca="false">SUM(F48:G48)</f>
        <v>8446649.8199638</v>
      </c>
      <c r="I48" s="367" t="n">
        <f aca="false">H48/(1+Discount_Rate)^E48</f>
        <v>5110362.05336987</v>
      </c>
      <c r="O48" s="365" t="n">
        <v>17</v>
      </c>
      <c r="P48" s="366" t="n">
        <f aca="false">C48</f>
        <v>0</v>
      </c>
      <c r="Q48" s="369" t="n">
        <f aca="false">I48</f>
        <v>5110362.05336987</v>
      </c>
      <c r="R48" s="367" t="n">
        <f aca="false">Q48-P48</f>
        <v>5110362.05336987</v>
      </c>
    </row>
    <row r="49" customFormat="false" ht="13.2" hidden="false" customHeight="false" outlineLevel="0" collapsed="false">
      <c r="A49" s="365" t="n">
        <v>18</v>
      </c>
      <c r="B49" s="366" t="n">
        <f aca="false">'Input-Detail'!AN32</f>
        <v>0</v>
      </c>
      <c r="C49" s="367" t="n">
        <f aca="false">B49/(1+Discount_Rate)^A49</f>
        <v>0</v>
      </c>
      <c r="E49" s="365" t="n">
        <v>18</v>
      </c>
      <c r="F49" s="366" t="n">
        <f aca="false">'Agency Costs Reduction'!L24</f>
        <v>8905506.71296408</v>
      </c>
      <c r="G49" s="366" t="n">
        <f aca="false">'Interest Gain'!T24</f>
        <v>472801.5574107</v>
      </c>
      <c r="H49" s="369" t="n">
        <f aca="false">SUM(F49:G49)</f>
        <v>9378308.27037478</v>
      </c>
      <c r="I49" s="367" t="n">
        <f aca="false">H49/(1+Discount_Rate)^E49</f>
        <v>5508767.70658133</v>
      </c>
      <c r="O49" s="365" t="n">
        <v>18</v>
      </c>
      <c r="P49" s="366" t="n">
        <f aca="false">C49</f>
        <v>0</v>
      </c>
      <c r="Q49" s="369" t="n">
        <f aca="false">I49</f>
        <v>5508767.70658133</v>
      </c>
      <c r="R49" s="367" t="n">
        <f aca="false">Q49-P49</f>
        <v>5508767.70658133</v>
      </c>
    </row>
    <row r="50" customFormat="false" ht="13.2" hidden="false" customHeight="false" outlineLevel="0" collapsed="false">
      <c r="A50" s="365" t="n">
        <v>19</v>
      </c>
      <c r="B50" s="366" t="n">
        <f aca="false">'Input-Detail'!AN33</f>
        <v>0</v>
      </c>
      <c r="C50" s="367" t="n">
        <f aca="false">B50/(1+Discount_Rate)^A50</f>
        <v>0</v>
      </c>
      <c r="E50" s="365" t="n">
        <v>19</v>
      </c>
      <c r="F50" s="366" t="n">
        <f aca="false">'Agency Costs Reduction'!L25</f>
        <v>9320849.12709332</v>
      </c>
      <c r="G50" s="366" t="n">
        <f aca="false">'Interest Gain'!T25</f>
        <v>481785.77870535</v>
      </c>
      <c r="H50" s="369" t="n">
        <f aca="false">SUM(F50:G50)</f>
        <v>9802634.90579867</v>
      </c>
      <c r="I50" s="367" t="n">
        <f aca="false">H50/(1+Discount_Rate)^E50</f>
        <v>5590305.71271581</v>
      </c>
      <c r="O50" s="365" t="n">
        <v>19</v>
      </c>
      <c r="P50" s="366" t="n">
        <f aca="false">C50</f>
        <v>0</v>
      </c>
      <c r="Q50" s="369" t="n">
        <f aca="false">I50</f>
        <v>5590305.71271581</v>
      </c>
      <c r="R50" s="367" t="n">
        <f aca="false">Q50-P50</f>
        <v>5590305.71271581</v>
      </c>
    </row>
    <row r="51" customFormat="false" ht="13.8" hidden="false" customHeight="false" outlineLevel="0" collapsed="false">
      <c r="A51" s="371" t="n">
        <v>20</v>
      </c>
      <c r="B51" s="372" t="n">
        <f aca="false">'Input-Detail'!AN34</f>
        <v>0</v>
      </c>
      <c r="C51" s="373" t="n">
        <f aca="false">B51/(1+Discount_Rate)^A51</f>
        <v>0</v>
      </c>
      <c r="E51" s="371" t="n">
        <v>20</v>
      </c>
      <c r="F51" s="372" t="n">
        <f aca="false">'Agency Costs Reduction'!L26</f>
        <v>9753112.32960161</v>
      </c>
      <c r="G51" s="372" t="n">
        <f aca="false">'Interest Gain'!T26</f>
        <v>490770</v>
      </c>
      <c r="H51" s="374" t="n">
        <f aca="false">SUM(F51:G51)</f>
        <v>10243882.3296016</v>
      </c>
      <c r="I51" s="373" t="n">
        <f aca="false">H51/(1+Discount_Rate)^E51</f>
        <v>5671789.27463824</v>
      </c>
      <c r="O51" s="371" t="n">
        <v>20</v>
      </c>
      <c r="P51" s="372" t="n">
        <f aca="false">C51</f>
        <v>0</v>
      </c>
      <c r="Q51" s="374" t="n">
        <f aca="false">I51</f>
        <v>5671789.27463824</v>
      </c>
      <c r="R51" s="373" t="n">
        <f aca="false">Q51-P51</f>
        <v>5671789.27463824</v>
      </c>
    </row>
    <row r="52" customFormat="false" ht="14.4" hidden="false" customHeight="false" outlineLevel="0" collapsed="false">
      <c r="E52" s="18" t="s">
        <v>290</v>
      </c>
      <c r="O52" s="376" t="s">
        <v>282</v>
      </c>
      <c r="P52" s="378" t="n">
        <f aca="false">SUM(P31:P51)</f>
        <v>3009340</v>
      </c>
      <c r="Q52" s="378" t="n">
        <f aca="false">SUM(Q31:Q51)</f>
        <v>58975350.6140761</v>
      </c>
      <c r="R52" s="381" t="n">
        <f aca="false">SUM(R31:R51)</f>
        <v>55966010.6140761</v>
      </c>
    </row>
    <row r="53" customFormat="false" ht="13.8" hidden="false" customHeight="false" outlineLevel="0" collapsed="false"/>
    <row r="54" customFormat="false" ht="13.2" hidden="false" customHeight="false" outlineLevel="0" collapsed="false">
      <c r="A54" s="354" t="s">
        <v>291</v>
      </c>
      <c r="E54" s="354" t="s">
        <v>292</v>
      </c>
      <c r="N54" s="382"/>
      <c r="O54" s="354" t="s">
        <v>293</v>
      </c>
    </row>
    <row r="55" customFormat="false" ht="13.8" hidden="false" customHeight="false" outlineLevel="0" collapsed="false">
      <c r="G55" s="356"/>
      <c r="M55" s="382"/>
      <c r="P55" s="356"/>
    </row>
    <row r="56" customFormat="false" ht="42.6" hidden="false" customHeight="false" outlineLevel="0" collapsed="false">
      <c r="A56" s="357" t="s">
        <v>96</v>
      </c>
      <c r="B56" s="358" t="s">
        <v>97</v>
      </c>
      <c r="C56" s="359" t="s">
        <v>294</v>
      </c>
      <c r="E56" s="357" t="s">
        <v>96</v>
      </c>
      <c r="F56" s="361" t="s">
        <v>270</v>
      </c>
      <c r="G56" s="362" t="s">
        <v>271</v>
      </c>
      <c r="H56" s="362" t="s">
        <v>275</v>
      </c>
      <c r="I56" s="362" t="s">
        <v>295</v>
      </c>
      <c r="J56" s="359" t="s">
        <v>289</v>
      </c>
      <c r="N56" s="382"/>
      <c r="O56" s="357" t="s">
        <v>96</v>
      </c>
      <c r="P56" s="358" t="s">
        <v>279</v>
      </c>
      <c r="Q56" s="364" t="s">
        <v>280</v>
      </c>
      <c r="R56" s="359" t="s">
        <v>281</v>
      </c>
    </row>
    <row r="57" customFormat="false" ht="13.8" hidden="false" customHeight="false" outlineLevel="0" collapsed="false">
      <c r="A57" s="365" t="s">
        <v>114</v>
      </c>
      <c r="B57" s="366" t="n">
        <v>0</v>
      </c>
      <c r="C57" s="367" t="n">
        <f aca="false">B57/(1+Discount_Rate)^0</f>
        <v>0</v>
      </c>
      <c r="E57" s="365" t="s">
        <v>114</v>
      </c>
      <c r="F57" s="366" t="n">
        <f aca="false">'Fuel &amp; Emission'!O6</f>
        <v>0</v>
      </c>
      <c r="G57" s="368" t="n">
        <f aca="false">'Time Value'!P6</f>
        <v>0</v>
      </c>
      <c r="H57" s="368" t="n">
        <f aca="false">(-1)*'Interest Gain'!T6</f>
        <v>-0</v>
      </c>
      <c r="I57" s="368" t="n">
        <f aca="false">SUM(F57:H57)</f>
        <v>0</v>
      </c>
      <c r="J57" s="367" t="n">
        <f aca="false">I57/(1+Discount_Rate)^0</f>
        <v>0</v>
      </c>
      <c r="N57" s="382"/>
      <c r="O57" s="365" t="s">
        <v>114</v>
      </c>
      <c r="P57" s="366" t="n">
        <f aca="false">C57</f>
        <v>0</v>
      </c>
      <c r="Q57" s="368" t="n">
        <f aca="false">J57</f>
        <v>0</v>
      </c>
      <c r="R57" s="367" t="n">
        <f aca="false">Q57-P57</f>
        <v>0</v>
      </c>
    </row>
    <row r="58" customFormat="false" ht="13.2" hidden="false" customHeight="false" outlineLevel="0" collapsed="false">
      <c r="A58" s="365" t="n">
        <v>1</v>
      </c>
      <c r="B58" s="366" t="n">
        <v>0</v>
      </c>
      <c r="C58" s="367" t="n">
        <f aca="false">B58/(1+Discount_Rate)^A58</f>
        <v>0</v>
      </c>
      <c r="E58" s="365" t="n">
        <v>1</v>
      </c>
      <c r="F58" s="366" t="n">
        <f aca="false">'Fuel &amp; Emission'!O7</f>
        <v>8178.32229830007</v>
      </c>
      <c r="G58" s="369" t="n">
        <f aca="false">'Time Value'!P7</f>
        <v>97150.8907364543</v>
      </c>
      <c r="H58" s="369" t="n">
        <f aca="false">(-1)*'Interest Gain'!T7</f>
        <v>-20214.93444642</v>
      </c>
      <c r="I58" s="369" t="n">
        <f aca="false">SUM(F58:H58)</f>
        <v>85114.2785883344</v>
      </c>
      <c r="J58" s="367" t="n">
        <f aca="false">I58/(1+Discount_Rate)^E58</f>
        <v>82635.2219304217</v>
      </c>
      <c r="N58" s="382"/>
      <c r="O58" s="365" t="n">
        <v>1</v>
      </c>
      <c r="P58" s="366" t="n">
        <f aca="false">C58</f>
        <v>0</v>
      </c>
      <c r="Q58" s="369" t="n">
        <f aca="false">J58</f>
        <v>82635.2219304217</v>
      </c>
      <c r="R58" s="367" t="n">
        <f aca="false">Q58-P58</f>
        <v>82635.2219304217</v>
      </c>
    </row>
    <row r="59" customFormat="false" ht="13.2" hidden="false" customHeight="false" outlineLevel="0" collapsed="false">
      <c r="A59" s="365" t="n">
        <v>2</v>
      </c>
      <c r="B59" s="366" t="n">
        <v>0</v>
      </c>
      <c r="C59" s="367" t="n">
        <f aca="false">B59/(1+Discount_Rate)^A59</f>
        <v>0</v>
      </c>
      <c r="E59" s="365" t="n">
        <v>2</v>
      </c>
      <c r="F59" s="366" t="n">
        <f aca="false">'Fuel &amp; Emission'!O8</f>
        <v>16815.7685652</v>
      </c>
      <c r="G59" s="369" t="n">
        <f aca="false">'Time Value'!P8</f>
        <v>343912.541504576</v>
      </c>
      <c r="H59" s="369" t="n">
        <f aca="false">(-1)*'Interest Gain'!T8</f>
        <v>-51955.8973731</v>
      </c>
      <c r="I59" s="369" t="n">
        <f aca="false">SUM(F59:H59)</f>
        <v>308772.412696677</v>
      </c>
      <c r="J59" s="367" t="n">
        <f aca="false">I59/(1+Discount_Rate)^E59</f>
        <v>291047.613061247</v>
      </c>
      <c r="N59" s="382"/>
      <c r="O59" s="365" t="n">
        <v>2</v>
      </c>
      <c r="P59" s="366" t="n">
        <f aca="false">C59</f>
        <v>0</v>
      </c>
      <c r="Q59" s="369" t="n">
        <f aca="false">J59</f>
        <v>291047.613061247</v>
      </c>
      <c r="R59" s="367" t="n">
        <f aca="false">Q59-P59</f>
        <v>291047.613061247</v>
      </c>
    </row>
    <row r="60" customFormat="false" ht="13.2" hidden="false" customHeight="false" outlineLevel="0" collapsed="false">
      <c r="A60" s="365" t="n">
        <v>3</v>
      </c>
      <c r="B60" s="366" t="n">
        <v>0</v>
      </c>
      <c r="C60" s="367" t="n">
        <f aca="false">B60/(1+Discount_Rate)^A60</f>
        <v>0</v>
      </c>
      <c r="E60" s="365" t="n">
        <v>3</v>
      </c>
      <c r="F60" s="366" t="n">
        <f aca="false">'Fuel &amp; Emission'!O9</f>
        <v>25912.3388007</v>
      </c>
      <c r="G60" s="369" t="n">
        <f aca="false">'Time Value'!P9</f>
        <v>530377.59195309</v>
      </c>
      <c r="H60" s="369" t="n">
        <f aca="false">(-1)*'Interest Gain'!T9</f>
        <v>-71165.9448402</v>
      </c>
      <c r="I60" s="369" t="n">
        <f aca="false">SUM(F60:H60)</f>
        <v>485123.98591359</v>
      </c>
      <c r="J60" s="367" t="n">
        <f aca="false">I60/(1+Discount_Rate)^E60</f>
        <v>443957.169460982</v>
      </c>
      <c r="N60" s="382"/>
      <c r="O60" s="365" t="n">
        <v>3</v>
      </c>
      <c r="P60" s="366" t="n">
        <f aca="false">C60</f>
        <v>0</v>
      </c>
      <c r="Q60" s="369" t="n">
        <f aca="false">J60</f>
        <v>443957.169460982</v>
      </c>
      <c r="R60" s="367" t="n">
        <f aca="false">Q60-P60</f>
        <v>443957.169460982</v>
      </c>
    </row>
    <row r="61" customFormat="false" ht="13.2" hidden="false" customHeight="false" outlineLevel="0" collapsed="false">
      <c r="A61" s="365" t="n">
        <v>4</v>
      </c>
      <c r="B61" s="366" t="n">
        <v>0</v>
      </c>
      <c r="C61" s="367" t="n">
        <f aca="false">B61/(1+Discount_Rate)^A61</f>
        <v>0</v>
      </c>
      <c r="E61" s="365" t="n">
        <v>4</v>
      </c>
      <c r="F61" s="366" t="n">
        <f aca="false">'Fuel &amp; Emission'!O10</f>
        <v>35468.0330048</v>
      </c>
      <c r="G61" s="369" t="n">
        <f aca="false">'Time Value'!P10</f>
        <v>776598.0672821</v>
      </c>
      <c r="H61" s="369" t="n">
        <f aca="false">(-1)*'Interest Gain'!T10</f>
        <v>-91321.699812</v>
      </c>
      <c r="I61" s="369" t="n">
        <f aca="false">SUM(F61:H61)</f>
        <v>720744.4004749</v>
      </c>
      <c r="J61" s="367" t="n">
        <f aca="false">I61/(1+Discount_Rate)^E61</f>
        <v>640372.064679707</v>
      </c>
      <c r="N61" s="382"/>
      <c r="O61" s="365" t="n">
        <v>4</v>
      </c>
      <c r="P61" s="366" t="n">
        <f aca="false">C61</f>
        <v>0</v>
      </c>
      <c r="Q61" s="369" t="n">
        <f aca="false">J61</f>
        <v>640372.064679707</v>
      </c>
      <c r="R61" s="367" t="n">
        <f aca="false">Q61-P61</f>
        <v>640372.064679707</v>
      </c>
    </row>
    <row r="62" customFormat="false" ht="13.2" hidden="false" customHeight="false" outlineLevel="0" collapsed="false">
      <c r="A62" s="365" t="n">
        <v>5</v>
      </c>
      <c r="B62" s="366" t="n">
        <v>0</v>
      </c>
      <c r="C62" s="367" t="n">
        <f aca="false">B62/(1+Discount_Rate)^A62</f>
        <v>0</v>
      </c>
      <c r="E62" s="365" t="n">
        <v>5</v>
      </c>
      <c r="F62" s="366" t="n">
        <f aca="false">'Fuel &amp; Emission'!O11</f>
        <v>45482.8511775</v>
      </c>
      <c r="G62" s="369" t="n">
        <f aca="false">'Time Value'!P11</f>
        <v>1058900.83501069</v>
      </c>
      <c r="H62" s="369" t="n">
        <f aca="false">(-1)*'Interest Gain'!T11</f>
        <v>-112423.1622885</v>
      </c>
      <c r="I62" s="369" t="n">
        <f aca="false">SUM(F62:H62)</f>
        <v>991960.523899688</v>
      </c>
      <c r="J62" s="367" t="n">
        <f aca="false">I62/(1+Discount_Rate)^E62</f>
        <v>855673.861678188</v>
      </c>
      <c r="N62" s="382"/>
      <c r="O62" s="365" t="n">
        <v>5</v>
      </c>
      <c r="P62" s="366" t="n">
        <f aca="false">C62</f>
        <v>0</v>
      </c>
      <c r="Q62" s="369" t="n">
        <f aca="false">J62</f>
        <v>855673.861678188</v>
      </c>
      <c r="R62" s="367" t="n">
        <f aca="false">Q62-P62</f>
        <v>855673.861678188</v>
      </c>
    </row>
    <row r="63" customFormat="false" ht="13.2" hidden="false" customHeight="false" outlineLevel="0" collapsed="false">
      <c r="A63" s="365" t="n">
        <v>6</v>
      </c>
      <c r="B63" s="366" t="n">
        <v>0</v>
      </c>
      <c r="C63" s="367" t="n">
        <f aca="false">B63/(1+Discount_Rate)^A63</f>
        <v>0</v>
      </c>
      <c r="E63" s="365" t="n">
        <v>6</v>
      </c>
      <c r="F63" s="366" t="n">
        <f aca="false">'Fuel &amp; Emission'!O12</f>
        <v>55956.7933188</v>
      </c>
      <c r="G63" s="369" t="n">
        <f aca="false">'Time Value'!P12</f>
        <v>1345197.90378042</v>
      </c>
      <c r="H63" s="369" t="n">
        <f aca="false">(-1)*'Interest Gain'!T12</f>
        <v>-134470.3322697</v>
      </c>
      <c r="I63" s="369" t="n">
        <f aca="false">SUM(F63:H63)</f>
        <v>1266684.36482952</v>
      </c>
      <c r="J63" s="367" t="n">
        <f aca="false">I63/(1+Discount_Rate)^E63</f>
        <v>1060828.21373206</v>
      </c>
      <c r="N63" s="382"/>
      <c r="O63" s="365" t="n">
        <v>6</v>
      </c>
      <c r="P63" s="366" t="n">
        <f aca="false">C63</f>
        <v>0</v>
      </c>
      <c r="Q63" s="369" t="n">
        <f aca="false">J63</f>
        <v>1060828.21373206</v>
      </c>
      <c r="R63" s="367" t="n">
        <f aca="false">Q63-P63</f>
        <v>1060828.21373206</v>
      </c>
    </row>
    <row r="64" customFormat="false" ht="13.2" hidden="false" customHeight="false" outlineLevel="0" collapsed="false">
      <c r="A64" s="365" t="n">
        <v>7</v>
      </c>
      <c r="B64" s="366" t="n">
        <v>0</v>
      </c>
      <c r="C64" s="367" t="n">
        <f aca="false">B64/(1+Discount_Rate)^A64</f>
        <v>0</v>
      </c>
      <c r="E64" s="365" t="n">
        <v>7</v>
      </c>
      <c r="F64" s="366" t="n">
        <f aca="false">'Fuel &amp; Emission'!O13</f>
        <v>66889.8594287</v>
      </c>
      <c r="G64" s="369" t="n">
        <f aca="false">'Time Value'!P13</f>
        <v>1667968.73874725</v>
      </c>
      <c r="H64" s="369" t="n">
        <f aca="false">(-1)*'Interest Gain'!T13</f>
        <v>-157463.2097556</v>
      </c>
      <c r="I64" s="369" t="n">
        <f aca="false">SUM(F64:H64)</f>
        <v>1577395.38842035</v>
      </c>
      <c r="J64" s="367" t="n">
        <f aca="false">I64/(1+Discount_Rate)^E64</f>
        <v>1282566.80035674</v>
      </c>
      <c r="N64" s="382"/>
      <c r="O64" s="365" t="n">
        <v>7</v>
      </c>
      <c r="P64" s="366" t="n">
        <f aca="false">C64</f>
        <v>0</v>
      </c>
      <c r="Q64" s="369" t="n">
        <f aca="false">J64</f>
        <v>1282566.80035674</v>
      </c>
      <c r="R64" s="367" t="n">
        <f aca="false">Q64-P64</f>
        <v>1282566.80035674</v>
      </c>
    </row>
    <row r="65" customFormat="false" ht="13.2" hidden="false" customHeight="false" outlineLevel="0" collapsed="false">
      <c r="A65" s="365" t="n">
        <v>8</v>
      </c>
      <c r="B65" s="366" t="n">
        <v>0</v>
      </c>
      <c r="C65" s="367" t="n">
        <f aca="false">B65/(1+Discount_Rate)^A65</f>
        <v>0</v>
      </c>
      <c r="E65" s="365" t="n">
        <v>8</v>
      </c>
      <c r="F65" s="366" t="n">
        <f aca="false">'Fuel &amp; Emission'!O14</f>
        <v>78282.0495072001</v>
      </c>
      <c r="G65" s="369" t="n">
        <f aca="false">'Time Value'!P14</f>
        <v>2033817.20615815</v>
      </c>
      <c r="H65" s="369" t="n">
        <f aca="false">(-1)*'Interest Gain'!T14</f>
        <v>-181401.7947462</v>
      </c>
      <c r="I65" s="369" t="n">
        <f aca="false">SUM(F65:H65)</f>
        <v>1930697.46091915</v>
      </c>
      <c r="J65" s="367" t="n">
        <f aca="false">I65/(1+Discount_Rate)^E65</f>
        <v>1524110.40431605</v>
      </c>
      <c r="N65" s="382"/>
      <c r="O65" s="365" t="n">
        <v>8</v>
      </c>
      <c r="P65" s="366" t="n">
        <f aca="false">C65</f>
        <v>0</v>
      </c>
      <c r="Q65" s="369" t="n">
        <f aca="false">J65</f>
        <v>1524110.40431605</v>
      </c>
      <c r="R65" s="367" t="n">
        <f aca="false">Q65-P65</f>
        <v>1524110.40431605</v>
      </c>
    </row>
    <row r="66" customFormat="false" ht="13.2" hidden="false" customHeight="false" outlineLevel="0" collapsed="false">
      <c r="A66" s="365" t="n">
        <v>9</v>
      </c>
      <c r="B66" s="366" t="n">
        <v>0</v>
      </c>
      <c r="C66" s="367" t="n">
        <f aca="false">B66/(1+Discount_Rate)^A66</f>
        <v>0</v>
      </c>
      <c r="E66" s="365" t="n">
        <v>9</v>
      </c>
      <c r="F66" s="366" t="n">
        <f aca="false">'Fuel &amp; Emission'!O15</f>
        <v>90133.3635543</v>
      </c>
      <c r="G66" s="369" t="n">
        <f aca="false">'Time Value'!P15</f>
        <v>2408482.65681669</v>
      </c>
      <c r="H66" s="369" t="n">
        <f aca="false">(-1)*'Interest Gain'!T15</f>
        <v>-206286.0872415</v>
      </c>
      <c r="I66" s="369" t="n">
        <f aca="false">SUM(F66:H66)</f>
        <v>2292329.93312949</v>
      </c>
      <c r="J66" s="367" t="n">
        <f aca="false">I66/(1+Discount_Rate)^E66</f>
        <v>1756880.01680259</v>
      </c>
      <c r="N66" s="382"/>
      <c r="O66" s="365" t="n">
        <v>9</v>
      </c>
      <c r="P66" s="366" t="n">
        <f aca="false">C66</f>
        <v>0</v>
      </c>
      <c r="Q66" s="369" t="n">
        <f aca="false">J66</f>
        <v>1756880.01680259</v>
      </c>
      <c r="R66" s="367" t="n">
        <f aca="false">Q66-P66</f>
        <v>1756880.01680259</v>
      </c>
    </row>
    <row r="67" customFormat="false" ht="13.2" hidden="false" customHeight="false" outlineLevel="0" collapsed="false">
      <c r="A67" s="365" t="n">
        <v>10</v>
      </c>
      <c r="B67" s="366" t="n">
        <v>0</v>
      </c>
      <c r="C67" s="367" t="n">
        <f aca="false">B67/(1+Discount_Rate)^A67</f>
        <v>0</v>
      </c>
      <c r="E67" s="365" t="n">
        <v>10</v>
      </c>
      <c r="F67" s="366" t="n">
        <f aca="false">'Fuel &amp; Emission'!O16</f>
        <v>102443.80157</v>
      </c>
      <c r="G67" s="369" t="n">
        <f aca="false">'Time Value'!P16</f>
        <v>2847232.910487</v>
      </c>
      <c r="H67" s="369" t="n">
        <f aca="false">(-1)*'Interest Gain'!T16</f>
        <v>-232116.0872415</v>
      </c>
      <c r="I67" s="369" t="n">
        <f aca="false">SUM(F67:H67)</f>
        <v>2717560.6248155</v>
      </c>
      <c r="J67" s="367" t="n">
        <f aca="false">I67/(1+Discount_Rate)^E67</f>
        <v>2022120.32428815</v>
      </c>
      <c r="N67" s="382"/>
      <c r="O67" s="365" t="n">
        <v>10</v>
      </c>
      <c r="P67" s="366" t="n">
        <f aca="false">C67</f>
        <v>0</v>
      </c>
      <c r="Q67" s="369" t="n">
        <f aca="false">J67</f>
        <v>2022120.32428815</v>
      </c>
      <c r="R67" s="367" t="n">
        <f aca="false">Q67-P67</f>
        <v>2022120.32428815</v>
      </c>
    </row>
    <row r="68" customFormat="false" ht="13.2" hidden="false" customHeight="false" outlineLevel="0" collapsed="false">
      <c r="A68" s="365" t="n">
        <v>11</v>
      </c>
      <c r="B68" s="366" t="n">
        <v>0</v>
      </c>
      <c r="C68" s="367" t="n">
        <f aca="false">B68/(1+Discount_Rate)^A68</f>
        <v>0</v>
      </c>
      <c r="E68" s="365" t="n">
        <v>11</v>
      </c>
      <c r="F68" s="366" t="n">
        <f aca="false">'Fuel &amp; Emission'!O17</f>
        <v>115213.3635543</v>
      </c>
      <c r="G68" s="369" t="n">
        <f aca="false">'Time Value'!P17</f>
        <v>3303460.79530524</v>
      </c>
      <c r="H68" s="369" t="n">
        <f aca="false">(-1)*'Interest Gain'!T17</f>
        <v>-258891.7947462</v>
      </c>
      <c r="I68" s="369" t="n">
        <f aca="false">SUM(F68:H68)</f>
        <v>3159782.36411334</v>
      </c>
      <c r="J68" s="367" t="n">
        <f aca="false">I68/(1+Discount_Rate)^E68</f>
        <v>2282694.00925702</v>
      </c>
      <c r="N68" s="382"/>
      <c r="O68" s="365" t="n">
        <v>11</v>
      </c>
      <c r="P68" s="366" t="n">
        <f aca="false">C68</f>
        <v>0</v>
      </c>
      <c r="Q68" s="369" t="n">
        <f aca="false">J68</f>
        <v>2282694.00925702</v>
      </c>
      <c r="R68" s="367" t="n">
        <f aca="false">Q68-P68</f>
        <v>2282694.00925702</v>
      </c>
    </row>
    <row r="69" customFormat="false" ht="13.2" hidden="false" customHeight="false" outlineLevel="0" collapsed="false">
      <c r="A69" s="365" t="n">
        <v>12</v>
      </c>
      <c r="B69" s="366" t="n">
        <v>0</v>
      </c>
      <c r="C69" s="367" t="n">
        <f aca="false">B69/(1+Discount_Rate)^A69</f>
        <v>0</v>
      </c>
      <c r="E69" s="365" t="n">
        <v>12</v>
      </c>
      <c r="F69" s="366" t="n">
        <f aca="false">'Fuel &amp; Emission'!O18</f>
        <v>128442.0495072</v>
      </c>
      <c r="G69" s="369" t="n">
        <f aca="false">'Time Value'!P18</f>
        <v>3810007.00295501</v>
      </c>
      <c r="H69" s="369" t="n">
        <f aca="false">(-1)*'Interest Gain'!T18</f>
        <v>-286613.2097556</v>
      </c>
      <c r="I69" s="369" t="n">
        <f aca="false">SUM(F69:H69)</f>
        <v>3651835.84270661</v>
      </c>
      <c r="J69" s="367" t="n">
        <f aca="false">I69/(1+Discount_Rate)^E69</f>
        <v>2561324.18584196</v>
      </c>
      <c r="N69" s="382"/>
      <c r="O69" s="365" t="n">
        <v>12</v>
      </c>
      <c r="P69" s="366" t="n">
        <f aca="false">C69</f>
        <v>0</v>
      </c>
      <c r="Q69" s="369" t="n">
        <f aca="false">J69</f>
        <v>2561324.18584196</v>
      </c>
      <c r="R69" s="367" t="n">
        <f aca="false">Q69-P69</f>
        <v>2561324.18584196</v>
      </c>
    </row>
    <row r="70" customFormat="false" ht="13.2" hidden="false" customHeight="false" outlineLevel="0" collapsed="false">
      <c r="A70" s="365" t="n">
        <v>13</v>
      </c>
      <c r="B70" s="366" t="n">
        <v>0</v>
      </c>
      <c r="C70" s="367" t="n">
        <f aca="false">B70/(1+Discount_Rate)^A70</f>
        <v>0</v>
      </c>
      <c r="E70" s="365" t="n">
        <v>13</v>
      </c>
      <c r="F70" s="366" t="n">
        <f aca="false">'Fuel &amp; Emission'!O19</f>
        <v>142129.8594287</v>
      </c>
      <c r="G70" s="369" t="n">
        <f aca="false">'Time Value'!P19</f>
        <v>4346931.0052599</v>
      </c>
      <c r="H70" s="369" t="n">
        <f aca="false">(-1)*'Interest Gain'!T19</f>
        <v>-315280.3322697</v>
      </c>
      <c r="I70" s="369" t="n">
        <f aca="false">SUM(F70:H70)</f>
        <v>4173780.5324189</v>
      </c>
      <c r="J70" s="367" t="n">
        <f aca="false">I70/(1+Discount_Rate)^E70</f>
        <v>2842141.44638809</v>
      </c>
      <c r="N70" s="382"/>
      <c r="O70" s="365" t="n">
        <v>13</v>
      </c>
      <c r="P70" s="366" t="n">
        <f aca="false">C70</f>
        <v>0</v>
      </c>
      <c r="Q70" s="369" t="n">
        <f aca="false">J70</f>
        <v>2842141.44638809</v>
      </c>
      <c r="R70" s="367" t="n">
        <f aca="false">Q70-P70</f>
        <v>2842141.44638809</v>
      </c>
    </row>
    <row r="71" customFormat="false" ht="13.2" hidden="false" customHeight="false" outlineLevel="0" collapsed="false">
      <c r="A71" s="365" t="n">
        <v>14</v>
      </c>
      <c r="B71" s="366" t="n">
        <v>0</v>
      </c>
      <c r="C71" s="367" t="n">
        <f aca="false">B71/(1+Discount_Rate)^A71</f>
        <v>0</v>
      </c>
      <c r="E71" s="365" t="n">
        <v>14</v>
      </c>
      <c r="F71" s="366" t="n">
        <f aca="false">'Fuel &amp; Emission'!O20</f>
        <v>156276.7933188</v>
      </c>
      <c r="G71" s="369" t="n">
        <f aca="false">'Time Value'!P20</f>
        <v>4938418.72690006</v>
      </c>
      <c r="H71" s="369" t="n">
        <f aca="false">(-1)*'Interest Gain'!T20</f>
        <v>-344893.1622885</v>
      </c>
      <c r="I71" s="369" t="n">
        <f aca="false">SUM(F71:H71)</f>
        <v>4749802.35793036</v>
      </c>
      <c r="J71" s="367" t="n">
        <f aca="false">I71/(1+Discount_Rate)^E71</f>
        <v>3140178.91294702</v>
      </c>
      <c r="N71" s="382"/>
      <c r="O71" s="365" t="n">
        <v>14</v>
      </c>
      <c r="P71" s="366" t="n">
        <f aca="false">C71</f>
        <v>0</v>
      </c>
      <c r="Q71" s="369" t="n">
        <f aca="false">J71</f>
        <v>3140178.91294702</v>
      </c>
      <c r="R71" s="367" t="n">
        <f aca="false">Q71-P71</f>
        <v>3140178.91294702</v>
      </c>
    </row>
    <row r="72" customFormat="false" ht="13.2" hidden="false" customHeight="false" outlineLevel="0" collapsed="false">
      <c r="A72" s="365" t="n">
        <v>15</v>
      </c>
      <c r="B72" s="366" t="n">
        <v>0</v>
      </c>
      <c r="C72" s="367" t="n">
        <f aca="false">B72/(1+Discount_Rate)^A72</f>
        <v>0</v>
      </c>
      <c r="E72" s="365" t="n">
        <v>15</v>
      </c>
      <c r="F72" s="366" t="n">
        <f aca="false">'Fuel &amp; Emission'!O21</f>
        <v>170882.8511775</v>
      </c>
      <c r="G72" s="369" t="n">
        <f aca="false">'Time Value'!P21</f>
        <v>5570695.02275942</v>
      </c>
      <c r="H72" s="369" t="n">
        <f aca="false">(-1)*'Interest Gain'!T21</f>
        <v>-375451.699812</v>
      </c>
      <c r="I72" s="369" t="n">
        <f aca="false">SUM(F72:H72)</f>
        <v>5366126.17412492</v>
      </c>
      <c r="J72" s="367" t="n">
        <f aca="false">I72/(1+Discount_Rate)^E72</f>
        <v>3444312.19610032</v>
      </c>
      <c r="N72" s="382"/>
      <c r="O72" s="365" t="n">
        <v>15</v>
      </c>
      <c r="P72" s="366" t="n">
        <f aca="false">C72</f>
        <v>0</v>
      </c>
      <c r="Q72" s="369" t="n">
        <f aca="false">J72</f>
        <v>3444312.19610032</v>
      </c>
      <c r="R72" s="367" t="n">
        <f aca="false">Q72-P72</f>
        <v>3444312.19610032</v>
      </c>
    </row>
    <row r="73" customFormat="false" ht="13.2" hidden="false" customHeight="false" outlineLevel="0" collapsed="false">
      <c r="A73" s="365" t="n">
        <v>16</v>
      </c>
      <c r="B73" s="366" t="n">
        <v>0</v>
      </c>
      <c r="C73" s="367" t="n">
        <f aca="false">B73/(1+Discount_Rate)^A73</f>
        <v>0</v>
      </c>
      <c r="E73" s="365" t="n">
        <v>16</v>
      </c>
      <c r="F73" s="366" t="n">
        <f aca="false">'Fuel &amp; Emission'!O22</f>
        <v>185948.0330048</v>
      </c>
      <c r="G73" s="369" t="n">
        <f aca="false">'Time Value'!P22</f>
        <v>6251062.19583336</v>
      </c>
      <c r="H73" s="369" t="n">
        <f aca="false">(-1)*'Interest Gain'!T22</f>
        <v>-406955.9448402</v>
      </c>
      <c r="I73" s="369" t="n">
        <f aca="false">SUM(F73:H73)</f>
        <v>6030054.28399796</v>
      </c>
      <c r="J73" s="367" t="n">
        <f aca="false">I73/(1+Discount_Rate)^E73</f>
        <v>3757730.47149014</v>
      </c>
      <c r="N73" s="382"/>
      <c r="O73" s="365" t="n">
        <v>16</v>
      </c>
      <c r="P73" s="366" t="n">
        <f aca="false">C73</f>
        <v>0</v>
      </c>
      <c r="Q73" s="369" t="n">
        <f aca="false">J73</f>
        <v>3757730.47149014</v>
      </c>
      <c r="R73" s="367" t="n">
        <f aca="false">Q73-P73</f>
        <v>3757730.47149014</v>
      </c>
    </row>
    <row r="74" customFormat="false" ht="13.2" hidden="false" customHeight="false" outlineLevel="0" collapsed="false">
      <c r="A74" s="365" t="n">
        <v>17</v>
      </c>
      <c r="B74" s="366" t="n">
        <v>0</v>
      </c>
      <c r="C74" s="367" t="n">
        <f aca="false">B74/(1+Discount_Rate)^A74</f>
        <v>0</v>
      </c>
      <c r="E74" s="365" t="n">
        <v>17</v>
      </c>
      <c r="F74" s="366" t="n">
        <f aca="false">'Fuel &amp; Emission'!O23</f>
        <v>201472.3388007</v>
      </c>
      <c r="G74" s="369" t="n">
        <f aca="false">'Time Value'!P23</f>
        <v>6984377.02746771</v>
      </c>
      <c r="H74" s="369" t="n">
        <f aca="false">(-1)*'Interest Gain'!T23</f>
        <v>-439405.8973731</v>
      </c>
      <c r="I74" s="369" t="n">
        <f aca="false">SUM(F74:H74)</f>
        <v>6746443.46889531</v>
      </c>
      <c r="J74" s="367" t="n">
        <f aca="false">I74/(1+Discount_Rate)^E74</f>
        <v>4081709.24964371</v>
      </c>
      <c r="N74" s="382"/>
      <c r="O74" s="365" t="n">
        <v>17</v>
      </c>
      <c r="P74" s="366" t="n">
        <f aca="false">C74</f>
        <v>0</v>
      </c>
      <c r="Q74" s="369" t="n">
        <f aca="false">J74</f>
        <v>4081709.24964371</v>
      </c>
      <c r="R74" s="367" t="n">
        <f aca="false">Q74-P74</f>
        <v>4081709.24964371</v>
      </c>
    </row>
    <row r="75" customFormat="false" ht="13.2" hidden="false" customHeight="false" outlineLevel="0" collapsed="false">
      <c r="A75" s="365" t="n">
        <v>18</v>
      </c>
      <c r="B75" s="366" t="n">
        <v>0</v>
      </c>
      <c r="C75" s="367" t="n">
        <f aca="false">B75/(1+Discount_Rate)^A75</f>
        <v>0</v>
      </c>
      <c r="E75" s="365" t="n">
        <v>18</v>
      </c>
      <c r="F75" s="366" t="n">
        <f aca="false">'Fuel &amp; Emission'!O24</f>
        <v>217455.7685652</v>
      </c>
      <c r="G75" s="369" t="n">
        <f aca="false">'Time Value'!P24</f>
        <v>7774362.73467309</v>
      </c>
      <c r="H75" s="369" t="n">
        <f aca="false">(-1)*'Interest Gain'!T24</f>
        <v>-472801.5574107</v>
      </c>
      <c r="I75" s="369" t="n">
        <f aca="false">SUM(F75:H75)</f>
        <v>7519016.94582759</v>
      </c>
      <c r="J75" s="367" t="n">
        <f aca="false">I75/(1+Discount_Rate)^E75</f>
        <v>4416630.00855457</v>
      </c>
      <c r="N75" s="382"/>
      <c r="O75" s="365" t="n">
        <v>18</v>
      </c>
      <c r="P75" s="366" t="n">
        <f aca="false">C75</f>
        <v>0</v>
      </c>
      <c r="Q75" s="369" t="n">
        <f aca="false">J75</f>
        <v>4416630.00855457</v>
      </c>
      <c r="R75" s="367" t="n">
        <f aca="false">Q75-P75</f>
        <v>4416630.00855457</v>
      </c>
    </row>
    <row r="76" customFormat="false" ht="13.2" hidden="false" customHeight="false" outlineLevel="0" collapsed="false">
      <c r="A76" s="365" t="n">
        <v>19</v>
      </c>
      <c r="B76" s="366" t="n">
        <v>0</v>
      </c>
      <c r="C76" s="367" t="n">
        <f aca="false">B76/(1+Discount_Rate)^A76</f>
        <v>0</v>
      </c>
      <c r="E76" s="365" t="n">
        <v>19</v>
      </c>
      <c r="F76" s="366" t="n">
        <f aca="false">'Fuel &amp; Emission'!O25</f>
        <v>233898.3222983</v>
      </c>
      <c r="G76" s="369" t="n">
        <f aca="false">'Time Value'!P25</f>
        <v>8586594.60124561</v>
      </c>
      <c r="H76" s="369" t="n">
        <f aca="false">(-1)*'Interest Gain'!T25</f>
        <v>-481785.77870535</v>
      </c>
      <c r="I76" s="369" t="n">
        <f aca="false">SUM(F76:H76)</f>
        <v>8338707.14483856</v>
      </c>
      <c r="J76" s="367" t="n">
        <f aca="false">I76/(1+Discount_Rate)^E76</f>
        <v>4755448.16637819</v>
      </c>
      <c r="N76" s="382"/>
      <c r="O76" s="365" t="n">
        <v>19</v>
      </c>
      <c r="P76" s="366" t="n">
        <f aca="false">C76</f>
        <v>0</v>
      </c>
      <c r="Q76" s="369" t="n">
        <f aca="false">J76</f>
        <v>4755448.16637819</v>
      </c>
      <c r="R76" s="367" t="n">
        <f aca="false">Q76-P76</f>
        <v>4755448.16637819</v>
      </c>
    </row>
    <row r="77" customFormat="false" ht="13.8" hidden="false" customHeight="false" outlineLevel="0" collapsed="false">
      <c r="A77" s="371" t="n">
        <v>20</v>
      </c>
      <c r="B77" s="372" t="n">
        <v>0</v>
      </c>
      <c r="C77" s="373" t="n">
        <f aca="false">B77/(1+Discount_Rate)^A77</f>
        <v>0</v>
      </c>
      <c r="E77" s="371" t="n">
        <v>20</v>
      </c>
      <c r="F77" s="372" t="n">
        <f aca="false">'Fuel &amp; Emission'!O26</f>
        <v>250800</v>
      </c>
      <c r="G77" s="374" t="n">
        <f aca="false">'Time Value'!P26</f>
        <v>9456912.85869601</v>
      </c>
      <c r="H77" s="374" t="n">
        <f aca="false">(-1)*'Interest Gain'!T26</f>
        <v>-490770</v>
      </c>
      <c r="I77" s="374" t="n">
        <f aca="false">SUM(F77:H77)</f>
        <v>9216942.85869601</v>
      </c>
      <c r="J77" s="373" t="n">
        <f aca="false">I77/(1+Discount_Rate)^E77</f>
        <v>5103197.78858086</v>
      </c>
      <c r="N77" s="382"/>
      <c r="O77" s="371" t="n">
        <v>20</v>
      </c>
      <c r="P77" s="372" t="n">
        <f aca="false">C77</f>
        <v>0</v>
      </c>
      <c r="Q77" s="374" t="n">
        <f aca="false">J77</f>
        <v>5103197.78858086</v>
      </c>
      <c r="R77" s="373" t="n">
        <f aca="false">Q77-P77</f>
        <v>5103197.78858086</v>
      </c>
    </row>
    <row r="78" customFormat="false" ht="14.4" hidden="false" customHeight="false" outlineLevel="0" collapsed="false">
      <c r="N78" s="382"/>
      <c r="O78" s="376" t="s">
        <v>282</v>
      </c>
      <c r="P78" s="378" t="n">
        <f aca="false">SUM(P57:P77)</f>
        <v>0</v>
      </c>
      <c r="Q78" s="378" t="n">
        <f aca="false">SUM(Q57:Q77)</f>
        <v>46345558.125488</v>
      </c>
      <c r="R78" s="381" t="n">
        <f aca="false">SUM(R57:R77)</f>
        <v>46345558.125488</v>
      </c>
    </row>
    <row r="79" customFormat="false" ht="13.8" hidden="false" customHeight="false" outlineLevel="0" collapsed="false">
      <c r="M79" s="382"/>
    </row>
    <row r="80" customFormat="false" ht="13.2" hidden="false" customHeight="false" outlineLevel="0" collapsed="false">
      <c r="A80" s="354" t="s">
        <v>296</v>
      </c>
      <c r="E80" s="354" t="s">
        <v>297</v>
      </c>
      <c r="N80" s="382"/>
      <c r="O80" s="354" t="s">
        <v>298</v>
      </c>
    </row>
    <row r="81" customFormat="false" ht="13.8" hidden="false" customHeight="false" outlineLevel="0" collapsed="false">
      <c r="G81" s="356"/>
      <c r="N81" s="382"/>
      <c r="Q81" s="356"/>
    </row>
    <row r="82" customFormat="false" ht="28.8" hidden="false" customHeight="false" outlineLevel="0" collapsed="false">
      <c r="A82" s="357" t="s">
        <v>96</v>
      </c>
      <c r="B82" s="358" t="s">
        <v>97</v>
      </c>
      <c r="C82" s="359" t="s">
        <v>269</v>
      </c>
      <c r="E82" s="357" t="s">
        <v>96</v>
      </c>
      <c r="F82" s="361" t="s">
        <v>299</v>
      </c>
      <c r="G82" s="362" t="s">
        <v>295</v>
      </c>
      <c r="H82" s="359" t="s">
        <v>280</v>
      </c>
      <c r="N82" s="382"/>
      <c r="O82" s="357" t="s">
        <v>96</v>
      </c>
      <c r="P82" s="358" t="s">
        <v>279</v>
      </c>
      <c r="Q82" s="364" t="s">
        <v>280</v>
      </c>
      <c r="R82" s="359" t="s">
        <v>281</v>
      </c>
    </row>
    <row r="83" customFormat="false" ht="13.8" hidden="false" customHeight="false" outlineLevel="0" collapsed="false">
      <c r="A83" s="365" t="s">
        <v>114</v>
      </c>
      <c r="B83" s="366" t="n">
        <f aca="false">0</f>
        <v>0</v>
      </c>
      <c r="C83" s="367" t="n">
        <f aca="false">B83/(1+Discount_Rate)^0</f>
        <v>0</v>
      </c>
      <c r="E83" s="365" t="s">
        <v>114</v>
      </c>
      <c r="F83" s="366" t="n">
        <f aca="false">'Fuel &amp; Emission'!N6</f>
        <v>0</v>
      </c>
      <c r="G83" s="368" t="n">
        <f aca="false">SUM(F83)</f>
        <v>0</v>
      </c>
      <c r="H83" s="367" t="n">
        <f aca="false">G83/(1+Discount_Rate)^0</f>
        <v>0</v>
      </c>
      <c r="N83" s="382"/>
      <c r="O83" s="365" t="s">
        <v>114</v>
      </c>
      <c r="P83" s="366" t="n">
        <f aca="false">C83</f>
        <v>0</v>
      </c>
      <c r="Q83" s="368" t="n">
        <f aca="false">H83</f>
        <v>0</v>
      </c>
      <c r="R83" s="367" t="n">
        <f aca="false">Q83-P83</f>
        <v>0</v>
      </c>
    </row>
    <row r="84" customFormat="false" ht="13.2" hidden="false" customHeight="false" outlineLevel="0" collapsed="false">
      <c r="A84" s="365" t="n">
        <v>1</v>
      </c>
      <c r="B84" s="366" t="n">
        <f aca="false">0</f>
        <v>0</v>
      </c>
      <c r="C84" s="367" t="n">
        <f aca="false">B84/(1+Discount_Rate)^A84</f>
        <v>0</v>
      </c>
      <c r="E84" s="365" t="n">
        <v>1</v>
      </c>
      <c r="F84" s="366" t="n">
        <f aca="false">'Fuel &amp; Emission'!N7</f>
        <v>298.938568484618</v>
      </c>
      <c r="G84" s="369" t="n">
        <f aca="false">SUM(F84)</f>
        <v>298.938568484618</v>
      </c>
      <c r="H84" s="367" t="n">
        <f aca="false">G84/(1+Discount_Rate)^E84</f>
        <v>290.231619887979</v>
      </c>
      <c r="N84" s="382"/>
      <c r="O84" s="365" t="n">
        <v>1</v>
      </c>
      <c r="P84" s="366" t="n">
        <f aca="false">C84</f>
        <v>0</v>
      </c>
      <c r="Q84" s="369" t="n">
        <f aca="false">H84</f>
        <v>290.231619887979</v>
      </c>
      <c r="R84" s="367" t="n">
        <f aca="false">Q84-P84</f>
        <v>290.231619887979</v>
      </c>
    </row>
    <row r="85" customFormat="false" ht="13.2" hidden="false" customHeight="false" outlineLevel="0" collapsed="false">
      <c r="A85" s="365" t="n">
        <v>2</v>
      </c>
      <c r="B85" s="366" t="n">
        <f aca="false">0</f>
        <v>0</v>
      </c>
      <c r="C85" s="367" t="n">
        <f aca="false">B85/(1+Discount_Rate)^A85</f>
        <v>0</v>
      </c>
      <c r="E85" s="365" t="n">
        <v>2</v>
      </c>
      <c r="F85" s="366" t="n">
        <f aca="false">'Fuel &amp; Emission'!N8</f>
        <v>682.176094204877</v>
      </c>
      <c r="G85" s="369" t="n">
        <f aca="false">SUM(F85)</f>
        <v>682.176094204877</v>
      </c>
      <c r="H85" s="367" t="n">
        <f aca="false">G85/(1+Discount_Rate)^E85</f>
        <v>643.01639570636</v>
      </c>
      <c r="N85" s="382"/>
      <c r="O85" s="365" t="n">
        <v>2</v>
      </c>
      <c r="P85" s="366" t="n">
        <f aca="false">C85</f>
        <v>0</v>
      </c>
      <c r="Q85" s="369" t="n">
        <f aca="false">H85</f>
        <v>643.01639570636</v>
      </c>
      <c r="R85" s="367" t="n">
        <f aca="false">Q85-P85</f>
        <v>643.01639570636</v>
      </c>
    </row>
    <row r="86" customFormat="false" ht="13.2" hidden="false" customHeight="false" outlineLevel="0" collapsed="false">
      <c r="A86" s="365" t="n">
        <v>3</v>
      </c>
      <c r="B86" s="366" t="n">
        <f aca="false">0</f>
        <v>0</v>
      </c>
      <c r="C86" s="367" t="n">
        <f aca="false">B86/(1+Discount_Rate)^A86</f>
        <v>0</v>
      </c>
      <c r="E86" s="365" t="n">
        <v>3</v>
      </c>
      <c r="F86" s="366" t="n">
        <f aca="false">'Fuel &amp; Emission'!N9</f>
        <v>1043.86072778724</v>
      </c>
      <c r="G86" s="369" t="n">
        <f aca="false">SUM(F86)</f>
        <v>1043.86072778724</v>
      </c>
      <c r="H86" s="367" t="n">
        <f aca="false">G86/(1+Discount_Rate)^E86</f>
        <v>955.280438560814</v>
      </c>
      <c r="N86" s="382"/>
      <c r="O86" s="365" t="n">
        <v>3</v>
      </c>
      <c r="P86" s="366" t="n">
        <f aca="false">C86</f>
        <v>0</v>
      </c>
      <c r="Q86" s="369" t="n">
        <f aca="false">H86</f>
        <v>955.280438560814</v>
      </c>
      <c r="R86" s="367" t="n">
        <f aca="false">Q86-P86</f>
        <v>955.280438560814</v>
      </c>
    </row>
    <row r="87" customFormat="false" ht="13.2" hidden="false" customHeight="false" outlineLevel="0" collapsed="false">
      <c r="A87" s="365" t="n">
        <v>4</v>
      </c>
      <c r="B87" s="366" t="n">
        <f aca="false">0</f>
        <v>0</v>
      </c>
      <c r="C87" s="367" t="n">
        <f aca="false">B87/(1+Discount_Rate)^A87</f>
        <v>0</v>
      </c>
      <c r="E87" s="365" t="n">
        <v>4</v>
      </c>
      <c r="F87" s="366" t="n">
        <f aca="false">'Fuel &amp; Emission'!N10</f>
        <v>1442.09607362131</v>
      </c>
      <c r="G87" s="369" t="n">
        <f aca="false">SUM(F87)</f>
        <v>1442.09607362131</v>
      </c>
      <c r="H87" s="367" t="n">
        <f aca="false">G87/(1+Discount_Rate)^E87</f>
        <v>1281.2836832626</v>
      </c>
      <c r="N87" s="382"/>
      <c r="O87" s="365" t="n">
        <v>4</v>
      </c>
      <c r="P87" s="366" t="n">
        <f aca="false">C87</f>
        <v>0</v>
      </c>
      <c r="Q87" s="369" t="n">
        <f aca="false">H87</f>
        <v>1281.2836832626</v>
      </c>
      <c r="R87" s="367" t="n">
        <f aca="false">Q87-P87</f>
        <v>1281.2836832626</v>
      </c>
    </row>
    <row r="88" customFormat="false" ht="13.2" hidden="false" customHeight="false" outlineLevel="0" collapsed="false">
      <c r="A88" s="365" t="n">
        <v>5</v>
      </c>
      <c r="B88" s="366" t="n">
        <f aca="false">0</f>
        <v>0</v>
      </c>
      <c r="C88" s="367" t="n">
        <f aca="false">B88/(1+Discount_Rate)^A88</f>
        <v>0</v>
      </c>
      <c r="E88" s="365" t="n">
        <v>5</v>
      </c>
      <c r="F88" s="366" t="n">
        <f aca="false">'Fuel &amp; Emission'!N11</f>
        <v>1864.11137136084</v>
      </c>
      <c r="G88" s="369" t="n">
        <f aca="false">SUM(F88)</f>
        <v>1864.11137136084</v>
      </c>
      <c r="H88" s="367" t="n">
        <f aca="false">G88/(1+Discount_Rate)^E88</f>
        <v>1607.99884400627</v>
      </c>
      <c r="N88" s="382"/>
      <c r="O88" s="365" t="n">
        <v>5</v>
      </c>
      <c r="P88" s="366" t="n">
        <f aca="false">C88</f>
        <v>0</v>
      </c>
      <c r="Q88" s="369" t="n">
        <f aca="false">H88</f>
        <v>1607.99884400627</v>
      </c>
      <c r="R88" s="367" t="n">
        <f aca="false">Q88-P88</f>
        <v>1607.99884400627</v>
      </c>
    </row>
    <row r="89" customFormat="false" ht="13.2" hidden="false" customHeight="false" outlineLevel="0" collapsed="false">
      <c r="A89" s="365" t="n">
        <v>6</v>
      </c>
      <c r="B89" s="366" t="n">
        <f aca="false">0</f>
        <v>0</v>
      </c>
      <c r="C89" s="367" t="n">
        <f aca="false">B89/(1+Discount_Rate)^A89</f>
        <v>0</v>
      </c>
      <c r="E89" s="365" t="n">
        <v>6</v>
      </c>
      <c r="F89" s="366" t="n">
        <f aca="false">'Fuel &amp; Emission'!N12</f>
        <v>2294.84719469322</v>
      </c>
      <c r="G89" s="369" t="n">
        <f aca="false">SUM(F89)</f>
        <v>2294.84719469322</v>
      </c>
      <c r="H89" s="367" t="n">
        <f aca="false">G89/(1+Discount_Rate)^E89</f>
        <v>1921.89839705022</v>
      </c>
      <c r="N89" s="382"/>
      <c r="O89" s="365" t="n">
        <v>6</v>
      </c>
      <c r="P89" s="366" t="n">
        <f aca="false">C89</f>
        <v>0</v>
      </c>
      <c r="Q89" s="369" t="n">
        <f aca="false">H89</f>
        <v>1921.89839705022</v>
      </c>
      <c r="R89" s="367" t="n">
        <f aca="false">Q89-P89</f>
        <v>1921.89839705022</v>
      </c>
    </row>
    <row r="90" customFormat="false" ht="13.2" hidden="false" customHeight="false" outlineLevel="0" collapsed="false">
      <c r="A90" s="365" t="n">
        <v>7</v>
      </c>
      <c r="B90" s="366" t="n">
        <f aca="false">0</f>
        <v>0</v>
      </c>
      <c r="C90" s="367" t="n">
        <f aca="false">B90/(1+Discount_Rate)^A90</f>
        <v>0</v>
      </c>
      <c r="E90" s="365" t="n">
        <v>7</v>
      </c>
      <c r="F90" s="366" t="n">
        <f aca="false">'Fuel &amp; Emission'!N13</f>
        <v>2748.15560011289</v>
      </c>
      <c r="G90" s="369" t="n">
        <f aca="false">SUM(F90)</f>
        <v>2748.15560011289</v>
      </c>
      <c r="H90" s="367" t="n">
        <f aca="false">G90/(1+Discount_Rate)^E90</f>
        <v>2234.50199030249</v>
      </c>
      <c r="N90" s="382"/>
      <c r="O90" s="365" t="n">
        <v>7</v>
      </c>
      <c r="P90" s="366" t="n">
        <f aca="false">C90</f>
        <v>0</v>
      </c>
      <c r="Q90" s="369" t="n">
        <f aca="false">H90</f>
        <v>2234.50199030249</v>
      </c>
      <c r="R90" s="367" t="n">
        <f aca="false">Q90-P90</f>
        <v>2234.50199030249</v>
      </c>
    </row>
    <row r="91" customFormat="false" ht="13.2" hidden="false" customHeight="false" outlineLevel="0" collapsed="false">
      <c r="A91" s="365" t="n">
        <v>8</v>
      </c>
      <c r="B91" s="366" t="n">
        <f aca="false">0</f>
        <v>0</v>
      </c>
      <c r="C91" s="367" t="n">
        <f aca="false">B91/(1+Discount_Rate)^A91</f>
        <v>0</v>
      </c>
      <c r="E91" s="365" t="n">
        <v>8</v>
      </c>
      <c r="F91" s="366" t="n">
        <f aca="false">'Fuel &amp; Emission'!N14</f>
        <v>3225.70046787522</v>
      </c>
      <c r="G91" s="369" t="n">
        <f aca="false">SUM(F91)</f>
        <v>3225.70046787522</v>
      </c>
      <c r="H91" s="367" t="n">
        <f aca="false">G91/(1+Discount_Rate)^E91</f>
        <v>2546.39773647148</v>
      </c>
      <c r="N91" s="382"/>
      <c r="O91" s="365" t="n">
        <v>8</v>
      </c>
      <c r="P91" s="366" t="n">
        <f aca="false">C91</f>
        <v>0</v>
      </c>
      <c r="Q91" s="369" t="n">
        <f aca="false">H91</f>
        <v>2546.39773647148</v>
      </c>
      <c r="R91" s="367" t="n">
        <f aca="false">Q91-P91</f>
        <v>2546.39773647148</v>
      </c>
    </row>
    <row r="92" customFormat="false" ht="13.2" hidden="false" customHeight="false" outlineLevel="0" collapsed="false">
      <c r="A92" s="365" t="n">
        <v>9</v>
      </c>
      <c r="B92" s="366" t="n">
        <f aca="false">0</f>
        <v>0</v>
      </c>
      <c r="C92" s="367" t="n">
        <f aca="false">B92/(1+Discount_Rate)^A92</f>
        <v>0</v>
      </c>
      <c r="E92" s="365" t="n">
        <v>9</v>
      </c>
      <c r="F92" s="366" t="n">
        <f aca="false">'Fuel &amp; Emission'!N15</f>
        <v>3712.66024623717</v>
      </c>
      <c r="G92" s="369" t="n">
        <f aca="false">SUM(F92)</f>
        <v>3712.66024623717</v>
      </c>
      <c r="H92" s="367" t="n">
        <f aca="false">G92/(1+Discount_Rate)^E92</f>
        <v>2845.44493422318</v>
      </c>
      <c r="N92" s="382"/>
      <c r="O92" s="365" t="n">
        <v>9</v>
      </c>
      <c r="P92" s="366" t="n">
        <f aca="false">C92</f>
        <v>0</v>
      </c>
      <c r="Q92" s="369" t="n">
        <f aca="false">H92</f>
        <v>2845.44493422318</v>
      </c>
      <c r="R92" s="367" t="n">
        <f aca="false">Q92-P92</f>
        <v>2845.44493422318</v>
      </c>
    </row>
    <row r="93" customFormat="false" ht="13.2" hidden="false" customHeight="false" outlineLevel="0" collapsed="false">
      <c r="A93" s="365" t="n">
        <v>10</v>
      </c>
      <c r="B93" s="366" t="n">
        <f aca="false">0</f>
        <v>0</v>
      </c>
      <c r="C93" s="367" t="n">
        <f aca="false">B93/(1+Discount_Rate)^A93</f>
        <v>0</v>
      </c>
      <c r="E93" s="365" t="n">
        <v>10</v>
      </c>
      <c r="F93" s="366" t="n">
        <f aca="false">'Fuel &amp; Emission'!N16</f>
        <v>4230.41269431414</v>
      </c>
      <c r="G93" s="369" t="n">
        <f aca="false">SUM(F93)</f>
        <v>4230.41269431414</v>
      </c>
      <c r="H93" s="367" t="n">
        <f aca="false">G93/(1+Discount_Rate)^E93</f>
        <v>3147.82434334101</v>
      </c>
      <c r="N93" s="382"/>
      <c r="O93" s="365" t="n">
        <v>10</v>
      </c>
      <c r="P93" s="366" t="n">
        <f aca="false">C93</f>
        <v>0</v>
      </c>
      <c r="Q93" s="369" t="n">
        <f aca="false">H93</f>
        <v>3147.82434334101</v>
      </c>
      <c r="R93" s="367" t="n">
        <f aca="false">Q93-P93</f>
        <v>3147.82434334101</v>
      </c>
    </row>
    <row r="94" customFormat="false" ht="13.2" hidden="false" customHeight="false" outlineLevel="0" collapsed="false">
      <c r="A94" s="365" t="n">
        <v>11</v>
      </c>
      <c r="B94" s="366" t="n">
        <f aca="false">0</f>
        <v>0</v>
      </c>
      <c r="C94" s="367" t="n">
        <f aca="false">B94/(1+Discount_Rate)^A94</f>
        <v>0</v>
      </c>
      <c r="E94" s="365" t="n">
        <v>11</v>
      </c>
      <c r="F94" s="366" t="n">
        <f aca="false">'Fuel &amp; Emission'!N17</f>
        <v>4759.70040674242</v>
      </c>
      <c r="G94" s="369" t="n">
        <f aca="false">SUM(F94)</f>
        <v>4759.70040674242</v>
      </c>
      <c r="H94" s="367" t="n">
        <f aca="false">G94/(1+Discount_Rate)^E94</f>
        <v>3438.5088440665</v>
      </c>
      <c r="N94" s="382"/>
      <c r="O94" s="365" t="n">
        <v>11</v>
      </c>
      <c r="P94" s="366" t="n">
        <f aca="false">C94</f>
        <v>0</v>
      </c>
      <c r="Q94" s="369" t="n">
        <f aca="false">H94</f>
        <v>3438.5088440665</v>
      </c>
      <c r="R94" s="367" t="n">
        <f aca="false">Q94-P94</f>
        <v>3438.5088440665</v>
      </c>
    </row>
    <row r="95" customFormat="false" ht="13.2" hidden="false" customHeight="false" outlineLevel="0" collapsed="false">
      <c r="A95" s="365" t="n">
        <v>12</v>
      </c>
      <c r="B95" s="366" t="n">
        <f aca="false">0</f>
        <v>0</v>
      </c>
      <c r="C95" s="367" t="n">
        <f aca="false">B95/(1+Discount_Rate)^A95</f>
        <v>0</v>
      </c>
      <c r="E95" s="365" t="n">
        <v>12</v>
      </c>
      <c r="F95" s="366" t="n">
        <f aca="false">'Fuel &amp; Emission'!N18</f>
        <v>5312.29996157098</v>
      </c>
      <c r="G95" s="369" t="n">
        <f aca="false">SUM(F95)</f>
        <v>5312.29996157098</v>
      </c>
      <c r="H95" s="367" t="n">
        <f aca="false">G95/(1+Discount_Rate)^E95</f>
        <v>3725.94031059579</v>
      </c>
      <c r="N95" s="382"/>
      <c r="O95" s="365" t="n">
        <v>12</v>
      </c>
      <c r="P95" s="366" t="n">
        <f aca="false">C95</f>
        <v>0</v>
      </c>
      <c r="Q95" s="369" t="n">
        <f aca="false">H95</f>
        <v>3725.94031059579</v>
      </c>
      <c r="R95" s="367" t="n">
        <f aca="false">Q95-P95</f>
        <v>3725.94031059579</v>
      </c>
    </row>
    <row r="96" customFormat="false" ht="13.2" hidden="false" customHeight="false" outlineLevel="0" collapsed="false">
      <c r="A96" s="365" t="n">
        <v>13</v>
      </c>
      <c r="B96" s="366" t="n">
        <f aca="false">0</f>
        <v>0</v>
      </c>
      <c r="C96" s="367" t="n">
        <f aca="false">B96/(1+Discount_Rate)^A96</f>
        <v>0</v>
      </c>
      <c r="E96" s="365" t="n">
        <v>13</v>
      </c>
      <c r="F96" s="366" t="n">
        <f aca="false">'Fuel &amp; Emission'!N19</f>
        <v>5879.98081867348</v>
      </c>
      <c r="G96" s="369" t="n">
        <f aca="false">SUM(F96)</f>
        <v>5879.98081867348</v>
      </c>
      <c r="H96" s="367" t="n">
        <f aca="false">G96/(1+Discount_Rate)^E96</f>
        <v>4003.98081760989</v>
      </c>
      <c r="N96" s="382"/>
      <c r="O96" s="365" t="n">
        <v>13</v>
      </c>
      <c r="P96" s="366" t="n">
        <f aca="false">C96</f>
        <v>0</v>
      </c>
      <c r="Q96" s="369" t="n">
        <f aca="false">H96</f>
        <v>4003.98081760989</v>
      </c>
      <c r="R96" s="367" t="n">
        <f aca="false">Q96-P96</f>
        <v>4003.98081760989</v>
      </c>
    </row>
    <row r="97" customFormat="false" ht="13.2" hidden="false" customHeight="false" outlineLevel="0" collapsed="false">
      <c r="A97" s="365" t="n">
        <v>14</v>
      </c>
      <c r="B97" s="366" t="n">
        <f aca="false">0</f>
        <v>0</v>
      </c>
      <c r="C97" s="367" t="n">
        <f aca="false">B97/(1+Discount_Rate)^A97</f>
        <v>0</v>
      </c>
      <c r="E97" s="365" t="n">
        <v>14</v>
      </c>
      <c r="F97" s="366" t="n">
        <f aca="false">'Fuel &amp; Emission'!N20</f>
        <v>6470.53368851604</v>
      </c>
      <c r="G97" s="369" t="n">
        <f aca="false">SUM(F97)</f>
        <v>6470.53368851604</v>
      </c>
      <c r="H97" s="367" t="n">
        <f aca="false">G97/(1+Discount_Rate)^E97</f>
        <v>4277.78503462718</v>
      </c>
      <c r="N97" s="382"/>
      <c r="O97" s="365" t="n">
        <v>14</v>
      </c>
      <c r="P97" s="366" t="n">
        <f aca="false">C97</f>
        <v>0</v>
      </c>
      <c r="Q97" s="369" t="n">
        <f aca="false">H97</f>
        <v>4277.78503462718</v>
      </c>
      <c r="R97" s="367" t="n">
        <f aca="false">Q97-P97</f>
        <v>4277.78503462718</v>
      </c>
    </row>
    <row r="98" customFormat="false" ht="13.2" hidden="false" customHeight="false" outlineLevel="0" collapsed="false">
      <c r="A98" s="365" t="n">
        <v>15</v>
      </c>
      <c r="B98" s="366" t="n">
        <f aca="false">0</f>
        <v>0</v>
      </c>
      <c r="C98" s="367" t="n">
        <f aca="false">B98/(1+Discount_Rate)^A98</f>
        <v>0</v>
      </c>
      <c r="E98" s="365" t="n">
        <v>15</v>
      </c>
      <c r="F98" s="366" t="n">
        <f aca="false">'Fuel &amp; Emission'!N21</f>
        <v>7078.18880634848</v>
      </c>
      <c r="G98" s="369" t="n">
        <f aca="false">SUM(F98)</f>
        <v>7078.18880634848</v>
      </c>
      <c r="H98" s="367" t="n">
        <f aca="false">G98/(1+Discount_Rate)^E98</f>
        <v>4543.22005128448</v>
      </c>
      <c r="N98" s="382"/>
      <c r="O98" s="365" t="n">
        <v>15</v>
      </c>
      <c r="P98" s="366" t="n">
        <f aca="false">C98</f>
        <v>0</v>
      </c>
      <c r="Q98" s="369" t="n">
        <f aca="false">H98</f>
        <v>4543.22005128448</v>
      </c>
      <c r="R98" s="367" t="n">
        <f aca="false">Q98-P98</f>
        <v>4543.22005128448</v>
      </c>
    </row>
    <row r="99" customFormat="false" ht="13.2" hidden="false" customHeight="false" outlineLevel="0" collapsed="false">
      <c r="A99" s="365" t="n">
        <v>16</v>
      </c>
      <c r="B99" s="366" t="n">
        <f aca="false">0</f>
        <v>0</v>
      </c>
      <c r="C99" s="367" t="n">
        <f aca="false">B99/(1+Discount_Rate)^A99</f>
        <v>0</v>
      </c>
      <c r="E99" s="365" t="n">
        <v>16</v>
      </c>
      <c r="F99" s="366" t="n">
        <f aca="false">'Fuel &amp; Emission'!N22</f>
        <v>7704.59737232293</v>
      </c>
      <c r="G99" s="369" t="n">
        <f aca="false">SUM(F99)</f>
        <v>7704.59737232293</v>
      </c>
      <c r="H99" s="367" t="n">
        <f aca="false">G99/(1+Discount_Rate)^E99</f>
        <v>4801.25036243381</v>
      </c>
      <c r="N99" s="382"/>
      <c r="O99" s="365" t="n">
        <v>16</v>
      </c>
      <c r="P99" s="366" t="n">
        <f aca="false">C99</f>
        <v>0</v>
      </c>
      <c r="Q99" s="369" t="n">
        <f aca="false">H99</f>
        <v>4801.25036243381</v>
      </c>
      <c r="R99" s="367" t="n">
        <f aca="false">Q99-P99</f>
        <v>4801.25036243381</v>
      </c>
    </row>
    <row r="100" customFormat="false" ht="13.2" hidden="false" customHeight="false" outlineLevel="0" collapsed="false">
      <c r="A100" s="365" t="n">
        <v>17</v>
      </c>
      <c r="B100" s="366" t="n">
        <f aca="false">0</f>
        <v>0</v>
      </c>
      <c r="C100" s="367" t="n">
        <f aca="false">B100/(1+Discount_Rate)^A100</f>
        <v>0</v>
      </c>
      <c r="E100" s="365" t="n">
        <v>17</v>
      </c>
      <c r="F100" s="366" t="n">
        <f aca="false">'Fuel &amp; Emission'!N23</f>
        <v>8350.41882731755</v>
      </c>
      <c r="G100" s="369" t="n">
        <f aca="false">SUM(F100)</f>
        <v>8350.41882731755</v>
      </c>
      <c r="H100" s="367" t="n">
        <f aca="false">G100/(1+Discount_Rate)^E100</f>
        <v>5052.14072021893</v>
      </c>
      <c r="N100" s="382"/>
      <c r="O100" s="365" t="n">
        <v>17</v>
      </c>
      <c r="P100" s="366" t="n">
        <f aca="false">C100</f>
        <v>0</v>
      </c>
      <c r="Q100" s="369" t="n">
        <f aca="false">H100</f>
        <v>5052.14072021893</v>
      </c>
      <c r="R100" s="367" t="n">
        <f aca="false">Q100-P100</f>
        <v>5052.14072021893</v>
      </c>
    </row>
    <row r="101" customFormat="false" ht="13.2" hidden="false" customHeight="false" outlineLevel="0" collapsed="false">
      <c r="A101" s="365" t="n">
        <v>18</v>
      </c>
      <c r="B101" s="366" t="n">
        <f aca="false">0</f>
        <v>0</v>
      </c>
      <c r="C101" s="367" t="n">
        <f aca="false">B101/(1+Discount_Rate)^A101</f>
        <v>0</v>
      </c>
      <c r="E101" s="365" t="n">
        <v>18</v>
      </c>
      <c r="F101" s="366" t="n">
        <f aca="false">'Fuel &amp; Emission'!N24</f>
        <v>9015.84943996291</v>
      </c>
      <c r="G101" s="369" t="n">
        <f aca="false">SUM(F101)</f>
        <v>9015.84943996291</v>
      </c>
      <c r="H101" s="367" t="n">
        <f aca="false">G101/(1+Discount_Rate)^E101</f>
        <v>5295.86134411449</v>
      </c>
      <c r="N101" s="382"/>
      <c r="O101" s="365" t="n">
        <v>18</v>
      </c>
      <c r="P101" s="366" t="n">
        <f aca="false">C101</f>
        <v>0</v>
      </c>
      <c r="Q101" s="369" t="n">
        <f aca="false">H101</f>
        <v>5295.86134411449</v>
      </c>
      <c r="R101" s="367" t="n">
        <f aca="false">Q101-P101</f>
        <v>5295.86134411449</v>
      </c>
    </row>
    <row r="102" customFormat="false" ht="13.2" hidden="false" customHeight="false" outlineLevel="0" collapsed="false">
      <c r="A102" s="365" t="n">
        <v>19</v>
      </c>
      <c r="B102" s="366" t="n">
        <f aca="false">0</f>
        <v>0</v>
      </c>
      <c r="C102" s="367" t="n">
        <f aca="false">B102/(1+Discount_Rate)^A102</f>
        <v>0</v>
      </c>
      <c r="E102" s="365" t="n">
        <v>19</v>
      </c>
      <c r="F102" s="366" t="n">
        <f aca="false">'Fuel &amp; Emission'!N25</f>
        <v>9689.73893741743</v>
      </c>
      <c r="G102" s="369" t="n">
        <f aca="false">SUM(F102)</f>
        <v>9689.73893741743</v>
      </c>
      <c r="H102" s="367" t="n">
        <f aca="false">G102/(1+Discount_Rate)^E102</f>
        <v>5525.92271946459</v>
      </c>
      <c r="N102" s="382"/>
      <c r="O102" s="365" t="n">
        <v>19</v>
      </c>
      <c r="P102" s="366" t="n">
        <f aca="false">C102</f>
        <v>0</v>
      </c>
      <c r="Q102" s="369" t="n">
        <f aca="false">H102</f>
        <v>5525.92271946459</v>
      </c>
      <c r="R102" s="367" t="n">
        <f aca="false">Q102-P102</f>
        <v>5525.92271946459</v>
      </c>
    </row>
    <row r="103" customFormat="false" ht="13.8" hidden="false" customHeight="false" outlineLevel="0" collapsed="false">
      <c r="A103" s="371" t="n">
        <v>20</v>
      </c>
      <c r="B103" s="372" t="n">
        <f aca="false">0</f>
        <v>0</v>
      </c>
      <c r="C103" s="373" t="n">
        <f aca="false">B103/(1+Discount_Rate)^A103</f>
        <v>0</v>
      </c>
      <c r="E103" s="371" t="n">
        <v>20</v>
      </c>
      <c r="F103" s="372" t="n">
        <f aca="false">'Fuel &amp; Emission'!N26</f>
        <v>10382.3584148118</v>
      </c>
      <c r="G103" s="374" t="n">
        <f aca="false">SUM(F103)</f>
        <v>10382.3584148118</v>
      </c>
      <c r="H103" s="373" t="n">
        <f aca="false">G103/(1+Discount_Rate)^E103</f>
        <v>5748.46012555377</v>
      </c>
      <c r="N103" s="382"/>
      <c r="O103" s="371" t="n">
        <v>20</v>
      </c>
      <c r="P103" s="372" t="n">
        <f aca="false">C103</f>
        <v>0</v>
      </c>
      <c r="Q103" s="374" t="n">
        <f aca="false">H103</f>
        <v>5748.46012555377</v>
      </c>
      <c r="R103" s="373" t="n">
        <f aca="false">Q103-P103</f>
        <v>5748.46012555377</v>
      </c>
    </row>
    <row r="104" customFormat="false" ht="14.4" hidden="false" customHeight="false" outlineLevel="0" collapsed="false">
      <c r="E104" s="360" t="s">
        <v>300</v>
      </c>
      <c r="N104" s="382"/>
      <c r="O104" s="376" t="s">
        <v>282</v>
      </c>
      <c r="P104" s="378" t="n">
        <f aca="false">SUM(P83:P103)</f>
        <v>0</v>
      </c>
      <c r="Q104" s="378" t="n">
        <f aca="false">SUM(Q83:Q103)</f>
        <v>63886.9487127818</v>
      </c>
      <c r="R104" s="381" t="n">
        <f aca="false">SUM(R83:R103)</f>
        <v>63886.9487127818</v>
      </c>
    </row>
    <row r="105" customFormat="false" ht="13.8" hidden="false" customHeight="false" outlineLevel="0" collapsed="false">
      <c r="N105" s="382"/>
    </row>
    <row r="106" customFormat="false" ht="13.2" hidden="false" customHeight="false" outlineLevel="0" collapsed="false">
      <c r="N106" s="382"/>
    </row>
    <row r="107" customFormat="false" ht="13.2" hidden="false" customHeight="false" outlineLevel="0" collapsed="false">
      <c r="N107" s="382"/>
    </row>
    <row r="108" customFormat="false" ht="13.2" hidden="false" customHeight="false" outlineLevel="0" collapsed="false">
      <c r="N108" s="382"/>
    </row>
    <row r="109" customFormat="false" ht="13.2" hidden="false" customHeight="false" outlineLevel="0" collapsed="false">
      <c r="N109" s="382"/>
    </row>
    <row r="110" customFormat="false" ht="13.2" hidden="false" customHeight="false" outlineLevel="0" collapsed="false">
      <c r="M110" s="382"/>
    </row>
  </sheetData>
  <sheetProtection sheet="true" password="ea2e" objects="true" scenarios="true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W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:L26"/>
    </sheetView>
  </sheetViews>
  <sheetFormatPr defaultColWidth="9.1015625" defaultRowHeight="13.2" customHeight="false" zeroHeight="false" outlineLevelRow="0" outlineLevelCol="0"/>
  <cols>
    <col collapsed="false" customWidth="true" hidden="false" outlineLevel="0" max="1" min="1" style="7" width="5.55"/>
    <col collapsed="false" customWidth="true" hidden="false" outlineLevel="0" max="2" min="2" style="7" width="8.66"/>
    <col collapsed="false" customWidth="true" hidden="false" outlineLevel="0" max="3" min="3" style="7" width="10.87"/>
    <col collapsed="false" customWidth="true" hidden="false" outlineLevel="0" max="4" min="4" style="7" width="18.1"/>
    <col collapsed="false" customWidth="true" hidden="false" outlineLevel="0" max="5" min="5" style="7" width="8.33"/>
    <col collapsed="false" customWidth="true" hidden="false" outlineLevel="0" max="6" min="6" style="7" width="10.87"/>
    <col collapsed="false" customWidth="true" hidden="false" outlineLevel="0" max="7" min="7" style="7" width="8.87"/>
    <col collapsed="false" customWidth="true" hidden="false" outlineLevel="0" max="8" min="8" style="7" width="9.87"/>
    <col collapsed="false" customWidth="true" hidden="false" outlineLevel="0" max="9" min="9" style="7" width="17.88"/>
    <col collapsed="false" customWidth="true" hidden="false" outlineLevel="0" max="10" min="10" style="7" width="8.43"/>
    <col collapsed="false" customWidth="true" hidden="false" outlineLevel="0" max="11" min="11" style="7" width="9.87"/>
    <col collapsed="false" customWidth="true" hidden="false" outlineLevel="0" max="12" min="12" style="7" width="11.32"/>
    <col collapsed="false" customWidth="true" hidden="false" outlineLevel="0" max="13" min="13" style="7" width="7.43"/>
    <col collapsed="false" customWidth="true" hidden="false" outlineLevel="0" max="14" min="14" style="7" width="11.66"/>
    <col collapsed="false" customWidth="true" hidden="false" outlineLevel="0" max="15" min="15" style="7" width="21.32"/>
    <col collapsed="false" customWidth="true" hidden="false" outlineLevel="0" max="16" min="16" style="7" width="21.1"/>
    <col collapsed="false" customWidth="true" hidden="false" outlineLevel="0" max="17" min="17" style="7" width="10.66"/>
    <col collapsed="false" customWidth="true" hidden="false" outlineLevel="0" max="18" min="18" style="7" width="11.66"/>
    <col collapsed="false" customWidth="true" hidden="false" outlineLevel="0" max="19" min="19" style="7" width="12.66"/>
    <col collapsed="false" customWidth="true" hidden="false" outlineLevel="0" max="20" min="20" style="7" width="2.66"/>
    <col collapsed="false" customWidth="false" hidden="false" outlineLevel="0" max="257" min="21" style="7" width="9.1"/>
  </cols>
  <sheetData>
    <row r="2" customFormat="false" ht="13.2" hidden="false" customHeight="false" outlineLevel="0" collapsed="false">
      <c r="F2" s="383" t="s">
        <v>301</v>
      </c>
    </row>
    <row r="3" customFormat="false" ht="15" hidden="false" customHeight="true" outlineLevel="0" collapsed="false">
      <c r="F3" s="384"/>
      <c r="G3" s="384"/>
      <c r="H3" s="384"/>
    </row>
    <row r="4" customFormat="false" ht="13.5" hidden="false" customHeight="true" outlineLevel="0" collapsed="false">
      <c r="A4" s="385" t="s">
        <v>96</v>
      </c>
      <c r="B4" s="386" t="s">
        <v>215</v>
      </c>
      <c r="C4" s="386"/>
      <c r="D4" s="386"/>
      <c r="E4" s="386"/>
      <c r="F4" s="386"/>
      <c r="G4" s="387" t="s">
        <v>216</v>
      </c>
      <c r="H4" s="387"/>
      <c r="I4" s="387"/>
      <c r="J4" s="387"/>
      <c r="K4" s="387"/>
      <c r="L4" s="388" t="s">
        <v>302</v>
      </c>
      <c r="M4" s="389"/>
      <c r="N4" s="389"/>
      <c r="O4" s="389"/>
      <c r="P4" s="389"/>
      <c r="Q4" s="389"/>
      <c r="R4" s="389"/>
      <c r="S4" s="389"/>
      <c r="T4" s="389"/>
      <c r="U4" s="389"/>
      <c r="V4" s="389"/>
      <c r="W4" s="389"/>
      <c r="X4" s="389"/>
      <c r="Y4" s="389"/>
      <c r="Z4" s="389"/>
      <c r="AA4" s="389"/>
      <c r="AB4" s="389"/>
      <c r="AC4" s="389"/>
      <c r="AD4" s="389"/>
      <c r="AE4" s="389"/>
      <c r="AF4" s="389"/>
      <c r="AG4" s="389"/>
      <c r="AH4" s="389"/>
      <c r="AI4" s="389"/>
      <c r="AJ4" s="389"/>
      <c r="AK4" s="389"/>
      <c r="AL4" s="389"/>
      <c r="AM4" s="389"/>
      <c r="AN4" s="389"/>
      <c r="AO4" s="389"/>
      <c r="AP4" s="389"/>
      <c r="AQ4" s="389"/>
      <c r="AR4" s="389"/>
      <c r="AS4" s="389"/>
      <c r="AT4" s="389"/>
      <c r="AU4" s="389"/>
      <c r="AV4" s="389"/>
      <c r="AW4" s="389"/>
      <c r="AX4" s="389"/>
      <c r="AY4" s="389"/>
      <c r="AZ4" s="389"/>
      <c r="BA4" s="389"/>
      <c r="BB4" s="389"/>
      <c r="BC4" s="389"/>
      <c r="BD4" s="389"/>
      <c r="BE4" s="389"/>
      <c r="BF4" s="389"/>
      <c r="BG4" s="389"/>
      <c r="BH4" s="389"/>
      <c r="BI4" s="389"/>
      <c r="BJ4" s="389"/>
      <c r="BK4" s="389"/>
      <c r="BL4" s="389"/>
      <c r="BM4" s="389"/>
      <c r="BN4" s="389"/>
      <c r="BO4" s="389"/>
      <c r="BP4" s="389"/>
      <c r="BQ4" s="389"/>
      <c r="BR4" s="389"/>
      <c r="BS4" s="389"/>
      <c r="BT4" s="389"/>
      <c r="BU4" s="389"/>
      <c r="BV4" s="389"/>
      <c r="BW4" s="389"/>
      <c r="BX4" s="389"/>
      <c r="BY4" s="389"/>
      <c r="BZ4" s="389"/>
      <c r="CA4" s="389"/>
      <c r="CB4" s="389"/>
      <c r="CC4" s="389"/>
      <c r="CD4" s="389"/>
      <c r="CE4" s="389"/>
      <c r="CF4" s="389"/>
      <c r="CG4" s="389"/>
      <c r="CH4" s="389"/>
      <c r="CI4" s="389"/>
      <c r="CJ4" s="389"/>
      <c r="CK4" s="389"/>
      <c r="CL4" s="389"/>
      <c r="CM4" s="389"/>
      <c r="CN4" s="389"/>
      <c r="CO4" s="389"/>
      <c r="CP4" s="389"/>
      <c r="CQ4" s="389"/>
      <c r="CR4" s="389"/>
      <c r="CS4" s="389"/>
      <c r="CT4" s="389"/>
      <c r="CU4" s="389"/>
      <c r="CV4" s="389"/>
      <c r="CW4" s="389"/>
      <c r="CX4" s="389"/>
      <c r="CY4" s="389"/>
      <c r="CZ4" s="389"/>
      <c r="DA4" s="389"/>
      <c r="DB4" s="389"/>
      <c r="DC4" s="389"/>
      <c r="DD4" s="389"/>
      <c r="DE4" s="389"/>
      <c r="DF4" s="389"/>
      <c r="DG4" s="389"/>
      <c r="DH4" s="389"/>
      <c r="DI4" s="389"/>
      <c r="DJ4" s="389"/>
      <c r="DK4" s="389"/>
      <c r="DL4" s="389"/>
      <c r="DM4" s="389"/>
      <c r="DN4" s="389"/>
      <c r="DO4" s="389"/>
      <c r="DP4" s="389"/>
      <c r="DQ4" s="389"/>
      <c r="DR4" s="389"/>
      <c r="DS4" s="389"/>
      <c r="DT4" s="389"/>
      <c r="DU4" s="389"/>
      <c r="DV4" s="389"/>
      <c r="DW4" s="389"/>
      <c r="DX4" s="389"/>
      <c r="DY4" s="389"/>
      <c r="DZ4" s="389"/>
      <c r="EA4" s="389"/>
      <c r="EB4" s="389"/>
      <c r="EC4" s="389"/>
      <c r="ED4" s="389"/>
      <c r="EE4" s="389"/>
      <c r="EF4" s="389"/>
      <c r="EG4" s="389"/>
      <c r="EH4" s="389"/>
      <c r="EI4" s="389"/>
      <c r="EJ4" s="389"/>
      <c r="EK4" s="389"/>
      <c r="EL4" s="389"/>
      <c r="EM4" s="389"/>
      <c r="EN4" s="389"/>
      <c r="EO4" s="389"/>
      <c r="EP4" s="389"/>
      <c r="EQ4" s="389"/>
      <c r="ER4" s="389"/>
      <c r="ES4" s="389"/>
      <c r="ET4" s="389"/>
      <c r="EU4" s="389"/>
      <c r="EV4" s="389"/>
      <c r="EW4" s="389"/>
      <c r="EX4" s="389"/>
      <c r="EY4" s="389"/>
      <c r="EZ4" s="389"/>
      <c r="FA4" s="389"/>
      <c r="FB4" s="389"/>
      <c r="FC4" s="389"/>
      <c r="FD4" s="389"/>
      <c r="FE4" s="389"/>
      <c r="FF4" s="389"/>
      <c r="FG4" s="389"/>
      <c r="FH4" s="389"/>
      <c r="FI4" s="389"/>
      <c r="FJ4" s="389"/>
      <c r="FK4" s="389"/>
      <c r="FL4" s="389"/>
      <c r="FM4" s="389"/>
      <c r="FN4" s="389"/>
      <c r="FO4" s="389"/>
      <c r="FP4" s="389"/>
      <c r="FQ4" s="389"/>
      <c r="FR4" s="389"/>
      <c r="FS4" s="389"/>
      <c r="FT4" s="389"/>
      <c r="FU4" s="389"/>
      <c r="FV4" s="389"/>
      <c r="FW4" s="389"/>
      <c r="FX4" s="389"/>
      <c r="FY4" s="389"/>
      <c r="FZ4" s="389"/>
      <c r="GA4" s="389"/>
      <c r="GB4" s="389"/>
      <c r="GC4" s="389"/>
      <c r="GD4" s="389"/>
      <c r="GE4" s="389"/>
      <c r="GF4" s="389"/>
      <c r="GG4" s="389"/>
      <c r="GH4" s="389"/>
      <c r="GI4" s="389"/>
      <c r="GJ4" s="389"/>
      <c r="GK4" s="389"/>
      <c r="GL4" s="389"/>
      <c r="GM4" s="389"/>
      <c r="GN4" s="389"/>
      <c r="GO4" s="389"/>
      <c r="GP4" s="389"/>
      <c r="GQ4" s="389"/>
      <c r="GR4" s="389"/>
      <c r="GS4" s="389"/>
      <c r="GT4" s="389"/>
      <c r="GU4" s="389"/>
      <c r="GV4" s="389"/>
      <c r="GW4" s="389"/>
      <c r="GX4" s="389"/>
      <c r="GY4" s="389"/>
      <c r="GZ4" s="389"/>
      <c r="HA4" s="389"/>
      <c r="HB4" s="389"/>
      <c r="HC4" s="389"/>
      <c r="HD4" s="389"/>
      <c r="HE4" s="389"/>
      <c r="HF4" s="389"/>
      <c r="HG4" s="389"/>
      <c r="HH4" s="389"/>
      <c r="HI4" s="389"/>
      <c r="HJ4" s="389"/>
      <c r="HK4" s="389"/>
      <c r="HL4" s="389"/>
      <c r="HM4" s="389"/>
      <c r="HN4" s="389"/>
      <c r="HO4" s="389"/>
      <c r="HP4" s="389"/>
      <c r="HQ4" s="389"/>
      <c r="HR4" s="389"/>
      <c r="HS4" s="389"/>
      <c r="HT4" s="389"/>
      <c r="HU4" s="389"/>
      <c r="HV4" s="389"/>
      <c r="HW4" s="389"/>
      <c r="HX4" s="389"/>
      <c r="HY4" s="389"/>
      <c r="HZ4" s="389"/>
      <c r="IA4" s="389"/>
      <c r="IB4" s="389"/>
      <c r="IC4" s="389"/>
      <c r="ID4" s="389"/>
      <c r="IE4" s="389"/>
      <c r="IF4" s="389"/>
      <c r="IG4" s="389"/>
      <c r="IH4" s="389"/>
      <c r="II4" s="389"/>
      <c r="IJ4" s="389"/>
      <c r="IK4" s="389"/>
      <c r="IL4" s="389"/>
      <c r="IM4" s="389"/>
      <c r="IN4" s="389"/>
      <c r="IO4" s="389"/>
      <c r="IP4" s="389"/>
      <c r="IQ4" s="389"/>
      <c r="IR4" s="389"/>
      <c r="IS4" s="389"/>
      <c r="IT4" s="389"/>
      <c r="IU4" s="389"/>
      <c r="IV4" s="389"/>
      <c r="IW4" s="389"/>
    </row>
    <row r="5" customFormat="false" ht="14.4" hidden="false" customHeight="false" outlineLevel="0" collapsed="false">
      <c r="A5" s="385"/>
      <c r="B5" s="390" t="s">
        <v>303</v>
      </c>
      <c r="C5" s="390" t="s">
        <v>106</v>
      </c>
      <c r="D5" s="390" t="s">
        <v>107</v>
      </c>
      <c r="E5" s="390" t="s">
        <v>304</v>
      </c>
      <c r="F5" s="391" t="s">
        <v>282</v>
      </c>
      <c r="G5" s="390" t="s">
        <v>303</v>
      </c>
      <c r="H5" s="390" t="s">
        <v>106</v>
      </c>
      <c r="I5" s="390" t="s">
        <v>107</v>
      </c>
      <c r="J5" s="390" t="s">
        <v>304</v>
      </c>
      <c r="K5" s="392" t="s">
        <v>282</v>
      </c>
      <c r="L5" s="388"/>
    </row>
    <row r="6" customFormat="false" ht="13.8" hidden="false" customHeight="false" outlineLevel="0" collapsed="false">
      <c r="A6" s="393" t="s">
        <v>114</v>
      </c>
      <c r="B6" s="394" t="n">
        <f aca="false">'Input-Detail'!AE14</f>
        <v>0</v>
      </c>
      <c r="C6" s="394" t="n">
        <f aca="false">'Input-Detail'!AF14</f>
        <v>4004650</v>
      </c>
      <c r="D6" s="394" t="n">
        <f aca="false">'Input-Detail'!AG14</f>
        <v>8356.16</v>
      </c>
      <c r="E6" s="394" t="n">
        <f aca="false">'Input-Detail'!AH14</f>
        <v>297120</v>
      </c>
      <c r="F6" s="395" t="n">
        <f aca="false">SUM(B6:E6)</f>
        <v>4310126.16</v>
      </c>
      <c r="G6" s="394" t="n">
        <f aca="false">'Input-Detail'!AO14</f>
        <v>0</v>
      </c>
      <c r="H6" s="394" t="n">
        <f aca="false">'Input-Detail'!AP14</f>
        <v>4004650</v>
      </c>
      <c r="I6" s="394" t="n">
        <f aca="false">'Input-Detail'!AQ14</f>
        <v>8356.16</v>
      </c>
      <c r="J6" s="394" t="n">
        <f aca="false">'Input-Detail'!AR14</f>
        <v>301760</v>
      </c>
      <c r="K6" s="395" t="n">
        <f aca="false">SUM(G6:J6)</f>
        <v>4314766.16</v>
      </c>
      <c r="L6" s="396" t="n">
        <f aca="false">F6-K6</f>
        <v>-4640</v>
      </c>
    </row>
    <row r="7" customFormat="false" ht="13.2" hidden="false" customHeight="false" outlineLevel="0" collapsed="false">
      <c r="A7" s="393" t="n">
        <v>1</v>
      </c>
      <c r="B7" s="394" t="n">
        <f aca="false">'Input-Detail'!AE15</f>
        <v>0</v>
      </c>
      <c r="C7" s="394" t="n">
        <f aca="false">'Input-Detail'!AF15</f>
        <v>4230053.20491783</v>
      </c>
      <c r="D7" s="394" t="n">
        <f aca="false">'Input-Detail'!AG15</f>
        <v>9390.3712</v>
      </c>
      <c r="E7" s="394" t="n">
        <f aca="false">'Input-Detail'!AH15</f>
        <v>302720</v>
      </c>
      <c r="F7" s="397" t="n">
        <f aca="false">SUM(B7:E7)</f>
        <v>4542163.57611783</v>
      </c>
      <c r="G7" s="394" t="n">
        <f aca="false">'Input-Detail'!AO15</f>
        <v>238842.840183826</v>
      </c>
      <c r="H7" s="394" t="n">
        <f aca="false">'Input-Detail'!AP15</f>
        <v>3965664.82379923</v>
      </c>
      <c r="I7" s="394" t="n">
        <f aca="false">'Input-Detail'!AQ15</f>
        <v>9390.4</v>
      </c>
      <c r="J7" s="394" t="n">
        <f aca="false">'Input-Detail'!AR15</f>
        <v>325760</v>
      </c>
      <c r="K7" s="397" t="n">
        <f aca="false">SUM(G7:J7)</f>
        <v>4539658.06398306</v>
      </c>
      <c r="L7" s="396" t="n">
        <f aca="false">F7-K7</f>
        <v>2505.51213477366</v>
      </c>
    </row>
    <row r="8" customFormat="false" ht="13.2" hidden="false" customHeight="false" outlineLevel="0" collapsed="false">
      <c r="A8" s="393" t="n">
        <v>2</v>
      </c>
      <c r="B8" s="394" t="n">
        <f aca="false">'Input-Detail'!AE16</f>
        <v>0</v>
      </c>
      <c r="C8" s="394" t="n">
        <f aca="false">'Input-Detail'!AF16</f>
        <v>4465376.41713074</v>
      </c>
      <c r="D8" s="394" t="n">
        <f aca="false">'Input-Detail'!AG16</f>
        <v>10586.833184</v>
      </c>
      <c r="E8" s="394" t="n">
        <f aca="false">'Input-Detail'!AH16</f>
        <v>308800</v>
      </c>
      <c r="F8" s="397" t="n">
        <f aca="false">SUM(B8:E8)</f>
        <v>4784763.25031474</v>
      </c>
      <c r="G8" s="394" t="n">
        <f aca="false">'Input-Detail'!AO16</f>
        <v>259818.809624673</v>
      </c>
      <c r="H8" s="394" t="n">
        <f aca="false">'Input-Detail'!AP16</f>
        <v>3829158.82863465</v>
      </c>
      <c r="I8" s="394" t="n">
        <f aca="false">'Input-Detail'!AQ16</f>
        <v>3600</v>
      </c>
      <c r="J8" s="394" t="n">
        <f aca="false">'Input-Detail'!AR16</f>
        <v>122080</v>
      </c>
      <c r="K8" s="397" t="n">
        <f aca="false">SUM(G8:J8)</f>
        <v>4214657.63825933</v>
      </c>
      <c r="L8" s="396" t="n">
        <f aca="false">F8-K8</f>
        <v>570105.612055409</v>
      </c>
    </row>
    <row r="9" customFormat="false" ht="13.2" hidden="false" customHeight="false" outlineLevel="0" collapsed="false">
      <c r="A9" s="393" t="n">
        <v>3</v>
      </c>
      <c r="B9" s="394" t="n">
        <f aca="false">'Input-Detail'!AE17</f>
        <v>0</v>
      </c>
      <c r="C9" s="394" t="n">
        <f aca="false">'Input-Detail'!AF17</f>
        <v>4711011.97419199</v>
      </c>
      <c r="D9" s="394" t="n">
        <f aca="false">'Input-Detail'!AG17</f>
        <v>11974.87470688</v>
      </c>
      <c r="E9" s="394" t="n">
        <f aca="false">'Input-Detail'!AH17</f>
        <v>315200</v>
      </c>
      <c r="F9" s="397" t="n">
        <f aca="false">SUM(B9:E9)</f>
        <v>5038186.84889887</v>
      </c>
      <c r="G9" s="394" t="n">
        <f aca="false">'Input-Detail'!AO17</f>
        <v>281838.378675806</v>
      </c>
      <c r="H9" s="394" t="n">
        <f aca="false">'Input-Detail'!AP17</f>
        <v>3828865.212493</v>
      </c>
      <c r="I9" s="394" t="n">
        <f aca="false">'Input-Detail'!AQ17</f>
        <v>3780</v>
      </c>
      <c r="J9" s="394" t="n">
        <f aca="false">'Input-Detail'!AR17</f>
        <v>133760</v>
      </c>
      <c r="K9" s="397" t="n">
        <f aca="false">SUM(G9:J9)</f>
        <v>4248243.59116881</v>
      </c>
      <c r="L9" s="396" t="n">
        <f aca="false">F9-K9</f>
        <v>789943.257730059</v>
      </c>
    </row>
    <row r="10" customFormat="false" ht="13.2" hidden="false" customHeight="false" outlineLevel="0" collapsed="false">
      <c r="A10" s="393" t="n">
        <v>4</v>
      </c>
      <c r="B10" s="394" t="n">
        <f aca="false">'Input-Detail'!AE18</f>
        <v>0</v>
      </c>
      <c r="C10" s="394" t="n">
        <f aca="false">'Input-Detail'!AF18</f>
        <v>4967366.82590149</v>
      </c>
      <c r="D10" s="394" t="n">
        <f aca="false">'Input-Detail'!AG18</f>
        <v>13589.4717763616</v>
      </c>
      <c r="E10" s="394" t="n">
        <f aca="false">'Input-Detail'!AH18</f>
        <v>322240</v>
      </c>
      <c r="F10" s="397" t="n">
        <f aca="false">SUM(B10:E10)</f>
        <v>5303196.29767786</v>
      </c>
      <c r="G10" s="394" t="n">
        <f aca="false">'Input-Detail'!AO18</f>
        <v>304945.284941344</v>
      </c>
      <c r="H10" s="394" t="n">
        <f aca="false">'Input-Detail'!AP18</f>
        <v>3770571.12680635</v>
      </c>
      <c r="I10" s="394" t="n">
        <f aca="false">'Input-Detail'!AQ18</f>
        <v>3969.04</v>
      </c>
      <c r="J10" s="394" t="n">
        <f aca="false">'Input-Detail'!AR18</f>
        <v>133920</v>
      </c>
      <c r="K10" s="397" t="n">
        <f aca="false">SUM(G10:J10)</f>
        <v>4213405.45174769</v>
      </c>
      <c r="L10" s="396" t="n">
        <f aca="false">F10-K10</f>
        <v>1089790.84593016</v>
      </c>
    </row>
    <row r="11" customFormat="false" ht="13.2" hidden="false" customHeight="false" outlineLevel="0" collapsed="false">
      <c r="A11" s="393" t="n">
        <v>5</v>
      </c>
      <c r="B11" s="394" t="n">
        <f aca="false">'Input-Detail'!AE19</f>
        <v>0</v>
      </c>
      <c r="C11" s="394" t="n">
        <f aca="false">'Input-Detail'!AF19</f>
        <v>5234863.0579368</v>
      </c>
      <c r="D11" s="394" t="n">
        <f aca="false">'Input-Detail'!AG19</f>
        <v>15472.3618087069</v>
      </c>
      <c r="E11" s="394" t="n">
        <f aca="false">'Input-Detail'!AH19</f>
        <v>329760</v>
      </c>
      <c r="F11" s="397" t="n">
        <f aca="false">SUM(B11:E11)</f>
        <v>5580095.41974551</v>
      </c>
      <c r="G11" s="394" t="n">
        <f aca="false">'Input-Detail'!AO19</f>
        <v>329184.951042007</v>
      </c>
      <c r="H11" s="394" t="n">
        <f aca="false">'Input-Detail'!AP19</f>
        <v>3737811.07975525</v>
      </c>
      <c r="I11" s="394" t="n">
        <f aca="false">'Input-Detail'!AQ19</f>
        <v>4167.44</v>
      </c>
      <c r="J11" s="394" t="n">
        <f aca="false">'Input-Detail'!AR19</f>
        <v>134080</v>
      </c>
      <c r="K11" s="397" t="n">
        <f aca="false">SUM(G11:J11)</f>
        <v>4205243.47079726</v>
      </c>
      <c r="L11" s="396" t="n">
        <f aca="false">F11-K11</f>
        <v>1374851.94894825</v>
      </c>
    </row>
    <row r="12" customFormat="false" ht="13.2" hidden="false" customHeight="false" outlineLevel="0" collapsed="false">
      <c r="A12" s="393" t="n">
        <v>6</v>
      </c>
      <c r="B12" s="394" t="n">
        <f aca="false">'Input-Detail'!AE20</f>
        <v>0</v>
      </c>
      <c r="C12" s="394" t="n">
        <f aca="false">'Input-Detail'!AF20</f>
        <v>5513938.43375091</v>
      </c>
      <c r="D12" s="394" t="n">
        <f aca="false">'Input-Detail'!AG20</f>
        <v>17673.3795449164</v>
      </c>
      <c r="E12" s="394" t="n">
        <f aca="false">'Input-Detail'!AH20</f>
        <v>339652.8</v>
      </c>
      <c r="F12" s="397" t="n">
        <f aca="false">SUM(B12:E12)</f>
        <v>5871264.61329583</v>
      </c>
      <c r="G12" s="394" t="n">
        <f aca="false">'Input-Detail'!AO20</f>
        <v>354604.546352262</v>
      </c>
      <c r="H12" s="394" t="n">
        <f aca="false">'Input-Detail'!AP20</f>
        <v>3687488.96745936</v>
      </c>
      <c r="I12" s="394" t="n">
        <f aca="false">'Input-Detail'!AQ20</f>
        <v>4375.812</v>
      </c>
      <c r="J12" s="394" t="n">
        <f aca="false">'Input-Detail'!AR20</f>
        <v>138102.4</v>
      </c>
      <c r="K12" s="397" t="n">
        <f aca="false">SUM(G12:J12)</f>
        <v>4184571.72581162</v>
      </c>
      <c r="L12" s="396" t="n">
        <f aca="false">F12-K12</f>
        <v>1686692.88748421</v>
      </c>
    </row>
    <row r="13" customFormat="false" ht="13.2" hidden="false" customHeight="false" outlineLevel="0" collapsed="false">
      <c r="A13" s="393" t="n">
        <v>7</v>
      </c>
      <c r="B13" s="394" t="n">
        <f aca="false">'Input-Detail'!AE21</f>
        <v>0</v>
      </c>
      <c r="C13" s="394" t="n">
        <f aca="false">'Input-Detail'!AF21</f>
        <v>5805046.95536173</v>
      </c>
      <c r="D13" s="394" t="n">
        <f aca="false">'Input-Detail'!AG21</f>
        <v>20252.0590045805</v>
      </c>
      <c r="E13" s="394" t="n">
        <f aca="false">'Input-Detail'!AH21</f>
        <v>349842.384</v>
      </c>
      <c r="F13" s="397" t="n">
        <f aca="false">SUM(B13:E13)</f>
        <v>6175141.39836631</v>
      </c>
      <c r="G13" s="394" t="n">
        <f aca="false">'Input-Detail'!AO21</f>
        <v>381253.050925195</v>
      </c>
      <c r="H13" s="394" t="n">
        <f aca="false">'Input-Detail'!AP21</f>
        <v>3571189.87262198</v>
      </c>
      <c r="I13" s="394" t="n">
        <f aca="false">'Input-Detail'!AQ21</f>
        <v>4594.6026</v>
      </c>
      <c r="J13" s="394" t="n">
        <f aca="false">'Input-Detail'!AR21</f>
        <v>142245.472</v>
      </c>
      <c r="K13" s="397" t="n">
        <f aca="false">SUM(G13:J13)</f>
        <v>4099282.99814718</v>
      </c>
      <c r="L13" s="396" t="n">
        <f aca="false">F13-K13</f>
        <v>2075858.40021913</v>
      </c>
    </row>
    <row r="14" customFormat="false" ht="13.2" hidden="false" customHeight="false" outlineLevel="0" collapsed="false">
      <c r="A14" s="393" t="n">
        <v>8</v>
      </c>
      <c r="B14" s="394" t="n">
        <f aca="false">'Input-Detail'!AE22</f>
        <v>0</v>
      </c>
      <c r="C14" s="394" t="n">
        <f aca="false">'Input-Detail'!AF22</f>
        <v>6108659.44367882</v>
      </c>
      <c r="D14" s="394" t="n">
        <f aca="false">'Input-Detail'!AG22</f>
        <v>23279.5546047252</v>
      </c>
      <c r="E14" s="394" t="n">
        <f aca="false">'Input-Detail'!AH22</f>
        <v>360337.65552</v>
      </c>
      <c r="F14" s="397" t="n">
        <f aca="false">SUM(B14:E14)</f>
        <v>6492276.65380355</v>
      </c>
      <c r="G14" s="394" t="n">
        <f aca="false">'Input-Detail'!AO22</f>
        <v>409181.321680787</v>
      </c>
      <c r="H14" s="394" t="n">
        <f aca="false">'Input-Detail'!AP22</f>
        <v>3480083.31069932</v>
      </c>
      <c r="I14" s="394" t="n">
        <f aca="false">'Input-Detail'!AQ22</f>
        <v>4824.33273</v>
      </c>
      <c r="J14" s="394" t="n">
        <f aca="false">'Input-Detail'!AR22</f>
        <v>146512.83616</v>
      </c>
      <c r="K14" s="397" t="n">
        <f aca="false">SUM(G14:J14)</f>
        <v>4040601.8012701</v>
      </c>
      <c r="L14" s="396" t="n">
        <f aca="false">F14-K14</f>
        <v>2451674.85253344</v>
      </c>
    </row>
    <row r="15" customFormat="false" ht="13.2" hidden="false" customHeight="false" outlineLevel="0" collapsed="false">
      <c r="A15" s="393" t="n">
        <v>9</v>
      </c>
      <c r="B15" s="394" t="n">
        <f aca="false">'Input-Detail'!AE23</f>
        <v>0</v>
      </c>
      <c r="C15" s="394" t="n">
        <f aca="false">'Input-Detail'!AF23</f>
        <v>6425264.13903511</v>
      </c>
      <c r="D15" s="394" t="n">
        <f aca="false">'Input-Detail'!AG23</f>
        <v>26840.9451908447</v>
      </c>
      <c r="E15" s="394" t="n">
        <f aca="false">'Input-Detail'!AH23</f>
        <v>371147.7851856</v>
      </c>
      <c r="F15" s="397" t="n">
        <f aca="false">SUM(B15:E15)</f>
        <v>6823252.86941155</v>
      </c>
      <c r="G15" s="394" t="n">
        <f aca="false">'Input-Detail'!AO23</f>
        <v>438442.16093588</v>
      </c>
      <c r="H15" s="394" t="n">
        <f aca="false">'Input-Detail'!AP23</f>
        <v>3366961.79297133</v>
      </c>
      <c r="I15" s="394" t="n">
        <f aca="false">'Input-Detail'!AQ23</f>
        <v>5065.5493665</v>
      </c>
      <c r="J15" s="394" t="n">
        <f aca="false">'Input-Detail'!AR23</f>
        <v>150908.2212448</v>
      </c>
      <c r="K15" s="397" t="n">
        <f aca="false">SUM(G15:J15)</f>
        <v>3961377.72451851</v>
      </c>
      <c r="L15" s="396" t="n">
        <f aca="false">F15-K15</f>
        <v>2861875.14489304</v>
      </c>
    </row>
    <row r="16" customFormat="false" ht="13.2" hidden="false" customHeight="false" outlineLevel="0" collapsed="false">
      <c r="A16" s="393" t="n">
        <v>10</v>
      </c>
      <c r="B16" s="394" t="n">
        <f aca="false">'Input-Detail'!AE24</f>
        <v>0</v>
      </c>
      <c r="C16" s="394" t="n">
        <f aca="false">'Input-Detail'!AF24</f>
        <v>6755367.32261347</v>
      </c>
      <c r="D16" s="394" t="n">
        <f aca="false">'Input-Detail'!AG24</f>
        <v>31038</v>
      </c>
      <c r="E16" s="394" t="n">
        <f aca="false">'Input-Detail'!AH24</f>
        <v>382282.218741168</v>
      </c>
      <c r="F16" s="397" t="n">
        <f aca="false">SUM(B16:E16)</f>
        <v>7168687.54135463</v>
      </c>
      <c r="G16" s="394" t="n">
        <f aca="false">'Input-Detail'!AO24</f>
        <v>469090.387356769</v>
      </c>
      <c r="H16" s="394" t="n">
        <f aca="false">'Input-Detail'!AP24</f>
        <v>3178801.34522557</v>
      </c>
      <c r="I16" s="394" t="n">
        <f aca="false">'Input-Detail'!AQ24</f>
        <v>5318.826834825</v>
      </c>
      <c r="J16" s="394" t="n">
        <f aca="false">'Input-Detail'!AR24</f>
        <v>153494.934040393</v>
      </c>
      <c r="K16" s="397" t="n">
        <f aca="false">SUM(G16:J16)</f>
        <v>3806705.49345756</v>
      </c>
      <c r="L16" s="396" t="n">
        <f aca="false">F16-K16</f>
        <v>3361982.04789708</v>
      </c>
    </row>
    <row r="17" customFormat="false" ht="13.2" hidden="false" customHeight="false" outlineLevel="0" collapsed="false">
      <c r="A17" s="393" t="n">
        <v>11</v>
      </c>
      <c r="B17" s="394" t="n">
        <f aca="false">'Input-Detail'!AE25</f>
        <v>0</v>
      </c>
      <c r="C17" s="394" t="n">
        <f aca="false">'Input-Detail'!AF25</f>
        <v>7099493.95948139</v>
      </c>
      <c r="D17" s="394" t="n">
        <f aca="false">'Input-Detail'!AG25</f>
        <v>32589.9</v>
      </c>
      <c r="E17" s="394" t="n">
        <f aca="false">'Input-Detail'!AH25</f>
        <v>393750.685303403</v>
      </c>
      <c r="F17" s="397" t="n">
        <f aca="false">SUM(B17:E17)</f>
        <v>7525834.5447848</v>
      </c>
      <c r="G17" s="394" t="n">
        <f aca="false">'Input-Detail'!AO25</f>
        <v>501182.909418066</v>
      </c>
      <c r="H17" s="394" t="n">
        <f aca="false">'Input-Detail'!AP25</f>
        <v>3015101.03245719</v>
      </c>
      <c r="I17" s="394" t="n">
        <f aca="false">'Input-Detail'!AQ25</f>
        <v>5584.76817656625</v>
      </c>
      <c r="J17" s="394" t="n">
        <f aca="false">'Input-Detail'!AR25</f>
        <v>158099.782061605</v>
      </c>
      <c r="K17" s="397" t="n">
        <f aca="false">SUM(G17:J17)</f>
        <v>3679968.49211343</v>
      </c>
      <c r="L17" s="396" t="n">
        <f aca="false">F17-K17</f>
        <v>3845866.05267137</v>
      </c>
    </row>
    <row r="18" customFormat="false" ht="13.2" hidden="false" customHeight="false" outlineLevel="0" collapsed="false">
      <c r="A18" s="393" t="n">
        <v>12</v>
      </c>
      <c r="B18" s="394" t="n">
        <f aca="false">'Input-Detail'!AE26</f>
        <v>0</v>
      </c>
      <c r="C18" s="394" t="n">
        <f aca="false">'Input-Detail'!AF26</f>
        <v>7458188.36397104</v>
      </c>
      <c r="D18" s="394" t="n">
        <f aca="false">'Input-Detail'!AG26</f>
        <v>34219.395</v>
      </c>
      <c r="E18" s="394" t="n">
        <f aca="false">'Input-Detail'!AH26</f>
        <v>405563.205862505</v>
      </c>
      <c r="F18" s="397" t="n">
        <f aca="false">SUM(B18:E18)</f>
        <v>7897970.96483355</v>
      </c>
      <c r="G18" s="394" t="n">
        <f aca="false">'Input-Detail'!AO26</f>
        <v>534778.801454422</v>
      </c>
      <c r="H18" s="394" t="n">
        <f aca="false">'Input-Detail'!AP26</f>
        <v>2769632.43429148</v>
      </c>
      <c r="I18" s="394" t="n">
        <f aca="false">'Input-Detail'!AQ26</f>
        <v>5864.00658539456</v>
      </c>
      <c r="J18" s="394" t="n">
        <f aca="false">'Input-Detail'!AR26</f>
        <v>162842.775523453</v>
      </c>
      <c r="K18" s="397" t="n">
        <f aca="false">SUM(G18:J18)</f>
        <v>3473118.01785475</v>
      </c>
      <c r="L18" s="396" t="n">
        <f aca="false">F18-K18</f>
        <v>4424852.94697879</v>
      </c>
    </row>
    <row r="19" customFormat="false" ht="13.2" hidden="false" customHeight="false" outlineLevel="0" collapsed="false">
      <c r="A19" s="393" t="n">
        <v>13</v>
      </c>
      <c r="B19" s="394" t="n">
        <f aca="false">'Input-Detail'!AE27</f>
        <v>0</v>
      </c>
      <c r="C19" s="394" t="n">
        <f aca="false">'Input-Detail'!AF27</f>
        <v>7832014.88816654</v>
      </c>
      <c r="D19" s="394" t="n">
        <f aca="false">'Input-Detail'!AG27</f>
        <v>35930.36475</v>
      </c>
      <c r="E19" s="394" t="n">
        <f aca="false">'Input-Detail'!AH27</f>
        <v>417730.10203838</v>
      </c>
      <c r="F19" s="397" t="n">
        <f aca="false">SUM(B19:E19)</f>
        <v>8285675.35495492</v>
      </c>
      <c r="G19" s="394" t="n">
        <f aca="false">'Input-Detail'!AO27</f>
        <v>569939.382394482</v>
      </c>
      <c r="H19" s="394" t="n">
        <f aca="false">'Input-Detail'!AP27</f>
        <v>2547863.86043449</v>
      </c>
      <c r="I19" s="394" t="n">
        <f aca="false">'Input-Detail'!AQ27</f>
        <v>6157.20691466429</v>
      </c>
      <c r="J19" s="394" t="n">
        <f aca="false">'Input-Detail'!AR27</f>
        <v>167728.058789156</v>
      </c>
      <c r="K19" s="397" t="n">
        <f aca="false">SUM(G19:J19)</f>
        <v>3291688.50853279</v>
      </c>
      <c r="L19" s="396" t="n">
        <f aca="false">F19-K19</f>
        <v>4993986.84642213</v>
      </c>
    </row>
    <row r="20" customFormat="false" ht="13.2" hidden="false" customHeight="false" outlineLevel="0" collapsed="false">
      <c r="A20" s="393" t="n">
        <v>14</v>
      </c>
      <c r="B20" s="394" t="n">
        <f aca="false">'Input-Detail'!AE28</f>
        <v>0</v>
      </c>
      <c r="C20" s="394" t="n">
        <f aca="false">'Input-Detail'!AF28</f>
        <v>8221558.63428619</v>
      </c>
      <c r="D20" s="394" t="n">
        <f aca="false">'Input-Detail'!AG28</f>
        <v>37726.8829875</v>
      </c>
      <c r="E20" s="394" t="n">
        <f aca="false">'Input-Detail'!AH28</f>
        <v>430262.005099532</v>
      </c>
      <c r="F20" s="397" t="n">
        <f aca="false">SUM(B20:E20)</f>
        <v>8689547.52237322</v>
      </c>
      <c r="G20" s="394" t="n">
        <f aca="false">'Input-Detail'!AO28</f>
        <v>606728.297269635</v>
      </c>
      <c r="H20" s="394" t="n">
        <f aca="false">'Input-Detail'!AP28</f>
        <v>2237003.85999858</v>
      </c>
      <c r="I20" s="394" t="n">
        <f aca="false">'Input-Detail'!AQ28</f>
        <v>6465.06726039751</v>
      </c>
      <c r="J20" s="394" t="n">
        <f aca="false">'Input-Detail'!AR28</f>
        <v>172759.900552831</v>
      </c>
      <c r="K20" s="397" t="n">
        <f aca="false">SUM(G20:J20)</f>
        <v>3022957.12508144</v>
      </c>
      <c r="L20" s="396" t="n">
        <f aca="false">F20-K20</f>
        <v>5666590.39729177</v>
      </c>
    </row>
    <row r="21" customFormat="false" ht="13.2" hidden="false" customHeight="false" outlineLevel="0" collapsed="false">
      <c r="A21" s="393" t="n">
        <v>15</v>
      </c>
      <c r="B21" s="394" t="n">
        <f aca="false">'Input-Detail'!AE29</f>
        <v>0</v>
      </c>
      <c r="C21" s="394" t="n">
        <f aca="false">'Input-Detail'!AF29</f>
        <v>8627426.19177367</v>
      </c>
      <c r="D21" s="394" t="n">
        <f aca="false">'Input-Detail'!AG29</f>
        <v>39613.227136875</v>
      </c>
      <c r="E21" s="394" t="n">
        <f aca="false">'Input-Detail'!AH29</f>
        <v>443169.865252518</v>
      </c>
      <c r="F21" s="397" t="n">
        <f aca="false">SUM(B21:E21)</f>
        <v>9110209.28416306</v>
      </c>
      <c r="G21" s="394" t="n">
        <f aca="false">'Input-Detail'!AO29</f>
        <v>645211.601593147</v>
      </c>
      <c r="H21" s="394" t="n">
        <f aca="false">'Input-Detail'!AP29</f>
        <v>1889277.10221624</v>
      </c>
      <c r="I21" s="394" t="n">
        <f aca="false">'Input-Detail'!AQ29</f>
        <v>6788.32062341738</v>
      </c>
      <c r="J21" s="394" t="n">
        <f aca="false">'Input-Detail'!AR29</f>
        <v>177942.697569416</v>
      </c>
      <c r="K21" s="397" t="n">
        <f aca="false">SUM(G21:J21)</f>
        <v>2719219.72200222</v>
      </c>
      <c r="L21" s="396" t="n">
        <f aca="false">F21-K21</f>
        <v>6390989.56216084</v>
      </c>
    </row>
    <row r="22" customFormat="false" ht="13.2" hidden="false" customHeight="false" outlineLevel="0" collapsed="false">
      <c r="A22" s="393" t="n">
        <v>16</v>
      </c>
      <c r="B22" s="394" t="n">
        <f aca="false">'Input-Detail'!AE30</f>
        <v>0</v>
      </c>
      <c r="C22" s="394" t="n">
        <f aca="false">'Input-Detail'!AF30</f>
        <v>9050246.39993954</v>
      </c>
      <c r="D22" s="394" t="n">
        <f aca="false">'Input-Detail'!AG30</f>
        <v>41593.8884937188</v>
      </c>
      <c r="E22" s="394" t="n">
        <f aca="false">'Input-Detail'!AH30</f>
        <v>456464.961210093</v>
      </c>
      <c r="F22" s="397" t="n">
        <f aca="false">SUM(B22:E22)</f>
        <v>9548305.24964335</v>
      </c>
      <c r="G22" s="394" t="n">
        <f aca="false">'Input-Detail'!AO30</f>
        <v>685457.848708523</v>
      </c>
      <c r="H22" s="394" t="n">
        <f aca="false">'Input-Detail'!AP30</f>
        <v>1502273.69325169</v>
      </c>
      <c r="I22" s="394" t="n">
        <f aca="false">'Input-Detail'!AQ30</f>
        <v>7127.73665458825</v>
      </c>
      <c r="J22" s="394" t="n">
        <f aca="false">'Input-Detail'!AR30</f>
        <v>183280.978496499</v>
      </c>
      <c r="K22" s="397" t="n">
        <f aca="false">SUM(G22:J22)</f>
        <v>2378140.2571113</v>
      </c>
      <c r="L22" s="396" t="n">
        <f aca="false">F22-K22</f>
        <v>7170164.99253205</v>
      </c>
    </row>
    <row r="23" customFormat="false" ht="13.2" hidden="false" customHeight="false" outlineLevel="0" collapsed="false">
      <c r="A23" s="393" t="n">
        <v>17</v>
      </c>
      <c r="B23" s="394" t="n">
        <f aca="false">'Input-Detail'!AE31</f>
        <v>0</v>
      </c>
      <c r="C23" s="394" t="n">
        <f aca="false">'Input-Detail'!AF31</f>
        <v>9490671.13702276</v>
      </c>
      <c r="D23" s="394" t="n">
        <f aca="false">'Input-Detail'!AG31</f>
        <v>43673.5829184047</v>
      </c>
      <c r="E23" s="394" t="n">
        <f aca="false">'Input-Detail'!AH31</f>
        <v>470158.910046396</v>
      </c>
      <c r="F23" s="397" t="n">
        <f aca="false">SUM(B23:E23)</f>
        <v>10004503.6299876</v>
      </c>
      <c r="G23" s="394" t="n">
        <f aca="false">'Input-Detail'!AO31</f>
        <v>727538.180209386</v>
      </c>
      <c r="H23" s="394" t="n">
        <f aca="false">'Input-Detail'!AP31</f>
        <v>1073457.99584877</v>
      </c>
      <c r="I23" s="394" t="n">
        <f aca="false">'Input-Detail'!AQ31</f>
        <v>7484.12348731766</v>
      </c>
      <c r="J23" s="394" t="n">
        <f aca="false">'Input-Detail'!AR31</f>
        <v>188779.407851393</v>
      </c>
      <c r="K23" s="397" t="n">
        <f aca="false">SUM(G23:J23)</f>
        <v>1997259.70739686</v>
      </c>
      <c r="L23" s="396" t="n">
        <f aca="false">F23-K23</f>
        <v>8007243.9225907</v>
      </c>
    </row>
    <row r="24" customFormat="false" ht="13.2" hidden="false" customHeight="false" outlineLevel="0" collapsed="false">
      <c r="A24" s="393" t="n">
        <v>18</v>
      </c>
      <c r="B24" s="394" t="n">
        <f aca="false">'Input-Detail'!AE32</f>
        <v>0</v>
      </c>
      <c r="C24" s="394" t="n">
        <f aca="false">'Input-Detail'!AF32</f>
        <v>9949376.13657104</v>
      </c>
      <c r="D24" s="394" t="n">
        <f aca="false">'Input-Detail'!AG32</f>
        <v>45857.2620643249</v>
      </c>
      <c r="E24" s="394" t="n">
        <f aca="false">'Input-Detail'!AH32</f>
        <v>484263.677347788</v>
      </c>
      <c r="F24" s="397" t="n">
        <f aca="false">SUM(B24:E24)</f>
        <v>10479497.0759832</v>
      </c>
      <c r="G24" s="394" t="n">
        <f aca="false">'Input-Detail'!AO32</f>
        <v>771526.419536469</v>
      </c>
      <c r="H24" s="394" t="n">
        <f aca="false">'Input-Detail'!AP32</f>
        <v>600162.823733984</v>
      </c>
      <c r="I24" s="394" t="n">
        <f aca="false">'Input-Detail'!AQ32</f>
        <v>7858.32966168355</v>
      </c>
      <c r="J24" s="394" t="n">
        <f aca="false">'Input-Detail'!AR32</f>
        <v>194442.790086935</v>
      </c>
      <c r="K24" s="397" t="n">
        <f aca="false">SUM(G24:J24)</f>
        <v>1573990.36301907</v>
      </c>
      <c r="L24" s="396" t="n">
        <f aca="false">F24-K24</f>
        <v>8905506.71296408</v>
      </c>
    </row>
    <row r="25" customFormat="false" ht="13.2" hidden="false" customHeight="false" outlineLevel="0" collapsed="false">
      <c r="A25" s="393" t="n">
        <v>19</v>
      </c>
      <c r="B25" s="394" t="n">
        <f aca="false">'Input-Detail'!AE33</f>
        <v>0</v>
      </c>
      <c r="C25" s="394" t="n">
        <f aca="false">'Input-Detail'!AF33</f>
        <v>10427061.8320689</v>
      </c>
      <c r="D25" s="394" t="n">
        <f aca="false">'Input-Detail'!AG33</f>
        <v>48150.1251675412</v>
      </c>
      <c r="E25" s="394" t="n">
        <f aca="false">'Input-Detail'!AH33</f>
        <v>498791.587668222</v>
      </c>
      <c r="F25" s="397" t="n">
        <f aca="false">SUM(B25:E25)</f>
        <v>10974003.5449047</v>
      </c>
      <c r="G25" s="394" t="n">
        <f aca="false">'Input-Detail'!AO33</f>
        <v>817499.168860984</v>
      </c>
      <c r="H25" s="394" t="n">
        <f aca="false">'Input-Detail'!AP33</f>
        <v>627127.92901604</v>
      </c>
      <c r="I25" s="394" t="n">
        <f aca="false">'Input-Detail'!AQ33</f>
        <v>8251.24614476773</v>
      </c>
      <c r="J25" s="394" t="n">
        <f aca="false">'Input-Detail'!AR33</f>
        <v>200276.073789543</v>
      </c>
      <c r="K25" s="397" t="n">
        <f aca="false">SUM(G25:J25)</f>
        <v>1653154.41781133</v>
      </c>
      <c r="L25" s="396" t="n">
        <f aca="false">F25-K25</f>
        <v>9320849.12709332</v>
      </c>
    </row>
    <row r="26" customFormat="false" ht="13.8" hidden="false" customHeight="false" outlineLevel="0" collapsed="false">
      <c r="A26" s="398" t="n">
        <v>20</v>
      </c>
      <c r="B26" s="399" t="n">
        <f aca="false">'Input-Detail'!AE34</f>
        <v>0</v>
      </c>
      <c r="C26" s="399" t="n">
        <f aca="false">'Input-Detail'!AF34</f>
        <v>10924454.2307737</v>
      </c>
      <c r="D26" s="399" t="n">
        <f aca="false">'Input-Detail'!AG34</f>
        <v>50557.6314259183</v>
      </c>
      <c r="E26" s="399" t="n">
        <f aca="false">'Input-Detail'!AH34</f>
        <v>513755.335298268</v>
      </c>
      <c r="F26" s="400" t="n">
        <f aca="false">SUM(B26:E26)</f>
        <v>11488767.1974979</v>
      </c>
      <c r="G26" s="399" t="n">
        <f aca="false">'Input-Detail'!AO34</f>
        <v>865535.909367389</v>
      </c>
      <c r="H26" s="399" t="n">
        <f aca="false">'Input-Detail'!AP34</f>
        <v>655170.794073658</v>
      </c>
      <c r="I26" s="399" t="n">
        <f aca="false">'Input-Detail'!AQ34</f>
        <v>8663.80845200611</v>
      </c>
      <c r="J26" s="399" t="n">
        <f aca="false">'Input-Detail'!AR34</f>
        <v>206284.35600323</v>
      </c>
      <c r="K26" s="400" t="n">
        <f aca="false">SUM(G26:J26)</f>
        <v>1735654.86789628</v>
      </c>
      <c r="L26" s="401" t="n">
        <f aca="false">F26-K26</f>
        <v>9753112.32960161</v>
      </c>
    </row>
    <row r="27" customFormat="false" ht="13.8" hidden="false" customHeight="false" outlineLevel="0" collapsed="false"/>
    <row r="29" customFormat="false" ht="13.2" hidden="false" customHeight="false" outlineLevel="0" collapsed="false">
      <c r="O29" s="402"/>
      <c r="P29" s="403"/>
    </row>
    <row r="30" customFormat="false" ht="13.2" hidden="false" customHeight="false" outlineLevel="0" collapsed="false">
      <c r="O30" s="404"/>
    </row>
  </sheetData>
  <mergeCells count="4">
    <mergeCell ref="A4:A5"/>
    <mergeCell ref="B4:F4"/>
    <mergeCell ref="G4:K4"/>
    <mergeCell ref="L4:L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51"/>
  <sheetViews>
    <sheetView showFormulas="false" showGridLines="true" showRowColHeaders="true" showZeros="true" rightToLeft="false" tabSelected="false" showOutlineSymbols="true" defaultGridColor="true" view="normal" topLeftCell="C1" colorId="64" zoomScale="75" zoomScaleNormal="75" zoomScalePageLayoutView="100" workbookViewId="0">
      <selection pane="topLeft" activeCell="Q39" activeCellId="0" sqref="Q39"/>
    </sheetView>
  </sheetViews>
  <sheetFormatPr defaultColWidth="8.875" defaultRowHeight="13.2" customHeight="false" zeroHeight="false" outlineLevelRow="0" outlineLevelCol="0"/>
  <cols>
    <col collapsed="false" customWidth="true" hidden="false" outlineLevel="0" max="1" min="1" style="405" width="1.55"/>
    <col collapsed="false" customWidth="true" hidden="false" outlineLevel="0" max="2" min="2" style="405" width="9.33"/>
    <col collapsed="false" customWidth="true" hidden="false" outlineLevel="0" max="3" min="3" style="405" width="13.87"/>
    <col collapsed="false" customWidth="false" hidden="false" outlineLevel="0" max="4" min="4" style="405" width="8.87"/>
    <col collapsed="false" customWidth="true" hidden="false" outlineLevel="0" max="5" min="5" style="405" width="5.1"/>
    <col collapsed="false" customWidth="true" hidden="false" outlineLevel="0" max="7" min="6" style="405" width="1.66"/>
    <col collapsed="false" customWidth="true" hidden="false" outlineLevel="0" max="8" min="8" style="405" width="5.87"/>
    <col collapsed="false" customWidth="true" hidden="false" outlineLevel="0" max="9" min="9" style="405" width="11.32"/>
    <col collapsed="false" customWidth="true" hidden="false" outlineLevel="0" max="10" min="10" style="405" width="9.87"/>
    <col collapsed="false" customWidth="true" hidden="false" outlineLevel="0" max="11" min="11" style="405" width="16.1"/>
    <col collapsed="false" customWidth="true" hidden="false" outlineLevel="0" max="12" min="12" style="405" width="11.66"/>
    <col collapsed="false" customWidth="true" hidden="false" outlineLevel="0" max="13" min="13" style="405" width="8.33"/>
    <col collapsed="false" customWidth="true" hidden="false" outlineLevel="0" max="14" min="14" style="405" width="15.99"/>
    <col collapsed="false" customWidth="true" hidden="false" outlineLevel="0" max="15" min="15" style="405" width="12.32"/>
    <col collapsed="false" customWidth="true" hidden="false" outlineLevel="0" max="16" min="16" style="405" width="7.88"/>
    <col collapsed="false" customWidth="true" hidden="false" outlineLevel="0" max="17" min="17" style="405" width="7.1"/>
    <col collapsed="false" customWidth="true" hidden="false" outlineLevel="0" max="18" min="18" style="360" width="5.87"/>
    <col collapsed="false" customWidth="true" hidden="false" outlineLevel="0" max="19" min="19" style="360" width="12.55"/>
    <col collapsed="false" customWidth="true" hidden="false" outlineLevel="0" max="20" min="20" style="360" width="9.55"/>
    <col collapsed="false" customWidth="true" hidden="false" outlineLevel="0" max="21" min="21" style="360" width="7.32"/>
    <col collapsed="false" customWidth="true" hidden="false" outlineLevel="0" max="22" min="22" style="360" width="10.43"/>
    <col collapsed="false" customWidth="true" hidden="false" outlineLevel="0" max="23" min="23" style="360" width="10.55"/>
    <col collapsed="false" customWidth="true" hidden="false" outlineLevel="0" max="24" min="24" style="360" width="5.99"/>
    <col collapsed="false" customWidth="true" hidden="false" outlineLevel="0" max="25" min="25" style="360" width="7.1"/>
    <col collapsed="false" customWidth="true" hidden="false" outlineLevel="0" max="26" min="26" style="360" width="11.1"/>
    <col collapsed="false" customWidth="true" hidden="false" outlineLevel="0" max="30" min="27" style="360" width="8.33"/>
    <col collapsed="false" customWidth="true" hidden="false" outlineLevel="0" max="31" min="31" style="360" width="6.43"/>
    <col collapsed="false" customWidth="true" hidden="false" outlineLevel="0" max="32" min="32" style="360" width="6.66"/>
    <col collapsed="false" customWidth="true" hidden="false" outlineLevel="0" max="33" min="33" style="360" width="6.43"/>
    <col collapsed="false" customWidth="true" hidden="false" outlineLevel="0" max="34" min="34" style="360" width="5.87"/>
    <col collapsed="false" customWidth="true" hidden="false" outlineLevel="0" max="35" min="35" style="360" width="6.43"/>
    <col collapsed="false" customWidth="true" hidden="false" outlineLevel="0" max="36" min="36" style="360" width="6.32"/>
    <col collapsed="false" customWidth="true" hidden="false" outlineLevel="0" max="37" min="37" style="360" width="6.66"/>
    <col collapsed="false" customWidth="true" hidden="false" outlineLevel="0" max="38" min="38" style="360" width="7.1"/>
    <col collapsed="false" customWidth="true" hidden="false" outlineLevel="0" max="39" min="39" style="360" width="6.55"/>
    <col collapsed="false" customWidth="true" hidden="false" outlineLevel="0" max="40" min="40" style="360" width="6.43"/>
    <col collapsed="false" customWidth="true" hidden="false" outlineLevel="0" max="42" min="41" style="360" width="7.43"/>
    <col collapsed="false" customWidth="true" hidden="false" outlineLevel="0" max="43" min="43" style="360" width="7.32"/>
    <col collapsed="false" customWidth="true" hidden="false" outlineLevel="0" max="44" min="44" style="360" width="8.1"/>
    <col collapsed="false" customWidth="true" hidden="false" outlineLevel="0" max="45" min="45" style="360" width="7.55"/>
    <col collapsed="false" customWidth="true" hidden="false" outlineLevel="0" max="46" min="46" style="360" width="7.99"/>
    <col collapsed="false" customWidth="true" hidden="false" outlineLevel="0" max="47" min="47" style="360" width="7.66"/>
    <col collapsed="false" customWidth="true" hidden="false" outlineLevel="0" max="48" min="48" style="360" width="7.43"/>
    <col collapsed="false" customWidth="true" hidden="false" outlineLevel="0" max="49" min="49" style="360" width="7.66"/>
    <col collapsed="false" customWidth="true" hidden="false" outlineLevel="0" max="50" min="50" style="360" width="7.55"/>
    <col collapsed="false" customWidth="true" hidden="false" outlineLevel="0" max="51" min="51" style="360" width="7.88"/>
    <col collapsed="false" customWidth="true" hidden="false" outlineLevel="0" max="52" min="52" style="360" width="10.32"/>
    <col collapsed="false" customWidth="true" hidden="false" outlineLevel="0" max="53" min="53" style="360" width="9.99"/>
    <col collapsed="false" customWidth="true" hidden="false" outlineLevel="0" max="54" min="54" style="360" width="12.32"/>
    <col collapsed="false" customWidth="true" hidden="false" outlineLevel="0" max="55" min="55" style="360" width="9.55"/>
    <col collapsed="false" customWidth="false" hidden="false" outlineLevel="0" max="60" min="56" style="360" width="8.87"/>
    <col collapsed="false" customWidth="true" hidden="false" outlineLevel="0" max="61" min="61" style="360" width="10.87"/>
    <col collapsed="false" customWidth="true" hidden="false" outlineLevel="0" max="62" min="62" style="360" width="8.1"/>
    <col collapsed="false" customWidth="true" hidden="false" outlineLevel="0" max="63" min="63" style="360" width="7.43"/>
    <col collapsed="false" customWidth="true" hidden="false" outlineLevel="0" max="64" min="64" style="360" width="10.66"/>
    <col collapsed="false" customWidth="true" hidden="false" outlineLevel="0" max="65" min="65" style="360" width="6.43"/>
    <col collapsed="false" customWidth="true" hidden="false" outlineLevel="0" max="66" min="66" style="360" width="6.55"/>
    <col collapsed="false" customWidth="true" hidden="false" outlineLevel="0" max="67" min="67" style="360" width="5.55"/>
    <col collapsed="false" customWidth="true" hidden="false" outlineLevel="0" max="68" min="68" style="360" width="5.99"/>
    <col collapsed="false" customWidth="true" hidden="false" outlineLevel="0" max="69" min="69" style="360" width="5.87"/>
    <col collapsed="false" customWidth="true" hidden="false" outlineLevel="0" max="70" min="70" style="360" width="7.88"/>
    <col collapsed="false" customWidth="true" hidden="false" outlineLevel="0" max="72" min="71" style="360" width="6.43"/>
    <col collapsed="false" customWidth="true" hidden="false" outlineLevel="0" max="73" min="73" style="360" width="6.99"/>
    <col collapsed="false" customWidth="true" hidden="false" outlineLevel="0" max="74" min="74" style="360" width="5.99"/>
    <col collapsed="false" customWidth="true" hidden="false" outlineLevel="0" max="75" min="75" style="360" width="7.43"/>
    <col collapsed="false" customWidth="true" hidden="false" outlineLevel="0" max="76" min="76" style="360" width="6.1"/>
    <col collapsed="false" customWidth="true" hidden="false" outlineLevel="0" max="77" min="77" style="360" width="5.87"/>
    <col collapsed="false" customWidth="true" hidden="false" outlineLevel="0" max="78" min="78" style="360" width="6.1"/>
    <col collapsed="false" customWidth="true" hidden="false" outlineLevel="0" max="79" min="79" style="360" width="6.43"/>
    <col collapsed="false" customWidth="true" hidden="false" outlineLevel="0" max="80" min="80" style="360" width="5.55"/>
    <col collapsed="false" customWidth="true" hidden="false" outlineLevel="0" max="81" min="81" style="360" width="5.66"/>
    <col collapsed="false" customWidth="true" hidden="false" outlineLevel="0" max="82" min="82" style="360" width="5.55"/>
    <col collapsed="false" customWidth="true" hidden="false" outlineLevel="0" max="83" min="83" style="360" width="5.1"/>
    <col collapsed="false" customWidth="true" hidden="false" outlineLevel="0" max="84" min="84" style="405" width="10.1"/>
    <col collapsed="false" customWidth="false" hidden="false" outlineLevel="0" max="89" min="85" style="360" width="8.87"/>
    <col collapsed="false" customWidth="true" hidden="false" outlineLevel="0" max="90" min="90" style="360" width="7.99"/>
    <col collapsed="false" customWidth="true" hidden="false" outlineLevel="0" max="91" min="91" style="360" width="10.66"/>
    <col collapsed="false" customWidth="true" hidden="false" outlineLevel="0" max="92" min="92" style="360" width="10.1"/>
    <col collapsed="false" customWidth="true" hidden="false" outlineLevel="0" max="93" min="93" style="360" width="7.1"/>
    <col collapsed="false" customWidth="false" hidden="false" outlineLevel="0" max="94" min="94" style="360" width="8.87"/>
    <col collapsed="false" customWidth="true" hidden="false" outlineLevel="0" max="95" min="95" style="360" width="6.43"/>
    <col collapsed="false" customWidth="true" hidden="false" outlineLevel="0" max="96" min="96" style="360" width="6.99"/>
    <col collapsed="false" customWidth="true" hidden="false" outlineLevel="0" max="97" min="97" style="405" width="6.55"/>
    <col collapsed="false" customWidth="true" hidden="false" outlineLevel="0" max="98" min="98" style="405" width="6.66"/>
    <col collapsed="false" customWidth="true" hidden="false" outlineLevel="0" max="99" min="99" style="405" width="6.32"/>
    <col collapsed="false" customWidth="true" hidden="false" outlineLevel="0" max="100" min="100" style="405" width="6.1"/>
    <col collapsed="false" customWidth="true" hidden="false" outlineLevel="0" max="101" min="101" style="405" width="5.99"/>
    <col collapsed="false" customWidth="true" hidden="false" outlineLevel="0" max="102" min="102" style="405" width="6.87"/>
    <col collapsed="false" customWidth="true" hidden="false" outlineLevel="0" max="104" min="103" style="405" width="6.43"/>
    <col collapsed="false" customWidth="true" hidden="false" outlineLevel="0" max="105" min="105" style="405" width="6.1"/>
    <col collapsed="false" customWidth="true" hidden="false" outlineLevel="0" max="106" min="106" style="405" width="6.32"/>
    <col collapsed="false" customWidth="true" hidden="false" outlineLevel="0" max="107" min="107" style="405" width="6.66"/>
    <col collapsed="false" customWidth="true" hidden="false" outlineLevel="0" max="109" min="108" style="405" width="6.55"/>
    <col collapsed="false" customWidth="true" hidden="false" outlineLevel="0" max="110" min="110" style="405" width="6.32"/>
    <col collapsed="false" customWidth="true" hidden="false" outlineLevel="0" max="111" min="111" style="405" width="11.1"/>
    <col collapsed="false" customWidth="false" hidden="false" outlineLevel="0" max="257" min="112" style="405" width="8.87"/>
  </cols>
  <sheetData>
    <row r="1" customFormat="false" ht="13.2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8"/>
      <c r="W1" s="18"/>
      <c r="X1" s="18"/>
      <c r="Y1" s="18"/>
      <c r="Z1" s="406" t="s">
        <v>305</v>
      </c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G1" s="18"/>
      <c r="CH1" s="18"/>
      <c r="CI1" s="18"/>
      <c r="CJ1" s="18"/>
      <c r="CK1" s="18"/>
      <c r="CS1" s="360"/>
      <c r="CT1" s="360"/>
      <c r="CU1" s="360"/>
      <c r="CV1" s="360"/>
      <c r="CW1" s="360"/>
      <c r="CX1" s="360"/>
      <c r="CY1" s="360"/>
      <c r="CZ1" s="360"/>
      <c r="DA1" s="360"/>
      <c r="DB1" s="360"/>
      <c r="DC1" s="360"/>
      <c r="DD1" s="360"/>
      <c r="DE1" s="360"/>
      <c r="DF1" s="360"/>
    </row>
    <row r="2" customFormat="false" ht="13.2" hidden="false" customHeight="fals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8"/>
      <c r="S2" s="18"/>
      <c r="T2" s="18"/>
      <c r="U2" s="18"/>
      <c r="V2" s="407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G2" s="18"/>
    </row>
    <row r="3" customFormat="false" ht="14.25" hidden="false" customHeight="true" outlineLevel="0" collapsed="false">
      <c r="B3" s="354" t="s">
        <v>306</v>
      </c>
      <c r="C3" s="1"/>
      <c r="D3" s="1"/>
      <c r="E3" s="1"/>
      <c r="F3" s="1"/>
      <c r="G3" s="1"/>
      <c r="J3" s="1"/>
      <c r="K3" s="354" t="s">
        <v>307</v>
      </c>
      <c r="M3" s="1"/>
      <c r="N3" s="1"/>
      <c r="O3" s="1"/>
      <c r="P3" s="1"/>
      <c r="Q3" s="1"/>
      <c r="R3" s="1"/>
      <c r="S3" s="1"/>
      <c r="T3" s="1"/>
      <c r="U3" s="1"/>
      <c r="V3" s="408" t="s">
        <v>308</v>
      </c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" t="s">
        <v>309</v>
      </c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G3" s="405"/>
      <c r="CH3" s="405"/>
      <c r="CI3" s="18"/>
      <c r="CJ3" s="1" t="s">
        <v>310</v>
      </c>
      <c r="CK3" s="18"/>
      <c r="CL3" s="18"/>
      <c r="CM3" s="18"/>
      <c r="CS3" s="360"/>
      <c r="CT3" s="360"/>
      <c r="CU3" s="360"/>
      <c r="CV3" s="360"/>
      <c r="CW3" s="360"/>
      <c r="CX3" s="360"/>
      <c r="CY3" s="360"/>
      <c r="CZ3" s="360"/>
      <c r="DA3" s="360"/>
      <c r="DB3" s="360"/>
      <c r="DC3" s="360"/>
      <c r="DD3" s="360"/>
      <c r="DE3" s="360"/>
      <c r="DF3" s="360"/>
      <c r="DG3" s="360"/>
      <c r="DH3" s="360"/>
    </row>
    <row r="4" customFormat="false" ht="13.2" hidden="false" customHeight="false" outlineLevel="0" collapsed="fals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T4" s="409"/>
    </row>
    <row r="5" customFormat="false" ht="18.75" hidden="false" customHeight="true" outlineLevel="0" collapsed="false">
      <c r="B5" s="410"/>
      <c r="C5" s="154"/>
      <c r="D5" s="154"/>
      <c r="E5" s="155"/>
      <c r="H5" s="411" t="s">
        <v>96</v>
      </c>
      <c r="I5" s="411" t="s">
        <v>222</v>
      </c>
      <c r="J5" s="412" t="s">
        <v>311</v>
      </c>
      <c r="K5" s="413" t="s">
        <v>312</v>
      </c>
      <c r="L5" s="414" t="s">
        <v>313</v>
      </c>
      <c r="M5" s="414"/>
      <c r="N5" s="414"/>
      <c r="O5" s="413" t="s">
        <v>314</v>
      </c>
      <c r="P5" s="415" t="s">
        <v>315</v>
      </c>
      <c r="Q5" s="415"/>
      <c r="R5" s="415"/>
      <c r="S5" s="411" t="s">
        <v>314</v>
      </c>
      <c r="T5" s="405"/>
      <c r="U5" s="405"/>
      <c r="V5" s="411" t="s">
        <v>96</v>
      </c>
      <c r="W5" s="411" t="s">
        <v>222</v>
      </c>
      <c r="X5" s="411" t="s">
        <v>311</v>
      </c>
      <c r="Y5" s="411" t="s">
        <v>229</v>
      </c>
      <c r="Z5" s="411" t="s">
        <v>230</v>
      </c>
      <c r="AA5" s="411" t="s">
        <v>143</v>
      </c>
      <c r="AB5" s="416" t="s">
        <v>231</v>
      </c>
      <c r="AC5" s="413" t="s">
        <v>316</v>
      </c>
      <c r="AD5" s="417" t="s">
        <v>317</v>
      </c>
      <c r="AE5" s="417"/>
      <c r="AF5" s="417"/>
      <c r="AG5" s="417"/>
      <c r="AH5" s="417"/>
      <c r="AI5" s="417"/>
      <c r="AJ5" s="417"/>
      <c r="AK5" s="417"/>
      <c r="AL5" s="417"/>
      <c r="AM5" s="417"/>
      <c r="AN5" s="417"/>
      <c r="AO5" s="417"/>
      <c r="AP5" s="417"/>
      <c r="AQ5" s="417"/>
      <c r="AR5" s="417"/>
      <c r="AS5" s="417"/>
      <c r="AT5" s="417"/>
      <c r="AU5" s="417"/>
      <c r="AV5" s="417"/>
      <c r="AW5" s="417"/>
      <c r="AX5" s="417"/>
      <c r="AY5" s="417"/>
      <c r="AZ5" s="418" t="s">
        <v>318</v>
      </c>
      <c r="BA5" s="419" t="s">
        <v>319</v>
      </c>
      <c r="BB5" s="418" t="s">
        <v>320</v>
      </c>
      <c r="BC5" s="419" t="s">
        <v>319</v>
      </c>
      <c r="BF5" s="420" t="s">
        <v>96</v>
      </c>
      <c r="BG5" s="421" t="s">
        <v>311</v>
      </c>
      <c r="BH5" s="422" t="s">
        <v>316</v>
      </c>
      <c r="BI5" s="423" t="s">
        <v>321</v>
      </c>
      <c r="BJ5" s="424" t="s">
        <v>317</v>
      </c>
      <c r="BK5" s="424"/>
      <c r="BL5" s="424"/>
      <c r="BM5" s="424"/>
      <c r="BN5" s="424"/>
      <c r="BO5" s="424"/>
      <c r="BP5" s="424"/>
      <c r="BQ5" s="424"/>
      <c r="BR5" s="424"/>
      <c r="BS5" s="424"/>
      <c r="BT5" s="424"/>
      <c r="BU5" s="424"/>
      <c r="BV5" s="424"/>
      <c r="BW5" s="424"/>
      <c r="BX5" s="424"/>
      <c r="BY5" s="424"/>
      <c r="BZ5" s="424"/>
      <c r="CA5" s="424"/>
      <c r="CB5" s="424"/>
      <c r="CC5" s="424"/>
      <c r="CD5" s="424"/>
      <c r="CE5" s="424"/>
      <c r="CF5" s="424"/>
      <c r="CG5" s="424"/>
      <c r="CH5" s="420" t="s">
        <v>322</v>
      </c>
      <c r="CJ5" s="420" t="s">
        <v>96</v>
      </c>
      <c r="CK5" s="421" t="s">
        <v>311</v>
      </c>
      <c r="CL5" s="422" t="s">
        <v>316</v>
      </c>
      <c r="CM5" s="419" t="s">
        <v>323</v>
      </c>
      <c r="CN5" s="424" t="s">
        <v>317</v>
      </c>
      <c r="CO5" s="424"/>
      <c r="CP5" s="424"/>
      <c r="CQ5" s="424"/>
      <c r="CR5" s="424"/>
      <c r="CS5" s="424"/>
      <c r="CT5" s="424"/>
      <c r="CU5" s="424"/>
      <c r="CV5" s="424"/>
      <c r="CW5" s="424"/>
      <c r="CX5" s="424"/>
      <c r="CY5" s="424"/>
      <c r="CZ5" s="424"/>
      <c r="DA5" s="424"/>
      <c r="DB5" s="424"/>
      <c r="DC5" s="424"/>
      <c r="DD5" s="424"/>
      <c r="DE5" s="424"/>
      <c r="DF5" s="424"/>
      <c r="DG5" s="424"/>
      <c r="DH5" s="424"/>
      <c r="DI5" s="424"/>
      <c r="DJ5" s="420" t="s">
        <v>324</v>
      </c>
    </row>
    <row r="6" customFormat="false" ht="33.75" hidden="false" customHeight="true" outlineLevel="0" collapsed="false">
      <c r="B6" s="425" t="s">
        <v>91</v>
      </c>
      <c r="C6" s="81"/>
      <c r="D6" s="159"/>
      <c r="E6" s="76"/>
      <c r="H6" s="411"/>
      <c r="I6" s="411"/>
      <c r="J6" s="412"/>
      <c r="K6" s="413"/>
      <c r="L6" s="426" t="s">
        <v>137</v>
      </c>
      <c r="M6" s="427" t="s">
        <v>138</v>
      </c>
      <c r="N6" s="427" t="s">
        <v>282</v>
      </c>
      <c r="O6" s="413"/>
      <c r="P6" s="426" t="s">
        <v>137</v>
      </c>
      <c r="Q6" s="427" t="s">
        <v>138</v>
      </c>
      <c r="R6" s="427" t="s">
        <v>282</v>
      </c>
      <c r="S6" s="411"/>
      <c r="T6" s="405"/>
      <c r="U6" s="405"/>
      <c r="V6" s="411"/>
      <c r="W6" s="411"/>
      <c r="X6" s="411"/>
      <c r="Y6" s="411"/>
      <c r="Z6" s="411"/>
      <c r="AA6" s="411"/>
      <c r="AB6" s="416"/>
      <c r="AC6" s="413"/>
      <c r="AD6" s="428" t="s">
        <v>325</v>
      </c>
      <c r="AE6" s="429" t="n">
        <v>1</v>
      </c>
      <c r="AF6" s="429" t="n">
        <v>2</v>
      </c>
      <c r="AG6" s="429" t="n">
        <v>3</v>
      </c>
      <c r="AH6" s="429" t="n">
        <v>4</v>
      </c>
      <c r="AI6" s="429" t="n">
        <v>5</v>
      </c>
      <c r="AJ6" s="429" t="n">
        <v>6</v>
      </c>
      <c r="AK6" s="429" t="n">
        <v>7</v>
      </c>
      <c r="AL6" s="429" t="n">
        <v>8</v>
      </c>
      <c r="AM6" s="429" t="n">
        <v>9</v>
      </c>
      <c r="AN6" s="429" t="n">
        <v>10</v>
      </c>
      <c r="AO6" s="429" t="n">
        <v>11</v>
      </c>
      <c r="AP6" s="429" t="n">
        <v>12</v>
      </c>
      <c r="AQ6" s="429" t="n">
        <v>13</v>
      </c>
      <c r="AR6" s="429" t="n">
        <v>14</v>
      </c>
      <c r="AS6" s="429" t="n">
        <v>15</v>
      </c>
      <c r="AT6" s="429" t="n">
        <v>16</v>
      </c>
      <c r="AU6" s="429" t="n">
        <v>17</v>
      </c>
      <c r="AV6" s="429" t="n">
        <v>18</v>
      </c>
      <c r="AW6" s="429" t="n">
        <v>19</v>
      </c>
      <c r="AX6" s="429" t="n">
        <v>20</v>
      </c>
      <c r="AY6" s="430" t="n">
        <v>21</v>
      </c>
      <c r="AZ6" s="418"/>
      <c r="BA6" s="419"/>
      <c r="BB6" s="418"/>
      <c r="BC6" s="419"/>
      <c r="BF6" s="420"/>
      <c r="BG6" s="421"/>
      <c r="BH6" s="422"/>
      <c r="BI6" s="423"/>
      <c r="BJ6" s="431" t="s">
        <v>326</v>
      </c>
      <c r="BK6" s="432" t="s">
        <v>325</v>
      </c>
      <c r="BL6" s="431" t="s">
        <v>327</v>
      </c>
      <c r="BM6" s="433" t="n">
        <v>1</v>
      </c>
      <c r="BN6" s="433" t="n">
        <v>2</v>
      </c>
      <c r="BO6" s="433" t="n">
        <v>3</v>
      </c>
      <c r="BP6" s="433" t="n">
        <v>4</v>
      </c>
      <c r="BQ6" s="433" t="n">
        <v>5</v>
      </c>
      <c r="BR6" s="433" t="n">
        <v>6</v>
      </c>
      <c r="BS6" s="433" t="n">
        <v>7</v>
      </c>
      <c r="BT6" s="433" t="n">
        <v>8</v>
      </c>
      <c r="BU6" s="433" t="n">
        <v>9</v>
      </c>
      <c r="BV6" s="433" t="n">
        <v>10</v>
      </c>
      <c r="BW6" s="433" t="n">
        <v>11</v>
      </c>
      <c r="BX6" s="433" t="n">
        <v>12</v>
      </c>
      <c r="BY6" s="433" t="n">
        <v>13</v>
      </c>
      <c r="BZ6" s="433" t="n">
        <v>14</v>
      </c>
      <c r="CA6" s="433" t="n">
        <v>15</v>
      </c>
      <c r="CB6" s="433" t="n">
        <v>16</v>
      </c>
      <c r="CC6" s="433" t="n">
        <v>17</v>
      </c>
      <c r="CD6" s="433" t="n">
        <v>18</v>
      </c>
      <c r="CE6" s="433" t="n">
        <v>19</v>
      </c>
      <c r="CF6" s="433" t="n">
        <v>20</v>
      </c>
      <c r="CG6" s="434" t="n">
        <v>21</v>
      </c>
      <c r="CH6" s="420"/>
      <c r="CJ6" s="420"/>
      <c r="CK6" s="421"/>
      <c r="CL6" s="422"/>
      <c r="CM6" s="419"/>
      <c r="CN6" s="435" t="s">
        <v>327</v>
      </c>
      <c r="CO6" s="436" t="n">
        <v>1</v>
      </c>
      <c r="CP6" s="436" t="n">
        <v>2</v>
      </c>
      <c r="CQ6" s="436" t="n">
        <v>3</v>
      </c>
      <c r="CR6" s="436" t="n">
        <v>4</v>
      </c>
      <c r="CS6" s="436" t="n">
        <v>5</v>
      </c>
      <c r="CT6" s="436" t="n">
        <v>6</v>
      </c>
      <c r="CU6" s="436" t="n">
        <v>7</v>
      </c>
      <c r="CV6" s="436" t="n">
        <v>8</v>
      </c>
      <c r="CW6" s="436" t="n">
        <v>9</v>
      </c>
      <c r="CX6" s="436" t="n">
        <v>10</v>
      </c>
      <c r="CY6" s="436" t="n">
        <v>11</v>
      </c>
      <c r="CZ6" s="436" t="n">
        <v>12</v>
      </c>
      <c r="DA6" s="436" t="n">
        <v>13</v>
      </c>
      <c r="DB6" s="436" t="n">
        <v>14</v>
      </c>
      <c r="DC6" s="436" t="n">
        <v>15</v>
      </c>
      <c r="DD6" s="436" t="n">
        <v>16</v>
      </c>
      <c r="DE6" s="436" t="n">
        <v>17</v>
      </c>
      <c r="DF6" s="436" t="n">
        <v>18</v>
      </c>
      <c r="DG6" s="436" t="n">
        <v>19</v>
      </c>
      <c r="DH6" s="436" t="n">
        <v>20</v>
      </c>
      <c r="DI6" s="437" t="n">
        <v>21</v>
      </c>
      <c r="DJ6" s="420"/>
    </row>
    <row r="7" customFormat="false" ht="13.8" hidden="false" customHeight="false" outlineLevel="0" collapsed="false">
      <c r="B7" s="438"/>
      <c r="C7" s="74" t="s">
        <v>99</v>
      </c>
      <c r="D7" s="439" t="n">
        <f aca="false">'Input-Detail'!AZ10</f>
        <v>7</v>
      </c>
      <c r="E7" s="76"/>
      <c r="H7" s="440" t="s">
        <v>114</v>
      </c>
      <c r="I7" s="441" t="n">
        <f aca="false">'Input-Detail'!E14</f>
        <v>19016173</v>
      </c>
      <c r="J7" s="442" t="n">
        <f aca="false">'Input-Detail'!F14</f>
        <v>0</v>
      </c>
      <c r="K7" s="443" t="n">
        <f aca="false">AC7</f>
        <v>5740</v>
      </c>
      <c r="L7" s="444"/>
      <c r="M7" s="445"/>
      <c r="N7" s="445"/>
      <c r="O7" s="446"/>
      <c r="P7" s="444"/>
      <c r="Q7" s="445"/>
      <c r="R7" s="445"/>
      <c r="S7" s="447"/>
      <c r="T7" s="405"/>
      <c r="U7" s="405"/>
      <c r="V7" s="440" t="s">
        <v>114</v>
      </c>
      <c r="W7" s="441" t="n">
        <f aca="false">'Input-Detail'!E14</f>
        <v>19016173</v>
      </c>
      <c r="X7" s="442" t="n">
        <f aca="false">J7</f>
        <v>0</v>
      </c>
      <c r="Y7" s="448" t="n">
        <f aca="false">'Input-Detail'!V18</f>
        <v>8200</v>
      </c>
      <c r="Z7" s="449" t="n">
        <f aca="false">'Input-Detail'!W18</f>
        <v>2319.04548780488</v>
      </c>
      <c r="AA7" s="448" t="n">
        <f aca="false">'Input-Detail'!X18</f>
        <v>2</v>
      </c>
      <c r="AB7" s="450" t="n">
        <f aca="false">'Input-Detail'!Y18</f>
        <v>0.7</v>
      </c>
      <c r="AC7" s="451" t="n">
        <f aca="false">Y7*AB7</f>
        <v>5740</v>
      </c>
      <c r="AD7" s="452" t="n">
        <f aca="false">Peak_Time_Eve*$BH7*(3600/K40+BK7)/3600</f>
        <v>32.9464087601818</v>
      </c>
      <c r="AE7" s="453"/>
      <c r="AF7" s="453"/>
      <c r="AG7" s="453"/>
      <c r="AH7" s="453"/>
      <c r="AI7" s="453"/>
      <c r="AJ7" s="453"/>
      <c r="AK7" s="453"/>
      <c r="AL7" s="453"/>
      <c r="AM7" s="453"/>
      <c r="AN7" s="453"/>
      <c r="AO7" s="453"/>
      <c r="AP7" s="453"/>
      <c r="AQ7" s="453"/>
      <c r="AR7" s="453"/>
      <c r="AS7" s="453"/>
      <c r="AT7" s="453"/>
      <c r="AU7" s="453"/>
      <c r="AV7" s="453"/>
      <c r="AW7" s="453"/>
      <c r="AX7" s="453"/>
      <c r="AY7" s="454"/>
      <c r="AZ7" s="455"/>
      <c r="BA7" s="456"/>
      <c r="BB7" s="457"/>
      <c r="BC7" s="457"/>
      <c r="BF7" s="440" t="s">
        <v>114</v>
      </c>
      <c r="BG7" s="442" t="n">
        <f aca="false">$X7</f>
        <v>0</v>
      </c>
      <c r="BH7" s="458" t="n">
        <f aca="false">$AC7</f>
        <v>5740</v>
      </c>
      <c r="BI7" s="459" t="n">
        <f aca="false">BH7*(1-BG7)</f>
        <v>5740</v>
      </c>
      <c r="BJ7" s="460" t="n">
        <f aca="false">Peak_Arrival_Manual/K40</f>
        <v>10.4834722222222</v>
      </c>
      <c r="BK7" s="461" t="n">
        <f aca="false">900*Peak_Time_Eve*(BJ7/Total_Lanes-1+SQRT((BJ7/Total_Lanes-1)^2+8*(BJ7/Total_Lanes)/(Peak_Time_Eve*$K40*Total_Lanes)))</f>
        <v>3.75662644047512</v>
      </c>
      <c r="BL7" s="462" t="n">
        <f aca="false">Peak_Arrival_Manual/N40</f>
        <v>10.4834722222222</v>
      </c>
      <c r="BM7" s="463" t="n">
        <f aca="false">IF(BM$6&lt;Total_Lanes,900*Peak_Time_Eve*(($BL7/(Total_Lanes-BM$6))-1+SQRT((($BL7/(Total_Lanes-BM$6))-1)^2+8*($BL7/(Total_Lanes-BM$6))/(Peak_Time_Eve*$N40*(Total_Lanes-BM$6)))),"-")</f>
        <v>11.3671393917207</v>
      </c>
      <c r="BN7" s="463" t="n">
        <f aca="false">IF(BN$6&lt;Total_Lanes,900*Peak_Time_Eve*(($BL7/(Total_Lanes-BN$6))-1+SQRT((($BL7/(Total_Lanes-BN$6))-1)^2+8*($BL7/(Total_Lanes-BN$6))/(Peak_Time_Eve*$N40*(Total_Lanes-BN$6)))),"-")</f>
        <v>187.29856830192</v>
      </c>
      <c r="BO7" s="463" t="n">
        <f aca="false">IF(BO$6&lt;Total_Lanes,900*Peak_Time_Eve*(($BL7/(Total_Lanes-BO$6))-1+SQRT((($BL7/(Total_Lanes-BO$6))-1)^2+8*($BL7/(Total_Lanes-BO$6))/(Peak_Time_Eve*$N40*(Total_Lanes-BO$6)))),"-")</f>
        <v>598.507460919182</v>
      </c>
      <c r="BP7" s="463" t="n">
        <f aca="false">IF(BP$6&lt;Total_Lanes,900*Peak_Time_Eve*(($BL7/(Total_Lanes-BP$6))-1+SQRT((($BL7/(Total_Lanes-BP$6))-1)^2+8*($BL7/(Total_Lanes-BP$6))/(Peak_Time_Eve*$N40*(Total_Lanes-BP$6)))),"-")</f>
        <v>1121.02117390371</v>
      </c>
      <c r="BQ7" s="463" t="n">
        <f aca="false">IF(BQ$6&lt;Total_Lanes,900*Peak_Time_Eve*(($BL7/(Total_Lanes-BQ$6))-1+SQRT((($BL7/(Total_Lanes-BQ$6))-1)^2+8*($BL7/(Total_Lanes-BQ$6))/(Peak_Time_Eve*$N40*(Total_Lanes-BQ$6)))),"-")</f>
        <v>1794.3223239832</v>
      </c>
      <c r="BR7" s="463" t="n">
        <f aca="false">IF(BR$6&lt;Total_Lanes,900*Peak_Time_Eve*(($BL7/(Total_Lanes-BR$6))-1+SQRT((($BL7/(Total_Lanes-BR$6))-1)^2+8*($BL7/(Total_Lanes-BR$6))/(Peak_Time_Eve*$N40*(Total_Lanes-BR$6)))),"-")</f>
        <v>2692.64322798053</v>
      </c>
      <c r="BS7" s="463" t="n">
        <f aca="false">IF(BS$6&lt;Total_Lanes,900*Peak_Time_Eve*(($BL7/(Total_Lanes-BS$6))-1+SQRT((($BL7/(Total_Lanes-BS$6))-1)^2+8*($BL7/(Total_Lanes-BS$6))/(Peak_Time_Eve*$N40*(Total_Lanes-BS$6)))),"-")</f>
        <v>3950.612458917</v>
      </c>
      <c r="BT7" s="463" t="n">
        <f aca="false">IF(BT$6&lt;Total_Lanes,900*Peak_Time_Eve*(($BL7/(Total_Lanes-BT$6))-1+SQRT((($BL7/(Total_Lanes-BT$6))-1)^2+8*($BL7/(Total_Lanes-BT$6))/(Peak_Time_Eve*$N40*(Total_Lanes-BT$6)))),"-")</f>
        <v>5837.78165755051</v>
      </c>
      <c r="BU7" s="463" t="n">
        <f aca="false">IF(BU$6&lt;Total_Lanes,900*Peak_Time_Eve*(($BL7/(Total_Lanes-BU$6))-1+SQRT((($BL7/(Total_Lanes-BU$6))-1)^2+8*($BL7/(Total_Lanes-BU$6))/(Peak_Time_Eve*$N40*(Total_Lanes-BU$6)))),"-")</f>
        <v>8983.23588718928</v>
      </c>
      <c r="BV7" s="463" t="n">
        <f aca="false">IF(BV$6&lt;Total_Lanes,900*Peak_Time_Eve*(($BL7/(Total_Lanes-BV$6))-1+SQRT((($BL7/(Total_Lanes-BV$6))-1)^2+8*($BL7/(Total_Lanes-BV$6))/(Peak_Time_Eve*$N40*(Total_Lanes-BV$6)))),"-")</f>
        <v>15274.3114561941</v>
      </c>
      <c r="BW7" s="463" t="n">
        <f aca="false">IF(BW$6&lt;Total_Lanes,900*Peak_Time_Eve*(($BL7/(Total_Lanes-BW$6))-1+SQRT((($BL7/(Total_Lanes-BW$6))-1)^2+8*($BL7/(Total_Lanes-BW$6))/(Peak_Time_Eve*$N40*(Total_Lanes-BW$6)))),"-")</f>
        <v>34147.7667647407</v>
      </c>
      <c r="BX7" s="453" t="str">
        <f aca="false">IF(BX$6&lt;Total_Lanes,900*Peak_Time_Eve*(($BL7/(Total_Lanes-BX$6))-1+SQRT((($BL7/(Total_Lanes-BX$6))-1)^2+8*($BL7/(Total_Lanes-BX$6))/(Peak_Time_Eve*$N40*(Total_Lanes-BX$6)))),"-")</f>
        <v>-</v>
      </c>
      <c r="BY7" s="453" t="str">
        <f aca="false">IF(BY$6&lt;Total_Lanes,900*Peak_Time_Eve*(($BL7/(Total_Lanes-BY$6))-1+SQRT((($BL7/(Total_Lanes-BY$6))-1)^2+8*($BL7/(Total_Lanes-BY$6))/(Peak_Time_Eve*$N40*(Total_Lanes-BY$6)))),"-")</f>
        <v>-</v>
      </c>
      <c r="BZ7" s="453" t="str">
        <f aca="false">IF(BZ$6&lt;Total_Lanes,900*Peak_Time_Eve*(($BL7/(Total_Lanes-BZ$6))-1+SQRT((($BL7/(Total_Lanes-BZ$6))-1)^2+8*($BL7/(Total_Lanes-BZ$6))/(Peak_Time_Eve*$N40*(Total_Lanes-BZ$6)))),"-")</f>
        <v>-</v>
      </c>
      <c r="CA7" s="453" t="str">
        <f aca="false">IF(CA$6&lt;Total_Lanes,900*Peak_Time_Eve*(($BL7/(Total_Lanes-CA$6))-1+SQRT((($BL7/(Total_Lanes-CA$6))-1)^2+8*($BL7/(Total_Lanes-CA$6))/(Peak_Time_Eve*$N40*(Total_Lanes-CA$6)))),"-")</f>
        <v>-</v>
      </c>
      <c r="CB7" s="453" t="str">
        <f aca="false">IF(CB$6&lt;Total_Lanes,900*Peak_Time_Eve*(($BL7/(Total_Lanes-CB$6))-1+SQRT((($BL7/(Total_Lanes-CB$6))-1)^2+8*($BL7/(Total_Lanes-CB$6))/(Peak_Time_Eve*$N40*(Total_Lanes-CB$6)))),"-")</f>
        <v>-</v>
      </c>
      <c r="CC7" s="453" t="str">
        <f aca="false">IF(CC$6&lt;Total_Lanes,900*Peak_Time_Eve*(($BL7/(Total_Lanes-CC$6))-1+SQRT((($BL7/(Total_Lanes-CC$6))-1)^2+8*($BL7/(Total_Lanes-CC$6))/(Peak_Time_Eve*$N40*(Total_Lanes-CC$6)))),"-")</f>
        <v>-</v>
      </c>
      <c r="CD7" s="453" t="str">
        <f aca="false">IF(CD$6&lt;Total_Lanes,900*Peak_Time_Eve*(($BL7/(Total_Lanes-CD$6))-1+SQRT((($BL7/(Total_Lanes-CD$6))-1)^2+8*($BL7/(Total_Lanes-CD$6))/(Peak_Time_Eve*$N40*(Total_Lanes-CD$6)))),"-")</f>
        <v>-</v>
      </c>
      <c r="CE7" s="453" t="str">
        <f aca="false">IF(CE$6&lt;Total_Lanes,900*Peak_Time_Eve*(($BL7/(Total_Lanes-CE$6))-1+SQRT((($BL7/(Total_Lanes-CE$6))-1)^2+8*($BL7/(Total_Lanes-CE$6))/(Peak_Time_Eve*$N40*(Total_Lanes-CE$6)))),"-")</f>
        <v>-</v>
      </c>
      <c r="CF7" s="453" t="str">
        <f aca="false">IF(CF$6&lt;Total_Lanes,900*Peak_Time_Eve*(($BL7/(Total_Lanes-CF$6))-1+SQRT((($BL7/(Total_Lanes-CF$6))-1)^2+8*($BL7/(Total_Lanes-CF$6))/(Peak_Time_Eve*$N40*(Total_Lanes-CF$6)))),"-")</f>
        <v>-</v>
      </c>
      <c r="CG7" s="464" t="str">
        <f aca="false">IF(CG$6&lt;Total_Lanes,900*Peak_Time_Eve*(($BL7/(Total_Lanes-CG$6))-1+SQRT((($BL7/(Total_Lanes-CG$6))-1)^2+8*($BL7/(Total_Lanes-CG$6))/(Peak_Time_Eve*$N40*(Total_Lanes-CG$6)))),"-")</f>
        <v>-</v>
      </c>
      <c r="CH7" s="465" t="n">
        <f aca="false">3600/N40</f>
        <v>6.575</v>
      </c>
      <c r="CJ7" s="440" t="s">
        <v>114</v>
      </c>
      <c r="CK7" s="442" t="n">
        <f aca="false">$X7</f>
        <v>0</v>
      </c>
      <c r="CL7" s="451" t="n">
        <f aca="false">$AC7</f>
        <v>5740</v>
      </c>
      <c r="CM7" s="466" t="n">
        <f aca="false">CL7*CK7</f>
        <v>0</v>
      </c>
      <c r="CN7" s="467"/>
      <c r="CO7" s="468"/>
      <c r="CP7" s="469"/>
      <c r="CQ7" s="469"/>
      <c r="CR7" s="469"/>
      <c r="CS7" s="469"/>
      <c r="CT7" s="469"/>
      <c r="CU7" s="469"/>
      <c r="CV7" s="469"/>
      <c r="CW7" s="469"/>
      <c r="CX7" s="469"/>
      <c r="CY7" s="469"/>
      <c r="CZ7" s="469"/>
      <c r="DA7" s="469"/>
      <c r="DB7" s="469"/>
      <c r="DC7" s="469"/>
      <c r="DD7" s="469"/>
      <c r="DE7" s="469"/>
      <c r="DF7" s="469"/>
      <c r="DG7" s="469"/>
      <c r="DH7" s="469"/>
      <c r="DI7" s="470"/>
      <c r="DJ7" s="465"/>
    </row>
    <row r="8" customFormat="false" ht="13.2" hidden="false" customHeight="false" outlineLevel="0" collapsed="false">
      <c r="B8" s="438"/>
      <c r="C8" s="74" t="s">
        <v>109</v>
      </c>
      <c r="D8" s="439" t="n">
        <f aca="false">'Input-Detail'!AZ11</f>
        <v>4.5</v>
      </c>
      <c r="E8" s="76"/>
      <c r="H8" s="440" t="n">
        <v>1</v>
      </c>
      <c r="I8" s="441" t="n">
        <f aca="false">'Input-Detail'!E15</f>
        <v>19565364.35</v>
      </c>
      <c r="J8" s="442" t="n">
        <f aca="false">'Input-Detail'!F15</f>
        <v>0.06</v>
      </c>
      <c r="K8" s="451" t="n">
        <f aca="false">AC8</f>
        <v>5905.7724900273</v>
      </c>
      <c r="L8" s="452" t="n">
        <f aca="false">AD55</f>
        <v>9.71252382651897</v>
      </c>
      <c r="M8" s="467" t="n">
        <f aca="false">AD8</f>
        <v>31.3152123546593</v>
      </c>
      <c r="N8" s="467" t="n">
        <f aca="false">SUM(L8:M8)</f>
        <v>41.0277361811783</v>
      </c>
      <c r="O8" s="471" t="n">
        <f aca="false">$S$34*N8</f>
        <v>10667.2114071064</v>
      </c>
      <c r="P8" s="452" t="n">
        <f aca="false">BC55</f>
        <v>9.26174761602526</v>
      </c>
      <c r="Q8" s="467" t="n">
        <f aca="false">BC8</f>
        <v>42.6191453995128</v>
      </c>
      <c r="R8" s="467" t="n">
        <f aca="false">SUM(P8:Q8)</f>
        <v>51.880893015538</v>
      </c>
      <c r="S8" s="472" t="n">
        <f aca="false">$S$34*R8</f>
        <v>13489.0321840399</v>
      </c>
      <c r="T8" s="405"/>
      <c r="U8" s="405"/>
      <c r="V8" s="440" t="n">
        <v>1</v>
      </c>
      <c r="W8" s="448" t="n">
        <f aca="false">W$7+(W$27-W$7)*$V8/20</f>
        <v>19565364.35</v>
      </c>
      <c r="X8" s="442" t="n">
        <f aca="false">J8</f>
        <v>0.06</v>
      </c>
      <c r="Y8" s="448" t="n">
        <f aca="false">'Input-Detail'!E15/Z8</f>
        <v>8436.81784289615</v>
      </c>
      <c r="Z8" s="473" t="n">
        <f aca="false">Z7</f>
        <v>2319.04548780488</v>
      </c>
      <c r="AA8" s="473" t="n">
        <f aca="false">AA7</f>
        <v>2</v>
      </c>
      <c r="AB8" s="474" t="n">
        <f aca="false">AB7</f>
        <v>0.7</v>
      </c>
      <c r="AC8" s="451" t="n">
        <f aca="false">Y8*AB8</f>
        <v>5905.7724900273</v>
      </c>
      <c r="AD8" s="452" t="n">
        <f aca="false">Peak_Time_Eve*$BH8*(3600/K41+BK8)/3600</f>
        <v>31.3152123546593</v>
      </c>
      <c r="AE8" s="453" t="n">
        <f aca="false">IF(AE$6&lt;Total_Lanes,($BI8*($CH8+BM8)+$CM8*CO8)*Peak_Time_Eve/3600,"-")</f>
        <v>42.6191453995128</v>
      </c>
      <c r="AF8" s="453" t="n">
        <f aca="false">IF(AF$6&lt;Total_Lanes,($BI8*($CH8+BN8)+$CM8*CP8)*Peak_Time_Eve/3600,"-")</f>
        <v>294.861067883622</v>
      </c>
      <c r="AG8" s="453" t="n">
        <f aca="false">IF(AG$6&lt;Total_Lanes,($BI8*($CH8+BO8)+$CM8*CQ8)*Peak_Time_Eve/3600,"-")</f>
        <v>1485.34944775261</v>
      </c>
      <c r="AH8" s="453" t="n">
        <f aca="false">IF(AH$6&lt;Total_Lanes,($BI8*($CH8+BP8)+$CM8*CR8)*Peak_Time_Eve/3600,"-")</f>
        <v>3046.40542998926</v>
      </c>
      <c r="AI8" s="453" t="n">
        <f aca="false">IF(AI$6&lt;Total_Lanes,($BI8*($CH8+BQ8)+$CM8*CS8)*Peak_Time_Eve/3600,"-")</f>
        <v>5060.56274553066</v>
      </c>
      <c r="AJ8" s="453" t="n">
        <f aca="false">IF(AJ$6&lt;Total_Lanes,($BI8*($CH8+BR8)+$CM8*CT8)*Peak_Time_Eve/3600,"-")</f>
        <v>7748.47724094027</v>
      </c>
      <c r="AK8" s="453" t="n">
        <f aca="false">IF(AK$6&lt;Total_Lanes,($BI8*($CH8+BS8)+$CM8*CU8)*Peak_Time_Eve/3600,"-")</f>
        <v>11512.7597596378</v>
      </c>
      <c r="AL8" s="453" t="n">
        <f aca="false">IF(AL$6&lt;Total_Lanes,($BI8*($CH8+BT8)+$CM8*CV8)*Peak_Time_Eve/3600,"-")</f>
        <v>17159.9578402386</v>
      </c>
      <c r="AM8" s="453" t="n">
        <f aca="false">IF(AM$6&lt;Total_Lanes,($BI8*($CH8+BU8)+$CM8*CW8)*Peak_Time_Eve/3600,"-")</f>
        <v>26572.5559832972</v>
      </c>
      <c r="AN8" s="453" t="n">
        <f aca="false">IF(AN$6&lt;Total_Lanes,($BI8*($CH8+BV8)+$CM8*CX8)*Peak_Time_Eve/3600,"-")</f>
        <v>45398.3235731243</v>
      </c>
      <c r="AO8" s="453" t="n">
        <f aca="false">IF(AO$6&lt;Total_Lanes,($BI8*($CH8+BW8)+$CM8*CY8)*Peak_Time_Eve/3600,"-")</f>
        <v>101876.395573583</v>
      </c>
      <c r="AP8" s="453" t="str">
        <f aca="false">IF(AP$6&lt;Total_Lanes,($BI8*($CH8+BX8)+$CM8*CZ8)*Peak_Time_Eve/3600,"-")</f>
        <v>-</v>
      </c>
      <c r="AQ8" s="453" t="str">
        <f aca="false">IF(AQ$6&lt;Total_Lanes,($BI8*($CH8+BY8)+$CM8*DA8)*Peak_Time_Eve/3600,"-")</f>
        <v>-</v>
      </c>
      <c r="AR8" s="453" t="str">
        <f aca="false">IF(AR$6&lt;Total_Lanes,($BI8*($CH8+BZ8)+$CM8*DB8)*Peak_Time_Eve/3600,"-")</f>
        <v>-</v>
      </c>
      <c r="AS8" s="453" t="str">
        <f aca="false">IF(AS$6&lt;Total_Lanes,($BI8*($CH8+CA8)+$CM8*DC8)*Peak_Time_Eve/3600,"-")</f>
        <v>-</v>
      </c>
      <c r="AT8" s="453" t="str">
        <f aca="false">IF(AT$6&lt;Total_Lanes,($BI8*($CH8+CB8)+$CM8*DD8)*Peak_Time_Eve/3600,"-")</f>
        <v>-</v>
      </c>
      <c r="AU8" s="453" t="str">
        <f aca="false">IF(AU$6&lt;Total_Lanes,($BI8*($CH8+CC8)+$CM8*DE8)*Peak_Time_Eve/3600,"-")</f>
        <v>-</v>
      </c>
      <c r="AV8" s="453" t="str">
        <f aca="false">IF(AV$6&lt;Total_Lanes,($BI8*($CH8+CD8)+$CM8*DF8)*Peak_Time_Eve/3600,"-")</f>
        <v>-</v>
      </c>
      <c r="AW8" s="453" t="str">
        <f aca="false">IF(AW$6&lt;Total_Lanes,($BI8*($CH8+CE8)+$CM8*DG8)*Peak_Time_Eve/3600,"-")</f>
        <v>-</v>
      </c>
      <c r="AX8" s="453" t="str">
        <f aca="false">IF(AX$6&lt;Total_Lanes,($BI8*($CH8+CF8)+$CM8*DH8)*Peak_Time_Eve/3600,"-")</f>
        <v>-</v>
      </c>
      <c r="AY8" s="454" t="str">
        <f aca="false">IF(AY$6&lt;Total_Lanes,($BI8*($CH8+CG8)+$CM8*DI8)*Peak_Time_Eve/3600,"-")</f>
        <v>-</v>
      </c>
      <c r="AZ8" s="475" t="n">
        <f aca="false">SUMIF(AE8:AY8,BA8,$AE$6:$AY$6)</f>
        <v>1</v>
      </c>
      <c r="BA8" s="476" t="n">
        <f aca="false">MIN(AE8:AY8)</f>
        <v>42.6191453995128</v>
      </c>
      <c r="BB8" s="475" t="n">
        <f aca="false">IF((SUMIF($BM6:$CG6,$AZ8,$BM8:$CG8)+$CH8)&lt;(SUMIF($CO6:$DI6,$AZ8,$CO8:$DI8)+$DJ8),AZ8+1,AZ8)</f>
        <v>1</v>
      </c>
      <c r="BC8" s="476" t="n">
        <f aca="false">SUMIF($AE$6:$AY$6,$BB8,$AE8:$AY8)</f>
        <v>42.6191453995128</v>
      </c>
      <c r="BF8" s="440" t="n">
        <v>1</v>
      </c>
      <c r="BG8" s="442" t="n">
        <f aca="false">$X8</f>
        <v>0.06</v>
      </c>
      <c r="BH8" s="458" t="n">
        <f aca="false">$AC8</f>
        <v>5905.7724900273</v>
      </c>
      <c r="BI8" s="477" t="n">
        <f aca="false">BH8*(1-BG8)</f>
        <v>5551.42614062567</v>
      </c>
      <c r="BJ8" s="460" t="n">
        <f aca="false">Peak_Arrival_Manual/K41</f>
        <v>10.139063020726</v>
      </c>
      <c r="BK8" s="461" t="n">
        <f aca="false">900*Peak_Time_Eve*(BJ8/Total_Lanes-1+SQRT((BJ8/Total_Lanes-1)^2+8*(BJ8/Total_Lanes)/(Peak_Time_Eve*$K41*Total_Lanes)))</f>
        <v>2.96945541774099</v>
      </c>
      <c r="BL8" s="462" t="n">
        <f aca="false">Peak_Arrival_Manual/N41</f>
        <v>10.1718318555839</v>
      </c>
      <c r="BM8" s="463" t="n">
        <f aca="false">IF(BM$6&lt;Total_Lanes,900*Peak_Time_Eve*(($BL8/(Total_Lanes-BM$6))-1+SQRT((($BL8/(Total_Lanes-BM$6))-1)^2+8*($BL8/(Total_Lanes-BM$6))/(Peak_Time_Eve*$N41*(Total_Lanes-BM$6)))),"-")</f>
        <v>7.17525584100965</v>
      </c>
      <c r="BN8" s="463" t="n">
        <f aca="false">IF(BN$6&lt;Total_Lanes,900*Peak_Time_Eve*(($BL8/(Total_Lanes-BN$6))-1+SQRT((($BL8/(Total_Lanes-BN$6))-1)^2+8*($BL8/(Total_Lanes-BN$6))/(Peak_Time_Eve*$N41*(Total_Lanes-BN$6)))),"-")</f>
        <v>88.9995411101077</v>
      </c>
      <c r="BO8" s="463" t="n">
        <f aca="false">IF(BO$6&lt;Total_Lanes,900*Peak_Time_Eve*(($BL8/(Total_Lanes-BO$6))-1+SQRT((($BL8/(Total_Lanes-BO$6))-1)^2+8*($BL8/(Total_Lanes-BO$6))/(Peak_Time_Eve*$N41*(Total_Lanes-BO$6)))),"-")</f>
        <v>475.010585569244</v>
      </c>
      <c r="BP8" s="463" t="n">
        <f aca="false">IF(BP$6&lt;Total_Lanes,900*Peak_Time_Eve*(($BL8/(Total_Lanes-BP$6))-1+SQRT((($BL8/(Total_Lanes-BP$6))-1)^2+8*($BL8/(Total_Lanes-BP$6))/(Peak_Time_Eve*$N41*(Total_Lanes-BP$6)))),"-")</f>
        <v>981.170909466999</v>
      </c>
      <c r="BQ8" s="463" t="n">
        <f aca="false">IF(BQ$6&lt;Total_Lanes,900*Peak_Time_Eve*(($BL8/(Total_Lanes-BQ$6))-1+SQRT((($BL8/(Total_Lanes-BQ$6))-1)^2+8*($BL8/(Total_Lanes-BQ$6))/(Peak_Time_Eve*$N41*(Total_Lanes-BQ$6)))),"-")</f>
        <v>1634.24418934835</v>
      </c>
      <c r="BR8" s="463" t="n">
        <f aca="false">IF(BR$6&lt;Total_Lanes,900*Peak_Time_Eve*(($BL8/(Total_Lanes-BR$6))-1+SQRT((($BL8/(Total_Lanes-BR$6))-1)^2+8*($BL8/(Total_Lanes-BR$6))/(Peak_Time_Eve*$N41*(Total_Lanes-BR$6)))),"-")</f>
        <v>2505.77676392334</v>
      </c>
      <c r="BS8" s="463" t="n">
        <f aca="false">IF(BS$6&lt;Total_Lanes,900*Peak_Time_Eve*(($BL8/(Total_Lanes-BS$6))-1+SQRT((($BL8/(Total_Lanes-BS$6))-1)^2+8*($BL8/(Total_Lanes-BS$6))/(Peak_Time_Eve*$N41*(Total_Lanes-BS$6)))),"-")</f>
        <v>3726.31179907839</v>
      </c>
      <c r="BT8" s="463" t="n">
        <f aca="false">IF(BT$6&lt;Total_Lanes,900*Peak_Time_Eve*(($BL8/(Total_Lanes-BT$6))-1+SQRT((($BL8/(Total_Lanes-BT$6))-1)^2+8*($BL8/(Total_Lanes-BT$6))/(Peak_Time_Eve*$N41*(Total_Lanes-BT$6)))),"-")</f>
        <v>5557.36517098558</v>
      </c>
      <c r="BU8" s="463" t="n">
        <f aca="false">IF(BU$6&lt;Total_Lanes,900*Peak_Time_Eve*(($BL8/(Total_Lanes-BU$6))-1+SQRT((($BL8/(Total_Lanes-BU$6))-1)^2+8*($BL8/(Total_Lanes-BU$6))/(Peak_Time_Eve*$N41*(Total_Lanes-BU$6)))),"-")</f>
        <v>8609.31559161376</v>
      </c>
      <c r="BV8" s="463" t="n">
        <f aca="false">IF(BV$6&lt;Total_Lanes,900*Peak_Time_Eve*(($BL8/(Total_Lanes-BV$6))-1+SQRT((($BL8/(Total_Lanes-BV$6))-1)^2+8*($BL8/(Total_Lanes-BV$6))/(Peak_Time_Eve*$N41*(Total_Lanes-BV$6)))),"-")</f>
        <v>14713.4015134629</v>
      </c>
      <c r="BW8" s="463" t="n">
        <f aca="false">IF(BW$6&lt;Total_Lanes,900*Peak_Time_Eve*(($BL8/(Total_Lanes-BW$6))-1+SQRT((($BL8/(Total_Lanes-BW$6))-1)^2+8*($BL8/(Total_Lanes-BW$6))/(Peak_Time_Eve*$N41*(Total_Lanes-BW$6)))),"-")</f>
        <v>33025.9084957141</v>
      </c>
      <c r="BX8" s="453" t="str">
        <f aca="false">IF(BX$6&lt;Total_Lanes,900*Peak_Time_Eve*(($BL8/(Total_Lanes-BX$6))-1+SQRT((($BL8/(Total_Lanes-BX$6))-1)^2+8*($BL8/(Total_Lanes-BX$6))/(Peak_Time_Eve*$N41*(Total_Lanes-BX$6)))),"-")</f>
        <v>-</v>
      </c>
      <c r="BY8" s="453" t="str">
        <f aca="false">IF(BY$6&lt;Total_Lanes,900*Peak_Time_Eve*(($BL8/(Total_Lanes-BY$6))-1+SQRT((($BL8/(Total_Lanes-BY$6))-1)^2+8*($BL8/(Total_Lanes-BY$6))/(Peak_Time_Eve*$N41*(Total_Lanes-BY$6)))),"-")</f>
        <v>-</v>
      </c>
      <c r="BZ8" s="453" t="str">
        <f aca="false">IF(BZ$6&lt;Total_Lanes,900*Peak_Time_Eve*(($BL8/(Total_Lanes-BZ$6))-1+SQRT((($BL8/(Total_Lanes-BZ$6))-1)^2+8*($BL8/(Total_Lanes-BZ$6))/(Peak_Time_Eve*$N41*(Total_Lanes-BZ$6)))),"-")</f>
        <v>-</v>
      </c>
      <c r="CA8" s="453" t="str">
        <f aca="false">IF(CA$6&lt;Total_Lanes,900*Peak_Time_Eve*(($BL8/(Total_Lanes-CA$6))-1+SQRT((($BL8/(Total_Lanes-CA$6))-1)^2+8*($BL8/(Total_Lanes-CA$6))/(Peak_Time_Eve*$N41*(Total_Lanes-CA$6)))),"-")</f>
        <v>-</v>
      </c>
      <c r="CB8" s="453" t="str">
        <f aca="false">IF(CB$6&lt;Total_Lanes,900*Peak_Time_Eve*(($BL8/(Total_Lanes-CB$6))-1+SQRT((($BL8/(Total_Lanes-CB$6))-1)^2+8*($BL8/(Total_Lanes-CB$6))/(Peak_Time_Eve*$N41*(Total_Lanes-CB$6)))),"-")</f>
        <v>-</v>
      </c>
      <c r="CC8" s="453" t="str">
        <f aca="false">IF(CC$6&lt;Total_Lanes,900*Peak_Time_Eve*(($BL8/(Total_Lanes-CC$6))-1+SQRT((($BL8/(Total_Lanes-CC$6))-1)^2+8*($BL8/(Total_Lanes-CC$6))/(Peak_Time_Eve*$N41*(Total_Lanes-CC$6)))),"-")</f>
        <v>-</v>
      </c>
      <c r="CD8" s="453" t="str">
        <f aca="false">IF(CD$6&lt;Total_Lanes,900*Peak_Time_Eve*(($BL8/(Total_Lanes-CD$6))-1+SQRT((($BL8/(Total_Lanes-CD$6))-1)^2+8*($BL8/(Total_Lanes-CD$6))/(Peak_Time_Eve*$N41*(Total_Lanes-CD$6)))),"-")</f>
        <v>-</v>
      </c>
      <c r="CE8" s="453" t="str">
        <f aca="false">IF(CE$6&lt;Total_Lanes,900*Peak_Time_Eve*(($BL8/(Total_Lanes-CE$6))-1+SQRT((($BL8/(Total_Lanes-CE$6))-1)^2+8*($BL8/(Total_Lanes-CE$6))/(Peak_Time_Eve*$N41*(Total_Lanes-CE$6)))),"-")</f>
        <v>-</v>
      </c>
      <c r="CF8" s="453" t="str">
        <f aca="false">IF(CF$6&lt;Total_Lanes,900*Peak_Time_Eve*(($BL8/(Total_Lanes-CF$6))-1+SQRT((($BL8/(Total_Lanes-CF$6))-1)^2+8*($BL8/(Total_Lanes-CF$6))/(Peak_Time_Eve*$N41*(Total_Lanes-CF$6)))),"-")</f>
        <v>-</v>
      </c>
      <c r="CG8" s="464" t="str">
        <f aca="false">IF(CG$6&lt;Total_Lanes,900*Peak_Time_Eve*(($BL8/(Total_Lanes-CG$6))-1+SQRT((($BL8/(Total_Lanes-CG$6))-1)^2+8*($BL8/(Total_Lanes-CG$6))/(Peak_Time_Eve*$N41*(Total_Lanes-CG$6)))),"-")</f>
        <v>-</v>
      </c>
      <c r="CH8" s="478" t="n">
        <f aca="false">3600/N41</f>
        <v>6.59625</v>
      </c>
      <c r="CJ8" s="440" t="n">
        <v>1</v>
      </c>
      <c r="CK8" s="442" t="n">
        <f aca="false">$X8</f>
        <v>0.06</v>
      </c>
      <c r="CL8" s="451" t="n">
        <f aca="false">$AC8</f>
        <v>5905.7724900273</v>
      </c>
      <c r="CM8" s="452" t="n">
        <f aca="false">CL8*CK8</f>
        <v>354.346349401638</v>
      </c>
      <c r="CN8" s="479" t="n">
        <f aca="false">CM8/O40</f>
        <v>0.236230899601092</v>
      </c>
      <c r="CO8" s="468" t="n">
        <f aca="false">IF(CO$6&lt;Total_Lanes,900*Peak_Time_Eve*(($CN8/CO$6-1)+SQRT(($CN8/CO$6-1)^2+8*($CN8/CO$6)/(Peak_Time_Eve*$O41*CO$6))),"-")</f>
        <v>0.742110644026806</v>
      </c>
      <c r="CP8" s="468" t="n">
        <f aca="false">IF(CP$6&lt;Total_Lanes,900*Peak_Time_Eve*(($CN8/CP$6-1)+SQRT(($CN8/CP$6-1)^2+8*($CN8/CP$6)/(Peak_Time_Eve*$O41*CP$6))),"-")</f>
        <v>0.160714194382883</v>
      </c>
      <c r="CQ8" s="468" t="n">
        <f aca="false">IF(CQ$6&lt;Total_Lanes,900*Peak_Time_Eve*(($CN8/CQ$6-1)+SQRT(($CN8/CQ$6-1)^2+8*($CN8/CQ$6)/(Peak_Time_Eve*$O41*CQ$6))),"-")</f>
        <v>0.068377934816688</v>
      </c>
      <c r="CR8" s="468" t="n">
        <f aca="false">IF(CR$6&lt;Total_Lanes,900*Peak_Time_Eve*(($CN8/CR$6-1)+SQRT(($CN8/CR$6-1)^2+8*($CN8/CR$6)/(Peak_Time_Eve*$O41*CR$6))),"-")</f>
        <v>0.0376582516792068</v>
      </c>
      <c r="CS8" s="468" t="n">
        <f aca="false">IF(CS$6&lt;Total_Lanes,900*Peak_Time_Eve*(($CN8/CS$6-1)+SQRT(($CN8/CS$6-1)^2+8*($CN8/CS$6)/(Peak_Time_Eve*$O41*CS$6))),"-")</f>
        <v>0.0238025904540473</v>
      </c>
      <c r="CT8" s="468" t="n">
        <f aca="false">IF(CT$6&lt;Total_Lanes,900*Peak_Time_Eve*(($CN8/CT$6-1)+SQRT(($CN8/CT$6-1)^2+8*($CN8/CT$6)/(Peak_Time_Eve*$O41*CT$6))),"-")</f>
        <v>0.0163941181975824</v>
      </c>
      <c r="CU8" s="468" t="n">
        <f aca="false">IF(CU$6&lt;Total_Lanes,900*Peak_Time_Eve*(($CN8/CU$6-1)+SQRT(($CN8/CU$6-1)^2+8*($CN8/CU$6)/(Peak_Time_Eve*$O41*CU$6))),"-")</f>
        <v>0.0119745620045686</v>
      </c>
      <c r="CV8" s="468" t="n">
        <f aca="false">IF(CV$6&lt;Total_Lanes,900*Peak_Time_Eve*(($CN8/CV$6-1)+SQRT(($CN8/CV$6-1)^2+8*($CN8/CV$6)/(Peak_Time_Eve*$O41*CV$6))),"-")</f>
        <v>0.00912818037217544</v>
      </c>
      <c r="CW8" s="468" t="n">
        <f aca="false">IF(CW$6&lt;Total_Lanes,900*Peak_Time_Eve*(($CN8/CW$6-1)+SQRT(($CN8/CW$6-1)^2+8*($CN8/CW$6)/(Peak_Time_Eve*$O41*CW$6))),"-")</f>
        <v>0.00718809186632807</v>
      </c>
      <c r="CX8" s="468" t="n">
        <f aca="false">IF(CX$6&lt;Total_Lanes,900*Peak_Time_Eve*(($CN8/CX$6-1)+SQRT(($CN8/CX$6-1)^2+8*($CN8/CX$6)/(Peak_Time_Eve*$O41*CX$6))),"-")</f>
        <v>0.00580670452781096</v>
      </c>
      <c r="CY8" s="468" t="n">
        <f aca="false">IF(CY$6&lt;Total_Lanes,900*Peak_Time_Eve*(($CN8/CY$6-1)+SQRT(($CN8/CY$6-1)^2+8*($CN8/CY$6)/(Peak_Time_Eve*$O41*CY$6))),"-")</f>
        <v>0.00478839862181335</v>
      </c>
      <c r="CZ8" s="480" t="str">
        <f aca="false">IF(CZ$6&lt;Total_Lanes,900*Peak_Time_Eve*(($CN8/CZ$6-1)+SQRT(($CN8/CZ$6-1)^2+8*($CN8/CZ$6)/(Peak_Time_Eve*$O41*CZ$6))),"-")</f>
        <v>-</v>
      </c>
      <c r="DA8" s="480" t="str">
        <f aca="false">IF(DA$6&lt;Total_Lanes,900*Peak_Time_Eve*(($CN8/DA$6-1)+SQRT(($CN8/DA$6-1)^2+8*($CN8/DA$6)/(Peak_Time_Eve*$O41*DA$6))),"-")</f>
        <v>-</v>
      </c>
      <c r="DB8" s="480" t="str">
        <f aca="false">IF(DB$6&lt;Total_Lanes,900*Peak_Time_Eve*(($CN8/DB$6-1)+SQRT(($CN8/DB$6-1)^2+8*($CN8/DB$6)/(Peak_Time_Eve*$O41*DB$6))),"-")</f>
        <v>-</v>
      </c>
      <c r="DC8" s="480" t="str">
        <f aca="false">IF(DC$6&lt;Total_Lanes,900*Peak_Time_Eve*(($CN8/DC$6-1)+SQRT(($CN8/DC$6-1)^2+8*($CN8/DC$6)/(Peak_Time_Eve*$O41*DC$6))),"-")</f>
        <v>-</v>
      </c>
      <c r="DD8" s="480" t="str">
        <f aca="false">IF(DD$6&lt;Total_Lanes,900*Peak_Time_Eve*(($CN8/DD$6-1)+SQRT(($CN8/DD$6-1)^2+8*($CN8/DD$6)/(Peak_Time_Eve*$O41*DD$6))),"-")</f>
        <v>-</v>
      </c>
      <c r="DE8" s="480" t="str">
        <f aca="false">IF(DE$6&lt;Total_Lanes,900*Peak_Time_Eve*(($CN8/DE$6-1)+SQRT(($CN8/DE$6-1)^2+8*($CN8/DE$6)/(Peak_Time_Eve*$O41*DE$6))),"-")</f>
        <v>-</v>
      </c>
      <c r="DF8" s="480" t="str">
        <f aca="false">IF(DF$6&lt;Total_Lanes,900*Peak_Time_Eve*(($CN8/DF$6-1)+SQRT(($CN8/DF$6-1)^2+8*($CN8/DF$6)/(Peak_Time_Eve*$O41*DF$6))),"-")</f>
        <v>-</v>
      </c>
      <c r="DG8" s="480" t="str">
        <f aca="false">IF(DG$6&lt;Total_Lanes,900*Peak_Time_Eve*(($CN8/DG$6-1)+SQRT(($CN8/DG$6-1)^2+8*($CN8/DG$6)/(Peak_Time_Eve*$O41*DG$6))),"-")</f>
        <v>-</v>
      </c>
      <c r="DH8" s="480" t="str">
        <f aca="false">IF(DH$6&lt;Total_Lanes,900*Peak_Time_Eve*(($CN8/DH$6-1)+SQRT(($CN8/DH$6-1)^2+8*($CN8/DH$6)/(Peak_Time_Eve*$O41*DH$6))),"-")</f>
        <v>-</v>
      </c>
      <c r="DI8" s="481" t="str">
        <f aca="false">IF(DI$6&lt;Total_Lanes,900*Peak_Time_Eve*(($CN8/DI$6-1)+SQRT(($CN8/DI$6-1)^2+8*($CN8/DI$6)/(Peak_Time_Eve*$O41*DI$6))),"-")</f>
        <v>-</v>
      </c>
      <c r="DJ8" s="478" t="n">
        <f aca="false">3600/O41</f>
        <v>2.4</v>
      </c>
    </row>
    <row r="9" customFormat="false" ht="14.25" hidden="false" customHeight="true" outlineLevel="0" collapsed="false">
      <c r="B9" s="438"/>
      <c r="C9" s="74" t="s">
        <v>328</v>
      </c>
      <c r="D9" s="439" t="n">
        <f aca="false">'Input-Detail'!AZ12</f>
        <v>2.4</v>
      </c>
      <c r="E9" s="76"/>
      <c r="H9" s="440" t="n">
        <v>2</v>
      </c>
      <c r="I9" s="441" t="n">
        <f aca="false">'Input-Detail'!E16</f>
        <v>20114555.7</v>
      </c>
      <c r="J9" s="442" t="n">
        <f aca="false">'Input-Detail'!F16</f>
        <v>0.15</v>
      </c>
      <c r="K9" s="451" t="n">
        <f aca="false">AC9</f>
        <v>6071.54498005461</v>
      </c>
      <c r="L9" s="452" t="n">
        <f aca="false">AD56</f>
        <v>9.96819152476494</v>
      </c>
      <c r="M9" s="467" t="n">
        <f aca="false">AD9</f>
        <v>28.9273493108234</v>
      </c>
      <c r="N9" s="467" t="n">
        <f aca="false">SUM(L9:M9)</f>
        <v>38.8955408355883</v>
      </c>
      <c r="O9" s="471" t="n">
        <f aca="false">$S$34*N9</f>
        <v>10112.840617253</v>
      </c>
      <c r="P9" s="452" t="n">
        <f aca="false">BC56</f>
        <v>8.7272388493295</v>
      </c>
      <c r="Q9" s="467" t="n">
        <f aca="false">BC9</f>
        <v>31.5756888791512</v>
      </c>
      <c r="R9" s="467" t="n">
        <f aca="false">SUM(P9:Q9)</f>
        <v>40.3029277284807</v>
      </c>
      <c r="S9" s="472" t="n">
        <f aca="false">$S$34*R9</f>
        <v>10478.761209405</v>
      </c>
      <c r="T9" s="405"/>
      <c r="U9" s="405"/>
      <c r="V9" s="440" t="n">
        <v>2</v>
      </c>
      <c r="W9" s="448" t="n">
        <f aca="false">W$7+(W$27-W$7)*$V9/20</f>
        <v>20114555.7</v>
      </c>
      <c r="X9" s="442" t="n">
        <f aca="false">J9</f>
        <v>0.15</v>
      </c>
      <c r="Y9" s="448" t="n">
        <f aca="false">'Input-Detail'!E16/Z9</f>
        <v>8673.6356857923</v>
      </c>
      <c r="Z9" s="473" t="n">
        <f aca="false">Z8</f>
        <v>2319.04548780488</v>
      </c>
      <c r="AA9" s="473" t="n">
        <f aca="false">AA8</f>
        <v>2</v>
      </c>
      <c r="AB9" s="474" t="n">
        <f aca="false">AB8</f>
        <v>0.7</v>
      </c>
      <c r="AC9" s="451" t="n">
        <f aca="false">Y9*AB9</f>
        <v>6071.54498005461</v>
      </c>
      <c r="AD9" s="452" t="n">
        <f aca="false">Peak_Time_Eve*$BH9*(3600/K42+BK9)/3600</f>
        <v>28.9273493108234</v>
      </c>
      <c r="AE9" s="453" t="n">
        <f aca="false">IF(AE$6&lt;Total_Lanes,($BI9*($CH9+BM9)+$CM9*CO9)*Peak_Time_Eve/3600,"-")</f>
        <v>31.5756888791512</v>
      </c>
      <c r="AF9" s="453" t="n">
        <f aca="false">IF(AF$6&lt;Total_Lanes,($BI9*($CH9+BN9)+$CM9*CP9)*Peak_Time_Eve/3600,"-")</f>
        <v>52.239580777999</v>
      </c>
      <c r="AG9" s="453" t="n">
        <f aca="false">IF(AG$6&lt;Total_Lanes,($BI9*($CH9+BO9)+$CM9*CQ9)*Peak_Time_Eve/3600,"-")</f>
        <v>615.558418014367</v>
      </c>
      <c r="AH9" s="453" t="n">
        <f aca="false">IF(AH$6&lt;Total_Lanes,($BI9*($CH9+BP9)+$CM9*CR9)*Peak_Time_Eve/3600,"-")</f>
        <v>1952.03264919367</v>
      </c>
      <c r="AI9" s="453" t="n">
        <f aca="false">IF(AI$6&lt;Total_Lanes,($BI9*($CH9+BQ9)+$CM9*CS9)*Peak_Time_Eve/3600,"-")</f>
        <v>3695.82290038465</v>
      </c>
      <c r="AJ9" s="453" t="n">
        <f aca="false">IF(AJ$6&lt;Total_Lanes,($BI9*($CH9+BR9)+$CM9*CT9)*Peak_Time_Eve/3600,"-")</f>
        <v>6025.44725842751</v>
      </c>
      <c r="AK9" s="453" t="n">
        <f aca="false">IF(AK$6&lt;Total_Lanes,($BI9*($CH9+BS9)+$CM9*CU9)*Peak_Time_Eve/3600,"-")</f>
        <v>9288.76308102617</v>
      </c>
      <c r="AL9" s="453" t="n">
        <f aca="false">IF(AL$6&lt;Total_Lanes,($BI9*($CH9+BT9)+$CM9*CV9)*Peak_Time_Eve/3600,"-")</f>
        <v>14184.7849945906</v>
      </c>
      <c r="AM9" s="453" t="n">
        <f aca="false">IF(AM$6&lt;Total_Lanes,($BI9*($CH9+BU9)+$CM9*CW9)*Peak_Time_Eve/3600,"-")</f>
        <v>22345.5742478149</v>
      </c>
      <c r="AN9" s="453" t="n">
        <f aca="false">IF(AN$6&lt;Total_Lanes,($BI9*($CH9+BV9)+$CM9*CX9)*Peak_Time_Eve/3600,"-")</f>
        <v>38667.8300517546</v>
      </c>
      <c r="AO9" s="453" t="n">
        <f aca="false">IF(AO$6&lt;Total_Lanes,($BI9*($CH9+BW9)+$CM9*CY9)*Peak_Time_Eve/3600,"-")</f>
        <v>87635.4735936883</v>
      </c>
      <c r="AP9" s="453" t="str">
        <f aca="false">IF(AP$6&lt;Total_Lanes,($BI9*($CH9+BX9)+$CM9*CZ9)*Peak_Time_Eve/3600,"-")</f>
        <v>-</v>
      </c>
      <c r="AQ9" s="453" t="str">
        <f aca="false">IF(AQ$6&lt;Total_Lanes,($BI9*($CH9+BY9)+$CM9*DA9)*Peak_Time_Eve/3600,"-")</f>
        <v>-</v>
      </c>
      <c r="AR9" s="453" t="str">
        <f aca="false">IF(AR$6&lt;Total_Lanes,($BI9*($CH9+BZ9)+$CM9*DB9)*Peak_Time_Eve/3600,"-")</f>
        <v>-</v>
      </c>
      <c r="AS9" s="453" t="str">
        <f aca="false">IF(AS$6&lt;Total_Lanes,($BI9*($CH9+CA9)+$CM9*DC9)*Peak_Time_Eve/3600,"-")</f>
        <v>-</v>
      </c>
      <c r="AT9" s="453" t="str">
        <f aca="false">IF(AT$6&lt;Total_Lanes,($BI9*($CH9+CB9)+$CM9*DD9)*Peak_Time_Eve/3600,"-")</f>
        <v>-</v>
      </c>
      <c r="AU9" s="453" t="str">
        <f aca="false">IF(AU$6&lt;Total_Lanes,($BI9*($CH9+CC9)+$CM9*DE9)*Peak_Time_Eve/3600,"-")</f>
        <v>-</v>
      </c>
      <c r="AV9" s="453" t="str">
        <f aca="false">IF(AV$6&lt;Total_Lanes,($BI9*($CH9+CD9)+$CM9*DF9)*Peak_Time_Eve/3600,"-")</f>
        <v>-</v>
      </c>
      <c r="AW9" s="453" t="str">
        <f aca="false">IF(AW$6&lt;Total_Lanes,($BI9*($CH9+CE9)+$CM9*DG9)*Peak_Time_Eve/3600,"-")</f>
        <v>-</v>
      </c>
      <c r="AX9" s="453" t="str">
        <f aca="false">IF(AX$6&lt;Total_Lanes,($BI9*($CH9+CF9)+$CM9*DH9)*Peak_Time_Eve/3600,"-")</f>
        <v>-</v>
      </c>
      <c r="AY9" s="454" t="str">
        <f aca="false">IF(AY$6&lt;Total_Lanes,($BI9*($CH9+CG9)+$CM9*DI9)*Peak_Time_Eve/3600,"-")</f>
        <v>-</v>
      </c>
      <c r="AZ9" s="475" t="n">
        <f aca="false">SUMIF(AE9:AY9,BA9,$AE$6:$AY$6)</f>
        <v>1</v>
      </c>
      <c r="BA9" s="476" t="n">
        <f aca="false">MIN(AE9:AY9)</f>
        <v>31.5756888791512</v>
      </c>
      <c r="BB9" s="475" t="n">
        <f aca="false">IF((SUMIF($BM7:$CG7,$AZ9,$BM9:$CG9)+$CH9)&lt;(SUMIF($CO7:$DI7,$AZ9,$CO9:$DI9)+$DJ9),AZ9+1,AZ9)</f>
        <v>1</v>
      </c>
      <c r="BC9" s="476" t="n">
        <f aca="false">SUMIF($AE$6:$AY$6,$BB9,$AE9:$AY9)</f>
        <v>31.5756888791512</v>
      </c>
      <c r="BF9" s="440" t="n">
        <v>2</v>
      </c>
      <c r="BG9" s="442" t="n">
        <f aca="false">$X9</f>
        <v>0.15</v>
      </c>
      <c r="BH9" s="458" t="n">
        <f aca="false">$AC9</f>
        <v>6071.54498005461</v>
      </c>
      <c r="BI9" s="477" t="n">
        <f aca="false">BH9*(1-BG9)</f>
        <v>5160.81323304642</v>
      </c>
      <c r="BJ9" s="460" t="n">
        <f aca="false">Peak_Arrival_Manual/K42</f>
        <v>9.42565194646672</v>
      </c>
      <c r="BK9" s="461" t="n">
        <f aca="false">900*Peak_Time_Eve*(BJ9/Total_Lanes-1+SQRT((BJ9/Total_Lanes-1)^2+8*(BJ9/Total_Lanes)/(Peak_Time_Eve*$K42*Total_Lanes)))</f>
        <v>2.00094383810588</v>
      </c>
      <c r="BL9" s="462" t="n">
        <f aca="false">Peak_Arrival_Manual/N42</f>
        <v>9.4865782138013</v>
      </c>
      <c r="BM9" s="463" t="n">
        <f aca="false">IF(BM$6&lt;Total_Lanes,900*Peak_Time_Eve*(($BL9/(Total_Lanes-BM$6))-1+SQRT((($BL9/(Total_Lanes-BM$6))-1)^2+8*($BL9/(Total_Lanes-BM$6))/(Peak_Time_Eve*$N42*(Total_Lanes-BM$6)))),"-")</f>
        <v>3.74266997412306</v>
      </c>
      <c r="BN9" s="463" t="n">
        <f aca="false">IF(BN$6&lt;Total_Lanes,900*Peak_Time_Eve*(($BL9/(Total_Lanes-BN$6))-1+SQRT((($BL9/(Total_Lanes-BN$6))-1)^2+8*($BL9/(Total_Lanes-BN$6))/(Peak_Time_Eve*$N42*(Total_Lanes-BN$6)))),"-")</f>
        <v>11.5104470221661</v>
      </c>
      <c r="BO9" s="463" t="n">
        <f aca="false">IF(BO$6&lt;Total_Lanes,900*Peak_Time_Eve*(($BL9/(Total_Lanes-BO$6))-1+SQRT((($BL9/(Total_Lanes-BO$6))-1)^2+8*($BL9/(Total_Lanes-BO$6))/(Peak_Time_Eve*$N42*(Total_Lanes-BO$6)))),"-")</f>
        <v>208.042524703833</v>
      </c>
      <c r="BP9" s="463" t="n">
        <f aca="false">IF(BP$6&lt;Total_Lanes,900*Peak_Time_Eve*(($BL9/(Total_Lanes-BP$6))-1+SQRT((($BL9/(Total_Lanes-BP$6))-1)^2+8*($BL9/(Total_Lanes-BP$6))/(Peak_Time_Eve*$N42*(Total_Lanes-BP$6)))),"-")</f>
        <v>674.197872943213</v>
      </c>
      <c r="BQ9" s="463" t="n">
        <f aca="false">IF(BQ$6&lt;Total_Lanes,900*Peak_Time_Eve*(($BL9/(Total_Lanes-BQ$6))-1+SQRT((($BL9/(Total_Lanes-BQ$6))-1)^2+8*($BL9/(Total_Lanes-BQ$6))/(Peak_Time_Eve*$N42*(Total_Lanes-BQ$6)))),"-")</f>
        <v>1282.4081827677</v>
      </c>
      <c r="BR9" s="463" t="n">
        <f aca="false">IF(BR$6&lt;Total_Lanes,900*Peak_Time_Eve*(($BL9/(Total_Lanes-BR$6))-1+SQRT((($BL9/(Total_Lanes-BR$6))-1)^2+8*($BL9/(Total_Lanes-BR$6))/(Peak_Time_Eve*$N42*(Total_Lanes-BR$6)))),"-")</f>
        <v>2094.94354513356</v>
      </c>
      <c r="BS9" s="463" t="n">
        <f aca="false">IF(BS$6&lt;Total_Lanes,900*Peak_Time_Eve*(($BL9/(Total_Lanes-BS$6))-1+SQRT((($BL9/(Total_Lanes-BS$6))-1)^2+8*($BL9/(Total_Lanes-BS$6))/(Peak_Time_Eve*$N42*(Total_Lanes-BS$6)))),"-")</f>
        <v>3233.13234859831</v>
      </c>
      <c r="BT9" s="463" t="n">
        <f aca="false">IF(BT$6&lt;Total_Lanes,900*Peak_Time_Eve*(($BL9/(Total_Lanes-BT$6))-1+SQRT((($BL9/(Total_Lanes-BT$6))-1)^2+8*($BL9/(Total_Lanes-BT$6))/(Peak_Time_Eve*$N42*(Total_Lanes-BT$6)))),"-")</f>
        <v>4940.77923742728</v>
      </c>
      <c r="BU9" s="463" t="n">
        <f aca="false">IF(BU$6&lt;Total_Lanes,900*Peak_Time_Eve*(($BL9/(Total_Lanes-BU$6))-1+SQRT((($BL9/(Total_Lanes-BU$6))-1)^2+8*($BL9/(Total_Lanes-BU$6))/(Peak_Time_Eve*$N42*(Total_Lanes-BU$6)))),"-")</f>
        <v>7787.11853747672</v>
      </c>
      <c r="BV9" s="463" t="n">
        <f aca="false">IF(BV$6&lt;Total_Lanes,900*Peak_Time_Eve*(($BL9/(Total_Lanes-BV$6))-1+SQRT((($BL9/(Total_Lanes-BV$6))-1)^2+8*($BL9/(Total_Lanes-BV$6))/(Peak_Time_Eve*$N42*(Total_Lanes-BV$6)))),"-")</f>
        <v>13480.032146375</v>
      </c>
      <c r="BW9" s="463" t="n">
        <f aca="false">IF(BW$6&lt;Total_Lanes,900*Peak_Time_Eve*(($BL9/(Total_Lanes-BW$6))-1+SQRT((($BL9/(Total_Lanes-BW$6))-1)^2+8*($BL9/(Total_Lanes-BW$6))/(Peak_Time_Eve*$N42*(Total_Lanes-BW$6)))),"-")</f>
        <v>30559.0770401856</v>
      </c>
      <c r="BX9" s="453" t="str">
        <f aca="false">IF(BX$6&lt;Total_Lanes,900*Peak_Time_Eve*(($BL9/(Total_Lanes-BX$6))-1+SQRT((($BL9/(Total_Lanes-BX$6))-1)^2+8*($BL9/(Total_Lanes-BX$6))/(Peak_Time_Eve*$N42*(Total_Lanes-BX$6)))),"-")</f>
        <v>-</v>
      </c>
      <c r="BY9" s="453" t="str">
        <f aca="false">IF(BY$6&lt;Total_Lanes,900*Peak_Time_Eve*(($BL9/(Total_Lanes-BY$6))-1+SQRT((($BL9/(Total_Lanes-BY$6))-1)^2+8*($BL9/(Total_Lanes-BY$6))/(Peak_Time_Eve*$N42*(Total_Lanes-BY$6)))),"-")</f>
        <v>-</v>
      </c>
      <c r="BZ9" s="453" t="str">
        <f aca="false">IF(BZ$6&lt;Total_Lanes,900*Peak_Time_Eve*(($BL9/(Total_Lanes-BZ$6))-1+SQRT((($BL9/(Total_Lanes-BZ$6))-1)^2+8*($BL9/(Total_Lanes-BZ$6))/(Peak_Time_Eve*$N42*(Total_Lanes-BZ$6)))),"-")</f>
        <v>-</v>
      </c>
      <c r="CA9" s="453" t="str">
        <f aca="false">IF(CA$6&lt;Total_Lanes,900*Peak_Time_Eve*(($BL9/(Total_Lanes-CA$6))-1+SQRT((($BL9/(Total_Lanes-CA$6))-1)^2+8*($BL9/(Total_Lanes-CA$6))/(Peak_Time_Eve*$N42*(Total_Lanes-CA$6)))),"-")</f>
        <v>-</v>
      </c>
      <c r="CB9" s="453" t="str">
        <f aca="false">IF(CB$6&lt;Total_Lanes,900*Peak_Time_Eve*(($BL9/(Total_Lanes-CB$6))-1+SQRT((($BL9/(Total_Lanes-CB$6))-1)^2+8*($BL9/(Total_Lanes-CB$6))/(Peak_Time_Eve*$N42*(Total_Lanes-CB$6)))),"-")</f>
        <v>-</v>
      </c>
      <c r="CC9" s="453" t="str">
        <f aca="false">IF(CC$6&lt;Total_Lanes,900*Peak_Time_Eve*(($BL9/(Total_Lanes-CC$6))-1+SQRT((($BL9/(Total_Lanes-CC$6))-1)^2+8*($BL9/(Total_Lanes-CC$6))/(Peak_Time_Eve*$N42*(Total_Lanes-CC$6)))),"-")</f>
        <v>-</v>
      </c>
      <c r="CD9" s="453" t="str">
        <f aca="false">IF(CD$6&lt;Total_Lanes,900*Peak_Time_Eve*(($BL9/(Total_Lanes-CD$6))-1+SQRT((($BL9/(Total_Lanes-CD$6))-1)^2+8*($BL9/(Total_Lanes-CD$6))/(Peak_Time_Eve*$N42*(Total_Lanes-CD$6)))),"-")</f>
        <v>-</v>
      </c>
      <c r="CE9" s="453" t="str">
        <f aca="false">IF(CE$6&lt;Total_Lanes,900*Peak_Time_Eve*(($BL9/(Total_Lanes-CE$6))-1+SQRT((($BL9/(Total_Lanes-CE$6))-1)^2+8*($BL9/(Total_Lanes-CE$6))/(Peak_Time_Eve*$N42*(Total_Lanes-CE$6)))),"-")</f>
        <v>-</v>
      </c>
      <c r="CF9" s="453" t="str">
        <f aca="false">IF(CF$6&lt;Total_Lanes,900*Peak_Time_Eve*(($BL9/(Total_Lanes-CF$6))-1+SQRT((($BL9/(Total_Lanes-CF$6))-1)^2+8*($BL9/(Total_Lanes-CF$6))/(Peak_Time_Eve*$N42*(Total_Lanes-CF$6)))),"-")</f>
        <v>-</v>
      </c>
      <c r="CG9" s="464" t="str">
        <f aca="false">IF(CG$6&lt;Total_Lanes,900*Peak_Time_Eve*(($BL9/(Total_Lanes-CG$6))-1+SQRT((($BL9/(Total_Lanes-CG$6))-1)^2+8*($BL9/(Total_Lanes-CG$6))/(Peak_Time_Eve*$N42*(Total_Lanes-CG$6)))),"-")</f>
        <v>-</v>
      </c>
      <c r="CH9" s="478" t="n">
        <f aca="false">3600/N42</f>
        <v>6.6175</v>
      </c>
      <c r="CJ9" s="440" t="n">
        <v>2</v>
      </c>
      <c r="CK9" s="442" t="n">
        <f aca="false">$X9</f>
        <v>0.15</v>
      </c>
      <c r="CL9" s="451" t="n">
        <f aca="false">$AC9</f>
        <v>6071.54498005461</v>
      </c>
      <c r="CM9" s="452" t="n">
        <f aca="false">CL9*CK9</f>
        <v>910.731747008191</v>
      </c>
      <c r="CN9" s="479" t="n">
        <f aca="false">CM9/O41</f>
        <v>0.607154498005461</v>
      </c>
      <c r="CO9" s="482" t="n">
        <f aca="false">IF(CO$6&lt;Total_Lanes,900*Peak_Time_Eve*(($CN9/CO$6-1)+SQRT(($CN9/CO$6-1)^2+8*($CN9/CO$6)/(Peak_Time_Eve*$O42*CO$6))),"-")</f>
        <v>3.69959397426982</v>
      </c>
      <c r="CP9" s="482" t="n">
        <f aca="false">IF(CP$6&lt;Total_Lanes,900*Peak_Time_Eve*(($CN9/CP$6-1)+SQRT(($CN9/CP$6-1)^2+8*($CN9/CP$6)/(Peak_Time_Eve*$O42*CP$6))),"-")</f>
        <v>0.522982230501357</v>
      </c>
      <c r="CQ9" s="482" t="n">
        <f aca="false">IF(CQ$6&lt;Total_Lanes,900*Peak_Time_Eve*(($CN9/CQ$6-1)+SQRT(($CN9/CQ$6-1)^2+8*($CN9/CQ$6)/(Peak_Time_Eve*$O42*CQ$6))),"-")</f>
        <v>0.202975605996714</v>
      </c>
      <c r="CR9" s="482" t="n">
        <f aca="false">IF(CR$6&lt;Total_Lanes,900*Peak_Time_Eve*(($CN9/CR$6-1)+SQRT(($CN9/CR$6-1)^2+8*($CN9/CR$6)/(Peak_Time_Eve*$O42*CR$6))),"-")</f>
        <v>0.107367072873199</v>
      </c>
      <c r="CS9" s="482" t="n">
        <f aca="false">IF(CS$6&lt;Total_Lanes,900*Peak_Time_Eve*(($CN9/CS$6-1)+SQRT(($CN9/CS$6-1)^2+8*($CN9/CS$6)/(Peak_Time_Eve*$O42*CS$6))),"-")</f>
        <v>0.0663415196679784</v>
      </c>
      <c r="CT9" s="482" t="n">
        <f aca="false">IF(CT$6&lt;Total_Lanes,900*Peak_Time_Eve*(($CN9/CT$6-1)+SQRT(($CN9/CT$6-1)^2+8*($CN9/CT$6)/(Peak_Time_Eve*$O42*CT$6))),"-")</f>
        <v>0.0450334464604962</v>
      </c>
      <c r="CU9" s="482" t="n">
        <f aca="false">IF(CU$6&lt;Total_Lanes,900*Peak_Time_Eve*(($CN9/CU$6-1)+SQRT(($CN9/CU$6-1)^2+8*($CN9/CU$6)/(Peak_Time_Eve*$O42*CU$6))),"-")</f>
        <v>0.0325622126648328</v>
      </c>
      <c r="CV9" s="482" t="n">
        <f aca="false">IF(CV$6&lt;Total_Lanes,900*Peak_Time_Eve*(($CN9/CV$6-1)+SQRT(($CN9/CV$6-1)^2+8*($CN9/CV$6)/(Peak_Time_Eve*$O42*CV$6))),"-")</f>
        <v>0.024638009869693</v>
      </c>
      <c r="CW9" s="482" t="n">
        <f aca="false">IF(CW$6&lt;Total_Lanes,900*Peak_Time_Eve*(($CN9/CW$6-1)+SQRT(($CN9/CW$6-1)^2+8*($CN9/CW$6)/(Peak_Time_Eve*$O42*CW$6))),"-")</f>
        <v>0.0192910659124967</v>
      </c>
      <c r="CX9" s="482" t="n">
        <f aca="false">IF(CX$6&lt;Total_Lanes,900*Peak_Time_Eve*(($CN9/CX$6-1)+SQRT(($CN9/CX$6-1)^2+8*($CN9/CX$6)/(Peak_Time_Eve*$O42*CX$6))),"-")</f>
        <v>0.0155135534766426</v>
      </c>
      <c r="CY9" s="482" t="n">
        <f aca="false">IF(CY$6&lt;Total_Lanes,900*Peak_Time_Eve*(($CN9/CY$6-1)+SQRT(($CN9/CY$6-1)^2+8*($CN9/CY$6)/(Peak_Time_Eve*$O42*CY$6))),"-")</f>
        <v>0.0127462277622614</v>
      </c>
      <c r="CZ9" s="483" t="str">
        <f aca="false">IF(CZ$6&lt;Total_Lanes,900*Peak_Time_Eve*(($CN9/CZ$6-1)+SQRT(($CN9/CZ$6-1)^2+8*($CN9/CZ$6)/(Peak_Time_Eve*$O42*CZ$6))),"-")</f>
        <v>-</v>
      </c>
      <c r="DA9" s="483" t="str">
        <f aca="false">IF(DA$6&lt;Total_Lanes,900*Peak_Time_Eve*(($CN9/DA$6-1)+SQRT(($CN9/DA$6-1)^2+8*($CN9/DA$6)/(Peak_Time_Eve*$O42*DA$6))),"-")</f>
        <v>-</v>
      </c>
      <c r="DB9" s="483" t="str">
        <f aca="false">IF(DB$6&lt;Total_Lanes,900*Peak_Time_Eve*(($CN9/DB$6-1)+SQRT(($CN9/DB$6-1)^2+8*($CN9/DB$6)/(Peak_Time_Eve*$O42*DB$6))),"-")</f>
        <v>-</v>
      </c>
      <c r="DC9" s="483" t="str">
        <f aca="false">IF(DC$6&lt;Total_Lanes,900*Peak_Time_Eve*(($CN9/DC$6-1)+SQRT(($CN9/DC$6-1)^2+8*($CN9/DC$6)/(Peak_Time_Eve*$O42*DC$6))),"-")</f>
        <v>-</v>
      </c>
      <c r="DD9" s="483" t="str">
        <f aca="false">IF(DD$6&lt;Total_Lanes,900*Peak_Time_Eve*(($CN9/DD$6-1)+SQRT(($CN9/DD$6-1)^2+8*($CN9/DD$6)/(Peak_Time_Eve*$O42*DD$6))),"-")</f>
        <v>-</v>
      </c>
      <c r="DE9" s="483" t="str">
        <f aca="false">IF(DE$6&lt;Total_Lanes,900*Peak_Time_Eve*(($CN9/DE$6-1)+SQRT(($CN9/DE$6-1)^2+8*($CN9/DE$6)/(Peak_Time_Eve*$O42*DE$6))),"-")</f>
        <v>-</v>
      </c>
      <c r="DF9" s="483" t="str">
        <f aca="false">IF(DF$6&lt;Total_Lanes,900*Peak_Time_Eve*(($CN9/DF$6-1)+SQRT(($CN9/DF$6-1)^2+8*($CN9/DF$6)/(Peak_Time_Eve*$O42*DF$6))),"-")</f>
        <v>-</v>
      </c>
      <c r="DG9" s="483" t="str">
        <f aca="false">IF(DG$6&lt;Total_Lanes,900*Peak_Time_Eve*(($CN9/DG$6-1)+SQRT(($CN9/DG$6-1)^2+8*($CN9/DG$6)/(Peak_Time_Eve*$O42*DG$6))),"-")</f>
        <v>-</v>
      </c>
      <c r="DH9" s="483" t="str">
        <f aca="false">IF(DH$6&lt;Total_Lanes,900*Peak_Time_Eve*(($CN9/DH$6-1)+SQRT(($CN9/DH$6-1)^2+8*($CN9/DH$6)/(Peak_Time_Eve*$O42*DH$6))),"-")</f>
        <v>-</v>
      </c>
      <c r="DI9" s="484" t="str">
        <f aca="false">IF(DI$6&lt;Total_Lanes,900*Peak_Time_Eve*(($CN9/DI$6-1)+SQRT(($CN9/DI$6-1)^2+8*($CN9/DI$6)/(Peak_Time_Eve*$O42*DI$6))),"-")</f>
        <v>-</v>
      </c>
      <c r="DJ9" s="485" t="n">
        <f aca="false">3600/O42</f>
        <v>2.4</v>
      </c>
    </row>
    <row r="10" customFormat="false" ht="13.2" hidden="false" customHeight="false" outlineLevel="0" collapsed="false">
      <c r="B10" s="486" t="s">
        <v>233</v>
      </c>
      <c r="C10" s="74"/>
      <c r="D10" s="487" t="n">
        <f aca="false">'Input-Detail'!AZ25</f>
        <v>12</v>
      </c>
      <c r="E10" s="488"/>
      <c r="H10" s="440" t="n">
        <v>3</v>
      </c>
      <c r="I10" s="441" t="n">
        <f aca="false">'Input-Detail'!E17</f>
        <v>20663747.05</v>
      </c>
      <c r="J10" s="442" t="n">
        <f aca="false">'Input-Detail'!F17</f>
        <v>0.2</v>
      </c>
      <c r="K10" s="451" t="n">
        <f aca="false">AC10</f>
        <v>6237.31747008191</v>
      </c>
      <c r="L10" s="452" t="n">
        <f aca="false">AD57</f>
        <v>10.2516393468659</v>
      </c>
      <c r="M10" s="467" t="n">
        <f aca="false">AD10</f>
        <v>28.7658799104092</v>
      </c>
      <c r="N10" s="467" t="n">
        <f aca="false">SUM(L10:M10)</f>
        <v>39.0175192572751</v>
      </c>
      <c r="O10" s="471" t="n">
        <f aca="false">$S$34*N10</f>
        <v>10144.5550068915</v>
      </c>
      <c r="P10" s="452" t="n">
        <f aca="false">BC57</f>
        <v>8.47799682998386</v>
      </c>
      <c r="Q10" s="467" t="n">
        <f aca="false">BC10</f>
        <v>34.9818017808711</v>
      </c>
      <c r="R10" s="467" t="n">
        <f aca="false">SUM(P10:Q10)</f>
        <v>43.4597986108549</v>
      </c>
      <c r="S10" s="472" t="n">
        <f aca="false">$S$34*R10</f>
        <v>11299.5476388223</v>
      </c>
      <c r="T10" s="405"/>
      <c r="U10" s="405"/>
      <c r="V10" s="440" t="n">
        <v>3</v>
      </c>
      <c r="W10" s="448" t="n">
        <f aca="false">W$7+(W$27-W$7)*$V10/20</f>
        <v>20663747.05</v>
      </c>
      <c r="X10" s="442" t="n">
        <f aca="false">J10</f>
        <v>0.2</v>
      </c>
      <c r="Y10" s="448" t="n">
        <f aca="false">'Input-Detail'!E17/Z10</f>
        <v>8910.45352868845</v>
      </c>
      <c r="Z10" s="473" t="n">
        <f aca="false">Z9</f>
        <v>2319.04548780488</v>
      </c>
      <c r="AA10" s="473" t="n">
        <f aca="false">AA9</f>
        <v>2</v>
      </c>
      <c r="AB10" s="474" t="n">
        <f aca="false">AB9</f>
        <v>0.7</v>
      </c>
      <c r="AC10" s="451" t="n">
        <f aca="false">Y10*AB10</f>
        <v>6237.31747008191</v>
      </c>
      <c r="AD10" s="452" t="n">
        <f aca="false">Peak_Time_Eve*$BH10*(3600/K43+BK10)/3600</f>
        <v>28.7658799104092</v>
      </c>
      <c r="AE10" s="453" t="n">
        <f aca="false">IF(AE$6&lt;Total_Lanes,($BI10*($CH10+BM10)+$CM10*CO10)*Peak_Time_Eve/3600,"-")</f>
        <v>34.9818017808711</v>
      </c>
      <c r="AF10" s="453" t="n">
        <f aca="false">IF(AF$6&lt;Total_Lanes,($BI10*($CH10+BN10)+$CM10*CP10)*Peak_Time_Eve/3600,"-")</f>
        <v>39.6737640168522</v>
      </c>
      <c r="AG10" s="453" t="n">
        <f aca="false">IF(AG$6&lt;Total_Lanes,($BI10*($CH10+BO10)+$CM10*CQ10)*Peak_Time_Eve/3600,"-")</f>
        <v>313.186585049884</v>
      </c>
      <c r="AH10" s="453" t="n">
        <f aca="false">IF(AH$6&lt;Total_Lanes,($BI10*($CH10+BP10)+$CM10*CR10)*Peak_Time_Eve/3600,"-")</f>
        <v>1535.09604907141</v>
      </c>
      <c r="AI10" s="453" t="n">
        <f aca="false">IF(AI$6&lt;Total_Lanes,($BI10*($CH10+BQ10)+$CM10*CS10)*Peak_Time_Eve/3600,"-")</f>
        <v>3168.43074038397</v>
      </c>
      <c r="AJ10" s="453" t="n">
        <f aca="false">IF(AJ$6&lt;Total_Lanes,($BI10*($CH10+BR10)+$CM10*CT10)*Peak_Time_Eve/3600,"-")</f>
        <v>5352.71345531987</v>
      </c>
      <c r="AK10" s="453" t="n">
        <f aca="false">IF(AK$6&lt;Total_Lanes,($BI10*($CH10+BS10)+$CM10*CU10)*Peak_Time_Eve/3600,"-")</f>
        <v>8412.98769660869</v>
      </c>
      <c r="AL10" s="453" t="n">
        <f aca="false">IF(AL$6&lt;Total_Lanes,($BI10*($CH10+BT10)+$CM10*CV10)*Peak_Time_Eve/3600,"-")</f>
        <v>13004.6123691733</v>
      </c>
      <c r="AM10" s="453" t="n">
        <f aca="false">IF(AM$6&lt;Total_Lanes,($BI10*($CH10+BU10)+$CM10*CW10)*Peak_Time_Eve/3600,"-")</f>
        <v>20658.1576150896</v>
      </c>
      <c r="AN10" s="453" t="n">
        <f aca="false">IF(AN$6&lt;Total_Lanes,($BI10*($CH10+BV10)+$CM10*CX10)*Peak_Time_Eve/3600,"-")</f>
        <v>35965.9818817993</v>
      </c>
      <c r="AO10" s="453" t="n">
        <f aca="false">IF(AO$6&lt;Total_Lanes,($BI10*($CH10+BW10)+$CM10*CY10)*Peak_Time_Eve/3600,"-")</f>
        <v>81890.3858513506</v>
      </c>
      <c r="AP10" s="453" t="str">
        <f aca="false">IF(AP$6&lt;Total_Lanes,($BI10*($CH10+BX10)+$CM10*CZ10)*Peak_Time_Eve/3600,"-")</f>
        <v>-</v>
      </c>
      <c r="AQ10" s="453" t="str">
        <f aca="false">IF(AQ$6&lt;Total_Lanes,($BI10*($CH10+BY10)+$CM10*DA10)*Peak_Time_Eve/3600,"-")</f>
        <v>-</v>
      </c>
      <c r="AR10" s="453" t="str">
        <f aca="false">IF(AR$6&lt;Total_Lanes,($BI10*($CH10+BZ10)+$CM10*DB10)*Peak_Time_Eve/3600,"-")</f>
        <v>-</v>
      </c>
      <c r="AS10" s="453" t="str">
        <f aca="false">IF(AS$6&lt;Total_Lanes,($BI10*($CH10+CA10)+$CM10*DC10)*Peak_Time_Eve/3600,"-")</f>
        <v>-</v>
      </c>
      <c r="AT10" s="453" t="str">
        <f aca="false">IF(AT$6&lt;Total_Lanes,($BI10*($CH10+CB10)+$CM10*DD10)*Peak_Time_Eve/3600,"-")</f>
        <v>-</v>
      </c>
      <c r="AU10" s="453" t="str">
        <f aca="false">IF(AU$6&lt;Total_Lanes,($BI10*($CH10+CC10)+$CM10*DE10)*Peak_Time_Eve/3600,"-")</f>
        <v>-</v>
      </c>
      <c r="AV10" s="453" t="str">
        <f aca="false">IF(AV$6&lt;Total_Lanes,($BI10*($CH10+CD10)+$CM10*DF10)*Peak_Time_Eve/3600,"-")</f>
        <v>-</v>
      </c>
      <c r="AW10" s="453" t="str">
        <f aca="false">IF(AW$6&lt;Total_Lanes,($BI10*($CH10+CE10)+$CM10*DG10)*Peak_Time_Eve/3600,"-")</f>
        <v>-</v>
      </c>
      <c r="AX10" s="453" t="str">
        <f aca="false">IF(AX$6&lt;Total_Lanes,($BI10*($CH10+CF10)+$CM10*DH10)*Peak_Time_Eve/3600,"-")</f>
        <v>-</v>
      </c>
      <c r="AY10" s="454" t="str">
        <f aca="false">IF(AY$6&lt;Total_Lanes,($BI10*($CH10+CG10)+$CM10*DI10)*Peak_Time_Eve/3600,"-")</f>
        <v>-</v>
      </c>
      <c r="AZ10" s="475" t="n">
        <f aca="false">SUMIF(AE10:AY10,BA10,$AE$6:$AY$6)</f>
        <v>1</v>
      </c>
      <c r="BA10" s="476" t="n">
        <f aca="false">MIN(AE10:AY10)</f>
        <v>34.9818017808711</v>
      </c>
      <c r="BB10" s="475" t="n">
        <f aca="false">IF((SUMIF($BM8:$CG8,$AZ10,$BM10:$CG10)+$CH10)&lt;(SUMIF($CO8:$DI8,$AZ10,$CO10:$DI10)+$DJ10),AZ10+1,AZ10)</f>
        <v>1</v>
      </c>
      <c r="BC10" s="476" t="n">
        <f aca="false">SUMIF($AE$6:$AY$6,$BB10,$AE10:$AY10)</f>
        <v>34.9818017808711</v>
      </c>
      <c r="BF10" s="440" t="n">
        <v>3</v>
      </c>
      <c r="BG10" s="442" t="n">
        <f aca="false">$X10</f>
        <v>0.2</v>
      </c>
      <c r="BH10" s="458" t="n">
        <f aca="false">$AC10</f>
        <v>6237.31747008191</v>
      </c>
      <c r="BI10" s="477" t="n">
        <f aca="false">BH10*(1-BG10)</f>
        <v>4989.85397606553</v>
      </c>
      <c r="BJ10" s="460" t="n">
        <f aca="false">Peak_Arrival_Manual/K43</f>
        <v>9.11341385906413</v>
      </c>
      <c r="BK10" s="461" t="n">
        <f aca="false">900*Peak_Time_Eve*(BJ10/Total_Lanes-1+SQRT((BJ10/Total_Lanes-1)^2+8*(BJ10/Total_Lanes)/(Peak_Time_Eve*$K43*Total_Lanes)))</f>
        <v>1.72641869274719</v>
      </c>
      <c r="BL10" s="462" t="n">
        <f aca="false">Peak_Arrival_Manual/N43</f>
        <v>9.20177585655696</v>
      </c>
      <c r="BM10" s="463" t="n">
        <f aca="false">IF(BM$6&lt;Total_Lanes,900*Peak_Time_Eve*(($BL10/(Total_Lanes-BM$6))-1+SQRT((($BL10/(Total_Lanes-BM$6))-1)^2+8*($BL10/(Total_Lanes-BM$6))/(Peak_Time_Eve*$N43*(Total_Lanes-BM$6)))),"-")</f>
        <v>3.07227542790737</v>
      </c>
      <c r="BN10" s="463" t="n">
        <f aca="false">IF(BN$6&lt;Total_Lanes,900*Peak_Time_Eve*(($BL10/(Total_Lanes-BN$6))-1+SQRT((($BL10/(Total_Lanes-BN$6))-1)^2+8*($BL10/(Total_Lanes-BN$6))/(Peak_Time_Eve*$N43*(Total_Lanes-BN$6)))),"-")</f>
        <v>7.45939149549355</v>
      </c>
      <c r="BO10" s="463" t="n">
        <f aca="false">IF(BO$6&lt;Total_Lanes,900*Peak_Time_Eve*(($BL10/(Total_Lanes-BO$6))-1+SQRT((($BL10/(Total_Lanes-BO$6))-1)^2+8*($BL10/(Total_Lanes-BO$6))/(Peak_Time_Eve*$N43*(Total_Lanes-BO$6)))),"-")</f>
        <v>106.260974842082</v>
      </c>
      <c r="BP10" s="463" t="n">
        <f aca="false">IF(BP$6&lt;Total_Lanes,900*Peak_Time_Eve*(($BL10/(Total_Lanes-BP$6))-1+SQRT((($BL10/(Total_Lanes-BP$6))-1)^2+8*($BL10/(Total_Lanes-BP$6))/(Peak_Time_Eve*$N43*(Total_Lanes-BP$6)))),"-")</f>
        <v>547.080146206345</v>
      </c>
      <c r="BQ10" s="463" t="n">
        <f aca="false">IF(BQ$6&lt;Total_Lanes,900*Peak_Time_Eve*(($BL10/(Total_Lanes-BQ$6))-1+SQRT((($BL10/(Total_Lanes-BQ$6))-1)^2+8*($BL10/(Total_Lanes-BQ$6))/(Peak_Time_Eve*$N43*(Total_Lanes-BQ$6)))),"-")</f>
        <v>1136.29166416787</v>
      </c>
      <c r="BR10" s="463" t="n">
        <f aca="false">IF(BR$6&lt;Total_Lanes,900*Peak_Time_Eve*(($BL10/(Total_Lanes-BR$6))-1+SQRT((($BL10/(Total_Lanes-BR$6))-1)^2+8*($BL10/(Total_Lanes-BR$6))/(Peak_Time_Eve*$N43*(Total_Lanes-BR$6)))),"-")</f>
        <v>1924.24018464084</v>
      </c>
      <c r="BS10" s="463" t="n">
        <f aca="false">IF(BS$6&lt;Total_Lanes,900*Peak_Time_Eve*(($BL10/(Total_Lanes-BS$6))-1+SQRT((($BL10/(Total_Lanes-BS$6))-1)^2+8*($BL10/(Total_Lanes-BS$6))/(Peak_Time_Eve*$N43*(Total_Lanes-BS$6)))),"-")</f>
        <v>3028.18356402601</v>
      </c>
      <c r="BT10" s="463" t="n">
        <f aca="false">IF(BT$6&lt;Total_Lanes,900*Peak_Time_Eve*(($BL10/(Total_Lanes-BT$6))-1+SQRT((($BL10/(Total_Lanes-BT$6))-1)^2+8*($BL10/(Total_Lanes-BT$6))/(Peak_Time_Eve*$N43*(Total_Lanes-BT$6)))),"-")</f>
        <v>4684.5323663574</v>
      </c>
      <c r="BU10" s="463" t="n">
        <f aca="false">IF(BU$6&lt;Total_Lanes,900*Peak_Time_Eve*(($BL10/(Total_Lanes-BU$6))-1+SQRT((($BL10/(Total_Lanes-BU$6))-1)^2+8*($BL10/(Total_Lanes-BU$6))/(Peak_Time_Eve*$N43*(Total_Lanes-BU$6)))),"-")</f>
        <v>7445.41295674578</v>
      </c>
      <c r="BV10" s="463" t="n">
        <f aca="false">IF(BV$6&lt;Total_Lanes,900*Peak_Time_Eve*(($BL10/(Total_Lanes-BV$6))-1+SQRT((($BL10/(Total_Lanes-BV$6))-1)^2+8*($BL10/(Total_Lanes-BV$6))/(Peak_Time_Eve*$N43*(Total_Lanes-BV$6)))),"-")</f>
        <v>12967.4363513556</v>
      </c>
      <c r="BW10" s="463" t="n">
        <f aca="false">IF(BW$6&lt;Total_Lanes,900*Peak_Time_Eve*(($BL10/(Total_Lanes-BW$6))-1+SQRT((($BL10/(Total_Lanes-BW$6))-1)^2+8*($BL10/(Total_Lanes-BW$6))/(Peak_Time_Eve*$N43*(Total_Lanes-BW$6)))),"-")</f>
        <v>29533.839384075</v>
      </c>
      <c r="BX10" s="453" t="str">
        <f aca="false">IF(BX$6&lt;Total_Lanes,900*Peak_Time_Eve*(($BL10/(Total_Lanes-BX$6))-1+SQRT((($BL10/(Total_Lanes-BX$6))-1)^2+8*($BL10/(Total_Lanes-BX$6))/(Peak_Time_Eve*$N43*(Total_Lanes-BX$6)))),"-")</f>
        <v>-</v>
      </c>
      <c r="BY10" s="453" t="str">
        <f aca="false">IF(BY$6&lt;Total_Lanes,900*Peak_Time_Eve*(($BL10/(Total_Lanes-BY$6))-1+SQRT((($BL10/(Total_Lanes-BY$6))-1)^2+8*($BL10/(Total_Lanes-BY$6))/(Peak_Time_Eve*$N43*(Total_Lanes-BY$6)))),"-")</f>
        <v>-</v>
      </c>
      <c r="BZ10" s="453" t="str">
        <f aca="false">IF(BZ$6&lt;Total_Lanes,900*Peak_Time_Eve*(($BL10/(Total_Lanes-BZ$6))-1+SQRT((($BL10/(Total_Lanes-BZ$6))-1)^2+8*($BL10/(Total_Lanes-BZ$6))/(Peak_Time_Eve*$N43*(Total_Lanes-BZ$6)))),"-")</f>
        <v>-</v>
      </c>
      <c r="CA10" s="453" t="str">
        <f aca="false">IF(CA$6&lt;Total_Lanes,900*Peak_Time_Eve*(($BL10/(Total_Lanes-CA$6))-1+SQRT((($BL10/(Total_Lanes-CA$6))-1)^2+8*($BL10/(Total_Lanes-CA$6))/(Peak_Time_Eve*$N43*(Total_Lanes-CA$6)))),"-")</f>
        <v>-</v>
      </c>
      <c r="CB10" s="453" t="str">
        <f aca="false">IF(CB$6&lt;Total_Lanes,900*Peak_Time_Eve*(($BL10/(Total_Lanes-CB$6))-1+SQRT((($BL10/(Total_Lanes-CB$6))-1)^2+8*($BL10/(Total_Lanes-CB$6))/(Peak_Time_Eve*$N43*(Total_Lanes-CB$6)))),"-")</f>
        <v>-</v>
      </c>
      <c r="CC10" s="453" t="str">
        <f aca="false">IF(CC$6&lt;Total_Lanes,900*Peak_Time_Eve*(($BL10/(Total_Lanes-CC$6))-1+SQRT((($BL10/(Total_Lanes-CC$6))-1)^2+8*($BL10/(Total_Lanes-CC$6))/(Peak_Time_Eve*$N43*(Total_Lanes-CC$6)))),"-")</f>
        <v>-</v>
      </c>
      <c r="CD10" s="453" t="str">
        <f aca="false">IF(CD$6&lt;Total_Lanes,900*Peak_Time_Eve*(($BL10/(Total_Lanes-CD$6))-1+SQRT((($BL10/(Total_Lanes-CD$6))-1)^2+8*($BL10/(Total_Lanes-CD$6))/(Peak_Time_Eve*$N43*(Total_Lanes-CD$6)))),"-")</f>
        <v>-</v>
      </c>
      <c r="CE10" s="453" t="str">
        <f aca="false">IF(CE$6&lt;Total_Lanes,900*Peak_Time_Eve*(($BL10/(Total_Lanes-CE$6))-1+SQRT((($BL10/(Total_Lanes-CE$6))-1)^2+8*($BL10/(Total_Lanes-CE$6))/(Peak_Time_Eve*$N43*(Total_Lanes-CE$6)))),"-")</f>
        <v>-</v>
      </c>
      <c r="CF10" s="453" t="str">
        <f aca="false">IF(CF$6&lt;Total_Lanes,900*Peak_Time_Eve*(($BL10/(Total_Lanes-CF$6))-1+SQRT((($BL10/(Total_Lanes-CF$6))-1)^2+8*($BL10/(Total_Lanes-CF$6))/(Peak_Time_Eve*$N43*(Total_Lanes-CF$6)))),"-")</f>
        <v>-</v>
      </c>
      <c r="CG10" s="464" t="str">
        <f aca="false">IF(CG$6&lt;Total_Lanes,900*Peak_Time_Eve*(($BL10/(Total_Lanes-CG$6))-1+SQRT((($BL10/(Total_Lanes-CG$6))-1)^2+8*($BL10/(Total_Lanes-CG$6))/(Peak_Time_Eve*$N43*(Total_Lanes-CG$6)))),"-")</f>
        <v>-</v>
      </c>
      <c r="CH10" s="478" t="n">
        <f aca="false">3600/N43</f>
        <v>6.63875</v>
      </c>
      <c r="CJ10" s="440" t="n">
        <v>3</v>
      </c>
      <c r="CK10" s="442" t="n">
        <f aca="false">$X10</f>
        <v>0.2</v>
      </c>
      <c r="CL10" s="451" t="n">
        <f aca="false">$AC10</f>
        <v>6237.31747008191</v>
      </c>
      <c r="CM10" s="452" t="n">
        <f aca="false">CL10*CK10</f>
        <v>1247.46349401638</v>
      </c>
      <c r="CN10" s="479" t="n">
        <f aca="false">CM10/O42</f>
        <v>0.831642329344255</v>
      </c>
      <c r="CO10" s="482" t="n">
        <f aca="false">IF(CO$6&lt;Total_Lanes,900*Peak_Time_Eve*(($CN10/CO$6-1)+SQRT(($CN10/CO$6-1)^2+8*($CN10/CO$6)/(Peak_Time_Eve*$O43*CO$6))),"-")</f>
        <v>11.6321194424149</v>
      </c>
      <c r="CP10" s="482" t="n">
        <f aca="false">IF(CP$6&lt;Total_Lanes,900*Peak_Time_Eve*(($CN10/CP$6-1)+SQRT(($CN10/CP$6-1)^2+8*($CN10/CP$6)/(Peak_Time_Eve*$O43*CP$6))),"-")</f>
        <v>0.853818840406873</v>
      </c>
      <c r="CQ10" s="482" t="n">
        <f aca="false">IF(CQ$6&lt;Total_Lanes,900*Peak_Time_Eve*(($CN10/CQ$6-1)+SQRT(($CN10/CQ$6-1)^2+8*($CN10/CQ$6)/(Peak_Time_Eve*$O43*CQ$6))),"-")</f>
        <v>0.30679229625441</v>
      </c>
      <c r="CR10" s="482" t="n">
        <f aca="false">IF(CR$6&lt;Total_Lanes,900*Peak_Time_Eve*(($CN10/CR$6-1)+SQRT(($CN10/CR$6-1)^2+8*($CN10/CR$6)/(Peak_Time_Eve*$O43*CR$6))),"-")</f>
        <v>0.157481538839033</v>
      </c>
      <c r="CS10" s="482" t="n">
        <f aca="false">IF(CS$6&lt;Total_Lanes,900*Peak_Time_Eve*(($CN10/CS$6-1)+SQRT(($CN10/CS$6-1)^2+8*($CN10/CS$6)/(Peak_Time_Eve*$O43*CS$6))),"-")</f>
        <v>0.0957632748131765</v>
      </c>
      <c r="CT10" s="482" t="n">
        <f aca="false">IF(CT$6&lt;Total_Lanes,900*Peak_Time_Eve*(($CN10/CT$6-1)+SQRT(($CN10/CT$6-1)^2+8*($CN10/CT$6)/(Peak_Time_Eve*$O43*CT$6))),"-")</f>
        <v>0.0643628109061378</v>
      </c>
      <c r="CU10" s="482" t="n">
        <f aca="false">IF(CU$6&lt;Total_Lanes,900*Peak_Time_Eve*(($CN10/CU$6-1)+SQRT(($CN10/CU$6-1)^2+8*($CN10/CU$6)/(Peak_Time_Eve*$O43*CU$6))),"-")</f>
        <v>0.0462246797942711</v>
      </c>
      <c r="CV10" s="482" t="n">
        <f aca="false">IF(CV$6&lt;Total_Lanes,900*Peak_Time_Eve*(($CN10/CV$6-1)+SQRT(($CN10/CV$6-1)^2+8*($CN10/CV$6)/(Peak_Time_Eve*$O43*CV$6))),"-")</f>
        <v>0.034804346880124</v>
      </c>
      <c r="CW10" s="482" t="n">
        <f aca="false">IF(CW$6&lt;Total_Lanes,900*Peak_Time_Eve*(($CN10/CW$6-1)+SQRT(($CN10/CW$6-1)^2+8*($CN10/CW$6)/(Peak_Time_Eve*$O43*CW$6))),"-")</f>
        <v>0.0271498205617338</v>
      </c>
      <c r="CX10" s="482" t="n">
        <f aca="false">IF(CX$6&lt;Total_Lanes,900*Peak_Time_Eve*(($CN10/CX$6-1)+SQRT(($CN10/CX$6-1)^2+8*($CN10/CX$6)/(Peak_Time_Eve*$O43*CX$6))),"-")</f>
        <v>0.0217697487121082</v>
      </c>
      <c r="CY10" s="482" t="n">
        <f aca="false">IF(CY$6&lt;Total_Lanes,900*Peak_Time_Eve*(($CN10/CY$6-1)+SQRT(($CN10/CY$6-1)^2+8*($CN10/CY$6)/(Peak_Time_Eve*$O43*CY$6))),"-")</f>
        <v>0.0178444020569879</v>
      </c>
      <c r="CZ10" s="483" t="str">
        <f aca="false">IF(CZ$6&lt;Total_Lanes,900*Peak_Time_Eve*(($CN10/CZ$6-1)+SQRT(($CN10/CZ$6-1)^2+8*($CN10/CZ$6)/(Peak_Time_Eve*$O43*CZ$6))),"-")</f>
        <v>-</v>
      </c>
      <c r="DA10" s="483" t="str">
        <f aca="false">IF(DA$6&lt;Total_Lanes,900*Peak_Time_Eve*(($CN10/DA$6-1)+SQRT(($CN10/DA$6-1)^2+8*($CN10/DA$6)/(Peak_Time_Eve*$O43*DA$6))),"-")</f>
        <v>-</v>
      </c>
      <c r="DB10" s="483" t="str">
        <f aca="false">IF(DB$6&lt;Total_Lanes,900*Peak_Time_Eve*(($CN10/DB$6-1)+SQRT(($CN10/DB$6-1)^2+8*($CN10/DB$6)/(Peak_Time_Eve*$O43*DB$6))),"-")</f>
        <v>-</v>
      </c>
      <c r="DC10" s="483" t="str">
        <f aca="false">IF(DC$6&lt;Total_Lanes,900*Peak_Time_Eve*(($CN10/DC$6-1)+SQRT(($CN10/DC$6-1)^2+8*($CN10/DC$6)/(Peak_Time_Eve*$O43*DC$6))),"-")</f>
        <v>-</v>
      </c>
      <c r="DD10" s="483" t="str">
        <f aca="false">IF(DD$6&lt;Total_Lanes,900*Peak_Time_Eve*(($CN10/DD$6-1)+SQRT(($CN10/DD$6-1)^2+8*($CN10/DD$6)/(Peak_Time_Eve*$O43*DD$6))),"-")</f>
        <v>-</v>
      </c>
      <c r="DE10" s="483" t="str">
        <f aca="false">IF(DE$6&lt;Total_Lanes,900*Peak_Time_Eve*(($CN10/DE$6-1)+SQRT(($CN10/DE$6-1)^2+8*($CN10/DE$6)/(Peak_Time_Eve*$O43*DE$6))),"-")</f>
        <v>-</v>
      </c>
      <c r="DF10" s="483" t="str">
        <f aca="false">IF(DF$6&lt;Total_Lanes,900*Peak_Time_Eve*(($CN10/DF$6-1)+SQRT(($CN10/DF$6-1)^2+8*($CN10/DF$6)/(Peak_Time_Eve*$O43*DF$6))),"-")</f>
        <v>-</v>
      </c>
      <c r="DG10" s="483" t="str">
        <f aca="false">IF(DG$6&lt;Total_Lanes,900*Peak_Time_Eve*(($CN10/DG$6-1)+SQRT(($CN10/DG$6-1)^2+8*($CN10/DG$6)/(Peak_Time_Eve*$O43*DG$6))),"-")</f>
        <v>-</v>
      </c>
      <c r="DH10" s="483" t="str">
        <f aca="false">IF(DH$6&lt;Total_Lanes,900*Peak_Time_Eve*(($CN10/DH$6-1)+SQRT(($CN10/DH$6-1)^2+8*($CN10/DH$6)/(Peak_Time_Eve*$O43*DH$6))),"-")</f>
        <v>-</v>
      </c>
      <c r="DI10" s="484" t="str">
        <f aca="false">IF(DI$6&lt;Total_Lanes,900*Peak_Time_Eve*(($CN10/DI$6-1)+SQRT(($CN10/DI$6-1)^2+8*($CN10/DI$6)/(Peak_Time_Eve*$O43*DI$6))),"-")</f>
        <v>-</v>
      </c>
      <c r="DJ10" s="485" t="n">
        <f aca="false">3600/O43</f>
        <v>2.4</v>
      </c>
    </row>
    <row r="11" customFormat="false" ht="13.2" hidden="false" customHeight="false" outlineLevel="0" collapsed="false">
      <c r="B11" s="489"/>
      <c r="C11" s="147"/>
      <c r="D11" s="284"/>
      <c r="E11" s="149"/>
      <c r="F11" s="50"/>
      <c r="G11" s="50"/>
      <c r="H11" s="440" t="n">
        <v>4</v>
      </c>
      <c r="I11" s="441" t="n">
        <f aca="false">'Input-Detail'!E18</f>
        <v>21212938.4</v>
      </c>
      <c r="J11" s="442" t="n">
        <f aca="false">'Input-Detail'!F18</f>
        <v>0.25</v>
      </c>
      <c r="K11" s="451" t="n">
        <f aca="false">AC11</f>
        <v>6403.08996010922</v>
      </c>
      <c r="L11" s="452" t="n">
        <f aca="false">AD58</f>
        <v>10.5344458718127</v>
      </c>
      <c r="M11" s="467" t="n">
        <f aca="false">AD11</f>
        <v>28.6750806532228</v>
      </c>
      <c r="N11" s="467" t="n">
        <f aca="false">SUM(L11:M11)</f>
        <v>39.2095265250355</v>
      </c>
      <c r="O11" s="471" t="n">
        <f aca="false">$S$34*N11</f>
        <v>10194.4768965092</v>
      </c>
      <c r="P11" s="452" t="n">
        <f aca="false">BC58</f>
        <v>8.21883001535714</v>
      </c>
      <c r="Q11" s="467" t="n">
        <f aca="false">BC11</f>
        <v>32.9553421996572</v>
      </c>
      <c r="R11" s="467" t="n">
        <f aca="false">SUM(P11:Q11)</f>
        <v>41.1741722150144</v>
      </c>
      <c r="S11" s="472" t="n">
        <f aca="false">$S$34*R11</f>
        <v>10705.2847759037</v>
      </c>
      <c r="T11" s="50"/>
      <c r="U11" s="50"/>
      <c r="V11" s="440" t="n">
        <v>4</v>
      </c>
      <c r="W11" s="448" t="n">
        <f aca="false">W$7+(W$27-W$7)*$V11/20</f>
        <v>21212938.4</v>
      </c>
      <c r="X11" s="442" t="n">
        <f aca="false">J11</f>
        <v>0.25</v>
      </c>
      <c r="Y11" s="448" t="n">
        <f aca="false">'Input-Detail'!E18/Z11</f>
        <v>9147.2713715846</v>
      </c>
      <c r="Z11" s="473" t="n">
        <f aca="false">Z10</f>
        <v>2319.04548780488</v>
      </c>
      <c r="AA11" s="473" t="n">
        <f aca="false">AA10</f>
        <v>2</v>
      </c>
      <c r="AB11" s="474" t="n">
        <f aca="false">AB10</f>
        <v>0.7</v>
      </c>
      <c r="AC11" s="451" t="n">
        <f aca="false">Y11*AB11</f>
        <v>6403.08996010922</v>
      </c>
      <c r="AD11" s="452" t="n">
        <f aca="false">Peak_Time_Eve*$BH11*(3600/K44+BK11)/3600</f>
        <v>28.6750806532228</v>
      </c>
      <c r="AE11" s="453" t="n">
        <f aca="false">IF(AE$6&lt;Total_Lanes,($BI11*($CH11+BM11)+$CM11*CO11)*Peak_Time_Eve/3600,"-")</f>
        <v>269.392918081025</v>
      </c>
      <c r="AF11" s="453" t="n">
        <f aca="false">IF(AF$6&lt;Total_Lanes,($BI11*($CH11+BN11)+$CM11*CP11)*Peak_Time_Eve/3600,"-")</f>
        <v>32.9553421996572</v>
      </c>
      <c r="AG11" s="453" t="n">
        <f aca="false">IF(AG$6&lt;Total_Lanes,($BI11*($CH11+BO11)+$CM11*CQ11)*Peak_Time_Eve/3600,"-")</f>
        <v>106.520478016763</v>
      </c>
      <c r="AH11" s="453" t="n">
        <f aca="false">IF(AH$6&lt;Total_Lanes,($BI11*($CH11+BP11)+$CM11*CR11)*Peak_Time_Eve/3600,"-")</f>
        <v>1101.48427833335</v>
      </c>
      <c r="AI11" s="453" t="n">
        <f aca="false">IF(AI$6&lt;Total_Lanes,($BI11*($CH11+BQ11)+$CM11*CS11)*Peak_Time_Eve/3600,"-")</f>
        <v>2615.21085774911</v>
      </c>
      <c r="AJ11" s="453" t="n">
        <f aca="false">IF(AJ$6&lt;Total_Lanes,($BI11*($CH11+BR11)+$CM11*CT11)*Peak_Time_Eve/3600,"-")</f>
        <v>4644.03727733132</v>
      </c>
      <c r="AK11" s="453" t="n">
        <f aca="false">IF(AK$6&lt;Total_Lanes,($BI11*($CH11+BS11)+$CM11*CU11)*Peak_Time_Eve/3600,"-")</f>
        <v>7487.37511594202</v>
      </c>
      <c r="AL11" s="453" t="n">
        <f aca="false">IF(AL$6&lt;Total_Lanes,($BI11*($CH11+BT11)+$CM11*CV11)*Peak_Time_Eve/3600,"-")</f>
        <v>11753.833294174</v>
      </c>
      <c r="AM11" s="453" t="n">
        <f aca="false">IF(AM$6&lt;Total_Lanes,($BI11*($CH11+BU11)+$CM11*CW11)*Peak_Time_Eve/3600,"-")</f>
        <v>18865.5492891224</v>
      </c>
      <c r="AN11" s="453" t="n">
        <f aca="false">IF(AN$6&lt;Total_Lanes,($BI11*($CH11+BV11)+$CM11*CX11)*Peak_Time_Eve/3600,"-")</f>
        <v>33089.7886845483</v>
      </c>
      <c r="AO11" s="453" t="n">
        <f aca="false">IF(AO$6&lt;Total_Lanes,($BI11*($CH11+BW11)+$CM11*CY11)*Peak_Time_Eve/3600,"-")</f>
        <v>75763.5078425564</v>
      </c>
      <c r="AP11" s="453" t="str">
        <f aca="false">IF(AP$6&lt;Total_Lanes,($BI11*($CH11+BX11)+$CM11*CZ11)*Peak_Time_Eve/3600,"-")</f>
        <v>-</v>
      </c>
      <c r="AQ11" s="453" t="str">
        <f aca="false">IF(AQ$6&lt;Total_Lanes,($BI11*($CH11+BY11)+$CM11*DA11)*Peak_Time_Eve/3600,"-")</f>
        <v>-</v>
      </c>
      <c r="AR11" s="453" t="str">
        <f aca="false">IF(AR$6&lt;Total_Lanes,($BI11*($CH11+BZ11)+$CM11*DB11)*Peak_Time_Eve/3600,"-")</f>
        <v>-</v>
      </c>
      <c r="AS11" s="453" t="str">
        <f aca="false">IF(AS$6&lt;Total_Lanes,($BI11*($CH11+CA11)+$CM11*DC11)*Peak_Time_Eve/3600,"-")</f>
        <v>-</v>
      </c>
      <c r="AT11" s="453" t="str">
        <f aca="false">IF(AT$6&lt;Total_Lanes,($BI11*($CH11+CB11)+$CM11*DD11)*Peak_Time_Eve/3600,"-")</f>
        <v>-</v>
      </c>
      <c r="AU11" s="453" t="str">
        <f aca="false">IF(AU$6&lt;Total_Lanes,($BI11*($CH11+CC11)+$CM11*DE11)*Peak_Time_Eve/3600,"-")</f>
        <v>-</v>
      </c>
      <c r="AV11" s="453" t="str">
        <f aca="false">IF(AV$6&lt;Total_Lanes,($BI11*($CH11+CD11)+$CM11*DF11)*Peak_Time_Eve/3600,"-")</f>
        <v>-</v>
      </c>
      <c r="AW11" s="453" t="str">
        <f aca="false">IF(AW$6&lt;Total_Lanes,($BI11*($CH11+CE11)+$CM11*DG11)*Peak_Time_Eve/3600,"-")</f>
        <v>-</v>
      </c>
      <c r="AX11" s="453" t="str">
        <f aca="false">IF(AX$6&lt;Total_Lanes,($BI11*($CH11+CF11)+$CM11*DH11)*Peak_Time_Eve/3600,"-")</f>
        <v>-</v>
      </c>
      <c r="AY11" s="454" t="str">
        <f aca="false">IF(AY$6&lt;Total_Lanes,($BI11*($CH11+CG11)+$CM11*DI11)*Peak_Time_Eve/3600,"-")</f>
        <v>-</v>
      </c>
      <c r="AZ11" s="475" t="n">
        <f aca="false">SUMIF(AE11:AY11,BA11,$AE$6:$AY$6)</f>
        <v>2</v>
      </c>
      <c r="BA11" s="476" t="n">
        <f aca="false">MIN(AE11:AY11)</f>
        <v>32.9553421996572</v>
      </c>
      <c r="BB11" s="475" t="n">
        <f aca="false">IF((SUMIF($BM9:$CG9,$AZ11,$BM11:$CG11)+$CH11)&lt;(SUMIF($CO9:$DI9,$AZ11,$CO11:$DI11)+$DJ11),AZ11+1,AZ11)</f>
        <v>2</v>
      </c>
      <c r="BC11" s="476" t="n">
        <f aca="false">SUMIF($AE$6:$AY$6,$BB11,$AE11:$AY11)</f>
        <v>32.9553421996572</v>
      </c>
      <c r="BF11" s="440" t="n">
        <v>4</v>
      </c>
      <c r="BG11" s="442" t="n">
        <f aca="false">$X11</f>
        <v>0.25</v>
      </c>
      <c r="BH11" s="458" t="n">
        <f aca="false">$AC11</f>
        <v>6403.08996010922</v>
      </c>
      <c r="BI11" s="477" t="n">
        <f aca="false">BH11*(1-BG11)</f>
        <v>4802.31747008191</v>
      </c>
      <c r="BJ11" s="460" t="n">
        <f aca="false">Peak_Arrival_Manual/K44</f>
        <v>8.7708992682746</v>
      </c>
      <c r="BK11" s="461" t="n">
        <f aca="false">900*Peak_Time_Eve*(BJ11/Total_Lanes-1+SQRT((BJ11/Total_Lanes-1)^2+8*(BJ11/Total_Lanes)/(Peak_Time_Eve*$K44*Total_Lanes)))</f>
        <v>1.48597454469008</v>
      </c>
      <c r="BL11" s="462" t="n">
        <f aca="false">Peak_Arrival_Manual/N44</f>
        <v>8.88428731965154</v>
      </c>
      <c r="BM11" s="463" t="n">
        <f aca="false">IF(BM$6&lt;Total_Lanes,900*Peak_Time_Eve*(($BL11/(Total_Lanes-BM$6))-1+SQRT((($BL11/(Total_Lanes-BM$6))-1)^2+8*($BL11/(Total_Lanes-BM$6))/(Peak_Time_Eve*$N44*(Total_Lanes-BM$6)))),"-")</f>
        <v>2.53315353145306</v>
      </c>
      <c r="BN11" s="463" t="n">
        <f aca="false">IF(BN$6&lt;Total_Lanes,900*Peak_Time_Eve*(($BL11/(Total_Lanes-BN$6))-1+SQRT((($BL11/(Total_Lanes-BN$6))-1)^2+8*($BL11/(Total_Lanes-BN$6))/(Peak_Time_Eve*$N44*(Total_Lanes-BN$6)))),"-")</f>
        <v>5.23504703742585</v>
      </c>
      <c r="BO11" s="463" t="n">
        <f aca="false">IF(BO$6&lt;Total_Lanes,900*Peak_Time_Eve*(($BL11/(Total_Lanes-BO$6))-1+SQRT((($BL11/(Total_Lanes-BO$6))-1)^2+8*($BL11/(Total_Lanes-BO$6))/(Peak_Time_Eve*$N44*(Total_Lanes-BO$6)))),"-")</f>
        <v>33.1186941190787</v>
      </c>
      <c r="BP11" s="463" t="n">
        <f aca="false">IF(BP$6&lt;Total_Lanes,900*Peak_Time_Eve*(($BL11/(Total_Lanes-BP$6))-1+SQRT((($BL11/(Total_Lanes-BP$6))-1)^2+8*($BL11/(Total_Lanes-BP$6))/(Peak_Time_Eve*$N44*(Total_Lanes-BP$6)))),"-")</f>
        <v>406.124505151322</v>
      </c>
      <c r="BQ11" s="463" t="n">
        <f aca="false">IF(BQ$6&lt;Total_Lanes,900*Peak_Time_Eve*(($BL11/(Total_Lanes-BQ$6))-1+SQRT((($BL11/(Total_Lanes-BQ$6))-1)^2+8*($BL11/(Total_Lanes-BQ$6))/(Peak_Time_Eve*$N44*(Total_Lanes-BQ$6)))),"-")</f>
        <v>973.527395610599</v>
      </c>
      <c r="BR11" s="463" t="n">
        <f aca="false">IF(BR$6&lt;Total_Lanes,900*Peak_Time_Eve*(($BL11/(Total_Lanes-BR$6))-1+SQRT((($BL11/(Total_Lanes-BR$6))-1)^2+8*($BL11/(Total_Lanes-BR$6))/(Peak_Time_Eve*$N44*(Total_Lanes-BR$6)))),"-")</f>
        <v>1733.98472597487</v>
      </c>
      <c r="BS11" s="463" t="n">
        <f aca="false">IF(BS$6&lt;Total_Lanes,900*Peak_Time_Eve*(($BL11/(Total_Lanes-BS$6))-1+SQRT((($BL11/(Total_Lanes-BS$6))-1)^2+8*($BL11/(Total_Lanes-BS$6))/(Peak_Time_Eve*$N44*(Total_Lanes-BS$6)))),"-")</f>
        <v>2799.7301587619</v>
      </c>
      <c r="BT11" s="463" t="n">
        <f aca="false">IF(BT$6&lt;Total_Lanes,900*Peak_Time_Eve*(($BL11/(Total_Lanes-BT$6))-1+SQRT((($BL11/(Total_Lanes-BT$6))-1)^2+8*($BL11/(Total_Lanes-BT$6))/(Peak_Time_Eve*$N44*(Total_Lanes-BT$6)))),"-")</f>
        <v>4398.88506015985</v>
      </c>
      <c r="BU11" s="463" t="n">
        <f aca="false">IF(BU$6&lt;Total_Lanes,900*Peak_Time_Eve*(($BL11/(Total_Lanes-BU$6))-1+SQRT((($BL11/(Total_Lanes-BU$6))-1)^2+8*($BL11/(Total_Lanes-BU$6))/(Peak_Time_Eve*$N44*(Total_Lanes-BU$6)))),"-")</f>
        <v>7064.49502182909</v>
      </c>
      <c r="BV11" s="463" t="n">
        <f aca="false">IF(BV$6&lt;Total_Lanes,900*Peak_Time_Eve*(($BL11/(Total_Lanes-BV$6))-1+SQRT((($BL11/(Total_Lanes-BV$6))-1)^2+8*($BL11/(Total_Lanes-BV$6))/(Peak_Time_Eve*$N44*(Total_Lanes-BV$6)))),"-")</f>
        <v>12396.0131064707</v>
      </c>
      <c r="BW11" s="463" t="n">
        <f aca="false">IF(BW$6&lt;Total_Lanes,900*Peak_Time_Eve*(($BL11/(Total_Lanes-BW$6))-1+SQRT((($BL11/(Total_Lanes-BW$6))-1)^2+8*($BL11/(Total_Lanes-BW$6))/(Peak_Time_Eve*$N44*(Total_Lanes-BW$6)))),"-")</f>
        <v>28390.9370855843</v>
      </c>
      <c r="BX11" s="453" t="str">
        <f aca="false">IF(BX$6&lt;Total_Lanes,900*Peak_Time_Eve*(($BL11/(Total_Lanes-BX$6))-1+SQRT((($BL11/(Total_Lanes-BX$6))-1)^2+8*($BL11/(Total_Lanes-BX$6))/(Peak_Time_Eve*$N44*(Total_Lanes-BX$6)))),"-")</f>
        <v>-</v>
      </c>
      <c r="BY11" s="453" t="str">
        <f aca="false">IF(BY$6&lt;Total_Lanes,900*Peak_Time_Eve*(($BL11/(Total_Lanes-BY$6))-1+SQRT((($BL11/(Total_Lanes-BY$6))-1)^2+8*($BL11/(Total_Lanes-BY$6))/(Peak_Time_Eve*$N44*(Total_Lanes-BY$6)))),"-")</f>
        <v>-</v>
      </c>
      <c r="BZ11" s="453" t="str">
        <f aca="false">IF(BZ$6&lt;Total_Lanes,900*Peak_Time_Eve*(($BL11/(Total_Lanes-BZ$6))-1+SQRT((($BL11/(Total_Lanes-BZ$6))-1)^2+8*($BL11/(Total_Lanes-BZ$6))/(Peak_Time_Eve*$N44*(Total_Lanes-BZ$6)))),"-")</f>
        <v>-</v>
      </c>
      <c r="CA11" s="453" t="str">
        <f aca="false">IF(CA$6&lt;Total_Lanes,900*Peak_Time_Eve*(($BL11/(Total_Lanes-CA$6))-1+SQRT((($BL11/(Total_Lanes-CA$6))-1)^2+8*($BL11/(Total_Lanes-CA$6))/(Peak_Time_Eve*$N44*(Total_Lanes-CA$6)))),"-")</f>
        <v>-</v>
      </c>
      <c r="CB11" s="453" t="str">
        <f aca="false">IF(CB$6&lt;Total_Lanes,900*Peak_Time_Eve*(($BL11/(Total_Lanes-CB$6))-1+SQRT((($BL11/(Total_Lanes-CB$6))-1)^2+8*($BL11/(Total_Lanes-CB$6))/(Peak_Time_Eve*$N44*(Total_Lanes-CB$6)))),"-")</f>
        <v>-</v>
      </c>
      <c r="CC11" s="453" t="str">
        <f aca="false">IF(CC$6&lt;Total_Lanes,900*Peak_Time_Eve*(($BL11/(Total_Lanes-CC$6))-1+SQRT((($BL11/(Total_Lanes-CC$6))-1)^2+8*($BL11/(Total_Lanes-CC$6))/(Peak_Time_Eve*$N44*(Total_Lanes-CC$6)))),"-")</f>
        <v>-</v>
      </c>
      <c r="CD11" s="453" t="str">
        <f aca="false">IF(CD$6&lt;Total_Lanes,900*Peak_Time_Eve*(($BL11/(Total_Lanes-CD$6))-1+SQRT((($BL11/(Total_Lanes-CD$6))-1)^2+8*($BL11/(Total_Lanes-CD$6))/(Peak_Time_Eve*$N44*(Total_Lanes-CD$6)))),"-")</f>
        <v>-</v>
      </c>
      <c r="CE11" s="453" t="str">
        <f aca="false">IF(CE$6&lt;Total_Lanes,900*Peak_Time_Eve*(($BL11/(Total_Lanes-CE$6))-1+SQRT((($BL11/(Total_Lanes-CE$6))-1)^2+8*($BL11/(Total_Lanes-CE$6))/(Peak_Time_Eve*$N44*(Total_Lanes-CE$6)))),"-")</f>
        <v>-</v>
      </c>
      <c r="CF11" s="453" t="str">
        <f aca="false">IF(CF$6&lt;Total_Lanes,900*Peak_Time_Eve*(($BL11/(Total_Lanes-CF$6))-1+SQRT((($BL11/(Total_Lanes-CF$6))-1)^2+8*($BL11/(Total_Lanes-CF$6))/(Peak_Time_Eve*$N44*(Total_Lanes-CF$6)))),"-")</f>
        <v>-</v>
      </c>
      <c r="CG11" s="464" t="str">
        <f aca="false">IF(CG$6&lt;Total_Lanes,900*Peak_Time_Eve*(($BL11/(Total_Lanes-CG$6))-1+SQRT((($BL11/(Total_Lanes-CG$6))-1)^2+8*($BL11/(Total_Lanes-CG$6))/(Peak_Time_Eve*$N44*(Total_Lanes-CG$6)))),"-")</f>
        <v>-</v>
      </c>
      <c r="CH11" s="478" t="n">
        <f aca="false">3600/N44</f>
        <v>6.66</v>
      </c>
      <c r="CJ11" s="440" t="n">
        <v>4</v>
      </c>
      <c r="CK11" s="442" t="n">
        <f aca="false">$X11</f>
        <v>0.25</v>
      </c>
      <c r="CL11" s="451" t="n">
        <f aca="false">$AC11</f>
        <v>6403.08996010922</v>
      </c>
      <c r="CM11" s="452" t="n">
        <f aca="false">CL11*CK11</f>
        <v>1600.7724900273</v>
      </c>
      <c r="CN11" s="479" t="n">
        <f aca="false">CM11/O43</f>
        <v>1.0671816600182</v>
      </c>
      <c r="CO11" s="463" t="n">
        <f aca="false">IF(CO$6&lt;Total_Lanes,900*Peak_Time_Eve*(($CN11/CO$6-1)+SQRT(($CN11/CO$6-1)^2+8*($CN11/CO$6)/(Peak_Time_Eve*$O44*CO$6))),"-")</f>
        <v>275.341320195404</v>
      </c>
      <c r="CP11" s="482" t="n">
        <f aca="false">IF(CP$6&lt;Total_Lanes,900*Peak_Time_Eve*(($CN11/CP$6-1)+SQRT(($CN11/CP$6-1)^2+8*($CN11/CP$6)/(Peak_Time_Eve*$O44*CP$6))),"-")</f>
        <v>1.37172757389732</v>
      </c>
      <c r="CQ11" s="482" t="n">
        <f aca="false">IF(CQ$6&lt;Total_Lanes,900*Peak_Time_Eve*(($CN11/CQ$6-1)+SQRT(($CN11/CQ$6-1)^2+8*($CN11/CQ$6)/(Peak_Time_Eve*$O44*CQ$6))),"-")</f>
        <v>0.441625983380423</v>
      </c>
      <c r="CR11" s="482" t="n">
        <f aca="false">IF(CR$6&lt;Total_Lanes,900*Peak_Time_Eve*(($CN11/CR$6-1)+SQRT(($CN11/CR$6-1)^2+8*($CN11/CR$6)/(Peak_Time_Eve*$O44*CR$6))),"-")</f>
        <v>0.218307432751286</v>
      </c>
      <c r="CS11" s="482" t="n">
        <f aca="false">IF(CS$6&lt;Total_Lanes,900*Peak_Time_Eve*(($CN11/CS$6-1)+SQRT(($CN11/CS$6-1)^2+8*($CN11/CS$6)/(Peak_Time_Eve*$O44*CS$6))),"-")</f>
        <v>0.130243401125907</v>
      </c>
      <c r="CT11" s="482" t="n">
        <f aca="false">IF(CT$6&lt;Total_Lanes,900*Peak_Time_Eve*(($CN11/CT$6-1)+SQRT(($CN11/CT$6-1)^2+8*($CN11/CT$6)/(Peak_Time_Eve*$O44*CT$6))),"-")</f>
        <v>0.0865347462950084</v>
      </c>
      <c r="CU11" s="482" t="n">
        <f aca="false">IF(CU$6&lt;Total_Lanes,900*Peak_Time_Eve*(($CN11/CU$6-1)+SQRT(($CN11/CU$6-1)^2+8*($CN11/CU$6)/(Peak_Time_Eve*$O44*CU$6))),"-")</f>
        <v>0.0616711044468143</v>
      </c>
      <c r="CV11" s="482" t="n">
        <f aca="false">IF(CV$6&lt;Total_Lanes,900*Peak_Time_Eve*(($CN11/CV$6-1)+SQRT(($CN11/CV$6-1)^2+8*($CN11/CV$6)/(Peak_Time_Eve*$O44*CV$6))),"-")</f>
        <v>0.0461788760994342</v>
      </c>
      <c r="CW11" s="482" t="n">
        <f aca="false">IF(CW$6&lt;Total_Lanes,900*Peak_Time_Eve*(($CN11/CW$6-1)+SQRT(($CN11/CW$6-1)^2+8*($CN11/CW$6)/(Peak_Time_Eve*$O44*CW$6))),"-")</f>
        <v>0.0358735756354589</v>
      </c>
      <c r="CX11" s="482" t="n">
        <f aca="false">IF(CX$6&lt;Total_Lanes,900*Peak_Time_Eve*(($CN11/CX$6-1)+SQRT(($CN11/CX$6-1)^2+8*($CN11/CX$6)/(Peak_Time_Eve*$O44*CX$6))),"-")</f>
        <v>0.0286719493331589</v>
      </c>
      <c r="CY11" s="482" t="n">
        <f aca="false">IF(CY$6&lt;Total_Lanes,900*Peak_Time_Eve*(($CN11/CY$6-1)+SQRT(($CN11/CY$6-1)^2+8*($CN11/CY$6)/(Peak_Time_Eve*$O44*CY$6))),"-")</f>
        <v>0.0234412779873017</v>
      </c>
      <c r="CZ11" s="483" t="str">
        <f aca="false">IF(CZ$6&lt;Total_Lanes,900*Peak_Time_Eve*(($CN11/CZ$6-1)+SQRT(($CN11/CZ$6-1)^2+8*($CN11/CZ$6)/(Peak_Time_Eve*$O44*CZ$6))),"-")</f>
        <v>-</v>
      </c>
      <c r="DA11" s="483" t="str">
        <f aca="false">IF(DA$6&lt;Total_Lanes,900*Peak_Time_Eve*(($CN11/DA$6-1)+SQRT(($CN11/DA$6-1)^2+8*($CN11/DA$6)/(Peak_Time_Eve*$O44*DA$6))),"-")</f>
        <v>-</v>
      </c>
      <c r="DB11" s="483" t="str">
        <f aca="false">IF(DB$6&lt;Total_Lanes,900*Peak_Time_Eve*(($CN11/DB$6-1)+SQRT(($CN11/DB$6-1)^2+8*($CN11/DB$6)/(Peak_Time_Eve*$O44*DB$6))),"-")</f>
        <v>-</v>
      </c>
      <c r="DC11" s="483" t="str">
        <f aca="false">IF(DC$6&lt;Total_Lanes,900*Peak_Time_Eve*(($CN11/DC$6-1)+SQRT(($CN11/DC$6-1)^2+8*($CN11/DC$6)/(Peak_Time_Eve*$O44*DC$6))),"-")</f>
        <v>-</v>
      </c>
      <c r="DD11" s="483" t="str">
        <f aca="false">IF(DD$6&lt;Total_Lanes,900*Peak_Time_Eve*(($CN11/DD$6-1)+SQRT(($CN11/DD$6-1)^2+8*($CN11/DD$6)/(Peak_Time_Eve*$O44*DD$6))),"-")</f>
        <v>-</v>
      </c>
      <c r="DE11" s="483" t="str">
        <f aca="false">IF(DE$6&lt;Total_Lanes,900*Peak_Time_Eve*(($CN11/DE$6-1)+SQRT(($CN11/DE$6-1)^2+8*($CN11/DE$6)/(Peak_Time_Eve*$O44*DE$6))),"-")</f>
        <v>-</v>
      </c>
      <c r="DF11" s="483" t="str">
        <f aca="false">IF(DF$6&lt;Total_Lanes,900*Peak_Time_Eve*(($CN11/DF$6-1)+SQRT(($CN11/DF$6-1)^2+8*($CN11/DF$6)/(Peak_Time_Eve*$O44*DF$6))),"-")</f>
        <v>-</v>
      </c>
      <c r="DG11" s="483" t="str">
        <f aca="false">IF(DG$6&lt;Total_Lanes,900*Peak_Time_Eve*(($CN11/DG$6-1)+SQRT(($CN11/DG$6-1)^2+8*($CN11/DG$6)/(Peak_Time_Eve*$O44*DG$6))),"-")</f>
        <v>-</v>
      </c>
      <c r="DH11" s="483" t="str">
        <f aca="false">IF(DH$6&lt;Total_Lanes,900*Peak_Time_Eve*(($CN11/DH$6-1)+SQRT(($CN11/DH$6-1)^2+8*($CN11/DH$6)/(Peak_Time_Eve*$O44*DH$6))),"-")</f>
        <v>-</v>
      </c>
      <c r="DI11" s="484" t="str">
        <f aca="false">IF(DI$6&lt;Total_Lanes,900*Peak_Time_Eve*(($CN11/DI$6-1)+SQRT(($CN11/DI$6-1)^2+8*($CN11/DI$6)/(Peak_Time_Eve*$O44*DI$6))),"-")</f>
        <v>-</v>
      </c>
      <c r="DJ11" s="485" t="n">
        <f aca="false">3600/O44</f>
        <v>2.4</v>
      </c>
    </row>
    <row r="12" customFormat="false" ht="13.2" hidden="false" customHeight="false" outlineLevel="0" collapsed="false">
      <c r="H12" s="440" t="n">
        <v>5</v>
      </c>
      <c r="I12" s="441" t="n">
        <f aca="false">'Input-Detail'!E19</f>
        <v>21762129.75</v>
      </c>
      <c r="J12" s="442" t="n">
        <f aca="false">'Input-Detail'!F19</f>
        <v>0.3</v>
      </c>
      <c r="K12" s="451" t="n">
        <f aca="false">AC12</f>
        <v>6568.86245013652</v>
      </c>
      <c r="L12" s="452" t="n">
        <f aca="false">AD59</f>
        <v>10.8166862069217</v>
      </c>
      <c r="M12" s="467" t="n">
        <f aca="false">AD12</f>
        <v>28.6512108403224</v>
      </c>
      <c r="N12" s="467" t="n">
        <f aca="false">SUM(L12:M12)</f>
        <v>39.467897047244</v>
      </c>
      <c r="O12" s="471" t="n">
        <f aca="false">$S$34*N12</f>
        <v>10261.6532322835</v>
      </c>
      <c r="P12" s="452" t="n">
        <f aca="false">BC59</f>
        <v>7.95699663974275</v>
      </c>
      <c r="Q12" s="467" t="n">
        <f aca="false">BC12</f>
        <v>29.4401615933233</v>
      </c>
      <c r="R12" s="467" t="n">
        <f aca="false">SUM(P12:Q12)</f>
        <v>37.3971582330661</v>
      </c>
      <c r="S12" s="472" t="n">
        <f aca="false">$S$34*R12</f>
        <v>9723.26114059718</v>
      </c>
      <c r="T12" s="405"/>
      <c r="U12" s="405"/>
      <c r="V12" s="440" t="n">
        <v>5</v>
      </c>
      <c r="W12" s="448" t="n">
        <f aca="false">W$7+(W$27-W$7)*$V12/20</f>
        <v>21762129.75</v>
      </c>
      <c r="X12" s="442" t="n">
        <f aca="false">J12</f>
        <v>0.3</v>
      </c>
      <c r="Y12" s="448" t="n">
        <f aca="false">'Input-Detail'!E19/Z12</f>
        <v>9384.08921448075</v>
      </c>
      <c r="Z12" s="473" t="n">
        <f aca="false">Z11</f>
        <v>2319.04548780488</v>
      </c>
      <c r="AA12" s="473" t="n">
        <f aca="false">AA11</f>
        <v>2</v>
      </c>
      <c r="AB12" s="474" t="n">
        <f aca="false">AB11</f>
        <v>0.7</v>
      </c>
      <c r="AC12" s="451" t="n">
        <f aca="false">Y12*AB12</f>
        <v>6568.86245013652</v>
      </c>
      <c r="AD12" s="452" t="n">
        <f aca="false">Peak_Time_Eve*$BH12*(3600/K45+BK12)/3600</f>
        <v>28.6512108403224</v>
      </c>
      <c r="AE12" s="453" t="n">
        <f aca="false">IF(AE$6&lt;Total_Lanes,($BI12*($CH12+BM12)+$CM12*CO12)*Peak_Time_Eve/3600,"-")</f>
        <v>1270.00522022585</v>
      </c>
      <c r="AF12" s="453" t="n">
        <f aca="false">IF(AF$6&lt;Total_Lanes,($BI12*($CH12+BN12)+$CM12*CP12)*Peak_Time_Eve/3600,"-")</f>
        <v>29.4401615933233</v>
      </c>
      <c r="AG12" s="453" t="n">
        <f aca="false">IF(AG$6&lt;Total_Lanes,($BI12*($CH12+BO12)+$CM12*CQ12)*Peak_Time_Eve/3600,"-")</f>
        <v>50.2479269376519</v>
      </c>
      <c r="AH12" s="453" t="n">
        <f aca="false">IF(AH$6&lt;Total_Lanes,($BI12*($CH12+BP12)+$CM12*CR12)*Peak_Time_Eve/3600,"-")</f>
        <v>663.43696292436</v>
      </c>
      <c r="AI12" s="453" t="n">
        <f aca="false">IF(AI$6&lt;Total_Lanes,($BI12*($CH12+BQ12)+$CM12*CS12)*Peak_Time_Eve/3600,"-")</f>
        <v>2045.81984768165</v>
      </c>
      <c r="AJ12" s="453" t="n">
        <f aca="false">IF(AJ$6&lt;Total_Lanes,($BI12*($CH12+BR12)+$CM12*CT12)*Peak_Time_Eve/3600,"-")</f>
        <v>3910.41947922502</v>
      </c>
      <c r="AK12" s="453" t="n">
        <f aca="false">IF(AK$6&lt;Total_Lanes,($BI12*($CH12+BS12)+$CM12*CU12)*Peak_Time_Eve/3600,"-")</f>
        <v>6525.07520982274</v>
      </c>
      <c r="AL12" s="453" t="n">
        <f aca="false">IF(AL$6&lt;Total_Lanes,($BI12*($CH12+BT12)+$CM12*CV12)*Peak_Time_Eve/3600,"-")</f>
        <v>10448.869214295</v>
      </c>
      <c r="AM12" s="453" t="n">
        <f aca="false">IF(AM$6&lt;Total_Lanes,($BI12*($CH12+BU12)+$CM12*CW12)*Peak_Time_Eve/3600,"-")</f>
        <v>16989.6379966646</v>
      </c>
      <c r="AN12" s="453" t="n">
        <f aca="false">IF(AN$6&lt;Total_Lanes,($BI12*($CH12+BV12)+$CM12*CX12)*Peak_Time_Eve/3600,"-")</f>
        <v>30072.0802836718</v>
      </c>
      <c r="AO12" s="453" t="n">
        <f aca="false">IF(AO$6&lt;Total_Lanes,($BI12*($CH12+BW12)+$CM12*CY12)*Peak_Time_Eve/3600,"-")</f>
        <v>69320.4972195055</v>
      </c>
      <c r="AP12" s="453" t="str">
        <f aca="false">IF(AP$6&lt;Total_Lanes,($BI12*($CH12+BX12)+$CM12*CZ12)*Peak_Time_Eve/3600,"-")</f>
        <v>-</v>
      </c>
      <c r="AQ12" s="453" t="str">
        <f aca="false">IF(AQ$6&lt;Total_Lanes,($BI12*($CH12+BY12)+$CM12*DA12)*Peak_Time_Eve/3600,"-")</f>
        <v>-</v>
      </c>
      <c r="AR12" s="453" t="str">
        <f aca="false">IF(AR$6&lt;Total_Lanes,($BI12*($CH12+BZ12)+$CM12*DB12)*Peak_Time_Eve/3600,"-")</f>
        <v>-</v>
      </c>
      <c r="AS12" s="453" t="str">
        <f aca="false">IF(AS$6&lt;Total_Lanes,($BI12*($CH12+CA12)+$CM12*DC12)*Peak_Time_Eve/3600,"-")</f>
        <v>-</v>
      </c>
      <c r="AT12" s="453" t="str">
        <f aca="false">IF(AT$6&lt;Total_Lanes,($BI12*($CH12+CB12)+$CM12*DD12)*Peak_Time_Eve/3600,"-")</f>
        <v>-</v>
      </c>
      <c r="AU12" s="453" t="str">
        <f aca="false">IF(AU$6&lt;Total_Lanes,($BI12*($CH12+CC12)+$CM12*DE12)*Peak_Time_Eve/3600,"-")</f>
        <v>-</v>
      </c>
      <c r="AV12" s="453" t="str">
        <f aca="false">IF(AV$6&lt;Total_Lanes,($BI12*($CH12+CD12)+$CM12*DF12)*Peak_Time_Eve/3600,"-")</f>
        <v>-</v>
      </c>
      <c r="AW12" s="453" t="str">
        <f aca="false">IF(AW$6&lt;Total_Lanes,($BI12*($CH12+CE12)+$CM12*DG12)*Peak_Time_Eve/3600,"-")</f>
        <v>-</v>
      </c>
      <c r="AX12" s="453" t="str">
        <f aca="false">IF(AX$6&lt;Total_Lanes,($BI12*($CH12+CF12)+$CM12*DH12)*Peak_Time_Eve/3600,"-")</f>
        <v>-</v>
      </c>
      <c r="AY12" s="454" t="str">
        <f aca="false">IF(AY$6&lt;Total_Lanes,($BI12*($CH12+CG12)+$CM12*DI12)*Peak_Time_Eve/3600,"-")</f>
        <v>-</v>
      </c>
      <c r="AZ12" s="475" t="n">
        <f aca="false">SUMIF(AE12:AY12,BA12,$AE$6:$AY$6)</f>
        <v>2</v>
      </c>
      <c r="BA12" s="476" t="n">
        <f aca="false">MIN(AE12:AY12)</f>
        <v>29.4401615933233</v>
      </c>
      <c r="BB12" s="475" t="n">
        <f aca="false">IF((SUMIF($BM10:$CG10,$AZ12,$BM12:$CG12)+$CH12)&lt;(SUMIF($CO10:$DI10,$AZ12,$CO12:$DI12)+$DJ12),AZ12+1,AZ12)</f>
        <v>2</v>
      </c>
      <c r="BC12" s="476" t="n">
        <f aca="false">SUMIF($AE$6:$AY$6,$BB12,$AE12:$AY12)</f>
        <v>29.4401615933233</v>
      </c>
      <c r="BF12" s="440" t="n">
        <v>5</v>
      </c>
      <c r="BG12" s="442" t="n">
        <f aca="false">$X12</f>
        <v>0.3</v>
      </c>
      <c r="BH12" s="458" t="n">
        <f aca="false">$AC12</f>
        <v>6568.86245013652</v>
      </c>
      <c r="BI12" s="477" t="n">
        <f aca="false">BH12*(1-BG12)</f>
        <v>4598.20371509557</v>
      </c>
      <c r="BJ12" s="460" t="n">
        <f aca="false">Peak_Arrival_Manual/K45</f>
        <v>8.39810817409815</v>
      </c>
      <c r="BK12" s="461" t="n">
        <f aca="false">900*Peak_Time_Eve*(BJ12/Total_Lanes-1+SQRT((BJ12/Total_Lanes-1)^2+8*(BJ12/Total_Lanes)/(Peak_Time_Eve*$K45*Total_Lanes)))</f>
        <v>1.27600615274848</v>
      </c>
      <c r="BL12" s="462" t="n">
        <f aca="false">Peak_Arrival_Manual/N45</f>
        <v>8.53381904763396</v>
      </c>
      <c r="BM12" s="463" t="n">
        <f aca="false">IF(BM$6&lt;Total_Lanes,900*Peak_Time_Eve*(($BL12/(Total_Lanes-BM$6))-1+SQRT((($BL12/(Total_Lanes-BM$6))-1)^2+8*($BL12/(Total_Lanes-BM$6))/(Peak_Time_Eve*$N45*(Total_Lanes-BM$6)))),"-")</f>
        <v>2.0963171966411</v>
      </c>
      <c r="BN12" s="463" t="n">
        <f aca="false">IF(BN$6&lt;Total_Lanes,900*Peak_Time_Eve*(($BL12/(Total_Lanes-BN$6))-1+SQRT((($BL12/(Total_Lanes-BN$6))-1)^2+8*($BL12/(Total_Lanes-BN$6))/(Peak_Time_Eve*$N45*(Total_Lanes-BN$6)))),"-")</f>
        <v>3.86054556507617</v>
      </c>
      <c r="BO12" s="463" t="n">
        <f aca="false">IF(BO$6&lt;Total_Lanes,900*Peak_Time_Eve*(($BL12/(Total_Lanes-BO$6))-1+SQRT((($BL12/(Total_Lanes-BO$6))-1)^2+8*($BL12/(Total_Lanes-BO$6))/(Peak_Time_Eve*$N45*(Total_Lanes-BO$6)))),"-")</f>
        <v>12.7216189135729</v>
      </c>
      <c r="BP12" s="463" t="n">
        <f aca="false">IF(BP$6&lt;Total_Lanes,900*Peak_Time_Eve*(($BL12/(Total_Lanes-BP$6))-1+SQRT((($BL12/(Total_Lanes-BP$6))-1)^2+8*($BL12/(Total_Lanes-BP$6))/(Peak_Time_Eve*$N45*(Total_Lanes-BP$6)))),"-")</f>
        <v>252.900185469476</v>
      </c>
      <c r="BQ12" s="463" t="n">
        <f aca="false">IF(BQ$6&lt;Total_Lanes,900*Peak_Time_Eve*(($BL12/(Total_Lanes-BQ$6))-1+SQRT((($BL12/(Total_Lanes-BQ$6))-1)^2+8*($BL12/(Total_Lanes-BQ$6))/(Peak_Time_Eve*$N45*(Total_Lanes-BQ$6)))),"-")</f>
        <v>794.096369024711</v>
      </c>
      <c r="BR12" s="463" t="n">
        <f aca="false">IF(BR$6&lt;Total_Lanes,900*Peak_Time_Eve*(($BL12/(Total_Lanes-BR$6))-1+SQRT((($BL12/(Total_Lanes-BR$6))-1)^2+8*($BL12/(Total_Lanes-BR$6))/(Peak_Time_Eve*$N45*(Total_Lanes-BR$6)))),"-")</f>
        <v>1524.03259387704</v>
      </c>
      <c r="BS12" s="463" t="n">
        <f aca="false">IF(BS$6&lt;Total_Lanes,900*Peak_Time_Eve*(($BL12/(Total_Lanes-BS$6))-1+SQRT((($BL12/(Total_Lanes-BS$6))-1)^2+8*($BL12/(Total_Lanes-BS$6))/(Peak_Time_Eve*$N45*(Total_Lanes-BS$6)))),"-")</f>
        <v>2547.5725419767</v>
      </c>
      <c r="BT12" s="463" t="n">
        <f aca="false">IF(BT$6&lt;Total_Lanes,900*Peak_Time_Eve*(($BL12/(Total_Lanes-BT$6))-1+SQRT((($BL12/(Total_Lanes-BT$6))-1)^2+8*($BL12/(Total_Lanes-BT$6))/(Peak_Time_Eve*$N45*(Total_Lanes-BT$6)))),"-")</f>
        <v>4083.57868394473</v>
      </c>
      <c r="BU12" s="463" t="n">
        <f aca="false">IF(BU$6&lt;Total_Lanes,900*Peak_Time_Eve*(($BL12/(Total_Lanes-BU$6))-1+SQRT((($BL12/(Total_Lanes-BU$6))-1)^2+8*($BL12/(Total_Lanes-BU$6))/(Peak_Time_Eve*$N45*(Total_Lanes-BU$6)))),"-")</f>
        <v>6644.01551491924</v>
      </c>
      <c r="BV12" s="463" t="n">
        <f aca="false">IF(BV$6&lt;Total_Lanes,900*Peak_Time_Eve*(($BL12/(Total_Lanes-BV$6))-1+SQRT((($BL12/(Total_Lanes-BV$6))-1)^2+8*($BL12/(Total_Lanes-BV$6))/(Peak_Time_Eve*$N45*(Total_Lanes-BV$6)))),"-")</f>
        <v>11765.2358575177</v>
      </c>
      <c r="BW12" s="463" t="n">
        <f aca="false">IF(BW$6&lt;Total_Lanes,900*Peak_Time_Eve*(($BL12/(Total_Lanes-BW$6))-1+SQRT((($BL12/(Total_Lanes-BW$6))-1)^2+8*($BL12/(Total_Lanes-BW$6))/(Peak_Time_Eve*$N45*(Total_Lanes-BW$6)))),"-")</f>
        <v>27129.3145452668</v>
      </c>
      <c r="BX12" s="453" t="str">
        <f aca="false">IF(BX$6&lt;Total_Lanes,900*Peak_Time_Eve*(($BL12/(Total_Lanes-BX$6))-1+SQRT((($BL12/(Total_Lanes-BX$6))-1)^2+8*($BL12/(Total_Lanes-BX$6))/(Peak_Time_Eve*$N45*(Total_Lanes-BX$6)))),"-")</f>
        <v>-</v>
      </c>
      <c r="BY12" s="453" t="str">
        <f aca="false">IF(BY$6&lt;Total_Lanes,900*Peak_Time_Eve*(($BL12/(Total_Lanes-BY$6))-1+SQRT((($BL12/(Total_Lanes-BY$6))-1)^2+8*($BL12/(Total_Lanes-BY$6))/(Peak_Time_Eve*$N45*(Total_Lanes-BY$6)))),"-")</f>
        <v>-</v>
      </c>
      <c r="BZ12" s="453" t="str">
        <f aca="false">IF(BZ$6&lt;Total_Lanes,900*Peak_Time_Eve*(($BL12/(Total_Lanes-BZ$6))-1+SQRT((($BL12/(Total_Lanes-BZ$6))-1)^2+8*($BL12/(Total_Lanes-BZ$6))/(Peak_Time_Eve*$N45*(Total_Lanes-BZ$6)))),"-")</f>
        <v>-</v>
      </c>
      <c r="CA12" s="453" t="str">
        <f aca="false">IF(CA$6&lt;Total_Lanes,900*Peak_Time_Eve*(($BL12/(Total_Lanes-CA$6))-1+SQRT((($BL12/(Total_Lanes-CA$6))-1)^2+8*($BL12/(Total_Lanes-CA$6))/(Peak_Time_Eve*$N45*(Total_Lanes-CA$6)))),"-")</f>
        <v>-</v>
      </c>
      <c r="CB12" s="453" t="str">
        <f aca="false">IF(CB$6&lt;Total_Lanes,900*Peak_Time_Eve*(($BL12/(Total_Lanes-CB$6))-1+SQRT((($BL12/(Total_Lanes-CB$6))-1)^2+8*($BL12/(Total_Lanes-CB$6))/(Peak_Time_Eve*$N45*(Total_Lanes-CB$6)))),"-")</f>
        <v>-</v>
      </c>
      <c r="CC12" s="453" t="str">
        <f aca="false">IF(CC$6&lt;Total_Lanes,900*Peak_Time_Eve*(($BL12/(Total_Lanes-CC$6))-1+SQRT((($BL12/(Total_Lanes-CC$6))-1)^2+8*($BL12/(Total_Lanes-CC$6))/(Peak_Time_Eve*$N45*(Total_Lanes-CC$6)))),"-")</f>
        <v>-</v>
      </c>
      <c r="CD12" s="453" t="str">
        <f aca="false">IF(CD$6&lt;Total_Lanes,900*Peak_Time_Eve*(($BL12/(Total_Lanes-CD$6))-1+SQRT((($BL12/(Total_Lanes-CD$6))-1)^2+8*($BL12/(Total_Lanes-CD$6))/(Peak_Time_Eve*$N45*(Total_Lanes-CD$6)))),"-")</f>
        <v>-</v>
      </c>
      <c r="CE12" s="453" t="str">
        <f aca="false">IF(CE$6&lt;Total_Lanes,900*Peak_Time_Eve*(($BL12/(Total_Lanes-CE$6))-1+SQRT((($BL12/(Total_Lanes-CE$6))-1)^2+8*($BL12/(Total_Lanes-CE$6))/(Peak_Time_Eve*$N45*(Total_Lanes-CE$6)))),"-")</f>
        <v>-</v>
      </c>
      <c r="CF12" s="453" t="str">
        <f aca="false">IF(CF$6&lt;Total_Lanes,900*Peak_Time_Eve*(($BL12/(Total_Lanes-CF$6))-1+SQRT((($BL12/(Total_Lanes-CF$6))-1)^2+8*($BL12/(Total_Lanes-CF$6))/(Peak_Time_Eve*$N45*(Total_Lanes-CF$6)))),"-")</f>
        <v>-</v>
      </c>
      <c r="CG12" s="464" t="str">
        <f aca="false">IF(CG$6&lt;Total_Lanes,900*Peak_Time_Eve*(($BL12/(Total_Lanes-CG$6))-1+SQRT((($BL12/(Total_Lanes-CG$6))-1)^2+8*($BL12/(Total_Lanes-CG$6))/(Peak_Time_Eve*$N45*(Total_Lanes-CG$6)))),"-")</f>
        <v>-</v>
      </c>
      <c r="CH12" s="478" t="n">
        <f aca="false">3600/N45</f>
        <v>6.68125</v>
      </c>
      <c r="CJ12" s="440" t="n">
        <v>5</v>
      </c>
      <c r="CK12" s="442" t="n">
        <f aca="false">$X12</f>
        <v>0.3</v>
      </c>
      <c r="CL12" s="451" t="n">
        <f aca="false">$AC12</f>
        <v>6568.86245013652</v>
      </c>
      <c r="CM12" s="452" t="n">
        <f aca="false">CL12*CK12</f>
        <v>1970.65873504096</v>
      </c>
      <c r="CN12" s="479" t="n">
        <f aca="false">CM12/O44</f>
        <v>1.3137724900273</v>
      </c>
      <c r="CO12" s="463" t="n">
        <f aca="false">IF(CO$6&lt;Total_Lanes,900*Peak_Time_Eve*(($CN12/CO$6-1)+SQRT(($CN12/CO$6-1)^2+8*($CN12/CO$6)/(Peak_Time_Eve*$O45*CO$6))),"-")</f>
        <v>1139.54197872153</v>
      </c>
      <c r="CP12" s="482" t="n">
        <f aca="false">IF(CP$6&lt;Total_Lanes,900*Peak_Time_Eve*(($CN12/CP$6-1)+SQRT(($CN12/CP$6-1)^2+8*($CN12/CP$6)/(Peak_Time_Eve*$O45*CP$6))),"-")</f>
        <v>2.29312526644895</v>
      </c>
      <c r="CQ12" s="482" t="n">
        <f aca="false">IF(CQ$6&lt;Total_Lanes,900*Peak_Time_Eve*(($CN12/CQ$6-1)+SQRT(($CN12/CQ$6-1)^2+8*($CN12/CQ$6)/(Peak_Time_Eve*$O45*CQ$6))),"-")</f>
        <v>0.623103606949305</v>
      </c>
      <c r="CR12" s="482" t="n">
        <f aca="false">IF(CR$6&lt;Total_Lanes,900*Peak_Time_Eve*(($CN12/CR$6-1)+SQRT(($CN12/CR$6-1)^2+8*($CN12/CR$6)/(Peak_Time_Eve*$O45*CR$6))),"-")</f>
        <v>0.293410679373629</v>
      </c>
      <c r="CS12" s="482" t="n">
        <f aca="false">IF(CS$6&lt;Total_Lanes,900*Peak_Time_Eve*(($CN12/CS$6-1)+SQRT(($CN12/CS$6-1)^2+8*($CN12/CS$6)/(Peak_Time_Eve*$O45*CS$6))),"-")</f>
        <v>0.171061105690429</v>
      </c>
      <c r="CT12" s="482" t="n">
        <f aca="false">IF(CT$6&lt;Total_Lanes,900*Peak_Time_Eve*(($CN12/CT$6-1)+SQRT(($CN12/CT$6-1)^2+8*($CN12/CT$6)/(Peak_Time_Eve*$O45*CT$6))),"-")</f>
        <v>0.112134555559229</v>
      </c>
      <c r="CU12" s="482" t="n">
        <f aca="false">IF(CU$6&lt;Total_Lanes,900*Peak_Time_Eve*(($CN12/CU$6-1)+SQRT(($CN12/CU$6-1)^2+8*($CN12/CU$6)/(Peak_Time_Eve*$O45*CU$6))),"-")</f>
        <v>0.079213165609282</v>
      </c>
      <c r="CV12" s="482" t="n">
        <f aca="false">IF(CV$6&lt;Total_Lanes,900*Peak_Time_Eve*(($CN12/CV$6-1)+SQRT(($CN12/CV$6-1)^2+8*($CN12/CV$6)/(Peak_Time_Eve*$O45*CV$6))),"-")</f>
        <v>0.058945649861597</v>
      </c>
      <c r="CW12" s="482" t="n">
        <f aca="false">IF(CW$6&lt;Total_Lanes,900*Peak_Time_Eve*(($CN12/CW$6-1)+SQRT(($CN12/CW$6-1)^2+8*($CN12/CW$6)/(Peak_Time_Eve*$O45*CW$6))),"-")</f>
        <v>0.0455794648935637</v>
      </c>
      <c r="CX12" s="482" t="n">
        <f aca="false">IF(CX$6&lt;Total_Lanes,900*Peak_Time_Eve*(($CN12/CX$6-1)+SQRT(($CN12/CX$6-1)^2+8*($CN12/CX$6)/(Peak_Time_Eve*$O45*CX$6))),"-")</f>
        <v>0.036299042039567</v>
      </c>
      <c r="CY12" s="482" t="n">
        <f aca="false">IF(CY$6&lt;Total_Lanes,900*Peak_Time_Eve*(($CN12/CY$6-1)+SQRT(($CN12/CY$6-1)^2+8*($CN12/CY$6)/(Peak_Time_Eve*$O45*CY$6))),"-")</f>
        <v>0.029592387178301</v>
      </c>
      <c r="CZ12" s="483" t="str">
        <f aca="false">IF(CZ$6&lt;Total_Lanes,900*Peak_Time_Eve*(($CN12/CZ$6-1)+SQRT(($CN12/CZ$6-1)^2+8*($CN12/CZ$6)/(Peak_Time_Eve*$O45*CZ$6))),"-")</f>
        <v>-</v>
      </c>
      <c r="DA12" s="483" t="str">
        <f aca="false">IF(DA$6&lt;Total_Lanes,900*Peak_Time_Eve*(($CN12/DA$6-1)+SQRT(($CN12/DA$6-1)^2+8*($CN12/DA$6)/(Peak_Time_Eve*$O45*DA$6))),"-")</f>
        <v>-</v>
      </c>
      <c r="DB12" s="483" t="str">
        <f aca="false">IF(DB$6&lt;Total_Lanes,900*Peak_Time_Eve*(($CN12/DB$6-1)+SQRT(($CN12/DB$6-1)^2+8*($CN12/DB$6)/(Peak_Time_Eve*$O45*DB$6))),"-")</f>
        <v>-</v>
      </c>
      <c r="DC12" s="483" t="str">
        <f aca="false">IF(DC$6&lt;Total_Lanes,900*Peak_Time_Eve*(($CN12/DC$6-1)+SQRT(($CN12/DC$6-1)^2+8*($CN12/DC$6)/(Peak_Time_Eve*$O45*DC$6))),"-")</f>
        <v>-</v>
      </c>
      <c r="DD12" s="483" t="str">
        <f aca="false">IF(DD$6&lt;Total_Lanes,900*Peak_Time_Eve*(($CN12/DD$6-1)+SQRT(($CN12/DD$6-1)^2+8*($CN12/DD$6)/(Peak_Time_Eve*$O45*DD$6))),"-")</f>
        <v>-</v>
      </c>
      <c r="DE12" s="483" t="str">
        <f aca="false">IF(DE$6&lt;Total_Lanes,900*Peak_Time_Eve*(($CN12/DE$6-1)+SQRT(($CN12/DE$6-1)^2+8*($CN12/DE$6)/(Peak_Time_Eve*$O45*DE$6))),"-")</f>
        <v>-</v>
      </c>
      <c r="DF12" s="483" t="str">
        <f aca="false">IF(DF$6&lt;Total_Lanes,900*Peak_Time_Eve*(($CN12/DF$6-1)+SQRT(($CN12/DF$6-1)^2+8*($CN12/DF$6)/(Peak_Time_Eve*$O45*DF$6))),"-")</f>
        <v>-</v>
      </c>
      <c r="DG12" s="483" t="str">
        <f aca="false">IF(DG$6&lt;Total_Lanes,900*Peak_Time_Eve*(($CN12/DG$6-1)+SQRT(($CN12/DG$6-1)^2+8*($CN12/DG$6)/(Peak_Time_Eve*$O45*DG$6))),"-")</f>
        <v>-</v>
      </c>
      <c r="DH12" s="483" t="str">
        <f aca="false">IF(DH$6&lt;Total_Lanes,900*Peak_Time_Eve*(($CN12/DH$6-1)+SQRT(($CN12/DH$6-1)^2+8*($CN12/DH$6)/(Peak_Time_Eve*$O45*DH$6))),"-")</f>
        <v>-</v>
      </c>
      <c r="DI12" s="484" t="str">
        <f aca="false">IF(DI$6&lt;Total_Lanes,900*Peak_Time_Eve*(($CN12/DI$6-1)+SQRT(($CN12/DI$6-1)^2+8*($CN12/DI$6)/(Peak_Time_Eve*$O45*DI$6))),"-")</f>
        <v>-</v>
      </c>
      <c r="DJ12" s="485" t="n">
        <f aca="false">3600/O45</f>
        <v>2.4</v>
      </c>
    </row>
    <row r="13" customFormat="false" ht="13.2" hidden="false" customHeight="false" outlineLevel="0" collapsed="false">
      <c r="H13" s="440" t="n">
        <v>6</v>
      </c>
      <c r="I13" s="441" t="n">
        <f aca="false">'Input-Detail'!E20</f>
        <v>22311321.1</v>
      </c>
      <c r="J13" s="442" t="n">
        <f aca="false">'Input-Detail'!F20</f>
        <v>0.35</v>
      </c>
      <c r="K13" s="451" t="n">
        <f aca="false">AC13</f>
        <v>6734.63494016383</v>
      </c>
      <c r="L13" s="452" t="n">
        <f aca="false">AD60</f>
        <v>11.0984504614089</v>
      </c>
      <c r="M13" s="467" t="n">
        <f aca="false">AD13</f>
        <v>28.6888111167215</v>
      </c>
      <c r="N13" s="467" t="n">
        <f aca="false">SUM(L13:M13)</f>
        <v>39.7872615781304</v>
      </c>
      <c r="O13" s="471" t="n">
        <f aca="false">$S$34*N13</f>
        <v>10344.6880103139</v>
      </c>
      <c r="P13" s="452" t="n">
        <f aca="false">BC60</f>
        <v>7.60793392282983</v>
      </c>
      <c r="Q13" s="467" t="n">
        <f aca="false">BC13</f>
        <v>29.1789696343427</v>
      </c>
      <c r="R13" s="467" t="n">
        <f aca="false">SUM(P13:Q13)</f>
        <v>36.7869035571726</v>
      </c>
      <c r="S13" s="472" t="n">
        <f aca="false">$S$34*R13</f>
        <v>9564.59492486486</v>
      </c>
      <c r="T13" s="405"/>
      <c r="U13" s="405"/>
      <c r="V13" s="440" t="n">
        <v>6</v>
      </c>
      <c r="W13" s="448" t="n">
        <f aca="false">W$7+(W$27-W$7)*$V13/20</f>
        <v>22311321.1</v>
      </c>
      <c r="X13" s="442" t="n">
        <f aca="false">J13</f>
        <v>0.35</v>
      </c>
      <c r="Y13" s="448" t="n">
        <f aca="false">'Input-Detail'!E20/Z13</f>
        <v>9620.9070573769</v>
      </c>
      <c r="Z13" s="473" t="n">
        <f aca="false">Z12</f>
        <v>2319.04548780488</v>
      </c>
      <c r="AA13" s="473" t="n">
        <f aca="false">AA12</f>
        <v>2</v>
      </c>
      <c r="AB13" s="474" t="n">
        <f aca="false">AB12</f>
        <v>0.7</v>
      </c>
      <c r="AC13" s="451" t="n">
        <f aca="false">Y13*AB13</f>
        <v>6734.63494016383</v>
      </c>
      <c r="AD13" s="452" t="n">
        <f aca="false">Peak_Time_Eve*$BH13*(3600/K46+BK13)/3600</f>
        <v>28.6888111167215</v>
      </c>
      <c r="AE13" s="453" t="n">
        <f aca="false">IF(AE$6&lt;Total_Lanes,($BI13*($CH13+BM13)+$CM13*CO13)*Peak_Time_Eve/3600,"-")</f>
        <v>2722.93444878722</v>
      </c>
      <c r="AF13" s="453" t="n">
        <f aca="false">IF(AF$6&lt;Total_Lanes,($BI13*($CH13+BN13)+$CM13*CP13)*Peak_Time_Eve/3600,"-")</f>
        <v>29.1789696343427</v>
      </c>
      <c r="AG13" s="453" t="n">
        <f aca="false">IF(AG$6&lt;Total_Lanes,($BI13*($CH13+BO13)+$CM13*CQ13)*Peak_Time_Eve/3600,"-")</f>
        <v>34.4689406411365</v>
      </c>
      <c r="AH13" s="453" t="n">
        <f aca="false">IF(AH$6&lt;Total_Lanes,($BI13*($CH13+BP13)+$CM13*CR13)*Peak_Time_Eve/3600,"-")</f>
        <v>256.780410493128</v>
      </c>
      <c r="AI13" s="453" t="n">
        <f aca="false">IF(AI$6&lt;Total_Lanes,($BI13*($CH13+BQ13)+$CM13*CS13)*Peak_Time_Eve/3600,"-")</f>
        <v>1471.3273360573</v>
      </c>
      <c r="AJ13" s="453" t="n">
        <f aca="false">IF(AJ$6&lt;Total_Lanes,($BI13*($CH13+BR13)+$CM13*CT13)*Peak_Time_Eve/3600,"-")</f>
        <v>3164.08082129903</v>
      </c>
      <c r="AK13" s="453" t="n">
        <f aca="false">IF(AK$6&lt;Total_Lanes,($BI13*($CH13+BS13)+$CM13*CU13)*Peak_Time_Eve/3600,"-")</f>
        <v>5540.65350580957</v>
      </c>
      <c r="AL13" s="453" t="n">
        <f aca="false">IF(AL$6&lt;Total_Lanes,($BI13*($CH13+BT13)+$CM13*CV13)*Peak_Time_Eve/3600,"-")</f>
        <v>9107.90032931786</v>
      </c>
      <c r="AM13" s="453" t="n">
        <f aca="false">IF(AM$6&lt;Total_Lanes,($BI13*($CH13+BU13)+$CM13*CW13)*Peak_Time_Eve/3600,"-")</f>
        <v>15054.6539612246</v>
      </c>
      <c r="AN13" s="453" t="n">
        <f aca="false">IF(AN$6&lt;Total_Lanes,($BI13*($CH13+BV13)+$CM13*CX13)*Peak_Time_Eve/3600,"-")</f>
        <v>26949.1972601129</v>
      </c>
      <c r="AO13" s="453" t="n">
        <f aca="false">IF(AO$6&lt;Total_Lanes,($BI13*($CH13+BW13)+$CM13*CY13)*Peak_Time_Eve/3600,"-")</f>
        <v>62634.0322858345</v>
      </c>
      <c r="AP13" s="453" t="str">
        <f aca="false">IF(AP$6&lt;Total_Lanes,($BI13*($CH13+BX13)+$CM13*CZ13)*Peak_Time_Eve/3600,"-")</f>
        <v>-</v>
      </c>
      <c r="AQ13" s="453" t="str">
        <f aca="false">IF(AQ$6&lt;Total_Lanes,($BI13*($CH13+BY13)+$CM13*DA13)*Peak_Time_Eve/3600,"-")</f>
        <v>-</v>
      </c>
      <c r="AR13" s="453" t="str">
        <f aca="false">IF(AR$6&lt;Total_Lanes,($BI13*($CH13+BZ13)+$CM13*DB13)*Peak_Time_Eve/3600,"-")</f>
        <v>-</v>
      </c>
      <c r="AS13" s="453" t="str">
        <f aca="false">IF(AS$6&lt;Total_Lanes,($BI13*($CH13+CA13)+$CM13*DC13)*Peak_Time_Eve/3600,"-")</f>
        <v>-</v>
      </c>
      <c r="AT13" s="453" t="str">
        <f aca="false">IF(AT$6&lt;Total_Lanes,($BI13*($CH13+CB13)+$CM13*DD13)*Peak_Time_Eve/3600,"-")</f>
        <v>-</v>
      </c>
      <c r="AU13" s="453" t="str">
        <f aca="false">IF(AU$6&lt;Total_Lanes,($BI13*($CH13+CC13)+$CM13*DE13)*Peak_Time_Eve/3600,"-")</f>
        <v>-</v>
      </c>
      <c r="AV13" s="453" t="str">
        <f aca="false">IF(AV$6&lt;Total_Lanes,($BI13*($CH13+CD13)+$CM13*DF13)*Peak_Time_Eve/3600,"-")</f>
        <v>-</v>
      </c>
      <c r="AW13" s="453" t="str">
        <f aca="false">IF(AW$6&lt;Total_Lanes,($BI13*($CH13+CE13)+$CM13*DG13)*Peak_Time_Eve/3600,"-")</f>
        <v>-</v>
      </c>
      <c r="AX13" s="453" t="str">
        <f aca="false">IF(AX$6&lt;Total_Lanes,($BI13*($CH13+CF13)+$CM13*DH13)*Peak_Time_Eve/3600,"-")</f>
        <v>-</v>
      </c>
      <c r="AY13" s="454" t="str">
        <f aca="false">IF(AY$6&lt;Total_Lanes,($BI13*($CH13+CG13)+$CM13*DI13)*Peak_Time_Eve/3600,"-")</f>
        <v>-</v>
      </c>
      <c r="AZ13" s="475" t="n">
        <f aca="false">SUMIF(AE13:AY13,BA13,$AE$6:$AY$6)</f>
        <v>2</v>
      </c>
      <c r="BA13" s="476" t="n">
        <f aca="false">MIN(AE13:AY13)</f>
        <v>29.1789696343427</v>
      </c>
      <c r="BB13" s="475" t="n">
        <f aca="false">IF((SUMIF($BM11:$CG11,$AZ13,$BM13:$CG13)+$CH13)&lt;(SUMIF($CO11:$DI11,$AZ13,$CO13:$DI13)+$DJ13),AZ13+1,AZ13)</f>
        <v>2</v>
      </c>
      <c r="BC13" s="476" t="n">
        <f aca="false">SUMIF($AE$6:$AY$6,$BB13,$AE13:$AY13)</f>
        <v>29.1789696343427</v>
      </c>
      <c r="BF13" s="440" t="n">
        <v>6</v>
      </c>
      <c r="BG13" s="442" t="n">
        <f aca="false">$X13</f>
        <v>0.35</v>
      </c>
      <c r="BH13" s="458" t="n">
        <f aca="false">$AC13</f>
        <v>6734.63494016383</v>
      </c>
      <c r="BI13" s="477" t="n">
        <f aca="false">BH13*(1-BG13)</f>
        <v>4377.51271110649</v>
      </c>
      <c r="BJ13" s="460" t="n">
        <f aca="false">Peak_Arrival_Manual/K46</f>
        <v>7.99504057653477</v>
      </c>
      <c r="BK13" s="461" t="n">
        <f aca="false">900*Peak_Time_Eve*(BJ13/Total_Lanes-1+SQRT((BJ13/Total_Lanes-1)^2+8*(BJ13/Total_Lanes)/(Peak_Time_Eve*$K46*Total_Lanes)))</f>
        <v>1.09280389269957</v>
      </c>
      <c r="BL13" s="462" t="n">
        <f aca="false">Peak_Arrival_Manual/N46</f>
        <v>8.15007748505312</v>
      </c>
      <c r="BM13" s="463" t="n">
        <f aca="false">IF(BM$6&lt;Total_Lanes,900*Peak_Time_Eve*(($BL13/(Total_Lanes-BM$6))-1+SQRT((($BL13/(Total_Lanes-BM$6))-1)^2+8*($BL13/(Total_Lanes-BM$6))/(Peak_Time_Eve*$N46*(Total_Lanes-BM$6)))),"-")</f>
        <v>1.73925686372239</v>
      </c>
      <c r="BN13" s="463" t="n">
        <f aca="false">IF(BN$6&lt;Total_Lanes,900*Peak_Time_Eve*(($BL13/(Total_Lanes-BN$6))-1+SQRT((($BL13/(Total_Lanes-BN$6))-1)^2+8*($BL13/(Total_Lanes-BN$6))/(Peak_Time_Eve*$N46*(Total_Lanes-BN$6)))),"-")</f>
        <v>2.93989671318817</v>
      </c>
      <c r="BO13" s="463" t="n">
        <f aca="false">IF(BO$6&lt;Total_Lanes,900*Peak_Time_Eve*(($BL13/(Total_Lanes-BO$6))-1+SQRT((($BL13/(Total_Lanes-BO$6))-1)^2+8*($BL13/(Total_Lanes-BO$6))/(Peak_Time_Eve*$N46*(Total_Lanes-BO$6)))),"-")</f>
        <v>6.99727229532951</v>
      </c>
      <c r="BP13" s="463" t="n">
        <f aca="false">IF(BP$6&lt;Total_Lanes,900*Peak_Time_Eve*(($BL13/(Total_Lanes-BP$6))-1+SQRT((($BL13/(Total_Lanes-BP$6))-1)^2+8*($BL13/(Total_Lanes-BP$6))/(Peak_Time_Eve*$N46*(Total_Lanes-BP$6)))),"-")</f>
        <v>98.6746461015641</v>
      </c>
      <c r="BQ13" s="463" t="n">
        <f aca="false">IF(BQ$6&lt;Total_Lanes,900*Peak_Time_Eve*(($BL13/(Total_Lanes-BQ$6))-1+SQRT((($BL13/(Total_Lanes-BQ$6))-1)^2+8*($BL13/(Total_Lanes-BQ$6))/(Peak_Time_Eve*$N46*(Total_Lanes-BQ$6)))),"-")</f>
        <v>598.177683241507</v>
      </c>
      <c r="BR13" s="463" t="n">
        <f aca="false">IF(BR$6&lt;Total_Lanes,900*Peak_Time_Eve*(($BL13/(Total_Lanes-BR$6))-1+SQRT((($BL13/(Total_Lanes-BR$6))-1)^2+8*($BL13/(Total_Lanes-BR$6))/(Peak_Time_Eve*$N46*(Total_Lanes-BR$6)))),"-")</f>
        <v>1294.26709546006</v>
      </c>
      <c r="BS13" s="463" t="n">
        <f aca="false">IF(BS$6&lt;Total_Lanes,900*Peak_Time_Eve*(($BL13/(Total_Lanes-BS$6))-1+SQRT((($BL13/(Total_Lanes-BS$6))-1)^2+8*($BL13/(Total_Lanes-BS$6))/(Peak_Time_Eve*$N46*(Total_Lanes-BS$6)))),"-")</f>
        <v>2271.5187273557</v>
      </c>
      <c r="BT13" s="463" t="n">
        <f aca="false">IF(BT$6&lt;Total_Lanes,900*Peak_Time_Eve*(($BL13/(Total_Lanes-BT$6))-1+SQRT((($BL13/(Total_Lanes-BT$6))-1)^2+8*($BL13/(Total_Lanes-BT$6))/(Peak_Time_Eve*$N46*(Total_Lanes-BT$6)))),"-")</f>
        <v>3738.3574976127</v>
      </c>
      <c r="BU13" s="463" t="n">
        <f aca="false">IF(BU$6&lt;Total_Lanes,900*Peak_Time_Eve*(($BL13/(Total_Lanes-BU$6))-1+SQRT((($BL13/(Total_Lanes-BU$6))-1)^2+8*($BL13/(Total_Lanes-BU$6))/(Peak_Time_Eve*$N46*(Total_Lanes-BU$6)))),"-")</f>
        <v>6183.62656506839</v>
      </c>
      <c r="BV13" s="463" t="n">
        <f aca="false">IF(BV$6&lt;Total_Lanes,900*Peak_Time_Eve*(($BL13/(Total_Lanes-BV$6))-1+SQRT((($BL13/(Total_Lanes-BV$6))-1)^2+8*($BL13/(Total_Lanes-BV$6))/(Peak_Time_Eve*$N46*(Total_Lanes-BV$6)))),"-")</f>
        <v>11074.5787665392</v>
      </c>
      <c r="BW13" s="463" t="n">
        <f aca="false">IF(BW$6&lt;Total_Lanes,900*Peak_Time_Eve*(($BL13/(Total_Lanes-BW$6))-1+SQRT((($BL13/(Total_Lanes-BW$6))-1)^2+8*($BL13/(Total_Lanes-BW$6))/(Peak_Time_Eve*$N46*(Total_Lanes-BW$6)))),"-")</f>
        <v>25747.9165823863</v>
      </c>
      <c r="BX13" s="453" t="str">
        <f aca="false">IF(BX$6&lt;Total_Lanes,900*Peak_Time_Eve*(($BL13/(Total_Lanes-BX$6))-1+SQRT((($BL13/(Total_Lanes-BX$6))-1)^2+8*($BL13/(Total_Lanes-BX$6))/(Peak_Time_Eve*$N46*(Total_Lanes-BX$6)))),"-")</f>
        <v>-</v>
      </c>
      <c r="BY13" s="453" t="str">
        <f aca="false">IF(BY$6&lt;Total_Lanes,900*Peak_Time_Eve*(($BL13/(Total_Lanes-BY$6))-1+SQRT((($BL13/(Total_Lanes-BY$6))-1)^2+8*($BL13/(Total_Lanes-BY$6))/(Peak_Time_Eve*$N46*(Total_Lanes-BY$6)))),"-")</f>
        <v>-</v>
      </c>
      <c r="BZ13" s="453" t="str">
        <f aca="false">IF(BZ$6&lt;Total_Lanes,900*Peak_Time_Eve*(($BL13/(Total_Lanes-BZ$6))-1+SQRT((($BL13/(Total_Lanes-BZ$6))-1)^2+8*($BL13/(Total_Lanes-BZ$6))/(Peak_Time_Eve*$N46*(Total_Lanes-BZ$6)))),"-")</f>
        <v>-</v>
      </c>
      <c r="CA13" s="453" t="str">
        <f aca="false">IF(CA$6&lt;Total_Lanes,900*Peak_Time_Eve*(($BL13/(Total_Lanes-CA$6))-1+SQRT((($BL13/(Total_Lanes-CA$6))-1)^2+8*($BL13/(Total_Lanes-CA$6))/(Peak_Time_Eve*$N46*(Total_Lanes-CA$6)))),"-")</f>
        <v>-</v>
      </c>
      <c r="CB13" s="453" t="str">
        <f aca="false">IF(CB$6&lt;Total_Lanes,900*Peak_Time_Eve*(($BL13/(Total_Lanes-CB$6))-1+SQRT((($BL13/(Total_Lanes-CB$6))-1)^2+8*($BL13/(Total_Lanes-CB$6))/(Peak_Time_Eve*$N46*(Total_Lanes-CB$6)))),"-")</f>
        <v>-</v>
      </c>
      <c r="CC13" s="453" t="str">
        <f aca="false">IF(CC$6&lt;Total_Lanes,900*Peak_Time_Eve*(($BL13/(Total_Lanes-CC$6))-1+SQRT((($BL13/(Total_Lanes-CC$6))-1)^2+8*($BL13/(Total_Lanes-CC$6))/(Peak_Time_Eve*$N46*(Total_Lanes-CC$6)))),"-")</f>
        <v>-</v>
      </c>
      <c r="CD13" s="453" t="str">
        <f aca="false">IF(CD$6&lt;Total_Lanes,900*Peak_Time_Eve*(($BL13/(Total_Lanes-CD$6))-1+SQRT((($BL13/(Total_Lanes-CD$6))-1)^2+8*($BL13/(Total_Lanes-CD$6))/(Peak_Time_Eve*$N46*(Total_Lanes-CD$6)))),"-")</f>
        <v>-</v>
      </c>
      <c r="CE13" s="453" t="str">
        <f aca="false">IF(CE$6&lt;Total_Lanes,900*Peak_Time_Eve*(($BL13/(Total_Lanes-CE$6))-1+SQRT((($BL13/(Total_Lanes-CE$6))-1)^2+8*($BL13/(Total_Lanes-CE$6))/(Peak_Time_Eve*$N46*(Total_Lanes-CE$6)))),"-")</f>
        <v>-</v>
      </c>
      <c r="CF13" s="453" t="str">
        <f aca="false">IF(CF$6&lt;Total_Lanes,900*Peak_Time_Eve*(($BL13/(Total_Lanes-CF$6))-1+SQRT((($BL13/(Total_Lanes-CF$6))-1)^2+8*($BL13/(Total_Lanes-CF$6))/(Peak_Time_Eve*$N46*(Total_Lanes-CF$6)))),"-")</f>
        <v>-</v>
      </c>
      <c r="CG13" s="464" t="str">
        <f aca="false">IF(CG$6&lt;Total_Lanes,900*Peak_Time_Eve*(($BL13/(Total_Lanes-CG$6))-1+SQRT((($BL13/(Total_Lanes-CG$6))-1)^2+8*($BL13/(Total_Lanes-CG$6))/(Peak_Time_Eve*$N46*(Total_Lanes-CG$6)))),"-")</f>
        <v>-</v>
      </c>
      <c r="CH13" s="478" t="n">
        <f aca="false">3600/N46</f>
        <v>6.7025</v>
      </c>
      <c r="CJ13" s="440" t="n">
        <v>6</v>
      </c>
      <c r="CK13" s="442" t="n">
        <f aca="false">$X13</f>
        <v>0.35</v>
      </c>
      <c r="CL13" s="451" t="n">
        <f aca="false">$AC13</f>
        <v>6734.63494016383</v>
      </c>
      <c r="CM13" s="452" t="n">
        <f aca="false">CL13*CK13</f>
        <v>2357.12222905734</v>
      </c>
      <c r="CN13" s="479" t="n">
        <f aca="false">CM13/O45</f>
        <v>1.57141481937156</v>
      </c>
      <c r="CO13" s="463" t="n">
        <f aca="false">IF(CO$6&lt;Total_Lanes,900*Peak_Time_Eve*(($CN13/CO$6-1)+SQRT(($CN13/CO$6-1)^2+8*($CN13/CO$6)/(Peak_Time_Eve*$O46*CO$6))),"-")</f>
        <v>2063.67240946488</v>
      </c>
      <c r="CP13" s="482" t="n">
        <f aca="false">IF(CP$6&lt;Total_Lanes,900*Peak_Time_Eve*(($CN13/CP$6-1)+SQRT(($CN13/CP$6-1)^2+8*($CN13/CP$6)/(Peak_Time_Eve*$O46*CP$6))),"-")</f>
        <v>4.37500908403396</v>
      </c>
      <c r="CQ13" s="482" t="n">
        <f aca="false">IF(CQ$6&lt;Total_Lanes,900*Peak_Time_Eve*(($CN13/CQ$6-1)+SQRT(($CN13/CQ$6-1)^2+8*($CN13/CQ$6)/(Peak_Time_Eve*$O46*CQ$6))),"-")</f>
        <v>0.879532578505859</v>
      </c>
      <c r="CR13" s="482" t="n">
        <f aca="false">IF(CR$6&lt;Total_Lanes,900*Peak_Time_Eve*(($CN13/CR$6-1)+SQRT(($CN13/CR$6-1)^2+8*($CN13/CR$6)/(Peak_Time_Eve*$O46*CR$6))),"-")</f>
        <v>0.388160765118362</v>
      </c>
      <c r="CS13" s="482" t="n">
        <f aca="false">IF(CS$6&lt;Total_Lanes,900*Peak_Time_Eve*(($CN13/CS$6-1)+SQRT(($CN13/CS$6-1)^2+8*($CN13/CS$6)/(Peak_Time_Eve*$O46*CS$6))),"-")</f>
        <v>0.219977589890874</v>
      </c>
      <c r="CT13" s="482" t="n">
        <f aca="false">IF(CT$6&lt;Total_Lanes,900*Peak_Time_Eve*(($CN13/CT$6-1)+SQRT(($CN13/CT$6-1)^2+8*($CN13/CT$6)/(Peak_Time_Eve*$O46*CT$6))),"-")</f>
        <v>0.141926220307176</v>
      </c>
      <c r="CU13" s="482" t="n">
        <f aca="false">IF(CU$6&lt;Total_Lanes,900*Peak_Time_Eve*(($CN13/CU$6-1)+SQRT(($CN13/CU$6-1)^2+8*($CN13/CU$6)/(Peak_Time_Eve*$O46*CU$6))),"-")</f>
        <v>0.0992434724582436</v>
      </c>
      <c r="CV13" s="482" t="n">
        <f aca="false">IF(CV$6&lt;Total_Lanes,900*Peak_Time_Eve*(($CN13/CV$6-1)+SQRT(($CN13/CV$6-1)^2+8*($CN13/CV$6)/(Peak_Time_Eve*$O46*CV$6))),"-")</f>
        <v>0.07333067585098</v>
      </c>
      <c r="CW13" s="482" t="n">
        <f aca="false">IF(CW$6&lt;Total_Lanes,900*Peak_Time_Eve*(($CN13/CW$6-1)+SQRT(($CN13/CW$6-1)^2+8*($CN13/CW$6)/(Peak_Time_Eve*$O46*CW$6))),"-")</f>
        <v>0.0564085874796172</v>
      </c>
      <c r="CX13" s="482" t="n">
        <f aca="false">IF(CX$6&lt;Total_Lanes,900*Peak_Time_Eve*(($CN13/CX$6-1)+SQRT(($CN13/CX$6-1)^2+8*($CN13/CX$6)/(Peak_Time_Eve*$O46*CX$6))),"-")</f>
        <v>0.0447446383025074</v>
      </c>
      <c r="CY13" s="482" t="n">
        <f aca="false">IF(CY$6&lt;Total_Lanes,900*Peak_Time_Eve*(($CN13/CY$6-1)+SQRT(($CN13/CY$6-1)^2+8*($CN13/CY$6)/(Peak_Time_Eve*$O46*CY$6))),"-")</f>
        <v>0.0363628365882107</v>
      </c>
      <c r="CZ13" s="483" t="str">
        <f aca="false">IF(CZ$6&lt;Total_Lanes,900*Peak_Time_Eve*(($CN13/CZ$6-1)+SQRT(($CN13/CZ$6-1)^2+8*($CN13/CZ$6)/(Peak_Time_Eve*$O46*CZ$6))),"-")</f>
        <v>-</v>
      </c>
      <c r="DA13" s="483" t="str">
        <f aca="false">IF(DA$6&lt;Total_Lanes,900*Peak_Time_Eve*(($CN13/DA$6-1)+SQRT(($CN13/DA$6-1)^2+8*($CN13/DA$6)/(Peak_Time_Eve*$O46*DA$6))),"-")</f>
        <v>-</v>
      </c>
      <c r="DB13" s="483" t="str">
        <f aca="false">IF(DB$6&lt;Total_Lanes,900*Peak_Time_Eve*(($CN13/DB$6-1)+SQRT(($CN13/DB$6-1)^2+8*($CN13/DB$6)/(Peak_Time_Eve*$O46*DB$6))),"-")</f>
        <v>-</v>
      </c>
      <c r="DC13" s="483" t="str">
        <f aca="false">IF(DC$6&lt;Total_Lanes,900*Peak_Time_Eve*(($CN13/DC$6-1)+SQRT(($CN13/DC$6-1)^2+8*($CN13/DC$6)/(Peak_Time_Eve*$O46*DC$6))),"-")</f>
        <v>-</v>
      </c>
      <c r="DD13" s="483" t="str">
        <f aca="false">IF(DD$6&lt;Total_Lanes,900*Peak_Time_Eve*(($CN13/DD$6-1)+SQRT(($CN13/DD$6-1)^2+8*($CN13/DD$6)/(Peak_Time_Eve*$O46*DD$6))),"-")</f>
        <v>-</v>
      </c>
      <c r="DE13" s="483" t="str">
        <f aca="false">IF(DE$6&lt;Total_Lanes,900*Peak_Time_Eve*(($CN13/DE$6-1)+SQRT(($CN13/DE$6-1)^2+8*($CN13/DE$6)/(Peak_Time_Eve*$O46*DE$6))),"-")</f>
        <v>-</v>
      </c>
      <c r="DF13" s="483" t="str">
        <f aca="false">IF(DF$6&lt;Total_Lanes,900*Peak_Time_Eve*(($CN13/DF$6-1)+SQRT(($CN13/DF$6-1)^2+8*($CN13/DF$6)/(Peak_Time_Eve*$O46*DF$6))),"-")</f>
        <v>-</v>
      </c>
      <c r="DG13" s="483" t="str">
        <f aca="false">IF(DG$6&lt;Total_Lanes,900*Peak_Time_Eve*(($CN13/DG$6-1)+SQRT(($CN13/DG$6-1)^2+8*($CN13/DG$6)/(Peak_Time_Eve*$O46*DG$6))),"-")</f>
        <v>-</v>
      </c>
      <c r="DH13" s="483" t="str">
        <f aca="false">IF(DH$6&lt;Total_Lanes,900*Peak_Time_Eve*(($CN13/DH$6-1)+SQRT(($CN13/DH$6-1)^2+8*($CN13/DH$6)/(Peak_Time_Eve*$O46*DH$6))),"-")</f>
        <v>-</v>
      </c>
      <c r="DI13" s="484" t="str">
        <f aca="false">IF(DI$6&lt;Total_Lanes,900*Peak_Time_Eve*(($CN13/DI$6-1)+SQRT(($CN13/DI$6-1)^2+8*($CN13/DI$6)/(Peak_Time_Eve*$O46*DI$6))),"-")</f>
        <v>-</v>
      </c>
      <c r="DJ13" s="485" t="n">
        <f aca="false">3600/O46</f>
        <v>2.4</v>
      </c>
    </row>
    <row r="14" customFormat="false" ht="13.2" hidden="false" customHeight="false" outlineLevel="0" collapsed="false">
      <c r="H14" s="440" t="n">
        <v>7</v>
      </c>
      <c r="I14" s="441" t="n">
        <f aca="false">'Input-Detail'!E21</f>
        <v>22860512.45</v>
      </c>
      <c r="J14" s="442" t="n">
        <f aca="false">'Input-Detail'!F21</f>
        <v>0.4</v>
      </c>
      <c r="K14" s="451" t="n">
        <f aca="false">AC14</f>
        <v>6900.40743019113</v>
      </c>
      <c r="L14" s="452" t="n">
        <f aca="false">AD61</f>
        <v>11.3798410453021</v>
      </c>
      <c r="M14" s="467" t="n">
        <f aca="false">AD14</f>
        <v>28.7817974412267</v>
      </c>
      <c r="N14" s="467" t="n">
        <f aca="false">SUM(L14:M14)</f>
        <v>40.1616384865288</v>
      </c>
      <c r="O14" s="471" t="n">
        <f aca="false">$S$34*N14</f>
        <v>10442.0260064975</v>
      </c>
      <c r="P14" s="452" t="n">
        <f aca="false">BC61</f>
        <v>7.24471588045586</v>
      </c>
      <c r="Q14" s="467" t="n">
        <f aca="false">BC14</f>
        <v>27.8030858477578</v>
      </c>
      <c r="R14" s="467" t="n">
        <f aca="false">SUM(P14:Q14)</f>
        <v>35.0478017282136</v>
      </c>
      <c r="S14" s="472" t="n">
        <f aca="false">$S$34*R14</f>
        <v>9112.42844933554</v>
      </c>
      <c r="T14" s="405"/>
      <c r="U14" s="405"/>
      <c r="V14" s="440" t="n">
        <v>7</v>
      </c>
      <c r="W14" s="448" t="n">
        <f aca="false">W$7+(W$27-W$7)*$V14/20</f>
        <v>22860512.45</v>
      </c>
      <c r="X14" s="442" t="n">
        <f aca="false">J14</f>
        <v>0.4</v>
      </c>
      <c r="Y14" s="448" t="n">
        <f aca="false">'Input-Detail'!E21/Z14</f>
        <v>9857.72490027305</v>
      </c>
      <c r="Z14" s="473" t="n">
        <f aca="false">Z13</f>
        <v>2319.04548780488</v>
      </c>
      <c r="AA14" s="473" t="n">
        <f aca="false">AA13</f>
        <v>2</v>
      </c>
      <c r="AB14" s="474" t="n">
        <f aca="false">AB13</f>
        <v>0.7</v>
      </c>
      <c r="AC14" s="451" t="n">
        <f aca="false">Y14*AB14</f>
        <v>6900.40743019113</v>
      </c>
      <c r="AD14" s="452" t="n">
        <f aca="false">Peak_Time_Eve*$BH14*(3600/K47+BK14)/3600</f>
        <v>28.7817974412267</v>
      </c>
      <c r="AE14" s="453" t="n">
        <f aca="false">IF(AE$6&lt;Total_Lanes,($BI14*($CH14+BM14)+$CM14*CO14)*Peak_Time_Eve/3600,"-")</f>
        <v>4664.50908619636</v>
      </c>
      <c r="AF14" s="453" t="n">
        <f aca="false">IF(AF$6&lt;Total_Lanes,($BI14*($CH14+BN14)+$CM14*CP14)*Peak_Time_Eve/3600,"-")</f>
        <v>40.9734913455148</v>
      </c>
      <c r="AG14" s="453" t="n">
        <f aca="false">IF(AG$6&lt;Total_Lanes,($BI14*($CH14+BO14)+$CM14*CQ14)*Peak_Time_Eve/3600,"-")</f>
        <v>27.8030858477578</v>
      </c>
      <c r="AH14" s="453" t="n">
        <f aca="false">IF(AH$6&lt;Total_Lanes,($BI14*($CH14+BP14)+$CM14*CR14)*Peak_Time_Eve/3600,"-")</f>
        <v>63.9597304817179</v>
      </c>
      <c r="AI14" s="453" t="n">
        <f aca="false">IF(AI$6&lt;Total_Lanes,($BI14*($CH14+BQ14)+$CM14*CS14)*Peak_Time_Eve/3600,"-")</f>
        <v>905.425910178101</v>
      </c>
      <c r="AJ14" s="453" t="n">
        <f aca="false">IF(AJ$6&lt;Total_Lanes,($BI14*($CH14+BR14)+$CM14*CT14)*Peak_Time_Eve/3600,"-")</f>
        <v>2418.54747782857</v>
      </c>
      <c r="AK14" s="453" t="n">
        <f aca="false">IF(AK$6&lt;Total_Lanes,($BI14*($CH14+BS14)+$CM14*CU14)*Peak_Time_Eve/3600,"-")</f>
        <v>4550.12136760328</v>
      </c>
      <c r="AL14" s="453" t="n">
        <f aca="false">IF(AL$6&lt;Total_Lanes,($BI14*($CH14+BT14)+$CM14*CV14)*Peak_Time_Eve/3600,"-")</f>
        <v>7750.89247668594</v>
      </c>
      <c r="AM14" s="453" t="n">
        <f aca="false">IF(AM$6&lt;Total_Lanes,($BI14*($CH14+BU14)+$CM14*CW14)*Peak_Time_Eve/3600,"-")</f>
        <v>13087.2020996357</v>
      </c>
      <c r="AN14" s="453" t="n">
        <f aca="false">IF(AN$6&lt;Total_Lanes,($BI14*($CH14+BV14)+$CM14*CX14)*Peak_Time_Eve/3600,"-")</f>
        <v>23761.0398588172</v>
      </c>
      <c r="AO14" s="453" t="n">
        <f aca="false">IF(AO$6&lt;Total_Lanes,($BI14*($CH14+BW14)+$CM14*CY14)*Peak_Time_Eve/3600,"-")</f>
        <v>55783.9093973646</v>
      </c>
      <c r="AP14" s="453" t="str">
        <f aca="false">IF(AP$6&lt;Total_Lanes,($BI14*($CH14+BX14)+$CM14*CZ14)*Peak_Time_Eve/3600,"-")</f>
        <v>-</v>
      </c>
      <c r="AQ14" s="453" t="str">
        <f aca="false">IF(AQ$6&lt;Total_Lanes,($BI14*($CH14+BY14)+$CM14*DA14)*Peak_Time_Eve/3600,"-")</f>
        <v>-</v>
      </c>
      <c r="AR14" s="453" t="str">
        <f aca="false">IF(AR$6&lt;Total_Lanes,($BI14*($CH14+BZ14)+$CM14*DB14)*Peak_Time_Eve/3600,"-")</f>
        <v>-</v>
      </c>
      <c r="AS14" s="453" t="str">
        <f aca="false">IF(AS$6&lt;Total_Lanes,($BI14*($CH14+CA14)+$CM14*DC14)*Peak_Time_Eve/3600,"-")</f>
        <v>-</v>
      </c>
      <c r="AT14" s="453" t="str">
        <f aca="false">IF(AT$6&lt;Total_Lanes,($BI14*($CH14+CB14)+$CM14*DD14)*Peak_Time_Eve/3600,"-")</f>
        <v>-</v>
      </c>
      <c r="AU14" s="453" t="str">
        <f aca="false">IF(AU$6&lt;Total_Lanes,($BI14*($CH14+CC14)+$CM14*DE14)*Peak_Time_Eve/3600,"-")</f>
        <v>-</v>
      </c>
      <c r="AV14" s="453" t="str">
        <f aca="false">IF(AV$6&lt;Total_Lanes,($BI14*($CH14+CD14)+$CM14*DF14)*Peak_Time_Eve/3600,"-")</f>
        <v>-</v>
      </c>
      <c r="AW14" s="453" t="str">
        <f aca="false">IF(AW$6&lt;Total_Lanes,($BI14*($CH14+CE14)+$CM14*DG14)*Peak_Time_Eve/3600,"-")</f>
        <v>-</v>
      </c>
      <c r="AX14" s="453" t="str">
        <f aca="false">IF(AX$6&lt;Total_Lanes,($BI14*($CH14+CF14)+$CM14*DH14)*Peak_Time_Eve/3600,"-")</f>
        <v>-</v>
      </c>
      <c r="AY14" s="454" t="str">
        <f aca="false">IF(AY$6&lt;Total_Lanes,($BI14*($CH14+CG14)+$CM14*DI14)*Peak_Time_Eve/3600,"-")</f>
        <v>-</v>
      </c>
      <c r="AZ14" s="475" t="n">
        <f aca="false">SUMIF(AE14:AY14,BA14,$AE$6:$AY$6)</f>
        <v>3</v>
      </c>
      <c r="BA14" s="476" t="n">
        <f aca="false">MIN(AE14:AY14)</f>
        <v>27.8030858477578</v>
      </c>
      <c r="BB14" s="475" t="n">
        <f aca="false">IF((SUMIF($BM12:$CG12,$AZ14,$BM14:$CG14)+$CH14)&lt;(SUMIF($CO12:$DI12,$AZ14,$CO14:$DI14)+$DJ14),AZ14+1,AZ14)</f>
        <v>3</v>
      </c>
      <c r="BC14" s="476" t="n">
        <f aca="false">SUMIF($AE$6:$AY$6,$BB14,$AE14:$AY14)</f>
        <v>27.8030858477578</v>
      </c>
      <c r="BF14" s="440" t="n">
        <v>7</v>
      </c>
      <c r="BG14" s="442" t="n">
        <f aca="false">$X14</f>
        <v>0.4</v>
      </c>
      <c r="BH14" s="458" t="n">
        <f aca="false">$AC14</f>
        <v>6900.40743019113</v>
      </c>
      <c r="BI14" s="477" t="n">
        <f aca="false">BH14*(1-BG14)</f>
        <v>4140.24445811468</v>
      </c>
      <c r="BJ14" s="460" t="n">
        <f aca="false">Peak_Arrival_Manual/K47</f>
        <v>7.56169647558445</v>
      </c>
      <c r="BK14" s="461" t="n">
        <f aca="false">900*Peak_Time_Eve*(BJ14/Total_Lanes-1+SQRT((BJ14/Total_Lanes-1)^2+8*(BJ14/Total_Lanes)/(Peak_Time_Eve*$K47*Total_Lanes)))</f>
        <v>0.932851662140621</v>
      </c>
      <c r="BL14" s="462" t="n">
        <f aca="false">Peak_Arrival_Manual/N47</f>
        <v>7.73276907645794</v>
      </c>
      <c r="BM14" s="463" t="n">
        <f aca="false">IF(BM$6&lt;Total_Lanes,900*Peak_Time_Eve*(($BL14/(Total_Lanes-BM$6))-1+SQRT((($BL14/(Total_Lanes-BM$6))-1)^2+8*($BL14/(Total_Lanes-BM$6))/(Peak_Time_Eve*$N47*(Total_Lanes-BM$6)))),"-")</f>
        <v>1.44473331906464</v>
      </c>
      <c r="BN14" s="463" t="n">
        <f aca="false">IF(BN$6&lt;Total_Lanes,900*Peak_Time_Eve*(($BL14/(Total_Lanes-BN$6))-1+SQRT((($BL14/(Total_Lanes-BN$6))-1)^2+8*($BL14/(Total_Lanes-BN$6))/(Peak_Time_Eve*$N47*(Total_Lanes-BN$6)))),"-")</f>
        <v>2.28683976869107</v>
      </c>
      <c r="BO14" s="463" t="n">
        <f aca="false">IF(BO$6&lt;Total_Lanes,900*Peak_Time_Eve*(($BL14/(Total_Lanes-BO$6))-1+SQRT((($BL14/(Total_Lanes-BO$6))-1)^2+8*($BL14/(Total_Lanes-BO$6))/(Peak_Time_Eve*$N47*(Total_Lanes-BO$6)))),"-")</f>
        <v>4.51849834387199</v>
      </c>
      <c r="BP14" s="463" t="n">
        <f aca="false">IF(BP$6&lt;Total_Lanes,900*Peak_Time_Eve*(($BL14/(Total_Lanes-BP$6))-1+SQRT((($BL14/(Total_Lanes-BP$6))-1)^2+8*($BL14/(Total_Lanes-BP$6))/(Peak_Time_Eve*$N47*(Total_Lanes-BP$6)))),"-")</f>
        <v>20.7424980921171</v>
      </c>
      <c r="BQ14" s="463" t="n">
        <f aca="false">IF(BQ$6&lt;Total_Lanes,900*Peak_Time_Eve*(($BL14/(Total_Lanes-BQ$6))-1+SQRT((($BL14/(Total_Lanes-BQ$6))-1)^2+8*($BL14/(Total_Lanes-BQ$6))/(Peak_Time_Eve*$N47*(Total_Lanes-BQ$6)))),"-")</f>
        <v>386.730121964649</v>
      </c>
      <c r="BR14" s="463" t="n">
        <f aca="false">IF(BR$6&lt;Total_Lanes,900*Peak_Time_Eve*(($BL14/(Total_Lanes-BR$6))-1+SQRT((($BL14/(Total_Lanes-BR$6))-1)^2+8*($BL14/(Total_Lanes-BR$6))/(Peak_Time_Eve*$N47*(Total_Lanes-BR$6)))),"-")</f>
        <v>1044.63859360758</v>
      </c>
      <c r="BS14" s="463" t="n">
        <f aca="false">IF(BS$6&lt;Total_Lanes,900*Peak_Time_Eve*(($BL14/(Total_Lanes-BS$6))-1+SQRT((($BL14/(Total_Lanes-BS$6))-1)^2+8*($BL14/(Total_Lanes-BS$6))/(Peak_Time_Eve*$N47*(Total_Lanes-BS$6)))),"-")</f>
        <v>1971.39157094673</v>
      </c>
      <c r="BT14" s="463" t="n">
        <f aca="false">IF(BT$6&lt;Total_Lanes,900*Peak_Time_Eve*(($BL14/(Total_Lanes-BT$6))-1+SQRT((($BL14/(Total_Lanes-BT$6))-1)^2+8*($BL14/(Total_Lanes-BT$6))/(Peak_Time_Eve*$N47*(Total_Lanes-BT$6)))),"-")</f>
        <v>3362.97078106574</v>
      </c>
      <c r="BU14" s="463" t="n">
        <f aca="false">IF(BU$6&lt;Total_Lanes,900*Peak_Time_Eve*(($BL14/(Total_Lanes-BU$6))-1+SQRT((($BL14/(Total_Lanes-BU$6))-1)^2+8*($BL14/(Total_Lanes-BU$6))/(Peak_Time_Eve*$N47*(Total_Lanes-BU$6)))),"-")</f>
        <v>5682.98246356142</v>
      </c>
      <c r="BV14" s="463" t="n">
        <f aca="false">IF(BV$6&lt;Total_Lanes,900*Peak_Time_Eve*(($BL14/(Total_Lanes-BV$6))-1+SQRT((($BL14/(Total_Lanes-BV$6))-1)^2+8*($BL14/(Total_Lanes-BV$6))/(Peak_Time_Eve*$N47*(Total_Lanes-BV$6)))),"-")</f>
        <v>10323.5170840797</v>
      </c>
      <c r="BW14" s="463" t="n">
        <f aca="false">IF(BW$6&lt;Total_Lanes,900*Peak_Time_Eve*(($BL14/(Total_Lanes-BW$6))-1+SQRT((($BL14/(Total_Lanes-BW$6))-1)^2+8*($BL14/(Total_Lanes-BW$6))/(Peak_Time_Eve*$N47*(Total_Lanes-BW$6)))),"-")</f>
        <v>24245.6886268144</v>
      </c>
      <c r="BX14" s="453" t="str">
        <f aca="false">IF(BX$6&lt;Total_Lanes,900*Peak_Time_Eve*(($BL14/(Total_Lanes-BX$6))-1+SQRT((($BL14/(Total_Lanes-BX$6))-1)^2+8*($BL14/(Total_Lanes-BX$6))/(Peak_Time_Eve*$N47*(Total_Lanes-BX$6)))),"-")</f>
        <v>-</v>
      </c>
      <c r="BY14" s="453" t="str">
        <f aca="false">IF(BY$6&lt;Total_Lanes,900*Peak_Time_Eve*(($BL14/(Total_Lanes-BY$6))-1+SQRT((($BL14/(Total_Lanes-BY$6))-1)^2+8*($BL14/(Total_Lanes-BY$6))/(Peak_Time_Eve*$N47*(Total_Lanes-BY$6)))),"-")</f>
        <v>-</v>
      </c>
      <c r="BZ14" s="453" t="str">
        <f aca="false">IF(BZ$6&lt;Total_Lanes,900*Peak_Time_Eve*(($BL14/(Total_Lanes-BZ$6))-1+SQRT((($BL14/(Total_Lanes-BZ$6))-1)^2+8*($BL14/(Total_Lanes-BZ$6))/(Peak_Time_Eve*$N47*(Total_Lanes-BZ$6)))),"-")</f>
        <v>-</v>
      </c>
      <c r="CA14" s="453" t="str">
        <f aca="false">IF(CA$6&lt;Total_Lanes,900*Peak_Time_Eve*(($BL14/(Total_Lanes-CA$6))-1+SQRT((($BL14/(Total_Lanes-CA$6))-1)^2+8*($BL14/(Total_Lanes-CA$6))/(Peak_Time_Eve*$N47*(Total_Lanes-CA$6)))),"-")</f>
        <v>-</v>
      </c>
      <c r="CB14" s="453" t="str">
        <f aca="false">IF(CB$6&lt;Total_Lanes,900*Peak_Time_Eve*(($BL14/(Total_Lanes-CB$6))-1+SQRT((($BL14/(Total_Lanes-CB$6))-1)^2+8*($BL14/(Total_Lanes-CB$6))/(Peak_Time_Eve*$N47*(Total_Lanes-CB$6)))),"-")</f>
        <v>-</v>
      </c>
      <c r="CC14" s="453" t="str">
        <f aca="false">IF(CC$6&lt;Total_Lanes,900*Peak_Time_Eve*(($BL14/(Total_Lanes-CC$6))-1+SQRT((($BL14/(Total_Lanes-CC$6))-1)^2+8*($BL14/(Total_Lanes-CC$6))/(Peak_Time_Eve*$N47*(Total_Lanes-CC$6)))),"-")</f>
        <v>-</v>
      </c>
      <c r="CD14" s="453" t="str">
        <f aca="false">IF(CD$6&lt;Total_Lanes,900*Peak_Time_Eve*(($BL14/(Total_Lanes-CD$6))-1+SQRT((($BL14/(Total_Lanes-CD$6))-1)^2+8*($BL14/(Total_Lanes-CD$6))/(Peak_Time_Eve*$N47*(Total_Lanes-CD$6)))),"-")</f>
        <v>-</v>
      </c>
      <c r="CE14" s="453" t="str">
        <f aca="false">IF(CE$6&lt;Total_Lanes,900*Peak_Time_Eve*(($BL14/(Total_Lanes-CE$6))-1+SQRT((($BL14/(Total_Lanes-CE$6))-1)^2+8*($BL14/(Total_Lanes-CE$6))/(Peak_Time_Eve*$N47*(Total_Lanes-CE$6)))),"-")</f>
        <v>-</v>
      </c>
      <c r="CF14" s="453" t="str">
        <f aca="false">IF(CF$6&lt;Total_Lanes,900*Peak_Time_Eve*(($BL14/(Total_Lanes-CF$6))-1+SQRT((($BL14/(Total_Lanes-CF$6))-1)^2+8*($BL14/(Total_Lanes-CF$6))/(Peak_Time_Eve*$N47*(Total_Lanes-CF$6)))),"-")</f>
        <v>-</v>
      </c>
      <c r="CG14" s="464" t="str">
        <f aca="false">IF(CG$6&lt;Total_Lanes,900*Peak_Time_Eve*(($BL14/(Total_Lanes-CG$6))-1+SQRT((($BL14/(Total_Lanes-CG$6))-1)^2+8*($BL14/(Total_Lanes-CG$6))/(Peak_Time_Eve*$N47*(Total_Lanes-CG$6)))),"-")</f>
        <v>-</v>
      </c>
      <c r="CH14" s="478" t="n">
        <f aca="false">3600/N47</f>
        <v>6.72375</v>
      </c>
      <c r="CJ14" s="440" t="n">
        <v>7</v>
      </c>
      <c r="CK14" s="442" t="n">
        <f aca="false">$X14</f>
        <v>0.4</v>
      </c>
      <c r="CL14" s="451" t="n">
        <f aca="false">$AC14</f>
        <v>6900.40743019113</v>
      </c>
      <c r="CM14" s="452" t="n">
        <f aca="false">CL14*CK14</f>
        <v>2760.16297207645</v>
      </c>
      <c r="CN14" s="479" t="n">
        <f aca="false">CM14/O46</f>
        <v>1.84010864805097</v>
      </c>
      <c r="CO14" s="463" t="n">
        <f aca="false">IF(CO$6&lt;Total_Lanes,900*Peak_Time_Eve*(($CN14/CO$6-1)+SQRT(($CN14/CO$6-1)^2+8*($CN14/CO$6)/(Peak_Time_Eve*$O47*CO$6))),"-")</f>
        <v>3029.63880102688</v>
      </c>
      <c r="CP14" s="482" t="n">
        <f aca="false">IF(CP$6&lt;Total_Lanes,900*Peak_Time_Eve*(($CN14/CP$6-1)+SQRT(($CN14/CP$6-1)^2+8*($CN14/CP$6)/(Peak_Time_Eve*$O47*CP$6))),"-")</f>
        <v>13.204379754555</v>
      </c>
      <c r="CQ14" s="482" t="n">
        <f aca="false">IF(CQ$6&lt;Total_Lanes,900*Peak_Time_Eve*(($CN14/CQ$6-1)+SQRT(($CN14/CQ$6-1)^2+8*($CN14/CQ$6)/(Peak_Time_Eve*$O47*CQ$6))),"-")</f>
        <v>1.26800415732919</v>
      </c>
      <c r="CR14" s="482" t="n">
        <f aca="false">IF(CR$6&lt;Total_Lanes,900*Peak_Time_Eve*(($CN14/CR$6-1)+SQRT(($CN14/CR$6-1)^2+8*($CN14/CR$6)/(Peak_Time_Eve*$O47*CR$6))),"-")</f>
        <v>0.511032657408728</v>
      </c>
      <c r="CS14" s="482" t="n">
        <f aca="false">IF(CS$6&lt;Total_Lanes,900*Peak_Time_Eve*(($CN14/CS$6-1)+SQRT(($CN14/CS$6-1)^2+8*($CN14/CS$6)/(Peak_Time_Eve*$O47*CS$6))),"-")</f>
        <v>0.27948545176002</v>
      </c>
      <c r="CT14" s="482" t="n">
        <f aca="false">IF(CT$6&lt;Total_Lanes,900*Peak_Time_Eve*(($CN14/CT$6-1)+SQRT(($CN14/CT$6-1)^2+8*($CN14/CT$6)/(Peak_Time_Eve*$O47*CT$6))),"-")</f>
        <v>0.176925603540168</v>
      </c>
      <c r="CU14" s="482" t="n">
        <f aca="false">IF(CU$6&lt;Total_Lanes,900*Peak_Time_Eve*(($CN14/CU$6-1)+SQRT(($CN14/CU$6-1)^2+8*($CN14/CU$6)/(Peak_Time_Eve*$O47*CU$6))),"-")</f>
        <v>0.12226329672882</v>
      </c>
      <c r="CV14" s="482" t="n">
        <f aca="false">IF(CV$6&lt;Total_Lanes,900*Peak_Time_Eve*(($CN14/CV$6-1)+SQRT(($CN14/CV$6-1)^2+8*($CN14/CV$6)/(Peak_Time_Eve*$O47*CV$6))),"-")</f>
        <v>0.089614364409929</v>
      </c>
      <c r="CW14" s="482" t="n">
        <f aca="false">IF(CW$6&lt;Total_Lanes,900*Peak_Time_Eve*(($CN14/CW$6-1)+SQRT(($CN14/CW$6-1)^2+8*($CN14/CW$6)/(Peak_Time_Eve*$O47*CW$6))),"-")</f>
        <v>0.068532310570868</v>
      </c>
      <c r="CX14" s="482" t="n">
        <f aca="false">IF(CX$6&lt;Total_Lanes,900*Peak_Time_Eve*(($CN14/CX$6-1)+SQRT(($CN14/CX$6-1)^2+8*($CN14/CX$6)/(Peak_Time_Eve*$O47*CX$6))),"-")</f>
        <v>0.0541205661048538</v>
      </c>
      <c r="CY14" s="482" t="n">
        <f aca="false">IF(CY$6&lt;Total_Lanes,900*Peak_Time_Eve*(($CN14/CY$6-1)+SQRT(($CN14/CY$6-1)^2+8*($CN14/CY$6)/(Peak_Time_Eve*$O47*CY$6))),"-")</f>
        <v>0.0438293823900482</v>
      </c>
      <c r="CZ14" s="483" t="str">
        <f aca="false">IF(CZ$6&lt;Total_Lanes,900*Peak_Time_Eve*(($CN14/CZ$6-1)+SQRT(($CN14/CZ$6-1)^2+8*($CN14/CZ$6)/(Peak_Time_Eve*$O47*CZ$6))),"-")</f>
        <v>-</v>
      </c>
      <c r="DA14" s="483" t="str">
        <f aca="false">IF(DA$6&lt;Total_Lanes,900*Peak_Time_Eve*(($CN14/DA$6-1)+SQRT(($CN14/DA$6-1)^2+8*($CN14/DA$6)/(Peak_Time_Eve*$O47*DA$6))),"-")</f>
        <v>-</v>
      </c>
      <c r="DB14" s="483" t="str">
        <f aca="false">IF(DB$6&lt;Total_Lanes,900*Peak_Time_Eve*(($CN14/DB$6-1)+SQRT(($CN14/DB$6-1)^2+8*($CN14/DB$6)/(Peak_Time_Eve*$O47*DB$6))),"-")</f>
        <v>-</v>
      </c>
      <c r="DC14" s="483" t="str">
        <f aca="false">IF(DC$6&lt;Total_Lanes,900*Peak_Time_Eve*(($CN14/DC$6-1)+SQRT(($CN14/DC$6-1)^2+8*($CN14/DC$6)/(Peak_Time_Eve*$O47*DC$6))),"-")</f>
        <v>-</v>
      </c>
      <c r="DD14" s="483" t="str">
        <f aca="false">IF(DD$6&lt;Total_Lanes,900*Peak_Time_Eve*(($CN14/DD$6-1)+SQRT(($CN14/DD$6-1)^2+8*($CN14/DD$6)/(Peak_Time_Eve*$O47*DD$6))),"-")</f>
        <v>-</v>
      </c>
      <c r="DE14" s="483" t="str">
        <f aca="false">IF(DE$6&lt;Total_Lanes,900*Peak_Time_Eve*(($CN14/DE$6-1)+SQRT(($CN14/DE$6-1)^2+8*($CN14/DE$6)/(Peak_Time_Eve*$O47*DE$6))),"-")</f>
        <v>-</v>
      </c>
      <c r="DF14" s="483" t="str">
        <f aca="false">IF(DF$6&lt;Total_Lanes,900*Peak_Time_Eve*(($CN14/DF$6-1)+SQRT(($CN14/DF$6-1)^2+8*($CN14/DF$6)/(Peak_Time_Eve*$O47*DF$6))),"-")</f>
        <v>-</v>
      </c>
      <c r="DG14" s="483" t="str">
        <f aca="false">IF(DG$6&lt;Total_Lanes,900*Peak_Time_Eve*(($CN14/DG$6-1)+SQRT(($CN14/DG$6-1)^2+8*($CN14/DG$6)/(Peak_Time_Eve*$O47*DG$6))),"-")</f>
        <v>-</v>
      </c>
      <c r="DH14" s="483" t="str">
        <f aca="false">IF(DH$6&lt;Total_Lanes,900*Peak_Time_Eve*(($CN14/DH$6-1)+SQRT(($CN14/DH$6-1)^2+8*($CN14/DH$6)/(Peak_Time_Eve*$O47*DH$6))),"-")</f>
        <v>-</v>
      </c>
      <c r="DI14" s="484" t="str">
        <f aca="false">IF(DI$6&lt;Total_Lanes,900*Peak_Time_Eve*(($CN14/DI$6-1)+SQRT(($CN14/DI$6-1)^2+8*($CN14/DI$6)/(Peak_Time_Eve*$O47*DI$6))),"-")</f>
        <v>-</v>
      </c>
      <c r="DJ14" s="485" t="n">
        <f aca="false">3600/O47</f>
        <v>2.4</v>
      </c>
    </row>
    <row r="15" customFormat="false" ht="13.2" hidden="false" customHeight="false" outlineLevel="0" collapsed="false">
      <c r="H15" s="440" t="n">
        <v>8</v>
      </c>
      <c r="I15" s="441" t="n">
        <f aca="false">'Input-Detail'!E22</f>
        <v>23409703.8</v>
      </c>
      <c r="J15" s="442" t="n">
        <f aca="false">'Input-Detail'!F22</f>
        <v>0.45</v>
      </c>
      <c r="K15" s="451" t="n">
        <f aca="false">AC15</f>
        <v>7066.17992021844</v>
      </c>
      <c r="L15" s="452" t="n">
        <f aca="false">AD62</f>
        <v>11.6609700016325</v>
      </c>
      <c r="M15" s="467" t="n">
        <f aca="false">AD15</f>
        <v>28.9240954695782</v>
      </c>
      <c r="N15" s="467" t="n">
        <f aca="false">SUM(L15:M15)</f>
        <v>40.5850654712107</v>
      </c>
      <c r="O15" s="471" t="n">
        <f aca="false">$S$34*N15</f>
        <v>10552.1170225148</v>
      </c>
      <c r="P15" s="452" t="n">
        <f aca="false">BC62</f>
        <v>6.87246289375356</v>
      </c>
      <c r="Q15" s="467" t="n">
        <f aca="false">BC15</f>
        <v>24.7861667264308</v>
      </c>
      <c r="R15" s="467" t="n">
        <f aca="false">SUM(P15:Q15)</f>
        <v>31.6586296201843</v>
      </c>
      <c r="S15" s="472" t="n">
        <f aca="false">$S$34*R15</f>
        <v>8231.24370124793</v>
      </c>
      <c r="T15" s="405"/>
      <c r="U15" s="405"/>
      <c r="V15" s="440" t="n">
        <v>8</v>
      </c>
      <c r="W15" s="448" t="n">
        <f aca="false">W$7+(W$27-W$7)*$V15/20</f>
        <v>23409703.8</v>
      </c>
      <c r="X15" s="442" t="n">
        <f aca="false">J15</f>
        <v>0.45</v>
      </c>
      <c r="Y15" s="448" t="n">
        <f aca="false">'Input-Detail'!E22/Z15</f>
        <v>10094.5427431692</v>
      </c>
      <c r="Z15" s="473" t="n">
        <f aca="false">Z14</f>
        <v>2319.04548780488</v>
      </c>
      <c r="AA15" s="473" t="n">
        <f aca="false">AA14</f>
        <v>2</v>
      </c>
      <c r="AB15" s="474" t="n">
        <f aca="false">AB14</f>
        <v>0.7</v>
      </c>
      <c r="AC15" s="451" t="n">
        <f aca="false">Y15*AB15</f>
        <v>7066.17992021844</v>
      </c>
      <c r="AD15" s="452" t="n">
        <f aca="false">Peak_Time_Eve*$BH15*(3600/K48+BK15)/3600</f>
        <v>28.9240954695782</v>
      </c>
      <c r="AE15" s="453" t="n">
        <f aca="false">IF(AE$6&lt;Total_Lanes,($BI15*($CH15+BM15)+$CM15*CO15)*Peak_Time_Eve/3600,"-")</f>
        <v>7146.9505862329</v>
      </c>
      <c r="AF15" s="453" t="n">
        <f aca="false">IF(AF$6&lt;Total_Lanes,($BI15*($CH15+BN15)+$CM15*CP15)*Peak_Time_Eve/3600,"-")</f>
        <v>433.956843769644</v>
      </c>
      <c r="AG15" s="453" t="n">
        <f aca="false">IF(AG$6&lt;Total_Lanes,($BI15*($CH15+BO15)+$CM15*CQ15)*Peak_Time_Eve/3600,"-")</f>
        <v>24.7861667264308</v>
      </c>
      <c r="AH15" s="453" t="n">
        <f aca="false">IF(AH$6&lt;Total_Lanes,($BI15*($CH15+BP15)+$CM15*CR15)*Peak_Time_Eve/3600,"-")</f>
        <v>33.7455531867872</v>
      </c>
      <c r="AI15" s="453" t="n">
        <f aca="false">IF(AI$6&lt;Total_Lanes,($BI15*($CH15+BQ15)+$CM15*CS15)*Peak_Time_Eve/3600,"-")</f>
        <v>374.669727568928</v>
      </c>
      <c r="AJ15" s="453" t="n">
        <f aca="false">IF(AJ$6&lt;Total_Lanes,($BI15*($CH15+BR15)+$CM15*CT15)*Peak_Time_Eve/3600,"-")</f>
        <v>1688.89700460834</v>
      </c>
      <c r="AK15" s="453" t="n">
        <f aca="false">IF(AK$6&lt;Total_Lanes,($BI15*($CH15+BS15)+$CM15*CU15)*Peak_Time_Eve/3600,"-")</f>
        <v>3570.98113072895</v>
      </c>
      <c r="AL15" s="453" t="n">
        <f aca="false">IF(AL$6&lt;Total_Lanes,($BI15*($CH15+BT15)+$CM15*CV15)*Peak_Time_Eve/3600,"-")</f>
        <v>6399.62660129646</v>
      </c>
      <c r="AM15" s="453" t="n">
        <f aca="false">IF(AM$6&lt;Total_Lanes,($BI15*($CH15+BU15)+$CM15*CW15)*Peak_Time_Eve/3600,"-")</f>
        <v>11116.2958221692</v>
      </c>
      <c r="AN15" s="453" t="n">
        <f aca="false">IF(AN$6&lt;Total_Lanes,($BI15*($CH15+BV15)+$CM15*CX15)*Peak_Time_Eve/3600,"-")</f>
        <v>20551.1170546348</v>
      </c>
      <c r="AO15" s="453" t="n">
        <f aca="false">IF(AO$6&lt;Total_Lanes,($BI15*($CH15+BW15)+$CM15*CY15)*Peak_Time_Eve/3600,"-")</f>
        <v>48857.1404017215</v>
      </c>
      <c r="AP15" s="453" t="str">
        <f aca="false">IF(AP$6&lt;Total_Lanes,($BI15*($CH15+BX15)+$CM15*CZ15)*Peak_Time_Eve/3600,"-")</f>
        <v>-</v>
      </c>
      <c r="AQ15" s="453" t="str">
        <f aca="false">IF(AQ$6&lt;Total_Lanes,($BI15*($CH15+BY15)+$CM15*DA15)*Peak_Time_Eve/3600,"-")</f>
        <v>-</v>
      </c>
      <c r="AR15" s="453" t="str">
        <f aca="false">IF(AR$6&lt;Total_Lanes,($BI15*($CH15+BZ15)+$CM15*DB15)*Peak_Time_Eve/3600,"-")</f>
        <v>-</v>
      </c>
      <c r="AS15" s="453" t="str">
        <f aca="false">IF(AS$6&lt;Total_Lanes,($BI15*($CH15+CA15)+$CM15*DC15)*Peak_Time_Eve/3600,"-")</f>
        <v>-</v>
      </c>
      <c r="AT15" s="453" t="str">
        <f aca="false">IF(AT$6&lt;Total_Lanes,($BI15*($CH15+CB15)+$CM15*DD15)*Peak_Time_Eve/3600,"-")</f>
        <v>-</v>
      </c>
      <c r="AU15" s="453" t="str">
        <f aca="false">IF(AU$6&lt;Total_Lanes,($BI15*($CH15+CC15)+$CM15*DE15)*Peak_Time_Eve/3600,"-")</f>
        <v>-</v>
      </c>
      <c r="AV15" s="453" t="str">
        <f aca="false">IF(AV$6&lt;Total_Lanes,($BI15*($CH15+CD15)+$CM15*DF15)*Peak_Time_Eve/3600,"-")</f>
        <v>-</v>
      </c>
      <c r="AW15" s="453" t="str">
        <f aca="false">IF(AW$6&lt;Total_Lanes,($BI15*($CH15+CE15)+$CM15*DG15)*Peak_Time_Eve/3600,"-")</f>
        <v>-</v>
      </c>
      <c r="AX15" s="453" t="str">
        <f aca="false">IF(AX$6&lt;Total_Lanes,($BI15*($CH15+CF15)+$CM15*DH15)*Peak_Time_Eve/3600,"-")</f>
        <v>-</v>
      </c>
      <c r="AY15" s="454" t="str">
        <f aca="false">IF(AY$6&lt;Total_Lanes,($BI15*($CH15+CG15)+$CM15*DI15)*Peak_Time_Eve/3600,"-")</f>
        <v>-</v>
      </c>
      <c r="AZ15" s="475" t="n">
        <f aca="false">SUMIF(AE15:AY15,BA15,$AE$6:$AY$6)</f>
        <v>3</v>
      </c>
      <c r="BA15" s="476" t="n">
        <f aca="false">MIN(AE15:AY15)</f>
        <v>24.7861667264308</v>
      </c>
      <c r="BB15" s="475" t="n">
        <f aca="false">IF((SUMIF($BM13:$CG13,$AZ15,$BM15:$CG15)+$CH15)&lt;(SUMIF($CO13:$DI13,$AZ15,$CO15:$DI15)+$DJ15),AZ15+1,AZ15)</f>
        <v>3</v>
      </c>
      <c r="BC15" s="476" t="n">
        <f aca="false">SUMIF($AE$6:$AY$6,$BB15,$AE15:$AY15)</f>
        <v>24.7861667264308</v>
      </c>
      <c r="BF15" s="440" t="n">
        <v>8</v>
      </c>
      <c r="BG15" s="442" t="n">
        <f aca="false">$X15</f>
        <v>0.45</v>
      </c>
      <c r="BH15" s="458" t="n">
        <f aca="false">$AC15</f>
        <v>7066.17992021844</v>
      </c>
      <c r="BI15" s="477" t="n">
        <f aca="false">BH15*(1-BG15)</f>
        <v>3886.39895612014</v>
      </c>
      <c r="BJ15" s="460" t="n">
        <f aca="false">Peak_Arrival_Manual/K48</f>
        <v>7.0980758712472</v>
      </c>
      <c r="BK15" s="461" t="n">
        <f aca="false">900*Peak_Time_Eve*(BJ15/Total_Lanes-1+SQRT((BJ15/Total_Lanes-1)^2+8*(BJ15/Total_Lanes)/(Peak_Time_Eve*$K48*Total_Lanes)))</f>
        <v>0.792965779681321</v>
      </c>
      <c r="BL15" s="462" t="n">
        <f aca="false">Peak_Arrival_Manual/N48</f>
        <v>7.28160026639732</v>
      </c>
      <c r="BM15" s="463" t="n">
        <f aca="false">IF(BM$6&lt;Total_Lanes,900*Peak_Time_Eve*(($BL15/(Total_Lanes-BM$6))-1+SQRT((($BL15/(Total_Lanes-BM$6))-1)^2+8*($BL15/(Total_Lanes-BM$6))/(Peak_Time_Eve*$N48*(Total_Lanes-BM$6)))),"-")</f>
        <v>1.19958805684908</v>
      </c>
      <c r="BN15" s="463" t="n">
        <f aca="false">IF(BN$6&lt;Total_Lanes,900*Peak_Time_Eve*(($BL15/(Total_Lanes-BN$6))-1+SQRT((($BL15/(Total_Lanes-BN$6))-1)^2+8*($BL15/(Total_Lanes-BN$6))/(Peak_Time_Eve*$N48*(Total_Lanes-BN$6)))),"-")</f>
        <v>1.80341585826814</v>
      </c>
      <c r="BO15" s="463" t="n">
        <f aca="false">IF(BO$6&lt;Total_Lanes,900*Peak_Time_Eve*(($BL15/(Total_Lanes-BO$6))-1+SQRT((($BL15/(Total_Lanes-BO$6))-1)^2+8*($BL15/(Total_Lanes-BO$6))/(Peak_Time_Eve*$N48*(Total_Lanes-BO$6)))),"-")</f>
        <v>3.16118077785786</v>
      </c>
      <c r="BP15" s="463" t="n">
        <f aca="false">IF(BP$6&lt;Total_Lanes,900*Peak_Time_Eve*(($BL15/(Total_Lanes-BP$6))-1+SQRT((($BL15/(Total_Lanes-BP$6))-1)^2+8*($BL15/(Total_Lanes-BP$6))/(Peak_Time_Eve*$N48*(Total_Lanes-BP$6)))),"-")</f>
        <v>8.33110121957549</v>
      </c>
      <c r="BQ15" s="463" t="n">
        <f aca="false">IF(BQ$6&lt;Total_Lanes,900*Peak_Time_Eve*(($BL15/(Total_Lanes-BQ$6))-1+SQRT((($BL15/(Total_Lanes-BQ$6))-1)^2+8*($BL15/(Total_Lanes-BQ$6))/(Peak_Time_Eve*$N48*(Total_Lanes-BQ$6)))),"-")</f>
        <v>166.49565807138</v>
      </c>
      <c r="BR15" s="463" t="n">
        <f aca="false">IF(BR$6&lt;Total_Lanes,900*Peak_Time_Eve*(($BL15/(Total_Lanes-BR$6))-1+SQRT((($BL15/(Total_Lanes-BR$6))-1)^2+8*($BL15/(Total_Lanes-BR$6))/(Peak_Time_Eve*$N48*(Total_Lanes-BR$6)))),"-")</f>
        <v>775.29508888681</v>
      </c>
      <c r="BS15" s="463" t="n">
        <f aca="false">IF(BS$6&lt;Total_Lanes,900*Peak_Time_Eve*(($BL15/(Total_Lanes-BS$6))-1+SQRT((($BL15/(Total_Lanes-BS$6))-1)^2+8*($BL15/(Total_Lanes-BS$6))/(Peak_Time_Eve*$N48*(Total_Lanes-BS$6)))),"-")</f>
        <v>1647.0462259354</v>
      </c>
      <c r="BT15" s="463" t="n">
        <f aca="false">IF(BT$6&lt;Total_Lanes,900*Peak_Time_Eve*(($BL15/(Total_Lanes-BT$6))-1+SQRT((($BL15/(Total_Lanes-BT$6))-1)^2+8*($BL15/(Total_Lanes-BT$6))/(Peak_Time_Eve*$N48*(Total_Lanes-BT$6)))),"-")</f>
        <v>2957.17716115325</v>
      </c>
      <c r="BU15" s="463" t="n">
        <f aca="false">IF(BU$6&lt;Total_Lanes,900*Peak_Time_Eve*(($BL15/(Total_Lanes-BU$6))-1+SQRT((($BL15/(Total_Lanes-BU$6))-1)^2+8*($BL15/(Total_Lanes-BU$6))/(Peak_Time_Eve*$N48*(Total_Lanes-BU$6)))),"-")</f>
        <v>5141.74115719429</v>
      </c>
      <c r="BV15" s="463" t="n">
        <f aca="false">IF(BV$6&lt;Total_Lanes,900*Peak_Time_Eve*(($BL15/(Total_Lanes-BV$6))-1+SQRT((($BL15/(Total_Lanes-BV$6))-1)^2+8*($BL15/(Total_Lanes-BV$6))/(Peak_Time_Eve*$N48*(Total_Lanes-BV$6)))),"-")</f>
        <v>9511.5277828114</v>
      </c>
      <c r="BW15" s="463" t="n">
        <f aca="false">IF(BW$6&lt;Total_Lanes,900*Peak_Time_Eve*(($BL15/(Total_Lanes-BW$6))-1+SQRT((($BL15/(Total_Lanes-BW$6))-1)^2+8*($BL15/(Total_Lanes-BW$6))/(Peak_Time_Eve*$N48*(Total_Lanes-BW$6)))),"-")</f>
        <v>22621.5770285045</v>
      </c>
      <c r="BX15" s="453" t="str">
        <f aca="false">IF(BX$6&lt;Total_Lanes,900*Peak_Time_Eve*(($BL15/(Total_Lanes-BX$6))-1+SQRT((($BL15/(Total_Lanes-BX$6))-1)^2+8*($BL15/(Total_Lanes-BX$6))/(Peak_Time_Eve*$N48*(Total_Lanes-BX$6)))),"-")</f>
        <v>-</v>
      </c>
      <c r="BY15" s="453" t="str">
        <f aca="false">IF(BY$6&lt;Total_Lanes,900*Peak_Time_Eve*(($BL15/(Total_Lanes-BY$6))-1+SQRT((($BL15/(Total_Lanes-BY$6))-1)^2+8*($BL15/(Total_Lanes-BY$6))/(Peak_Time_Eve*$N48*(Total_Lanes-BY$6)))),"-")</f>
        <v>-</v>
      </c>
      <c r="BZ15" s="453" t="str">
        <f aca="false">IF(BZ$6&lt;Total_Lanes,900*Peak_Time_Eve*(($BL15/(Total_Lanes-BZ$6))-1+SQRT((($BL15/(Total_Lanes-BZ$6))-1)^2+8*($BL15/(Total_Lanes-BZ$6))/(Peak_Time_Eve*$N48*(Total_Lanes-BZ$6)))),"-")</f>
        <v>-</v>
      </c>
      <c r="CA15" s="453" t="str">
        <f aca="false">IF(CA$6&lt;Total_Lanes,900*Peak_Time_Eve*(($BL15/(Total_Lanes-CA$6))-1+SQRT((($BL15/(Total_Lanes-CA$6))-1)^2+8*($BL15/(Total_Lanes-CA$6))/(Peak_Time_Eve*$N48*(Total_Lanes-CA$6)))),"-")</f>
        <v>-</v>
      </c>
      <c r="CB15" s="453" t="str">
        <f aca="false">IF(CB$6&lt;Total_Lanes,900*Peak_Time_Eve*(($BL15/(Total_Lanes-CB$6))-1+SQRT((($BL15/(Total_Lanes-CB$6))-1)^2+8*($BL15/(Total_Lanes-CB$6))/(Peak_Time_Eve*$N48*(Total_Lanes-CB$6)))),"-")</f>
        <v>-</v>
      </c>
      <c r="CC15" s="453" t="str">
        <f aca="false">IF(CC$6&lt;Total_Lanes,900*Peak_Time_Eve*(($BL15/(Total_Lanes-CC$6))-1+SQRT((($BL15/(Total_Lanes-CC$6))-1)^2+8*($BL15/(Total_Lanes-CC$6))/(Peak_Time_Eve*$N48*(Total_Lanes-CC$6)))),"-")</f>
        <v>-</v>
      </c>
      <c r="CD15" s="453" t="str">
        <f aca="false">IF(CD$6&lt;Total_Lanes,900*Peak_Time_Eve*(($BL15/(Total_Lanes-CD$6))-1+SQRT((($BL15/(Total_Lanes-CD$6))-1)^2+8*($BL15/(Total_Lanes-CD$6))/(Peak_Time_Eve*$N48*(Total_Lanes-CD$6)))),"-")</f>
        <v>-</v>
      </c>
      <c r="CE15" s="453" t="str">
        <f aca="false">IF(CE$6&lt;Total_Lanes,900*Peak_Time_Eve*(($BL15/(Total_Lanes-CE$6))-1+SQRT((($BL15/(Total_Lanes-CE$6))-1)^2+8*($BL15/(Total_Lanes-CE$6))/(Peak_Time_Eve*$N48*(Total_Lanes-CE$6)))),"-")</f>
        <v>-</v>
      </c>
      <c r="CF15" s="453" t="str">
        <f aca="false">IF(CF$6&lt;Total_Lanes,900*Peak_Time_Eve*(($BL15/(Total_Lanes-CF$6))-1+SQRT((($BL15/(Total_Lanes-CF$6))-1)^2+8*($BL15/(Total_Lanes-CF$6))/(Peak_Time_Eve*$N48*(Total_Lanes-CF$6)))),"-")</f>
        <v>-</v>
      </c>
      <c r="CG15" s="464" t="str">
        <f aca="false">IF(CG$6&lt;Total_Lanes,900*Peak_Time_Eve*(($BL15/(Total_Lanes-CG$6))-1+SQRT((($BL15/(Total_Lanes-CG$6))-1)^2+8*($BL15/(Total_Lanes-CG$6))/(Peak_Time_Eve*$N48*(Total_Lanes-CG$6)))),"-")</f>
        <v>-</v>
      </c>
      <c r="CH15" s="478" t="n">
        <f aca="false">3600/N48</f>
        <v>6.745</v>
      </c>
      <c r="CJ15" s="440" t="n">
        <v>8</v>
      </c>
      <c r="CK15" s="442" t="n">
        <f aca="false">$X15</f>
        <v>0.45</v>
      </c>
      <c r="CL15" s="451" t="n">
        <f aca="false">$AC15</f>
        <v>7066.17992021844</v>
      </c>
      <c r="CM15" s="452" t="n">
        <f aca="false">CL15*CK15</f>
        <v>3179.7809640983</v>
      </c>
      <c r="CN15" s="479" t="n">
        <f aca="false">CM15/O47</f>
        <v>2.11985397606553</v>
      </c>
      <c r="CO15" s="463" t="n">
        <f aca="false">IF(CO$6&lt;Total_Lanes,900*Peak_Time_Eve*(($CN15/CO$6-1)+SQRT(($CN15/CO$6-1)^2+8*($CN15/CO$6)/(Peak_Time_Eve*$O48*CO$6))),"-")</f>
        <v>4036.01234216696</v>
      </c>
      <c r="CP15" s="463" t="n">
        <f aca="false">IF(CP$6&lt;Total_Lanes,900*Peak_Time_Eve*(($CN15/CP$6-1)+SQRT(($CN15/CP$6-1)^2+8*($CN15/CP$6)/(Peak_Time_Eve*$O48*CP$6))),"-")</f>
        <v>235.204805853472</v>
      </c>
      <c r="CQ15" s="482" t="n">
        <f aca="false">IF(CQ$6&lt;Total_Lanes,900*Peak_Time_Eve*(($CN15/CQ$6-1)+SQRT(($CN15/CQ$6-1)^2+8*($CN15/CQ$6)/(Peak_Time_Eve*$O48*CQ$6))),"-")</f>
        <v>1.92331784560684</v>
      </c>
      <c r="CR15" s="482" t="n">
        <f aca="false">IF(CR$6&lt;Total_Lanes,900*Peak_Time_Eve*(($CN15/CR$6-1)+SQRT(($CN15/CR$6-1)^2+8*($CN15/CR$6)/(Peak_Time_Eve*$O48*CR$6))),"-")</f>
        <v>0.676226355958109</v>
      </c>
      <c r="CS15" s="482" t="n">
        <f aca="false">IF(CS$6&lt;Total_Lanes,900*Peak_Time_Eve*(($CN15/CS$6-1)+SQRT(($CN15/CS$6-1)^2+8*($CN15/CS$6)/(Peak_Time_Eve*$O48*CS$6))),"-")</f>
        <v>0.353230914510228</v>
      </c>
      <c r="CT15" s="482" t="n">
        <f aca="false">IF(CT$6&lt;Total_Lanes,900*Peak_Time_Eve*(($CN15/CT$6-1)+SQRT(($CN15/CT$6-1)^2+8*($CN15/CT$6)/(Peak_Time_Eve*$O48*CT$6))),"-")</f>
        <v>0.218512913012692</v>
      </c>
      <c r="CU15" s="482" t="n">
        <f aca="false">IF(CU$6&lt;Total_Lanes,900*Peak_Time_Eve*(($CN15/CU$6-1)+SQRT(($CN15/CU$6-1)^2+8*($CN15/CU$6)/(Peak_Time_Eve*$O48*CU$6))),"-")</f>
        <v>0.148922583500566</v>
      </c>
      <c r="CV15" s="482" t="n">
        <f aca="false">IF(CV$6&lt;Total_Lanes,900*Peak_Time_Eve*(($CN15/CV$6-1)+SQRT(($CN15/CV$6-1)^2+8*($CN15/CV$6)/(Peak_Time_Eve*$O48*CV$6))),"-")</f>
        <v>0.108148709028999</v>
      </c>
      <c r="CW15" s="482" t="n">
        <f aca="false">IF(CW$6&lt;Total_Lanes,900*Peak_Time_Eve*(($CN15/CW$6-1)+SQRT(($CN15/CW$6-1)^2+8*($CN15/CW$6)/(Peak_Time_Eve*$O48*CW$6))),"-")</f>
        <v>0.0821606860819779</v>
      </c>
      <c r="CX15" s="482" t="n">
        <f aca="false">IF(CX$6&lt;Total_Lanes,900*Peak_Time_Eve*(($CN15/CX$6-1)+SQRT(($CN15/CX$6-1)^2+8*($CN15/CX$6)/(Peak_Time_Eve*$O48*CX$6))),"-")</f>
        <v>0.0645614147812834</v>
      </c>
      <c r="CY15" s="482" t="n">
        <f aca="false">IF(CY$6&lt;Total_Lanes,900*Peak_Time_Eve*(($CN15/CY$6-1)+SQRT(($CN15/CY$6-1)^2+8*($CN15/CY$6)/(Peak_Time_Eve*$O48*CY$6))),"-")</f>
        <v>0.052083074410092</v>
      </c>
      <c r="CZ15" s="483" t="str">
        <f aca="false">IF(CZ$6&lt;Total_Lanes,900*Peak_Time_Eve*(($CN15/CZ$6-1)+SQRT(($CN15/CZ$6-1)^2+8*($CN15/CZ$6)/(Peak_Time_Eve*$O48*CZ$6))),"-")</f>
        <v>-</v>
      </c>
      <c r="DA15" s="483" t="str">
        <f aca="false">IF(DA$6&lt;Total_Lanes,900*Peak_Time_Eve*(($CN15/DA$6-1)+SQRT(($CN15/DA$6-1)^2+8*($CN15/DA$6)/(Peak_Time_Eve*$O48*DA$6))),"-")</f>
        <v>-</v>
      </c>
      <c r="DB15" s="483" t="str">
        <f aca="false">IF(DB$6&lt;Total_Lanes,900*Peak_Time_Eve*(($CN15/DB$6-1)+SQRT(($CN15/DB$6-1)^2+8*($CN15/DB$6)/(Peak_Time_Eve*$O48*DB$6))),"-")</f>
        <v>-</v>
      </c>
      <c r="DC15" s="483" t="str">
        <f aca="false">IF(DC$6&lt;Total_Lanes,900*Peak_Time_Eve*(($CN15/DC$6-1)+SQRT(($CN15/DC$6-1)^2+8*($CN15/DC$6)/(Peak_Time_Eve*$O48*DC$6))),"-")</f>
        <v>-</v>
      </c>
      <c r="DD15" s="483" t="str">
        <f aca="false">IF(DD$6&lt;Total_Lanes,900*Peak_Time_Eve*(($CN15/DD$6-1)+SQRT(($CN15/DD$6-1)^2+8*($CN15/DD$6)/(Peak_Time_Eve*$O48*DD$6))),"-")</f>
        <v>-</v>
      </c>
      <c r="DE15" s="483" t="str">
        <f aca="false">IF(DE$6&lt;Total_Lanes,900*Peak_Time_Eve*(($CN15/DE$6-1)+SQRT(($CN15/DE$6-1)^2+8*($CN15/DE$6)/(Peak_Time_Eve*$O48*DE$6))),"-")</f>
        <v>-</v>
      </c>
      <c r="DF15" s="483" t="str">
        <f aca="false">IF(DF$6&lt;Total_Lanes,900*Peak_Time_Eve*(($CN15/DF$6-1)+SQRT(($CN15/DF$6-1)^2+8*($CN15/DF$6)/(Peak_Time_Eve*$O48*DF$6))),"-")</f>
        <v>-</v>
      </c>
      <c r="DG15" s="483" t="str">
        <f aca="false">IF(DG$6&lt;Total_Lanes,900*Peak_Time_Eve*(($CN15/DG$6-1)+SQRT(($CN15/DG$6-1)^2+8*($CN15/DG$6)/(Peak_Time_Eve*$O48*DG$6))),"-")</f>
        <v>-</v>
      </c>
      <c r="DH15" s="483" t="str">
        <f aca="false">IF(DH$6&lt;Total_Lanes,900*Peak_Time_Eve*(($CN15/DH$6-1)+SQRT(($CN15/DH$6-1)^2+8*($CN15/DH$6)/(Peak_Time_Eve*$O48*DH$6))),"-")</f>
        <v>-</v>
      </c>
      <c r="DI15" s="484" t="str">
        <f aca="false">IF(DI$6&lt;Total_Lanes,900*Peak_Time_Eve*(($CN15/DI$6-1)+SQRT(($CN15/DI$6-1)^2+8*($CN15/DI$6)/(Peak_Time_Eve*$O48*DI$6))),"-")</f>
        <v>-</v>
      </c>
      <c r="DJ15" s="485" t="n">
        <f aca="false">3600/O48</f>
        <v>2.4</v>
      </c>
    </row>
    <row r="16" customFormat="false" ht="13.2" hidden="false" customHeight="false" outlineLevel="0" collapsed="false">
      <c r="H16" s="440" t="n">
        <v>9</v>
      </c>
      <c r="I16" s="441" t="n">
        <f aca="false">'Input-Detail'!E23</f>
        <v>23958895.15</v>
      </c>
      <c r="J16" s="442" t="n">
        <f aca="false">'Input-Detail'!F23</f>
        <v>0.5</v>
      </c>
      <c r="K16" s="451" t="n">
        <f aca="false">AC16</f>
        <v>7231.95241024574</v>
      </c>
      <c r="L16" s="452" t="n">
        <f aca="false">AD63</f>
        <v>11.9419564467564</v>
      </c>
      <c r="M16" s="467" t="n">
        <f aca="false">AD16</f>
        <v>29.109979660488</v>
      </c>
      <c r="N16" s="467" t="n">
        <f aca="false">SUM(L16:M16)</f>
        <v>41.0519361072444</v>
      </c>
      <c r="O16" s="471" t="n">
        <f aca="false">$S$34*N16</f>
        <v>10673.5033878836</v>
      </c>
      <c r="P16" s="452" t="n">
        <f aca="false">BC63</f>
        <v>6.42206860309142</v>
      </c>
      <c r="Q16" s="467" t="n">
        <f aca="false">BC16</f>
        <v>24.7815647205501</v>
      </c>
      <c r="R16" s="467" t="n">
        <f aca="false">SUM(P16:Q16)</f>
        <v>31.2036333236415</v>
      </c>
      <c r="S16" s="472" t="n">
        <f aca="false">$S$34*R16</f>
        <v>8112.9446641468</v>
      </c>
      <c r="T16" s="405"/>
      <c r="U16" s="405"/>
      <c r="V16" s="440" t="n">
        <v>9</v>
      </c>
      <c r="W16" s="448" t="n">
        <f aca="false">W$7+(W$27-W$7)*$V16/20</f>
        <v>23958895.15</v>
      </c>
      <c r="X16" s="442" t="n">
        <f aca="false">J16</f>
        <v>0.5</v>
      </c>
      <c r="Y16" s="448" t="n">
        <f aca="false">'Input-Detail'!E23/Z16</f>
        <v>10331.3605860653</v>
      </c>
      <c r="Z16" s="473" t="n">
        <f aca="false">Z15</f>
        <v>2319.04548780488</v>
      </c>
      <c r="AA16" s="473" t="n">
        <f aca="false">AA15</f>
        <v>2</v>
      </c>
      <c r="AB16" s="474" t="n">
        <f aca="false">AB15</f>
        <v>0.7</v>
      </c>
      <c r="AC16" s="451" t="n">
        <f aca="false">Y16*AB16</f>
        <v>7231.95241024574</v>
      </c>
      <c r="AD16" s="452" t="n">
        <f aca="false">Peak_Time_Eve*$BH16*(3600/K49+BK16)/3600</f>
        <v>29.109979660488</v>
      </c>
      <c r="AE16" s="453" t="n">
        <f aca="false">IF(AE$6&lt;Total_Lanes,($BI16*($CH16+BM16)+$CM16*CO16)*Peak_Time_Eve/3600,"-")</f>
        <v>10225.5808043721</v>
      </c>
      <c r="AF16" s="453" t="n">
        <f aca="false">IF(AF$6&lt;Total_Lanes,($BI16*($CH16+BN16)+$CM16*CP16)*Peak_Time_Eve/3600,"-")</f>
        <v>1515.39492593548</v>
      </c>
      <c r="AG16" s="453" t="n">
        <f aca="false">IF(AG$6&lt;Total_Lanes,($BI16*($CH16+BO16)+$CM16*CQ16)*Peak_Time_Eve/3600,"-")</f>
        <v>24.7815647205501</v>
      </c>
      <c r="AH16" s="453" t="n">
        <f aca="false">IF(AH$6&lt;Total_Lanes,($BI16*($CH16+BP16)+$CM16*CR16)*Peak_Time_Eve/3600,"-")</f>
        <v>24.9294939036457</v>
      </c>
      <c r="AI16" s="453" t="n">
        <f aca="false">IF(AI$6&lt;Total_Lanes,($BI16*($CH16+BQ16)+$CM16*CS16)*Peak_Time_Eve/3600,"-")</f>
        <v>66.4444607692855</v>
      </c>
      <c r="AJ16" s="453" t="n">
        <f aca="false">IF(AJ$6&lt;Total_Lanes,($BI16*($CH16+BR16)+$CM16*CT16)*Peak_Time_Eve/3600,"-")</f>
        <v>992.866621345931</v>
      </c>
      <c r="AK16" s="453" t="n">
        <f aca="false">IF(AK$6&lt;Total_Lanes,($BI16*($CH16+BS16)+$CM16*CU16)*Peak_Time_Eve/3600,"-")</f>
        <v>2622.31816944122</v>
      </c>
      <c r="AL16" s="453" t="n">
        <f aca="false">IF(AL$6&lt;Total_Lanes,($BI16*($CH16+BT16)+$CM16*CV16)*Peak_Time_Eve/3600,"-")</f>
        <v>5077.73455330918</v>
      </c>
      <c r="AM16" s="453" t="n">
        <f aca="false">IF(AM$6&lt;Total_Lanes,($BI16*($CH16+BU16)+$CM16*CW16)*Peak_Time_Eve/3600,"-")</f>
        <v>9173.39210312611</v>
      </c>
      <c r="AN16" s="453" t="n">
        <f aca="false">IF(AN$6&lt;Total_Lanes,($BI16*($CH16+BV16)+$CM16*CX16)*Peak_Time_Eve/3600,"-")</f>
        <v>17366.5959198012</v>
      </c>
      <c r="AO16" s="453" t="n">
        <f aca="false">IF(AO$6&lt;Total_Lanes,($BI16*($CH16+BW16)+$CM16*CY16)*Peak_Time_Eve/3600,"-")</f>
        <v>41948.0501452702</v>
      </c>
      <c r="AP16" s="453" t="str">
        <f aca="false">IF(AP$6&lt;Total_Lanes,($BI16*($CH16+BX16)+$CM16*CZ16)*Peak_Time_Eve/3600,"-")</f>
        <v>-</v>
      </c>
      <c r="AQ16" s="453" t="str">
        <f aca="false">IF(AQ$6&lt;Total_Lanes,($BI16*($CH16+BY16)+$CM16*DA16)*Peak_Time_Eve/3600,"-")</f>
        <v>-</v>
      </c>
      <c r="AR16" s="453" t="str">
        <f aca="false">IF(AR$6&lt;Total_Lanes,($BI16*($CH16+BZ16)+$CM16*DB16)*Peak_Time_Eve/3600,"-")</f>
        <v>-</v>
      </c>
      <c r="AS16" s="453" t="str">
        <f aca="false">IF(AS$6&lt;Total_Lanes,($BI16*($CH16+CA16)+$CM16*DC16)*Peak_Time_Eve/3600,"-")</f>
        <v>-</v>
      </c>
      <c r="AT16" s="453" t="str">
        <f aca="false">IF(AT$6&lt;Total_Lanes,($BI16*($CH16+CB16)+$CM16*DD16)*Peak_Time_Eve/3600,"-")</f>
        <v>-</v>
      </c>
      <c r="AU16" s="453" t="str">
        <f aca="false">IF(AU$6&lt;Total_Lanes,($BI16*($CH16+CC16)+$CM16*DE16)*Peak_Time_Eve/3600,"-")</f>
        <v>-</v>
      </c>
      <c r="AV16" s="453" t="str">
        <f aca="false">IF(AV$6&lt;Total_Lanes,($BI16*($CH16+CD16)+$CM16*DF16)*Peak_Time_Eve/3600,"-")</f>
        <v>-</v>
      </c>
      <c r="AW16" s="453" t="str">
        <f aca="false">IF(AW$6&lt;Total_Lanes,($BI16*($CH16+CE16)+$CM16*DG16)*Peak_Time_Eve/3600,"-")</f>
        <v>-</v>
      </c>
      <c r="AX16" s="453" t="str">
        <f aca="false">IF(AX$6&lt;Total_Lanes,($BI16*($CH16+CF16)+$CM16*DH16)*Peak_Time_Eve/3600,"-")</f>
        <v>-</v>
      </c>
      <c r="AY16" s="454" t="str">
        <f aca="false">IF(AY$6&lt;Total_Lanes,($BI16*($CH16+CG16)+$CM16*DI16)*Peak_Time_Eve/3600,"-")</f>
        <v>-</v>
      </c>
      <c r="AZ16" s="475" t="n">
        <f aca="false">SUMIF(AE16:AY16,BA16,$AE$6:$AY$6)</f>
        <v>3</v>
      </c>
      <c r="BA16" s="476" t="n">
        <f aca="false">MIN(AE16:AY16)</f>
        <v>24.7815647205501</v>
      </c>
      <c r="BB16" s="475" t="n">
        <f aca="false">IF((SUMIF($BM14:$CG14,$AZ16,$BM16:$CG16)+$CH16)&lt;(SUMIF($CO14:$DI14,$AZ16,$CO16:$DI16)+$DJ16),AZ16+1,AZ16)</f>
        <v>3</v>
      </c>
      <c r="BC16" s="476" t="n">
        <f aca="false">SUMIF($AE$6:$AY$6,$BB16,$AE16:$AY16)</f>
        <v>24.7815647205501</v>
      </c>
      <c r="BF16" s="440" t="n">
        <v>9</v>
      </c>
      <c r="BG16" s="442" t="n">
        <f aca="false">$X16</f>
        <v>0.5</v>
      </c>
      <c r="BH16" s="458" t="n">
        <f aca="false">$AC16</f>
        <v>7231.95241024574</v>
      </c>
      <c r="BI16" s="477" t="n">
        <f aca="false">BH16*(1-BG16)</f>
        <v>3615.97620512287</v>
      </c>
      <c r="BJ16" s="460" t="n">
        <f aca="false">Peak_Arrival_Manual/K49</f>
        <v>6.60417876352302</v>
      </c>
      <c r="BK16" s="461" t="n">
        <f aca="false">900*Peak_Time_Eve*(BJ16/Total_Lanes-1+SQRT((BJ16/Total_Lanes-1)^2+8*(BJ16/Total_Lanes)/(Peak_Time_Eve*$K49*Total_Lanes)))</f>
        <v>0.670341287733667</v>
      </c>
      <c r="BL16" s="462" t="n">
        <f aca="false">Peak_Arrival_Manual/N49</f>
        <v>6.79627749942017</v>
      </c>
      <c r="BM16" s="463" t="n">
        <f aca="false">IF(BM$6&lt;Total_Lanes,900*Peak_Time_Eve*(($BL16/(Total_Lanes-BM$6))-1+SQRT((($BL16/(Total_Lanes-BM$6))-1)^2+8*($BL16/(Total_Lanes-BM$6))/(Peak_Time_Eve*$N49*(Total_Lanes-BM$6)))),"-")</f>
        <v>0.993753860279012</v>
      </c>
      <c r="BN16" s="463" t="n">
        <f aca="false">IF(BN$6&lt;Total_Lanes,900*Peak_Time_Eve*(($BL16/(Total_Lanes-BN$6))-1+SQRT((($BL16/(Total_Lanes-BN$6))-1)^2+8*($BL16/(Total_Lanes-BN$6))/(Peak_Time_Eve*$N49*(Total_Lanes-BN$6)))),"-")</f>
        <v>1.43358934280805</v>
      </c>
      <c r="BO16" s="463" t="n">
        <f aca="false">IF(BO$6&lt;Total_Lanes,900*Peak_Time_Eve*(($BL16/(Total_Lanes-BO$6))-1+SQRT((($BL16/(Total_Lanes-BO$6))-1)^2+8*($BL16/(Total_Lanes-BO$6))/(Peak_Time_Eve*$N49*(Total_Lanes-BO$6)))),"-")</f>
        <v>2.31250079355274</v>
      </c>
      <c r="BP16" s="463" t="n">
        <f aca="false">IF(BP$6&lt;Total_Lanes,900*Peak_Time_Eve*(($BL16/(Total_Lanes-BP$6))-1+SQRT((($BL16/(Total_Lanes-BP$6))-1)^2+8*($BL16/(Total_Lanes-BP$6))/(Peak_Time_Eve*$N49*(Total_Lanes-BP$6)))),"-")</f>
        <v>4.73395107709151</v>
      </c>
      <c r="BQ16" s="463" t="n">
        <f aca="false">IF(BQ$6&lt;Total_Lanes,900*Peak_Time_Eve*(($BL16/(Total_Lanes-BQ$6))-1+SQRT((($BL16/(Total_Lanes-BQ$6))-1)^2+8*($BL16/(Total_Lanes-BQ$6))/(Peak_Time_Eve*$N49*(Total_Lanes-BQ$6)))),"-")</f>
        <v>25.8624302518129</v>
      </c>
      <c r="BR16" s="463" t="n">
        <f aca="false">IF(BR$6&lt;Total_Lanes,900*Peak_Time_Eve*(($BL16/(Total_Lanes-BR$6))-1+SQRT((($BL16/(Total_Lanes-BR$6))-1)^2+8*($BL16/(Total_Lanes-BR$6))/(Peak_Time_Eve*$N49*(Total_Lanes-BR$6)))),"-")</f>
        <v>487.205094033324</v>
      </c>
      <c r="BS16" s="463" t="n">
        <f aca="false">IF(BS$6&lt;Total_Lanes,900*Peak_Time_Eve*(($BL16/(Total_Lanes-BS$6))-1+SQRT((($BL16/(Total_Lanes-BS$6))-1)^2+8*($BL16/(Total_Lanes-BS$6))/(Peak_Time_Eve*$N49*(Total_Lanes-BS$6)))),"-")</f>
        <v>1298.4197566533</v>
      </c>
      <c r="BT16" s="463" t="n">
        <f aca="false">IF(BT$6&lt;Total_Lanes,900*Peak_Time_Eve*(($BL16/(Total_Lanes-BT$6))-1+SQRT((($BL16/(Total_Lanes-BT$6))-1)^2+8*($BL16/(Total_Lanes-BT$6))/(Peak_Time_Eve*$N49*(Total_Lanes-BT$6)))),"-")</f>
        <v>2520.75435226603</v>
      </c>
      <c r="BU16" s="463" t="n">
        <f aca="false">IF(BU$6&lt;Total_Lanes,900*Peak_Time_Eve*(($BL16/(Total_Lanes-BU$6))-1+SQRT((($BL16/(Total_Lanes-BU$6))-1)^2+8*($BL16/(Total_Lanes-BU$6))/(Peak_Time_Eve*$N49*(Total_Lanes-BU$6)))),"-")</f>
        <v>4559.5671815675</v>
      </c>
      <c r="BV16" s="463" t="n">
        <f aca="false">IF(BV$6&lt;Total_Lanes,900*Peak_Time_Eve*(($BL16/(Total_Lanes-BV$6))-1+SQRT((($BL16/(Total_Lanes-BV$6))-1)^2+8*($BL16/(Total_Lanes-BV$6))/(Peak_Time_Eve*$N49*(Total_Lanes-BV$6)))),"-")</f>
        <v>8638.09069446829</v>
      </c>
      <c r="BW16" s="463" t="n">
        <f aca="false">IF(BW$6&lt;Total_Lanes,900*Peak_Time_Eve*(($BL16/(Total_Lanes-BW$6))-1+SQRT((($BL16/(Total_Lanes-BW$6))-1)^2+8*($BL16/(Total_Lanes-BW$6))/(Peak_Time_Eve*$N49*(Total_Lanes-BW$6)))),"-")</f>
        <v>20874.5295778499</v>
      </c>
      <c r="BX16" s="453" t="str">
        <f aca="false">IF(BX$6&lt;Total_Lanes,900*Peak_Time_Eve*(($BL16/(Total_Lanes-BX$6))-1+SQRT((($BL16/(Total_Lanes-BX$6))-1)^2+8*($BL16/(Total_Lanes-BX$6))/(Peak_Time_Eve*$N49*(Total_Lanes-BX$6)))),"-")</f>
        <v>-</v>
      </c>
      <c r="BY16" s="453" t="str">
        <f aca="false">IF(BY$6&lt;Total_Lanes,900*Peak_Time_Eve*(($BL16/(Total_Lanes-BY$6))-1+SQRT((($BL16/(Total_Lanes-BY$6))-1)^2+8*($BL16/(Total_Lanes-BY$6))/(Peak_Time_Eve*$N49*(Total_Lanes-BY$6)))),"-")</f>
        <v>-</v>
      </c>
      <c r="BZ16" s="453" t="str">
        <f aca="false">IF(BZ$6&lt;Total_Lanes,900*Peak_Time_Eve*(($BL16/(Total_Lanes-BZ$6))-1+SQRT((($BL16/(Total_Lanes-BZ$6))-1)^2+8*($BL16/(Total_Lanes-BZ$6))/(Peak_Time_Eve*$N49*(Total_Lanes-BZ$6)))),"-")</f>
        <v>-</v>
      </c>
      <c r="CA16" s="453" t="str">
        <f aca="false">IF(CA$6&lt;Total_Lanes,900*Peak_Time_Eve*(($BL16/(Total_Lanes-CA$6))-1+SQRT((($BL16/(Total_Lanes-CA$6))-1)^2+8*($BL16/(Total_Lanes-CA$6))/(Peak_Time_Eve*$N49*(Total_Lanes-CA$6)))),"-")</f>
        <v>-</v>
      </c>
      <c r="CB16" s="453" t="str">
        <f aca="false">IF(CB$6&lt;Total_Lanes,900*Peak_Time_Eve*(($BL16/(Total_Lanes-CB$6))-1+SQRT((($BL16/(Total_Lanes-CB$6))-1)^2+8*($BL16/(Total_Lanes-CB$6))/(Peak_Time_Eve*$N49*(Total_Lanes-CB$6)))),"-")</f>
        <v>-</v>
      </c>
      <c r="CC16" s="453" t="str">
        <f aca="false">IF(CC$6&lt;Total_Lanes,900*Peak_Time_Eve*(($BL16/(Total_Lanes-CC$6))-1+SQRT((($BL16/(Total_Lanes-CC$6))-1)^2+8*($BL16/(Total_Lanes-CC$6))/(Peak_Time_Eve*$N49*(Total_Lanes-CC$6)))),"-")</f>
        <v>-</v>
      </c>
      <c r="CD16" s="453" t="str">
        <f aca="false">IF(CD$6&lt;Total_Lanes,900*Peak_Time_Eve*(($BL16/(Total_Lanes-CD$6))-1+SQRT((($BL16/(Total_Lanes-CD$6))-1)^2+8*($BL16/(Total_Lanes-CD$6))/(Peak_Time_Eve*$N49*(Total_Lanes-CD$6)))),"-")</f>
        <v>-</v>
      </c>
      <c r="CE16" s="453" t="str">
        <f aca="false">IF(CE$6&lt;Total_Lanes,900*Peak_Time_Eve*(($BL16/(Total_Lanes-CE$6))-1+SQRT((($BL16/(Total_Lanes-CE$6))-1)^2+8*($BL16/(Total_Lanes-CE$6))/(Peak_Time_Eve*$N49*(Total_Lanes-CE$6)))),"-")</f>
        <v>-</v>
      </c>
      <c r="CF16" s="453" t="str">
        <f aca="false">IF(CF$6&lt;Total_Lanes,900*Peak_Time_Eve*(($BL16/(Total_Lanes-CF$6))-1+SQRT((($BL16/(Total_Lanes-CF$6))-1)^2+8*($BL16/(Total_Lanes-CF$6))/(Peak_Time_Eve*$N49*(Total_Lanes-CF$6)))),"-")</f>
        <v>-</v>
      </c>
      <c r="CG16" s="464" t="str">
        <f aca="false">IF(CG$6&lt;Total_Lanes,900*Peak_Time_Eve*(($BL16/(Total_Lanes-CG$6))-1+SQRT((($BL16/(Total_Lanes-CG$6))-1)^2+8*($BL16/(Total_Lanes-CG$6))/(Peak_Time_Eve*$N49*(Total_Lanes-CG$6)))),"-")</f>
        <v>-</v>
      </c>
      <c r="CH16" s="478" t="n">
        <f aca="false">3600/N49</f>
        <v>6.76625</v>
      </c>
      <c r="CJ16" s="440" t="n">
        <v>9</v>
      </c>
      <c r="CK16" s="442" t="n">
        <f aca="false">$X16</f>
        <v>0.5</v>
      </c>
      <c r="CL16" s="451" t="n">
        <f aca="false">$AC16</f>
        <v>7231.95241024574</v>
      </c>
      <c r="CM16" s="452" t="n">
        <f aca="false">CL16*CK16</f>
        <v>3615.97620512287</v>
      </c>
      <c r="CN16" s="479" t="n">
        <f aca="false">CM16/O48</f>
        <v>2.41065080341525</v>
      </c>
      <c r="CO16" s="463" t="n">
        <f aca="false">IF(CO$6&lt;Total_Lanes,900*Peak_Time_Eve*(($CN16/CO$6-1)+SQRT(($CN16/CO$6-1)^2+8*($CN16/CO$6)/(Peak_Time_Eve*$O49*CO$6))),"-")</f>
        <v>5082.44092771482</v>
      </c>
      <c r="CP16" s="463" t="n">
        <f aca="false">IF(CP$6&lt;Total_Lanes,900*Peak_Time_Eve*(($CN16/CP$6-1)+SQRT(($CN16/CP$6-1)^2+8*($CN16/CP$6)/(Peak_Time_Eve*$O49*CP$6))),"-")</f>
        <v>746.149943938242</v>
      </c>
      <c r="CQ16" s="482" t="n">
        <f aca="false">IF(CQ$6&lt;Total_Lanes,900*Peak_Time_Eve*(($CN16/CQ$6-1)+SQRT(($CN16/CQ$6-1)^2+8*($CN16/CQ$6)/(Peak_Time_Eve*$O49*CQ$6))),"-")</f>
        <v>3.25728627267417</v>
      </c>
      <c r="CR16" s="482" t="n">
        <f aca="false">IF(CR$6&lt;Total_Lanes,900*Peak_Time_Eve*(($CN16/CR$6-1)+SQRT(($CN16/CR$6-1)^2+8*($CN16/CR$6)/(Peak_Time_Eve*$O49*CR$6))),"-")</f>
        <v>0.909473788298654</v>
      </c>
      <c r="CS16" s="482" t="n">
        <f aca="false">IF(CS$6&lt;Total_Lanes,900*Peak_Time_Eve*(($CN16/CS$6-1)+SQRT(($CN16/CS$6-1)^2+8*($CN16/CS$6)/(Peak_Time_Eve*$O49*CS$6))),"-")</f>
        <v>0.446766764479034</v>
      </c>
      <c r="CT16" s="482" t="n">
        <f aca="false">IF(CT$6&lt;Total_Lanes,900*Peak_Time_Eve*(($CN16/CT$6-1)+SQRT(($CN16/CT$6-1)^2+8*($CN16/CT$6)/(Peak_Time_Eve*$O49*CT$6))),"-")</f>
        <v>0.268611387496387</v>
      </c>
      <c r="CU16" s="482" t="n">
        <f aca="false">IF(CU$6&lt;Total_Lanes,900*Peak_Time_Eve*(($CN16/CU$6-1)+SQRT(($CN16/CU$6-1)^2+8*($CN16/CU$6)/(Peak_Time_Eve*$O49*CU$6))),"-")</f>
        <v>0.180079082265117</v>
      </c>
      <c r="CV16" s="482" t="n">
        <f aca="false">IF(CV$6&lt;Total_Lanes,900*Peak_Time_Eve*(($CN16/CV$6-1)+SQRT(($CN16/CV$6-1)^2+8*($CN16/CV$6)/(Peak_Time_Eve*$O49*CV$6))),"-")</f>
        <v>0.129381438978848</v>
      </c>
      <c r="CW16" s="482" t="n">
        <f aca="false">IF(CW$6&lt;Total_Lanes,900*Peak_Time_Eve*(($CN16/CW$6-1)+SQRT(($CN16/CW$6-1)^2+8*($CN16/CW$6)/(Peak_Time_Eve*$O49*CW$6))),"-")</f>
        <v>0.0975538559543354</v>
      </c>
      <c r="CX16" s="482" t="n">
        <f aca="false">IF(CX$6&lt;Total_Lanes,900*Peak_Time_Eve*(($CN16/CX$6-1)+SQRT(($CN16/CX$6-1)^2+8*($CN16/CX$6)/(Peak_Time_Eve*$O49*CX$6))),"-")</f>
        <v>0.0762305220001869</v>
      </c>
      <c r="CY16" s="482" t="n">
        <f aca="false">IF(CY$6&lt;Total_Lanes,900*Peak_Time_Eve*(($CN16/CY$6-1)+SQRT(($CN16/CY$6-1)^2+8*($CN16/CY$6)/(Peak_Time_Eve*$O49*CY$6))),"-")</f>
        <v>0.0612326622930315</v>
      </c>
      <c r="CZ16" s="483" t="str">
        <f aca="false">IF(CZ$6&lt;Total_Lanes,900*Peak_Time_Eve*(($CN16/CZ$6-1)+SQRT(($CN16/CZ$6-1)^2+8*($CN16/CZ$6)/(Peak_Time_Eve*$O49*CZ$6))),"-")</f>
        <v>-</v>
      </c>
      <c r="DA16" s="483" t="str">
        <f aca="false">IF(DA$6&lt;Total_Lanes,900*Peak_Time_Eve*(($CN16/DA$6-1)+SQRT(($CN16/DA$6-1)^2+8*($CN16/DA$6)/(Peak_Time_Eve*$O49*DA$6))),"-")</f>
        <v>-</v>
      </c>
      <c r="DB16" s="483" t="str">
        <f aca="false">IF(DB$6&lt;Total_Lanes,900*Peak_Time_Eve*(($CN16/DB$6-1)+SQRT(($CN16/DB$6-1)^2+8*($CN16/DB$6)/(Peak_Time_Eve*$O49*DB$6))),"-")</f>
        <v>-</v>
      </c>
      <c r="DC16" s="483" t="str">
        <f aca="false">IF(DC$6&lt;Total_Lanes,900*Peak_Time_Eve*(($CN16/DC$6-1)+SQRT(($CN16/DC$6-1)^2+8*($CN16/DC$6)/(Peak_Time_Eve*$O49*DC$6))),"-")</f>
        <v>-</v>
      </c>
      <c r="DD16" s="483" t="str">
        <f aca="false">IF(DD$6&lt;Total_Lanes,900*Peak_Time_Eve*(($CN16/DD$6-1)+SQRT(($CN16/DD$6-1)^2+8*($CN16/DD$6)/(Peak_Time_Eve*$O49*DD$6))),"-")</f>
        <v>-</v>
      </c>
      <c r="DE16" s="483" t="str">
        <f aca="false">IF(DE$6&lt;Total_Lanes,900*Peak_Time_Eve*(($CN16/DE$6-1)+SQRT(($CN16/DE$6-1)^2+8*($CN16/DE$6)/(Peak_Time_Eve*$O49*DE$6))),"-")</f>
        <v>-</v>
      </c>
      <c r="DF16" s="483" t="str">
        <f aca="false">IF(DF$6&lt;Total_Lanes,900*Peak_Time_Eve*(($CN16/DF$6-1)+SQRT(($CN16/DF$6-1)^2+8*($CN16/DF$6)/(Peak_Time_Eve*$O49*DF$6))),"-")</f>
        <v>-</v>
      </c>
      <c r="DG16" s="483" t="str">
        <f aca="false">IF(DG$6&lt;Total_Lanes,900*Peak_Time_Eve*(($CN16/DG$6-1)+SQRT(($CN16/DG$6-1)^2+8*($CN16/DG$6)/(Peak_Time_Eve*$O49*DG$6))),"-")</f>
        <v>-</v>
      </c>
      <c r="DH16" s="483" t="str">
        <f aca="false">IF(DH$6&lt;Total_Lanes,900*Peak_Time_Eve*(($CN16/DH$6-1)+SQRT(($CN16/DH$6-1)^2+8*($CN16/DH$6)/(Peak_Time_Eve*$O49*DH$6))),"-")</f>
        <v>-</v>
      </c>
      <c r="DI16" s="484" t="str">
        <f aca="false">IF(DI$6&lt;Total_Lanes,900*Peak_Time_Eve*(($CN16/DI$6-1)+SQRT(($CN16/DI$6-1)^2+8*($CN16/DI$6)/(Peak_Time_Eve*$O49*DI$6))),"-")</f>
        <v>-</v>
      </c>
      <c r="DJ16" s="485" t="n">
        <f aca="false">3600/O49</f>
        <v>2.4</v>
      </c>
    </row>
    <row r="17" customFormat="false" ht="13.2" hidden="false" customHeight="false" outlineLevel="0" collapsed="false">
      <c r="H17" s="440" t="n">
        <v>10</v>
      </c>
      <c r="I17" s="441" t="n">
        <f aca="false">'Input-Detail'!E24</f>
        <v>24508086.5</v>
      </c>
      <c r="J17" s="442" t="n">
        <f aca="false">'Input-Detail'!F24</f>
        <v>0.55</v>
      </c>
      <c r="K17" s="451" t="n">
        <f aca="false">AC17</f>
        <v>7397.72490027305</v>
      </c>
      <c r="L17" s="452" t="n">
        <f aca="false">AD64</f>
        <v>12.2229241780765</v>
      </c>
      <c r="M17" s="467" t="n">
        <f aca="false">AD17</f>
        <v>29.3342314448379</v>
      </c>
      <c r="N17" s="467" t="n">
        <f aca="false">SUM(L17:M17)</f>
        <v>41.5571556229144</v>
      </c>
      <c r="O17" s="471" t="n">
        <f aca="false">$S$34*N17</f>
        <v>10804.8604619578</v>
      </c>
      <c r="P17" s="452" t="n">
        <f aca="false">BC64</f>
        <v>5.95857322044775</v>
      </c>
      <c r="Q17" s="467" t="n">
        <f aca="false">BC17</f>
        <v>21.0990039089247</v>
      </c>
      <c r="R17" s="467" t="n">
        <f aca="false">SUM(P17:Q17)</f>
        <v>27.0575771293724</v>
      </c>
      <c r="S17" s="472" t="n">
        <f aca="false">$S$34*R17</f>
        <v>7034.97005363684</v>
      </c>
      <c r="T17" s="405"/>
      <c r="U17" s="405"/>
      <c r="V17" s="440" t="n">
        <v>10</v>
      </c>
      <c r="W17" s="448" t="n">
        <f aca="false">W$7+(W$27-W$7)*$V17/20</f>
        <v>24508086.5</v>
      </c>
      <c r="X17" s="442" t="n">
        <f aca="false">J17</f>
        <v>0.55</v>
      </c>
      <c r="Y17" s="448" t="n">
        <f aca="false">'Input-Detail'!E24/Z17</f>
        <v>10568.1784289615</v>
      </c>
      <c r="Z17" s="473" t="n">
        <f aca="false">Z16</f>
        <v>2319.04548780488</v>
      </c>
      <c r="AA17" s="473" t="n">
        <f aca="false">AA16</f>
        <v>2</v>
      </c>
      <c r="AB17" s="474" t="n">
        <f aca="false">AB16</f>
        <v>0.7</v>
      </c>
      <c r="AC17" s="451" t="n">
        <f aca="false">Y17*AB17</f>
        <v>7397.72490027305</v>
      </c>
      <c r="AD17" s="452" t="n">
        <f aca="false">Peak_Time_Eve*$BH17*(3600/K50+BK17)/3600</f>
        <v>29.3342314448379</v>
      </c>
      <c r="AE17" s="453" t="n">
        <f aca="false">IF(AE$6&lt;Total_Lanes,($BI17*($CH17+BM17)+$CM17*CO17)*Peak_Time_Eve/3600,"-")</f>
        <v>13958.1133903726</v>
      </c>
      <c r="AF17" s="453" t="n">
        <f aca="false">IF(AF$6&lt;Total_Lanes,($BI17*($CH17+BN17)+$CM17*CP17)*Peak_Time_Eve/3600,"-")</f>
        <v>2923.93713308853</v>
      </c>
      <c r="AG17" s="453" t="n">
        <f aca="false">IF(AG$6&lt;Total_Lanes,($BI17*($CH17+BO17)+$CM17*CQ17)*Peak_Time_Eve/3600,"-")</f>
        <v>32.4656849222883</v>
      </c>
      <c r="AH17" s="453" t="n">
        <f aca="false">IF(AH$6&lt;Total_Lanes,($BI17*($CH17+BP17)+$CM17*CR17)*Peak_Time_Eve/3600,"-")</f>
        <v>21.0990039089247</v>
      </c>
      <c r="AI17" s="453" t="n">
        <f aca="false">IF(AI$6&lt;Total_Lanes,($BI17*($CH17+BQ17)+$CM17*CS17)*Peak_Time_Eve/3600,"-")</f>
        <v>29.0597814355756</v>
      </c>
      <c r="AJ17" s="453" t="n">
        <f aca="false">IF(AJ$6&lt;Total_Lanes,($BI17*($CH17+BR17)+$CM17*CT17)*Peak_Time_Eve/3600,"-")</f>
        <v>361.924546973899</v>
      </c>
      <c r="AK17" s="453" t="n">
        <f aca="false">IF(AK$6&lt;Total_Lanes,($BI17*($CH17+BS17)+$CM17*CU17)*Peak_Time_Eve/3600,"-")</f>
        <v>1725.08424460765</v>
      </c>
      <c r="AL17" s="453" t="n">
        <f aca="false">IF(AL$6&lt;Total_Lanes,($BI17*($CH17+BT17)+$CM17*CV17)*Peak_Time_Eve/3600,"-")</f>
        <v>3810.75279611256</v>
      </c>
      <c r="AM17" s="453" t="n">
        <f aca="false">IF(AM$6&lt;Total_Lanes,($BI17*($CH17+BU17)+$CM17*CW17)*Peak_Time_Eve/3600,"-")</f>
        <v>7292.42950225284</v>
      </c>
      <c r="AN17" s="453" t="n">
        <f aca="false">IF(AN$6&lt;Total_Lanes,($BI17*($CH17+BV17)+$CM17*CX17)*Peak_Time_Eve/3600,"-")</f>
        <v>14258.3516064779</v>
      </c>
      <c r="AO17" s="453" t="n">
        <f aca="false">IF(AO$6&lt;Total_Lanes,($BI17*($CH17+BW17)+$CM17*CY17)*Peak_Time_Eve/3600,"-")</f>
        <v>35158.3741038241</v>
      </c>
      <c r="AP17" s="453" t="str">
        <f aca="false">IF(AP$6&lt;Total_Lanes,($BI17*($CH17+BX17)+$CM17*CZ17)*Peak_Time_Eve/3600,"-")</f>
        <v>-</v>
      </c>
      <c r="AQ17" s="453" t="str">
        <f aca="false">IF(AQ$6&lt;Total_Lanes,($BI17*($CH17+BY17)+$CM17*DA17)*Peak_Time_Eve/3600,"-")</f>
        <v>-</v>
      </c>
      <c r="AR17" s="453" t="str">
        <f aca="false">IF(AR$6&lt;Total_Lanes,($BI17*($CH17+BZ17)+$CM17*DB17)*Peak_Time_Eve/3600,"-")</f>
        <v>-</v>
      </c>
      <c r="AS17" s="453" t="str">
        <f aca="false">IF(AS$6&lt;Total_Lanes,($BI17*($CH17+CA17)+$CM17*DC17)*Peak_Time_Eve/3600,"-")</f>
        <v>-</v>
      </c>
      <c r="AT17" s="453" t="str">
        <f aca="false">IF(AT$6&lt;Total_Lanes,($BI17*($CH17+CB17)+$CM17*DD17)*Peak_Time_Eve/3600,"-")</f>
        <v>-</v>
      </c>
      <c r="AU17" s="453" t="str">
        <f aca="false">IF(AU$6&lt;Total_Lanes,($BI17*($CH17+CC17)+$CM17*DE17)*Peak_Time_Eve/3600,"-")</f>
        <v>-</v>
      </c>
      <c r="AV17" s="453" t="str">
        <f aca="false">IF(AV$6&lt;Total_Lanes,($BI17*($CH17+CD17)+$CM17*DF17)*Peak_Time_Eve/3600,"-")</f>
        <v>-</v>
      </c>
      <c r="AW17" s="453" t="str">
        <f aca="false">IF(AW$6&lt;Total_Lanes,($BI17*($CH17+CE17)+$CM17*DG17)*Peak_Time_Eve/3600,"-")</f>
        <v>-</v>
      </c>
      <c r="AX17" s="453" t="str">
        <f aca="false">IF(AX$6&lt;Total_Lanes,($BI17*($CH17+CF17)+$CM17*DH17)*Peak_Time_Eve/3600,"-")</f>
        <v>-</v>
      </c>
      <c r="AY17" s="454" t="str">
        <f aca="false">IF(AY$6&lt;Total_Lanes,($BI17*($CH17+CG17)+$CM17*DI17)*Peak_Time_Eve/3600,"-")</f>
        <v>-</v>
      </c>
      <c r="AZ17" s="475" t="n">
        <f aca="false">SUMIF(AE17:AY17,BA17,$AE$6:$AY$6)</f>
        <v>4</v>
      </c>
      <c r="BA17" s="476" t="n">
        <f aca="false">MIN(AE17:AY17)</f>
        <v>21.0990039089247</v>
      </c>
      <c r="BB17" s="475" t="n">
        <f aca="false">IF((SUMIF($BM15:$CG15,$AZ17,$BM17:$CG17)+$CH17)&lt;(SUMIF($CO15:$DI15,$AZ17,$CO17:$DI17)+$DJ17),AZ17+1,AZ17)</f>
        <v>4</v>
      </c>
      <c r="BC17" s="476" t="n">
        <f aca="false">SUMIF($AE$6:$AY$6,$BB17,$AE17:$AY17)</f>
        <v>21.0990039089247</v>
      </c>
      <c r="BF17" s="440" t="n">
        <v>10</v>
      </c>
      <c r="BG17" s="442" t="n">
        <f aca="false">$X17</f>
        <v>0.55</v>
      </c>
      <c r="BH17" s="458" t="n">
        <f aca="false">$AC17</f>
        <v>7397.72490027305</v>
      </c>
      <c r="BI17" s="477" t="n">
        <f aca="false">BH17*(1-BG17)</f>
        <v>3328.97620512287</v>
      </c>
      <c r="BJ17" s="460" t="n">
        <f aca="false">Peak_Arrival_Manual/K50</f>
        <v>6.08000515241191</v>
      </c>
      <c r="BK17" s="461" t="n">
        <f aca="false">900*Peak_Time_Eve*(BJ17/Total_Lanes-1+SQRT((BJ17/Total_Lanes-1)^2+8*(BJ17/Total_Lanes)/(Peak_Time_Eve*$K50*Total_Lanes)))</f>
        <v>0.562548004624963</v>
      </c>
      <c r="BL17" s="462" t="n">
        <f aca="false">Peak_Arrival_Manual/N50</f>
        <v>6.27650722007541</v>
      </c>
      <c r="BM17" s="463" t="n">
        <f aca="false">IF(BM$6&lt;Total_Lanes,900*Peak_Time_Eve*(($BL17/(Total_Lanes-BM$6))-1+SQRT((($BL17/(Total_Lanes-BM$6))-1)^2+8*($BL17/(Total_Lanes-BM$6))/(Peak_Time_Eve*$N50*(Total_Lanes-BM$6)))),"-")</f>
        <v>0.819486436854866</v>
      </c>
      <c r="BN17" s="463" t="n">
        <f aca="false">IF(BN$6&lt;Total_Lanes,900*Peak_Time_Eve*(($BL17/(Total_Lanes-BN$6))-1+SQRT((($BL17/(Total_Lanes-BN$6))-1)^2+8*($BL17/(Total_Lanes-BN$6))/(Peak_Time_Eve*$N50*(Total_Lanes-BN$6)))),"-")</f>
        <v>1.14316032930513</v>
      </c>
      <c r="BO17" s="463" t="n">
        <f aca="false">IF(BO$6&lt;Total_Lanes,900*Peak_Time_Eve*(($BL17/(Total_Lanes-BO$6))-1+SQRT((($BL17/(Total_Lanes-BO$6))-1)^2+8*($BL17/(Total_Lanes-BO$6))/(Peak_Time_Eve*$N50*(Total_Lanes-BO$6)))),"-")</f>
        <v>1.73527340656856</v>
      </c>
      <c r="BP17" s="463" t="n">
        <f aca="false">IF(BP$6&lt;Total_Lanes,900*Peak_Time_Eve*(($BL17/(Total_Lanes-BP$6))-1+SQRT((($BL17/(Total_Lanes-BP$6))-1)^2+8*($BL17/(Total_Lanes-BP$6))/(Peak_Time_Eve*$N50*(Total_Lanes-BP$6)))),"-")</f>
        <v>3.0775739039391</v>
      </c>
      <c r="BQ17" s="463" t="n">
        <f aca="false">IF(BQ$6&lt;Total_Lanes,900*Peak_Time_Eve*(($BL17/(Total_Lanes-BQ$6))-1+SQRT((($BL17/(Total_Lanes-BQ$6))-1)^2+8*($BL17/(Total_Lanes-BQ$6))/(Peak_Time_Eve*$N50*(Total_Lanes-BQ$6)))),"-")</f>
        <v>8.22989669578892</v>
      </c>
      <c r="BR17" s="463" t="n">
        <f aca="false">IF(BR$6&lt;Total_Lanes,900*Peak_Time_Eve*(($BL17/(Total_Lanes-BR$6))-1+SQRT((($BL17/(Total_Lanes-BR$6))-1)^2+8*($BL17/(Total_Lanes-BR$6))/(Peak_Time_Eve*$N50*(Total_Lanes-BR$6)))),"-")</f>
        <v>188.504243801657</v>
      </c>
      <c r="BS17" s="463" t="n">
        <f aca="false">IF(BS$6&lt;Total_Lanes,900*Peak_Time_Eve*(($BL17/(Total_Lanes-BS$6))-1+SQRT((($BL17/(Total_Lanes-BS$6))-1)^2+8*($BL17/(Total_Lanes-BS$6))/(Peak_Time_Eve*$N50*(Total_Lanes-BS$6)))),"-")</f>
        <v>925.712159217228</v>
      </c>
      <c r="BT17" s="463" t="n">
        <f aca="false">IF(BT$6&lt;Total_Lanes,900*Peak_Time_Eve*(($BL17/(Total_Lanes-BT$6))-1+SQRT((($BL17/(Total_Lanes-BT$6))-1)^2+8*($BL17/(Total_Lanes-BT$6))/(Peak_Time_Eve*$N50*(Total_Lanes-BT$6)))),"-")</f>
        <v>2053.52427992167</v>
      </c>
      <c r="BU17" s="463" t="n">
        <f aca="false">IF(BU$6&lt;Total_Lanes,900*Peak_Time_Eve*(($BL17/(Total_Lanes-BU$6))-1+SQRT((($BL17/(Total_Lanes-BU$6))-1)^2+8*($BL17/(Total_Lanes-BU$6))/(Peak_Time_Eve*$N50*(Total_Lanes-BU$6)))),"-")</f>
        <v>3936.13796282531</v>
      </c>
      <c r="BV17" s="463" t="n">
        <f aca="false">IF(BV$6&lt;Total_Lanes,900*Peak_Time_Eve*(($BL17/(Total_Lanes-BV$6))-1+SQRT((($BL17/(Total_Lanes-BV$6))-1)^2+8*($BL17/(Total_Lanes-BV$6))/(Peak_Time_Eve*$N50*(Total_Lanes-BV$6)))),"-")</f>
        <v>7702.6906870542</v>
      </c>
      <c r="BW17" s="463" t="n">
        <f aca="false">IF(BW$6&lt;Total_Lanes,900*Peak_Time_Eve*(($BL17/(Total_Lanes-BW$6))-1+SQRT((($BL17/(Total_Lanes-BW$6))-1)^2+8*($BL17/(Total_Lanes-BW$6))/(Peak_Time_Eve*$N50*(Total_Lanes-BW$6)))),"-")</f>
        <v>19003.4964257584</v>
      </c>
      <c r="BX17" s="453" t="str">
        <f aca="false">IF(BX$6&lt;Total_Lanes,900*Peak_Time_Eve*(($BL17/(Total_Lanes-BX$6))-1+SQRT((($BL17/(Total_Lanes-BX$6))-1)^2+8*($BL17/(Total_Lanes-BX$6))/(Peak_Time_Eve*$N50*(Total_Lanes-BX$6)))),"-")</f>
        <v>-</v>
      </c>
      <c r="BY17" s="453" t="str">
        <f aca="false">IF(BY$6&lt;Total_Lanes,900*Peak_Time_Eve*(($BL17/(Total_Lanes-BY$6))-1+SQRT((($BL17/(Total_Lanes-BY$6))-1)^2+8*($BL17/(Total_Lanes-BY$6))/(Peak_Time_Eve*$N50*(Total_Lanes-BY$6)))),"-")</f>
        <v>-</v>
      </c>
      <c r="BZ17" s="453" t="str">
        <f aca="false">IF(BZ$6&lt;Total_Lanes,900*Peak_Time_Eve*(($BL17/(Total_Lanes-BZ$6))-1+SQRT((($BL17/(Total_Lanes-BZ$6))-1)^2+8*($BL17/(Total_Lanes-BZ$6))/(Peak_Time_Eve*$N50*(Total_Lanes-BZ$6)))),"-")</f>
        <v>-</v>
      </c>
      <c r="CA17" s="453" t="str">
        <f aca="false">IF(CA$6&lt;Total_Lanes,900*Peak_Time_Eve*(($BL17/(Total_Lanes-CA$6))-1+SQRT((($BL17/(Total_Lanes-CA$6))-1)^2+8*($BL17/(Total_Lanes-CA$6))/(Peak_Time_Eve*$N50*(Total_Lanes-CA$6)))),"-")</f>
        <v>-</v>
      </c>
      <c r="CB17" s="453" t="str">
        <f aca="false">IF(CB$6&lt;Total_Lanes,900*Peak_Time_Eve*(($BL17/(Total_Lanes-CB$6))-1+SQRT((($BL17/(Total_Lanes-CB$6))-1)^2+8*($BL17/(Total_Lanes-CB$6))/(Peak_Time_Eve*$N50*(Total_Lanes-CB$6)))),"-")</f>
        <v>-</v>
      </c>
      <c r="CC17" s="453" t="str">
        <f aca="false">IF(CC$6&lt;Total_Lanes,900*Peak_Time_Eve*(($BL17/(Total_Lanes-CC$6))-1+SQRT((($BL17/(Total_Lanes-CC$6))-1)^2+8*($BL17/(Total_Lanes-CC$6))/(Peak_Time_Eve*$N50*(Total_Lanes-CC$6)))),"-")</f>
        <v>-</v>
      </c>
      <c r="CD17" s="453" t="str">
        <f aca="false">IF(CD$6&lt;Total_Lanes,900*Peak_Time_Eve*(($BL17/(Total_Lanes-CD$6))-1+SQRT((($BL17/(Total_Lanes-CD$6))-1)^2+8*($BL17/(Total_Lanes-CD$6))/(Peak_Time_Eve*$N50*(Total_Lanes-CD$6)))),"-")</f>
        <v>-</v>
      </c>
      <c r="CE17" s="453" t="str">
        <f aca="false">IF(CE$6&lt;Total_Lanes,900*Peak_Time_Eve*(($BL17/(Total_Lanes-CE$6))-1+SQRT((($BL17/(Total_Lanes-CE$6))-1)^2+8*($BL17/(Total_Lanes-CE$6))/(Peak_Time_Eve*$N50*(Total_Lanes-CE$6)))),"-")</f>
        <v>-</v>
      </c>
      <c r="CF17" s="453" t="str">
        <f aca="false">IF(CF$6&lt;Total_Lanes,900*Peak_Time_Eve*(($BL17/(Total_Lanes-CF$6))-1+SQRT((($BL17/(Total_Lanes-CF$6))-1)^2+8*($BL17/(Total_Lanes-CF$6))/(Peak_Time_Eve*$N50*(Total_Lanes-CF$6)))),"-")</f>
        <v>-</v>
      </c>
      <c r="CG17" s="464" t="str">
        <f aca="false">IF(CG$6&lt;Total_Lanes,900*Peak_Time_Eve*(($BL17/(Total_Lanes-CG$6))-1+SQRT((($BL17/(Total_Lanes-CG$6))-1)^2+8*($BL17/(Total_Lanes-CG$6))/(Peak_Time_Eve*$N50*(Total_Lanes-CG$6)))),"-")</f>
        <v>-</v>
      </c>
      <c r="CH17" s="478" t="n">
        <f aca="false">3600/N50</f>
        <v>6.7875</v>
      </c>
      <c r="CJ17" s="440" t="n">
        <v>10</v>
      </c>
      <c r="CK17" s="442" t="n">
        <f aca="false">$X17</f>
        <v>0.55</v>
      </c>
      <c r="CL17" s="451" t="n">
        <f aca="false">$AC17</f>
        <v>7397.72490027305</v>
      </c>
      <c r="CM17" s="452" t="n">
        <f aca="false">CL17*CK17</f>
        <v>4068.74869515018</v>
      </c>
      <c r="CN17" s="479" t="n">
        <f aca="false">CM17/O49</f>
        <v>2.71249913010012</v>
      </c>
      <c r="CO17" s="463" t="n">
        <f aca="false">IF(CO$6&lt;Total_Lanes,900*Peak_Time_Eve*(($CN17/CO$6-1)+SQRT(($CN17/CO$6-1)^2+8*($CN17/CO$6)/(Peak_Time_Eve*$O50*CO$6))),"-")</f>
        <v>6168.79598775594</v>
      </c>
      <c r="CP17" s="463" t="n">
        <f aca="false">IF(CP$6&lt;Total_Lanes,900*Peak_Time_Eve*(($CN17/CP$6-1)+SQRT(($CN17/CP$6-1)^2+8*($CN17/CP$6)/(Peak_Time_Eve*$O50*CP$6))),"-")</f>
        <v>1287.05070093765</v>
      </c>
      <c r="CQ17" s="482" t="n">
        <f aca="false">IF(CQ$6&lt;Total_Lanes,900*Peak_Time_Eve*(($CN17/CQ$6-1)+SQRT(($CN17/CQ$6-1)^2+8*($CN17/CQ$6)/(Peak_Time_Eve*$O50*CQ$6))),"-")</f>
        <v>7.38952568484657</v>
      </c>
      <c r="CR17" s="482" t="n">
        <f aca="false">IF(CR$6&lt;Total_Lanes,900*Peak_Time_Eve*(($CN17/CR$6-1)+SQRT(($CN17/CR$6-1)^2+8*($CN17/CR$6)/(Peak_Time_Eve*$O50*CR$6))),"-")</f>
        <v>1.26270043519682</v>
      </c>
      <c r="CS17" s="482" t="n">
        <f aca="false">IF(CS$6&lt;Total_Lanes,900*Peak_Time_Eve*(($CN17/CS$6-1)+SQRT(($CN17/CS$6-1)^2+8*($CN17/CS$6)/(Peak_Time_Eve*$O50*CS$6))),"-")</f>
        <v>0.568983364252351</v>
      </c>
      <c r="CT17" s="482" t="n">
        <f aca="false">IF(CT$6&lt;Total_Lanes,900*Peak_Time_Eve*(($CN17/CT$6-1)+SQRT(($CN17/CT$6-1)^2+8*($CN17/CT$6)/(Peak_Time_Eve*$O50*CT$6))),"-")</f>
        <v>0.329982626341852</v>
      </c>
      <c r="CU17" s="482" t="n">
        <f aca="false">IF(CU$6&lt;Total_Lanes,900*Peak_Time_Eve*(($CN17/CU$6-1)+SQRT(($CN17/CU$6-1)^2+8*($CN17/CU$6)/(Peak_Time_Eve*$O50*CU$6))),"-")</f>
        <v>0.216888173872265</v>
      </c>
      <c r="CV17" s="482" t="n">
        <f aca="false">IF(CV$6&lt;Total_Lanes,900*Peak_Time_Eve*(($CN17/CV$6-1)+SQRT(($CN17/CV$6-1)^2+8*($CN17/CV$6)/(Peak_Time_Eve*$O50*CV$6))),"-")</f>
        <v>0.153890681368263</v>
      </c>
      <c r="CW17" s="482" t="n">
        <f aca="false">IF(CW$6&lt;Total_Lanes,900*Peak_Time_Eve*(($CN17/CW$6-1)+SQRT(($CN17/CW$6-1)^2+8*($CN17/CW$6)/(Peak_Time_Eve*$O50*CW$6))),"-")</f>
        <v>0.115037760170744</v>
      </c>
      <c r="CX17" s="482" t="n">
        <f aca="false">IF(CX$6&lt;Total_Lanes,900*Peak_Time_Eve*(($CN17/CX$6-1)+SQRT(($CN17/CX$6-1)^2+8*($CN17/CX$6)/(Peak_Time_Eve*$O50*CX$6))),"-")</f>
        <v>0.0893279654585744</v>
      </c>
      <c r="CY17" s="482" t="n">
        <f aca="false">IF(CY$6&lt;Total_Lanes,900*Peak_Time_Eve*(($CN17/CY$6-1)+SQRT(($CN17/CY$6-1)^2+8*($CN17/CY$6)/(Peak_Time_Eve*$O50*CY$6))),"-")</f>
        <v>0.0714090315369065</v>
      </c>
      <c r="CZ17" s="483" t="str">
        <f aca="false">IF(CZ$6&lt;Total_Lanes,900*Peak_Time_Eve*(($CN17/CZ$6-1)+SQRT(($CN17/CZ$6-1)^2+8*($CN17/CZ$6)/(Peak_Time_Eve*$O50*CZ$6))),"-")</f>
        <v>-</v>
      </c>
      <c r="DA17" s="483" t="str">
        <f aca="false">IF(DA$6&lt;Total_Lanes,900*Peak_Time_Eve*(($CN17/DA$6-1)+SQRT(($CN17/DA$6-1)^2+8*($CN17/DA$6)/(Peak_Time_Eve*$O50*DA$6))),"-")</f>
        <v>-</v>
      </c>
      <c r="DB17" s="483" t="str">
        <f aca="false">IF(DB$6&lt;Total_Lanes,900*Peak_Time_Eve*(($CN17/DB$6-1)+SQRT(($CN17/DB$6-1)^2+8*($CN17/DB$6)/(Peak_Time_Eve*$O50*DB$6))),"-")</f>
        <v>-</v>
      </c>
      <c r="DC17" s="483" t="str">
        <f aca="false">IF(DC$6&lt;Total_Lanes,900*Peak_Time_Eve*(($CN17/DC$6-1)+SQRT(($CN17/DC$6-1)^2+8*($CN17/DC$6)/(Peak_Time_Eve*$O50*DC$6))),"-")</f>
        <v>-</v>
      </c>
      <c r="DD17" s="483" t="str">
        <f aca="false">IF(DD$6&lt;Total_Lanes,900*Peak_Time_Eve*(($CN17/DD$6-1)+SQRT(($CN17/DD$6-1)^2+8*($CN17/DD$6)/(Peak_Time_Eve*$O50*DD$6))),"-")</f>
        <v>-</v>
      </c>
      <c r="DE17" s="483" t="str">
        <f aca="false">IF(DE$6&lt;Total_Lanes,900*Peak_Time_Eve*(($CN17/DE$6-1)+SQRT(($CN17/DE$6-1)^2+8*($CN17/DE$6)/(Peak_Time_Eve*$O50*DE$6))),"-")</f>
        <v>-</v>
      </c>
      <c r="DF17" s="483" t="str">
        <f aca="false">IF(DF$6&lt;Total_Lanes,900*Peak_Time_Eve*(($CN17/DF$6-1)+SQRT(($CN17/DF$6-1)^2+8*($CN17/DF$6)/(Peak_Time_Eve*$O50*DF$6))),"-")</f>
        <v>-</v>
      </c>
      <c r="DG17" s="483" t="str">
        <f aca="false">IF(DG$6&lt;Total_Lanes,900*Peak_Time_Eve*(($CN17/DG$6-1)+SQRT(($CN17/DG$6-1)^2+8*($CN17/DG$6)/(Peak_Time_Eve*$O50*DG$6))),"-")</f>
        <v>-</v>
      </c>
      <c r="DH17" s="483" t="str">
        <f aca="false">IF(DH$6&lt;Total_Lanes,900*Peak_Time_Eve*(($CN17/DH$6-1)+SQRT(($CN17/DH$6-1)^2+8*($CN17/DH$6)/(Peak_Time_Eve*$O50*DH$6))),"-")</f>
        <v>-</v>
      </c>
      <c r="DI17" s="484" t="str">
        <f aca="false">IF(DI$6&lt;Total_Lanes,900*Peak_Time_Eve*(($CN17/DI$6-1)+SQRT(($CN17/DI$6-1)^2+8*($CN17/DI$6)/(Peak_Time_Eve*$O50*DI$6))),"-")</f>
        <v>-</v>
      </c>
      <c r="DJ17" s="485" t="n">
        <f aca="false">3600/O50</f>
        <v>2.4</v>
      </c>
    </row>
    <row r="18" customFormat="false" ht="13.2" hidden="false" customHeight="false" outlineLevel="0" collapsed="false">
      <c r="H18" s="440" t="n">
        <v>11</v>
      </c>
      <c r="I18" s="441" t="n">
        <f aca="false">'Input-Detail'!E25</f>
        <v>25057277.85</v>
      </c>
      <c r="J18" s="442" t="n">
        <f aca="false">'Input-Detail'!F25</f>
        <v>0.6</v>
      </c>
      <c r="K18" s="451" t="n">
        <f aca="false">AC18</f>
        <v>7563.49739030035</v>
      </c>
      <c r="L18" s="452" t="n">
        <f aca="false">AD65</f>
        <v>12.5039994926655</v>
      </c>
      <c r="M18" s="467" t="n">
        <f aca="false">AD18</f>
        <v>29.5921914258608</v>
      </c>
      <c r="N18" s="467" t="n">
        <f aca="false">SUM(L18:M18)</f>
        <v>42.0961909185263</v>
      </c>
      <c r="O18" s="471" t="n">
        <f aca="false">$S$34*N18</f>
        <v>10945.0096388168</v>
      </c>
      <c r="P18" s="452" t="n">
        <f aca="false">BC65</f>
        <v>5.4638688364854</v>
      </c>
      <c r="Q18" s="467" t="n">
        <f aca="false">BC18</f>
        <v>19.7155811387572</v>
      </c>
      <c r="R18" s="467" t="n">
        <f aca="false">SUM(P18:Q18)</f>
        <v>25.1794499752426</v>
      </c>
      <c r="S18" s="472" t="n">
        <f aca="false">$S$34*R18</f>
        <v>6546.65699356306</v>
      </c>
      <c r="T18" s="405"/>
      <c r="U18" s="405"/>
      <c r="V18" s="440" t="n">
        <v>11</v>
      </c>
      <c r="W18" s="448" t="n">
        <f aca="false">W$7+(W$27-W$7)*$V18/20</f>
        <v>25057277.85</v>
      </c>
      <c r="X18" s="442" t="n">
        <f aca="false">J18</f>
        <v>0.6</v>
      </c>
      <c r="Y18" s="448" t="n">
        <f aca="false">'Input-Detail'!E25/Z18</f>
        <v>10804.9962718576</v>
      </c>
      <c r="Z18" s="473" t="n">
        <f aca="false">Z17</f>
        <v>2319.04548780488</v>
      </c>
      <c r="AA18" s="473" t="n">
        <f aca="false">AA17</f>
        <v>2</v>
      </c>
      <c r="AB18" s="474" t="n">
        <f aca="false">AB17</f>
        <v>0.7</v>
      </c>
      <c r="AC18" s="451" t="n">
        <f aca="false">Y18*AB18</f>
        <v>7563.49739030035</v>
      </c>
      <c r="AD18" s="452" t="n">
        <f aca="false">Peak_Time_Eve*$BH18*(3600/K51+BK18)/3600</f>
        <v>29.5921914258608</v>
      </c>
      <c r="AE18" s="453" t="n">
        <f aca="false">IF(AE$6&lt;Total_Lanes,($BI18*($CH18+BM18)+$CM18*CO18)*Peak_Time_Eve/3600,"-")</f>
        <v>18404.5249142916</v>
      </c>
      <c r="AF18" s="453" t="n">
        <f aca="false">IF(AF$6&lt;Total_Lanes,($BI18*($CH18+BN18)+$CM18*CP18)*Peak_Time_Eve/3600,"-")</f>
        <v>4675.244425078</v>
      </c>
      <c r="AG18" s="453" t="n">
        <f aca="false">IF(AG$6&lt;Total_Lanes,($BI18*($CH18+BO18)+$CM18*CQ18)*Peak_Time_Eve/3600,"-")</f>
        <v>193.281614356266</v>
      </c>
      <c r="AH18" s="453" t="n">
        <f aca="false">IF(AH$6&lt;Total_Lanes,($BI18*($CH18+BP18)+$CM18*CR18)*Peak_Time_Eve/3600,"-")</f>
        <v>19.7155811387572</v>
      </c>
      <c r="AI18" s="453" t="n">
        <f aca="false">IF(AI$6&lt;Total_Lanes,($BI18*($CH18+BQ18)+$CM18*CS18)*Peak_Time_Eve/3600,"-")</f>
        <v>20.5690455755717</v>
      </c>
      <c r="AJ18" s="453" t="n">
        <f aca="false">IF(AJ$6&lt;Total_Lanes,($BI18*($CH18+BR18)+$CM18*CT18)*Peak_Time_Eve/3600,"-")</f>
        <v>47.3798630650008</v>
      </c>
      <c r="AK18" s="453" t="n">
        <f aca="false">IF(AK$6&lt;Total_Lanes,($BI18*($CH18+BS18)+$CM18*CU18)*Peak_Time_Eve/3600,"-")</f>
        <v>903.60967524372</v>
      </c>
      <c r="AL18" s="453" t="n">
        <f aca="false">IF(AL$6&lt;Total_Lanes,($BI18*($CH18+BT18)+$CM18*CV18)*Peak_Time_Eve/3600,"-")</f>
        <v>2626.23852566513</v>
      </c>
      <c r="AM18" s="453" t="n">
        <f aca="false">IF(AM$6&lt;Total_Lanes,($BI18*($CH18+BU18)+$CM18*CW18)*Peak_Time_Eve/3600,"-")</f>
        <v>5509.87398038487</v>
      </c>
      <c r="AN18" s="453" t="n">
        <f aca="false">IF(AN$6&lt;Total_Lanes,($BI18*($CH18+BV18)+$CM18*CX18)*Peak_Time_Eve/3600,"-")</f>
        <v>11281.0187040538</v>
      </c>
      <c r="AO18" s="453" t="n">
        <f aca="false">IF(AO$6&lt;Total_Lanes,($BI18*($CH18+BW18)+$CM18*CY18)*Peak_Time_Eve/3600,"-")</f>
        <v>28597.3562579899</v>
      </c>
      <c r="AP18" s="453" t="str">
        <f aca="false">IF(AP$6&lt;Total_Lanes,($BI18*($CH18+BX18)+$CM18*CZ18)*Peak_Time_Eve/3600,"-")</f>
        <v>-</v>
      </c>
      <c r="AQ18" s="453" t="str">
        <f aca="false">IF(AQ$6&lt;Total_Lanes,($BI18*($CH18+BY18)+$CM18*DA18)*Peak_Time_Eve/3600,"-")</f>
        <v>-</v>
      </c>
      <c r="AR18" s="453" t="str">
        <f aca="false">IF(AR$6&lt;Total_Lanes,($BI18*($CH18+BZ18)+$CM18*DB18)*Peak_Time_Eve/3600,"-")</f>
        <v>-</v>
      </c>
      <c r="AS18" s="453" t="str">
        <f aca="false">IF(AS$6&lt;Total_Lanes,($BI18*($CH18+CA18)+$CM18*DC18)*Peak_Time_Eve/3600,"-")</f>
        <v>-</v>
      </c>
      <c r="AT18" s="453" t="str">
        <f aca="false">IF(AT$6&lt;Total_Lanes,($BI18*($CH18+CB18)+$CM18*DD18)*Peak_Time_Eve/3600,"-")</f>
        <v>-</v>
      </c>
      <c r="AU18" s="453" t="str">
        <f aca="false">IF(AU$6&lt;Total_Lanes,($BI18*($CH18+CC18)+$CM18*DE18)*Peak_Time_Eve/3600,"-")</f>
        <v>-</v>
      </c>
      <c r="AV18" s="453" t="str">
        <f aca="false">IF(AV$6&lt;Total_Lanes,($BI18*($CH18+CD18)+$CM18*DF18)*Peak_Time_Eve/3600,"-")</f>
        <v>-</v>
      </c>
      <c r="AW18" s="453" t="str">
        <f aca="false">IF(AW$6&lt;Total_Lanes,($BI18*($CH18+CE18)+$CM18*DG18)*Peak_Time_Eve/3600,"-")</f>
        <v>-</v>
      </c>
      <c r="AX18" s="453" t="str">
        <f aca="false">IF(AX$6&lt;Total_Lanes,($BI18*($CH18+CF18)+$CM18*DH18)*Peak_Time_Eve/3600,"-")</f>
        <v>-</v>
      </c>
      <c r="AY18" s="454" t="str">
        <f aca="false">IF(AY$6&lt;Total_Lanes,($BI18*($CH18+CG18)+$CM18*DI18)*Peak_Time_Eve/3600,"-")</f>
        <v>-</v>
      </c>
      <c r="AZ18" s="475" t="n">
        <f aca="false">SUMIF(AE18:AY18,BA18,$AE$6:$AY$6)</f>
        <v>4</v>
      </c>
      <c r="BA18" s="476" t="n">
        <f aca="false">MIN(AE18:AY18)</f>
        <v>19.7155811387572</v>
      </c>
      <c r="BB18" s="475" t="n">
        <f aca="false">IF((SUMIF($BM16:$CG16,$AZ18,$BM18:$CG18)+$CH18)&lt;(SUMIF($CO16:$DI16,$AZ18,$CO18:$DI18)+$DJ18),AZ18+1,AZ18)</f>
        <v>4</v>
      </c>
      <c r="BC18" s="476" t="n">
        <f aca="false">SUMIF($AE$6:$AY$6,$BB18,$AE18:$AY18)</f>
        <v>19.7155811387572</v>
      </c>
      <c r="BF18" s="440" t="n">
        <v>11</v>
      </c>
      <c r="BG18" s="442" t="n">
        <f aca="false">$X18</f>
        <v>0.6</v>
      </c>
      <c r="BH18" s="458" t="n">
        <f aca="false">$AC18</f>
        <v>7563.49739030035</v>
      </c>
      <c r="BI18" s="477" t="n">
        <f aca="false">BH18*(1-BG18)</f>
        <v>3025.39895612014</v>
      </c>
      <c r="BJ18" s="460" t="n">
        <f aca="false">Peak_Arrival_Manual/K51</f>
        <v>5.52555503791387</v>
      </c>
      <c r="BK18" s="461" t="n">
        <f aca="false">900*Peak_Time_Eve*(BJ18/Total_Lanes-1+SQRT((BJ18/Total_Lanes-1)^2+8*(BJ18/Total_Lanes)/(Peak_Time_Eve*$K51*Total_Lanes)))</f>
        <v>0.467501876824761</v>
      </c>
      <c r="BL18" s="462" t="n">
        <f aca="false">Peak_Arrival_Manual/N51</f>
        <v>5.72199587291195</v>
      </c>
      <c r="BM18" s="463" t="n">
        <f aca="false">IF(BM$6&lt;Total_Lanes,900*Peak_Time_Eve*(($BL18/(Total_Lanes-BM$6))-1+SQRT((($BL18/(Total_Lanes-BM$6))-1)^2+8*($BL18/(Total_Lanes-BM$6))/(Peak_Time_Eve*$N51*(Total_Lanes-BM$6)))),"-")</f>
        <v>0.670785860769252</v>
      </c>
      <c r="BN18" s="463" t="n">
        <f aca="false">IF(BN$6&lt;Total_Lanes,900*Peak_Time_Eve*(($BL18/(Total_Lanes-BN$6))-1+SQRT((($BL18/(Total_Lanes-BN$6))-1)^2+8*($BL18/(Total_Lanes-BN$6))/(Peak_Time_Eve*$N51*(Total_Lanes-BN$6)))),"-")</f>
        <v>0.910158743169875</v>
      </c>
      <c r="BO18" s="463" t="n">
        <f aca="false">IF(BO$6&lt;Total_Lanes,900*Peak_Time_Eve*(($BL18/(Total_Lanes-BO$6))-1+SQRT((($BL18/(Total_Lanes-BO$6))-1)^2+8*($BL18/(Total_Lanes-BO$6))/(Peak_Time_Eve*$N51*(Total_Lanes-BO$6)))),"-")</f>
        <v>1.31924720700282</v>
      </c>
      <c r="BP18" s="463" t="n">
        <f aca="false">IF(BP$6&lt;Total_Lanes,900*Peak_Time_Eve*(($BL18/(Total_Lanes-BP$6))-1+SQRT((($BL18/(Total_Lanes-BP$6))-1)^2+8*($BL18/(Total_Lanes-BP$6))/(Peak_Time_Eve*$N51*(Total_Lanes-BP$6)))),"-")</f>
        <v>2.13337670275248</v>
      </c>
      <c r="BQ18" s="463" t="n">
        <f aca="false">IF(BQ$6&lt;Total_Lanes,900*Peak_Time_Eve*(($BL18/(Total_Lanes-BQ$6))-1+SQRT((($BL18/(Total_Lanes-BQ$6))-1)^2+8*($BL18/(Total_Lanes-BQ$6))/(Peak_Time_Eve*$N51*(Total_Lanes-BQ$6)))),"-")</f>
        <v>4.32648504311419</v>
      </c>
      <c r="BR18" s="463" t="n">
        <f aca="false">IF(BR$6&lt;Total_Lanes,900*Peak_Time_Eve*(($BL18/(Total_Lanes-BR$6))-1+SQRT((($BL18/(Total_Lanes-BR$6))-1)^2+8*($BL18/(Total_Lanes-BR$6))/(Peak_Time_Eve*$N51*(Total_Lanes-BR$6)))),"-")</f>
        <v>20.7704013009639</v>
      </c>
      <c r="BS18" s="463" t="n">
        <f aca="false">IF(BS$6&lt;Total_Lanes,900*Peak_Time_Eve*(($BL18/(Total_Lanes-BS$6))-1+SQRT((($BL18/(Total_Lanes-BS$6))-1)^2+8*($BL18/(Total_Lanes-BS$6))/(Peak_Time_Eve*$N51*(Total_Lanes-BS$6)))),"-")</f>
        <v>530.414026452475</v>
      </c>
      <c r="BT18" s="463" t="n">
        <f aca="false">IF(BT$6&lt;Total_Lanes,900*Peak_Time_Eve*(($BL18/(Total_Lanes-BT$6))-1+SQRT((($BL18/(Total_Lanes-BT$6))-1)^2+8*($BL18/(Total_Lanes-BT$6))/(Peak_Time_Eve*$N51*(Total_Lanes-BT$6)))),"-")</f>
        <v>1555.4319669307</v>
      </c>
      <c r="BU18" s="463" t="n">
        <f aca="false">IF(BU$6&lt;Total_Lanes,900*Peak_Time_Eve*(($BL18/(Total_Lanes-BU$6))-1+SQRT((($BL18/(Total_Lanes-BU$6))-1)^2+8*($BL18/(Total_Lanes-BU$6))/(Peak_Time_Eve*$N51*(Total_Lanes-BU$6)))),"-")</f>
        <v>3271.15906399583</v>
      </c>
      <c r="BV18" s="463" t="n">
        <f aca="false">IF(BV$6&lt;Total_Lanes,900*Peak_Time_Eve*(($BL18/(Total_Lanes-BV$6))-1+SQRT((($BL18/(Total_Lanes-BV$6))-1)^2+8*($BL18/(Total_Lanes-BV$6))/(Peak_Time_Eve*$N51*(Total_Lanes-BV$6)))),"-")</f>
        <v>6704.82219172316</v>
      </c>
      <c r="BW18" s="463" t="n">
        <f aca="false">IF(BW$6&lt;Total_Lanes,900*Peak_Time_Eve*(($BL18/(Total_Lanes-BW$6))-1+SQRT((($BL18/(Total_Lanes-BW$6))-1)^2+8*($BL18/(Total_Lanes-BW$6))/(Peak_Time_Eve*$N51*(Total_Lanes-BW$6)))),"-")</f>
        <v>17007.4318139013</v>
      </c>
      <c r="BX18" s="453" t="str">
        <f aca="false">IF(BX$6&lt;Total_Lanes,900*Peak_Time_Eve*(($BL18/(Total_Lanes-BX$6))-1+SQRT((($BL18/(Total_Lanes-BX$6))-1)^2+8*($BL18/(Total_Lanes-BX$6))/(Peak_Time_Eve*$N51*(Total_Lanes-BX$6)))),"-")</f>
        <v>-</v>
      </c>
      <c r="BY18" s="453" t="str">
        <f aca="false">IF(BY$6&lt;Total_Lanes,900*Peak_Time_Eve*(($BL18/(Total_Lanes-BY$6))-1+SQRT((($BL18/(Total_Lanes-BY$6))-1)^2+8*($BL18/(Total_Lanes-BY$6))/(Peak_Time_Eve*$N51*(Total_Lanes-BY$6)))),"-")</f>
        <v>-</v>
      </c>
      <c r="BZ18" s="453" t="str">
        <f aca="false">IF(BZ$6&lt;Total_Lanes,900*Peak_Time_Eve*(($BL18/(Total_Lanes-BZ$6))-1+SQRT((($BL18/(Total_Lanes-BZ$6))-1)^2+8*($BL18/(Total_Lanes-BZ$6))/(Peak_Time_Eve*$N51*(Total_Lanes-BZ$6)))),"-")</f>
        <v>-</v>
      </c>
      <c r="CA18" s="453" t="str">
        <f aca="false">IF(CA$6&lt;Total_Lanes,900*Peak_Time_Eve*(($BL18/(Total_Lanes-CA$6))-1+SQRT((($BL18/(Total_Lanes-CA$6))-1)^2+8*($BL18/(Total_Lanes-CA$6))/(Peak_Time_Eve*$N51*(Total_Lanes-CA$6)))),"-")</f>
        <v>-</v>
      </c>
      <c r="CB18" s="453" t="str">
        <f aca="false">IF(CB$6&lt;Total_Lanes,900*Peak_Time_Eve*(($BL18/(Total_Lanes-CB$6))-1+SQRT((($BL18/(Total_Lanes-CB$6))-1)^2+8*($BL18/(Total_Lanes-CB$6))/(Peak_Time_Eve*$N51*(Total_Lanes-CB$6)))),"-")</f>
        <v>-</v>
      </c>
      <c r="CC18" s="453" t="str">
        <f aca="false">IF(CC$6&lt;Total_Lanes,900*Peak_Time_Eve*(($BL18/(Total_Lanes-CC$6))-1+SQRT((($BL18/(Total_Lanes-CC$6))-1)^2+8*($BL18/(Total_Lanes-CC$6))/(Peak_Time_Eve*$N51*(Total_Lanes-CC$6)))),"-")</f>
        <v>-</v>
      </c>
      <c r="CD18" s="453" t="str">
        <f aca="false">IF(CD$6&lt;Total_Lanes,900*Peak_Time_Eve*(($BL18/(Total_Lanes-CD$6))-1+SQRT((($BL18/(Total_Lanes-CD$6))-1)^2+8*($BL18/(Total_Lanes-CD$6))/(Peak_Time_Eve*$N51*(Total_Lanes-CD$6)))),"-")</f>
        <v>-</v>
      </c>
      <c r="CE18" s="453" t="str">
        <f aca="false">IF(CE$6&lt;Total_Lanes,900*Peak_Time_Eve*(($BL18/(Total_Lanes-CE$6))-1+SQRT((($BL18/(Total_Lanes-CE$6))-1)^2+8*($BL18/(Total_Lanes-CE$6))/(Peak_Time_Eve*$N51*(Total_Lanes-CE$6)))),"-")</f>
        <v>-</v>
      </c>
      <c r="CF18" s="453" t="str">
        <f aca="false">IF(CF$6&lt;Total_Lanes,900*Peak_Time_Eve*(($BL18/(Total_Lanes-CF$6))-1+SQRT((($BL18/(Total_Lanes-CF$6))-1)^2+8*($BL18/(Total_Lanes-CF$6))/(Peak_Time_Eve*$N51*(Total_Lanes-CF$6)))),"-")</f>
        <v>-</v>
      </c>
      <c r="CG18" s="464" t="str">
        <f aca="false">IF(CG$6&lt;Total_Lanes,900*Peak_Time_Eve*(($BL18/(Total_Lanes-CG$6))-1+SQRT((($BL18/(Total_Lanes-CG$6))-1)^2+8*($BL18/(Total_Lanes-CG$6))/(Peak_Time_Eve*$N51*(Total_Lanes-CG$6)))),"-")</f>
        <v>-</v>
      </c>
      <c r="CH18" s="478" t="n">
        <f aca="false">3600/N51</f>
        <v>6.80875</v>
      </c>
      <c r="CJ18" s="440" t="n">
        <v>11</v>
      </c>
      <c r="CK18" s="442" t="n">
        <f aca="false">$X18</f>
        <v>0.6</v>
      </c>
      <c r="CL18" s="451" t="n">
        <f aca="false">$AC18</f>
        <v>7563.49739030035</v>
      </c>
      <c r="CM18" s="452" t="n">
        <f aca="false">CL18*CK18</f>
        <v>4538.09843418021</v>
      </c>
      <c r="CN18" s="479" t="n">
        <f aca="false">CM18/O50</f>
        <v>3.02539895612014</v>
      </c>
      <c r="CO18" s="463" t="n">
        <f aca="false">IF(CO$6&lt;Total_Lanes,900*Peak_Time_Eve*(($CN18/CO$6-1)+SQRT(($CN18/CO$6-1)^2+8*($CN18/CO$6)/(Peak_Time_Eve*$O51*CO$6))),"-")</f>
        <v>7295.01943289598</v>
      </c>
      <c r="CP18" s="463" t="n">
        <f aca="false">IF(CP$6&lt;Total_Lanes,900*Peak_Time_Eve*(($CN18/CP$6-1)+SQRT(($CN18/CP$6-1)^2+8*($CN18/CP$6)/(Peak_Time_Eve*$O51*CP$6))),"-")</f>
        <v>1849.25190768861</v>
      </c>
      <c r="CQ18" s="463" t="n">
        <f aca="false">IF(CQ$6&lt;Total_Lanes,900*Peak_Time_Eve*(($CN18/CQ$6-1)+SQRT(($CN18/CQ$6-1)^2+8*($CN18/CQ$6)/(Peak_Time_Eve*$O51*CQ$6))),"-")</f>
        <v>71.2449225738909</v>
      </c>
      <c r="CR18" s="482" t="n">
        <f aca="false">IF(CR$6&lt;Total_Lanes,900*Peak_Time_Eve*(($CN18/CR$6-1)+SQRT(($CN18/CR$6-1)^2+8*($CN18/CR$6)/(Peak_Time_Eve*$O51*CR$6))),"-")</f>
        <v>1.85860782442133</v>
      </c>
      <c r="CS18" s="482" t="n">
        <f aca="false">IF(CS$6&lt;Total_Lanes,900*Peak_Time_Eve*(($CN18/CS$6-1)+SQRT(($CN18/CS$6-1)^2+8*($CN18/CS$6)/(Peak_Time_Eve*$O51*CS$6))),"-")</f>
        <v>0.735055356074843</v>
      </c>
      <c r="CT18" s="482" t="n">
        <f aca="false">IF(CT$6&lt;Total_Lanes,900*Peak_Time_Eve*(($CN18/CT$6-1)+SQRT(($CN18/CT$6-1)^2+8*($CN18/CT$6)/(Peak_Time_Eve*$O51*CT$6))),"-")</f>
        <v>0.406738193795753</v>
      </c>
      <c r="CU18" s="482" t="n">
        <f aca="false">IF(CU$6&lt;Total_Lanes,900*Peak_Time_Eve*(($CN18/CU$6-1)+SQRT(($CN18/CU$6-1)^2+8*($CN18/CU$6)/(Peak_Time_Eve*$O51*CU$6))),"-")</f>
        <v>0.260943735044417</v>
      </c>
      <c r="CV18" s="482" t="n">
        <f aca="false">IF(CV$6&lt;Total_Lanes,900*Peak_Time_Eve*(($CN18/CV$6-1)+SQRT(($CN18/CV$6-1)^2+8*($CN18/CV$6)/(Peak_Time_Eve*$O51*CV$6))),"-")</f>
        <v>0.182435881177345</v>
      </c>
      <c r="CW18" s="482" t="n">
        <f aca="false">IF(CW$6&lt;Total_Lanes,900*Peak_Time_Eve*(($CN18/CW$6-1)+SQRT(($CN18/CW$6-1)^2+8*($CN18/CW$6)/(Peak_Time_Eve*$O51*CW$6))),"-")</f>
        <v>0.135026166412922</v>
      </c>
      <c r="CX18" s="482" t="n">
        <f aca="false">IF(CX$6&lt;Total_Lanes,900*Peak_Time_Eve*(($CN18/CX$6-1)+SQRT(($CN18/CX$6-1)^2+8*($CN18/CX$6)/(Peak_Time_Eve*$O51*CX$6))),"-")</f>
        <v>0.104101387570221</v>
      </c>
      <c r="CY18" s="482" t="n">
        <f aca="false">IF(CY$6&lt;Total_Lanes,900*Peak_Time_Eve*(($CN18/CY$6-1)+SQRT(($CN18/CY$6-1)^2+8*($CN18/CY$6)/(Peak_Time_Eve*$O51*CY$6))),"-")</f>
        <v>0.0827710511892343</v>
      </c>
      <c r="CZ18" s="483" t="str">
        <f aca="false">IF(CZ$6&lt;Total_Lanes,900*Peak_Time_Eve*(($CN18/CZ$6-1)+SQRT(($CN18/CZ$6-1)^2+8*($CN18/CZ$6)/(Peak_Time_Eve*$O51*CZ$6))),"-")</f>
        <v>-</v>
      </c>
      <c r="DA18" s="483" t="str">
        <f aca="false">IF(DA$6&lt;Total_Lanes,900*Peak_Time_Eve*(($CN18/DA$6-1)+SQRT(($CN18/DA$6-1)^2+8*($CN18/DA$6)/(Peak_Time_Eve*$O51*DA$6))),"-")</f>
        <v>-</v>
      </c>
      <c r="DB18" s="483" t="str">
        <f aca="false">IF(DB$6&lt;Total_Lanes,900*Peak_Time_Eve*(($CN18/DB$6-1)+SQRT(($CN18/DB$6-1)^2+8*($CN18/DB$6)/(Peak_Time_Eve*$O51*DB$6))),"-")</f>
        <v>-</v>
      </c>
      <c r="DC18" s="483" t="str">
        <f aca="false">IF(DC$6&lt;Total_Lanes,900*Peak_Time_Eve*(($CN18/DC$6-1)+SQRT(($CN18/DC$6-1)^2+8*($CN18/DC$6)/(Peak_Time_Eve*$O51*DC$6))),"-")</f>
        <v>-</v>
      </c>
      <c r="DD18" s="483" t="str">
        <f aca="false">IF(DD$6&lt;Total_Lanes,900*Peak_Time_Eve*(($CN18/DD$6-1)+SQRT(($CN18/DD$6-1)^2+8*($CN18/DD$6)/(Peak_Time_Eve*$O51*DD$6))),"-")</f>
        <v>-</v>
      </c>
      <c r="DE18" s="483" t="str">
        <f aca="false">IF(DE$6&lt;Total_Lanes,900*Peak_Time_Eve*(($CN18/DE$6-1)+SQRT(($CN18/DE$6-1)^2+8*($CN18/DE$6)/(Peak_Time_Eve*$O51*DE$6))),"-")</f>
        <v>-</v>
      </c>
      <c r="DF18" s="483" t="str">
        <f aca="false">IF(DF$6&lt;Total_Lanes,900*Peak_Time_Eve*(($CN18/DF$6-1)+SQRT(($CN18/DF$6-1)^2+8*($CN18/DF$6)/(Peak_Time_Eve*$O51*DF$6))),"-")</f>
        <v>-</v>
      </c>
      <c r="DG18" s="483" t="str">
        <f aca="false">IF(DG$6&lt;Total_Lanes,900*Peak_Time_Eve*(($CN18/DG$6-1)+SQRT(($CN18/DG$6-1)^2+8*($CN18/DG$6)/(Peak_Time_Eve*$O51*DG$6))),"-")</f>
        <v>-</v>
      </c>
      <c r="DH18" s="483" t="str">
        <f aca="false">IF(DH$6&lt;Total_Lanes,900*Peak_Time_Eve*(($CN18/DH$6-1)+SQRT(($CN18/DH$6-1)^2+8*($CN18/DH$6)/(Peak_Time_Eve*$O51*DH$6))),"-")</f>
        <v>-</v>
      </c>
      <c r="DI18" s="484" t="str">
        <f aca="false">IF(DI$6&lt;Total_Lanes,900*Peak_Time_Eve*(($CN18/DI$6-1)+SQRT(($CN18/DI$6-1)^2+8*($CN18/DI$6)/(Peak_Time_Eve*$O51*DI$6))),"-")</f>
        <v>-</v>
      </c>
      <c r="DJ18" s="485" t="n">
        <f aca="false">3600/O51</f>
        <v>2.4</v>
      </c>
    </row>
    <row r="19" customFormat="false" ht="13.2" hidden="false" customHeight="false" outlineLevel="0" collapsed="false">
      <c r="H19" s="440" t="n">
        <v>12</v>
      </c>
      <c r="I19" s="441" t="n">
        <f aca="false">'Input-Detail'!E26</f>
        <v>25606469.2</v>
      </c>
      <c r="J19" s="442" t="n">
        <f aca="false">'Input-Detail'!F26</f>
        <v>0.65</v>
      </c>
      <c r="K19" s="451" t="n">
        <f aca="false">AC19</f>
        <v>7729.26988032766</v>
      </c>
      <c r="L19" s="452" t="n">
        <f aca="false">AD66</f>
        <v>12.7853092453352</v>
      </c>
      <c r="M19" s="467" t="n">
        <f aca="false">AD19</f>
        <v>29.879752763863</v>
      </c>
      <c r="N19" s="467" t="n">
        <f aca="false">SUM(L19:M19)</f>
        <v>42.6650620091982</v>
      </c>
      <c r="O19" s="471" t="n">
        <f aca="false">$S$34*N19</f>
        <v>11092.9161223915</v>
      </c>
      <c r="P19" s="452" t="n">
        <f aca="false">BC66</f>
        <v>4.91836432504073</v>
      </c>
      <c r="Q19" s="467" t="n">
        <f aca="false">BC19</f>
        <v>17.0000048977398</v>
      </c>
      <c r="R19" s="467" t="n">
        <f aca="false">SUM(P19:Q19)</f>
        <v>21.9183692227805</v>
      </c>
      <c r="S19" s="472" t="n">
        <f aca="false">$S$34*R19</f>
        <v>5698.77599792294</v>
      </c>
      <c r="T19" s="405"/>
      <c r="U19" s="405"/>
      <c r="V19" s="440" t="n">
        <v>12</v>
      </c>
      <c r="W19" s="448" t="n">
        <f aca="false">W$7+(W$27-W$7)*$V19/20</f>
        <v>25606469.2</v>
      </c>
      <c r="X19" s="442" t="n">
        <f aca="false">J19</f>
        <v>0.65</v>
      </c>
      <c r="Y19" s="448" t="n">
        <f aca="false">'Input-Detail'!E26/Z19</f>
        <v>11041.8141147538</v>
      </c>
      <c r="Z19" s="473" t="n">
        <f aca="false">Z18</f>
        <v>2319.04548780488</v>
      </c>
      <c r="AA19" s="473" t="n">
        <f aca="false">AA18</f>
        <v>2</v>
      </c>
      <c r="AB19" s="474" t="n">
        <f aca="false">AB18</f>
        <v>0.7</v>
      </c>
      <c r="AC19" s="451" t="n">
        <f aca="false">Y19*AB19</f>
        <v>7729.26988032766</v>
      </c>
      <c r="AD19" s="452" t="n">
        <f aca="false">Peak_Time_Eve*$BH19*(3600/K52+BK19)/3600</f>
        <v>29.879752763863</v>
      </c>
      <c r="AE19" s="453" t="n">
        <f aca="false">IF(AE$6&lt;Total_Lanes,($BI19*($CH19+BM19)+$CM19*CO19)*Peak_Time_Eve/3600,"-")</f>
        <v>23627.0181507958</v>
      </c>
      <c r="AF19" s="453" t="n">
        <f aca="false">IF(AF$6&lt;Total_Lanes,($BI19*($CH19+BN19)+$CM19*CP19)*Peak_Time_Eve/3600,"-")</f>
        <v>6798.82049531324</v>
      </c>
      <c r="AG19" s="453" t="n">
        <f aca="false">IF(AG$6&lt;Total_Lanes,($BI19*($CH19+BO19)+$CM19*CQ19)*Peak_Time_Eve/3600,"-")</f>
        <v>1202.90362533254</v>
      </c>
      <c r="AH19" s="453" t="n">
        <f aca="false">IF(AH$6&lt;Total_Lanes,($BI19*($CH19+BP19)+$CM19*CR19)*Peak_Time_Eve/3600,"-")</f>
        <v>21.1344811859916</v>
      </c>
      <c r="AI19" s="453" t="n">
        <f aca="false">IF(AI$6&lt;Total_Lanes,($BI19*($CH19+BQ19)+$CM19*CS19)*Peak_Time_Eve/3600,"-")</f>
        <v>17.0000048977398</v>
      </c>
      <c r="AJ19" s="453" t="n">
        <f aca="false">IF(AJ$6&lt;Total_Lanes,($BI19*($CH19+BR19)+$CM19*CT19)*Peak_Time_Eve/3600,"-")</f>
        <v>21.6687690793061</v>
      </c>
      <c r="AK19" s="453" t="n">
        <f aca="false">IF(AK$6&lt;Total_Lanes,($BI19*($CH19+BS19)+$CM19*CU19)*Peak_Time_Eve/3600,"-")</f>
        <v>211.401997783239</v>
      </c>
      <c r="AL19" s="453" t="n">
        <f aca="false">IF(AL$6&lt;Total_Lanes,($BI19*($CH19+BT19)+$CM19*CV19)*Peak_Time_Eve/3600,"-")</f>
        <v>1554.18835302476</v>
      </c>
      <c r="AM19" s="453" t="n">
        <f aca="false">IF(AM$6&lt;Total_Lanes,($BI19*($CH19+BU19)+$CM19*CW19)*Peak_Time_Eve/3600,"-")</f>
        <v>3864.78930287563</v>
      </c>
      <c r="AN19" s="453" t="n">
        <f aca="false">IF(AN$6&lt;Total_Lanes,($BI19*($CH19+BV19)+$CM19*CX19)*Peak_Time_Eve/3600,"-")</f>
        <v>8493.04605364751</v>
      </c>
      <c r="AO19" s="453" t="n">
        <f aca="false">IF(AO$6&lt;Total_Lanes,($BI19*($CH19+BW19)+$CM19*CY19)*Peak_Time_Eve/3600,"-")</f>
        <v>22381.8474969363</v>
      </c>
      <c r="AP19" s="453" t="str">
        <f aca="false">IF(AP$6&lt;Total_Lanes,($BI19*($CH19+BX19)+$CM19*CZ19)*Peak_Time_Eve/3600,"-")</f>
        <v>-</v>
      </c>
      <c r="AQ19" s="453" t="str">
        <f aca="false">IF(AQ$6&lt;Total_Lanes,($BI19*($CH19+BY19)+$CM19*DA19)*Peak_Time_Eve/3600,"-")</f>
        <v>-</v>
      </c>
      <c r="AR19" s="453" t="str">
        <f aca="false">IF(AR$6&lt;Total_Lanes,($BI19*($CH19+BZ19)+$CM19*DB19)*Peak_Time_Eve/3600,"-")</f>
        <v>-</v>
      </c>
      <c r="AS19" s="453" t="str">
        <f aca="false">IF(AS$6&lt;Total_Lanes,($BI19*($CH19+CA19)+$CM19*DC19)*Peak_Time_Eve/3600,"-")</f>
        <v>-</v>
      </c>
      <c r="AT19" s="453" t="str">
        <f aca="false">IF(AT$6&lt;Total_Lanes,($BI19*($CH19+CB19)+$CM19*DD19)*Peak_Time_Eve/3600,"-")</f>
        <v>-</v>
      </c>
      <c r="AU19" s="453" t="str">
        <f aca="false">IF(AU$6&lt;Total_Lanes,($BI19*($CH19+CC19)+$CM19*DE19)*Peak_Time_Eve/3600,"-")</f>
        <v>-</v>
      </c>
      <c r="AV19" s="453" t="str">
        <f aca="false">IF(AV$6&lt;Total_Lanes,($BI19*($CH19+CD19)+$CM19*DF19)*Peak_Time_Eve/3600,"-")</f>
        <v>-</v>
      </c>
      <c r="AW19" s="453" t="str">
        <f aca="false">IF(AW$6&lt;Total_Lanes,($BI19*($CH19+CE19)+$CM19*DG19)*Peak_Time_Eve/3600,"-")</f>
        <v>-</v>
      </c>
      <c r="AX19" s="453" t="str">
        <f aca="false">IF(AX$6&lt;Total_Lanes,($BI19*($CH19+CF19)+$CM19*DH19)*Peak_Time_Eve/3600,"-")</f>
        <v>-</v>
      </c>
      <c r="AY19" s="454" t="str">
        <f aca="false">IF(AY$6&lt;Total_Lanes,($BI19*($CH19+CG19)+$CM19*DI19)*Peak_Time_Eve/3600,"-")</f>
        <v>-</v>
      </c>
      <c r="AZ19" s="475" t="n">
        <f aca="false">SUMIF(AE19:AY19,BA19,$AE$6:$AY$6)</f>
        <v>5</v>
      </c>
      <c r="BA19" s="476" t="n">
        <f aca="false">MIN(AE19:AY19)</f>
        <v>17.0000048977398</v>
      </c>
      <c r="BB19" s="475" t="n">
        <f aca="false">IF((SUMIF($BM17:$CG17,$AZ19,$BM19:$CG19)+$CH19)&lt;(SUMIF($CO17:$DI17,$AZ19,$CO19:$DI19)+$DJ19),AZ19+1,AZ19)</f>
        <v>5</v>
      </c>
      <c r="BC19" s="476" t="n">
        <f aca="false">SUMIF($AE$6:$AY$6,$BB19,$AE19:$AY19)</f>
        <v>17.0000048977398</v>
      </c>
      <c r="BF19" s="440" t="n">
        <v>12</v>
      </c>
      <c r="BG19" s="442" t="n">
        <f aca="false">$X19</f>
        <v>0.65</v>
      </c>
      <c r="BH19" s="458" t="n">
        <f aca="false">$AC19</f>
        <v>7729.26988032766</v>
      </c>
      <c r="BI19" s="477" t="n">
        <f aca="false">BH19*(1-BG19)</f>
        <v>2705.24445811468</v>
      </c>
      <c r="BJ19" s="460" t="n">
        <f aca="false">Peak_Arrival_Manual/K52</f>
        <v>4.94082842002889</v>
      </c>
      <c r="BK19" s="461" t="n">
        <f aca="false">900*Peak_Time_Eve*(BJ19/Total_Lanes-1+SQRT((BJ19/Total_Lanes-1)^2+8*(BJ19/Total_Lanes)/(Peak_Time_Eve*$K52*Total_Lanes)))</f>
        <v>0.383426320685465</v>
      </c>
      <c r="BL19" s="462" t="n">
        <f aca="false">Peak_Arrival_Manual/N52</f>
        <v>5.13244990247868</v>
      </c>
      <c r="BM19" s="463" t="n">
        <f aca="false">IF(BM$6&lt;Total_Lanes,900*Peak_Time_Eve*(($BL19/(Total_Lanes-BM$6))-1+SQRT((($BL19/(Total_Lanes-BM$6))-1)^2+8*($BL19/(Total_Lanes-BM$6))/(Peak_Time_Eve*$N52*(Total_Lanes-BM$6)))),"-")</f>
        <v>0.542966644223819</v>
      </c>
      <c r="BN19" s="463" t="n">
        <f aca="false">IF(BN$6&lt;Total_Lanes,900*Peak_Time_Eve*(($BL19/(Total_Lanes-BN$6))-1+SQRT((($BL19/(Total_Lanes-BN$6))-1)^2+8*($BL19/(Total_Lanes-BN$6))/(Peak_Time_Eve*$N52*(Total_Lanes-BN$6)))),"-")</f>
        <v>0.719874211112614</v>
      </c>
      <c r="BO19" s="463" t="n">
        <f aca="false">IF(BO$6&lt;Total_Lanes,900*Peak_Time_Eve*(($BL19/(Total_Lanes-BO$6))-1+SQRT((($BL19/(Total_Lanes-BO$6))-1)^2+8*($BL19/(Total_Lanes-BO$6))/(Peak_Time_Eve*$N52*(Total_Lanes-BO$6)))),"-")</f>
        <v>1.00643219640506</v>
      </c>
      <c r="BP19" s="463" t="n">
        <f aca="false">IF(BP$6&lt;Total_Lanes,900*Peak_Time_Eve*(($BL19/(Total_Lanes-BP$6))-1+SQRT((($BL19/(Total_Lanes-BP$6))-1)^2+8*($BL19/(Total_Lanes-BP$6))/(Peak_Time_Eve*$N52*(Total_Lanes-BP$6)))),"-")</f>
        <v>1.52626886929613</v>
      </c>
      <c r="BQ19" s="463" t="n">
        <f aca="false">IF(BQ$6&lt;Total_Lanes,900*Peak_Time_Eve*(($BL19/(Total_Lanes-BQ$6))-1+SQRT((($BL19/(Total_Lanes-BQ$6))-1)^2+8*($BL19/(Total_Lanes-BQ$6))/(Peak_Time_Eve*$N52*(Total_Lanes-BQ$6)))),"-")</f>
        <v>2.67403856086753</v>
      </c>
      <c r="BR19" s="463" t="n">
        <f aca="false">IF(BR$6&lt;Total_Lanes,900*Peak_Time_Eve*(($BL19/(Total_Lanes-BR$6))-1+SQRT((($BL19/(Total_Lanes-BR$6))-1)^2+8*($BL19/(Total_Lanes-BR$6))/(Peak_Time_Eve*$N52*(Total_Lanes-BR$6)))),"-")</f>
        <v>6.64946779692184</v>
      </c>
      <c r="BS19" s="463" t="n">
        <f aca="false">IF(BS$6&lt;Total_Lanes,900*Peak_Time_Eve*(($BL19/(Total_Lanes-BS$6))-1+SQRT((($BL19/(Total_Lanes-BS$6))-1)^2+8*($BL19/(Total_Lanes-BS$6))/(Peak_Time_Eve*$N52*(Total_Lanes-BS$6)))),"-")</f>
        <v>133.247360374838</v>
      </c>
      <c r="BT19" s="463" t="n">
        <f aca="false">IF(BT$6&lt;Total_Lanes,900*Peak_Time_Eve*(($BL19/(Total_Lanes-BT$6))-1+SQRT((($BL19/(Total_Lanes-BT$6))-1)^2+8*($BL19/(Total_Lanes-BT$6))/(Peak_Time_Eve*$N52*(Total_Lanes-BT$6)))),"-")</f>
        <v>1026.88570122053</v>
      </c>
      <c r="BU19" s="463" t="n">
        <f aca="false">IF(BU$6&lt;Total_Lanes,900*Peak_Time_Eve*(($BL19/(Total_Lanes-BU$6))-1+SQRT((($BL19/(Total_Lanes-BU$6))-1)^2+8*($BL19/(Total_Lanes-BU$6))/(Peak_Time_Eve*$N52*(Total_Lanes-BU$6)))),"-")</f>
        <v>2564.40775488631</v>
      </c>
      <c r="BV19" s="463" t="n">
        <f aca="false">IF(BV$6&lt;Total_Lanes,900*Peak_Time_Eve*(($BL19/(Total_Lanes-BV$6))-1+SQRT((($BL19/(Total_Lanes-BV$6))-1)^2+8*($BL19/(Total_Lanes-BV$6))/(Peak_Time_Eve*$N52*(Total_Lanes-BV$6)))),"-")</f>
        <v>5643.99968472259</v>
      </c>
      <c r="BW19" s="463" t="n">
        <f aca="false">IF(BW$6&lt;Total_Lanes,900*Peak_Time_Eve*(($BL19/(Total_Lanes-BW$6))-1+SQRT((($BL19/(Total_Lanes-BW$6))-1)^2+8*($BL19/(Total_Lanes-BW$6))/(Peak_Time_Eve*$N52*(Total_Lanes-BW$6)))),"-")</f>
        <v>14885.2975901561</v>
      </c>
      <c r="BX19" s="453" t="str">
        <f aca="false">IF(BX$6&lt;Total_Lanes,900*Peak_Time_Eve*(($BL19/(Total_Lanes-BX$6))-1+SQRT((($BL19/(Total_Lanes-BX$6))-1)^2+8*($BL19/(Total_Lanes-BX$6))/(Peak_Time_Eve*$N52*(Total_Lanes-BX$6)))),"-")</f>
        <v>-</v>
      </c>
      <c r="BY19" s="453" t="str">
        <f aca="false">IF(BY$6&lt;Total_Lanes,900*Peak_Time_Eve*(($BL19/(Total_Lanes-BY$6))-1+SQRT((($BL19/(Total_Lanes-BY$6))-1)^2+8*($BL19/(Total_Lanes-BY$6))/(Peak_Time_Eve*$N52*(Total_Lanes-BY$6)))),"-")</f>
        <v>-</v>
      </c>
      <c r="BZ19" s="453" t="str">
        <f aca="false">IF(BZ$6&lt;Total_Lanes,900*Peak_Time_Eve*(($BL19/(Total_Lanes-BZ$6))-1+SQRT((($BL19/(Total_Lanes-BZ$6))-1)^2+8*($BL19/(Total_Lanes-BZ$6))/(Peak_Time_Eve*$N52*(Total_Lanes-BZ$6)))),"-")</f>
        <v>-</v>
      </c>
      <c r="CA19" s="453" t="str">
        <f aca="false">IF(CA$6&lt;Total_Lanes,900*Peak_Time_Eve*(($BL19/(Total_Lanes-CA$6))-1+SQRT((($BL19/(Total_Lanes-CA$6))-1)^2+8*($BL19/(Total_Lanes-CA$6))/(Peak_Time_Eve*$N52*(Total_Lanes-CA$6)))),"-")</f>
        <v>-</v>
      </c>
      <c r="CB19" s="453" t="str">
        <f aca="false">IF(CB$6&lt;Total_Lanes,900*Peak_Time_Eve*(($BL19/(Total_Lanes-CB$6))-1+SQRT((($BL19/(Total_Lanes-CB$6))-1)^2+8*($BL19/(Total_Lanes-CB$6))/(Peak_Time_Eve*$N52*(Total_Lanes-CB$6)))),"-")</f>
        <v>-</v>
      </c>
      <c r="CC19" s="453" t="str">
        <f aca="false">IF(CC$6&lt;Total_Lanes,900*Peak_Time_Eve*(($BL19/(Total_Lanes-CC$6))-1+SQRT((($BL19/(Total_Lanes-CC$6))-1)^2+8*($BL19/(Total_Lanes-CC$6))/(Peak_Time_Eve*$N52*(Total_Lanes-CC$6)))),"-")</f>
        <v>-</v>
      </c>
      <c r="CD19" s="453" t="str">
        <f aca="false">IF(CD$6&lt;Total_Lanes,900*Peak_Time_Eve*(($BL19/(Total_Lanes-CD$6))-1+SQRT((($BL19/(Total_Lanes-CD$6))-1)^2+8*($BL19/(Total_Lanes-CD$6))/(Peak_Time_Eve*$N52*(Total_Lanes-CD$6)))),"-")</f>
        <v>-</v>
      </c>
      <c r="CE19" s="453" t="str">
        <f aca="false">IF(CE$6&lt;Total_Lanes,900*Peak_Time_Eve*(($BL19/(Total_Lanes-CE$6))-1+SQRT((($BL19/(Total_Lanes-CE$6))-1)^2+8*($BL19/(Total_Lanes-CE$6))/(Peak_Time_Eve*$N52*(Total_Lanes-CE$6)))),"-")</f>
        <v>-</v>
      </c>
      <c r="CF19" s="453" t="str">
        <f aca="false">IF(CF$6&lt;Total_Lanes,900*Peak_Time_Eve*(($BL19/(Total_Lanes-CF$6))-1+SQRT((($BL19/(Total_Lanes-CF$6))-1)^2+8*($BL19/(Total_Lanes-CF$6))/(Peak_Time_Eve*$N52*(Total_Lanes-CF$6)))),"-")</f>
        <v>-</v>
      </c>
      <c r="CG19" s="464" t="str">
        <f aca="false">IF(CG$6&lt;Total_Lanes,900*Peak_Time_Eve*(($BL19/(Total_Lanes-CG$6))-1+SQRT((($BL19/(Total_Lanes-CG$6))-1)^2+8*($BL19/(Total_Lanes-CG$6))/(Peak_Time_Eve*$N52*(Total_Lanes-CG$6)))),"-")</f>
        <v>-</v>
      </c>
      <c r="CH19" s="478" t="n">
        <f aca="false">3600/N52</f>
        <v>6.83</v>
      </c>
      <c r="CJ19" s="440" t="n">
        <v>12</v>
      </c>
      <c r="CK19" s="442" t="n">
        <f aca="false">$X19</f>
        <v>0.65</v>
      </c>
      <c r="CL19" s="451" t="n">
        <f aca="false">$AC19</f>
        <v>7729.26988032766</v>
      </c>
      <c r="CM19" s="452" t="n">
        <f aca="false">CL19*CK19</f>
        <v>5024.02542221298</v>
      </c>
      <c r="CN19" s="479" t="n">
        <f aca="false">CM19/O51</f>
        <v>3.34935028147532</v>
      </c>
      <c r="CO19" s="463" t="n">
        <f aca="false">IF(CO$6&lt;Total_Lanes,900*Peak_Time_Eve*(($CN19/CO$6-1)+SQRT(($CN19/CO$6-1)^2+8*($CN19/CO$6)/(Peak_Time_Eve*$O52*CO$6))),"-")</f>
        <v>8461.08118926557</v>
      </c>
      <c r="CP19" s="463" t="n">
        <f aca="false">IF(CP$6&lt;Total_Lanes,900*Peak_Time_Eve*(($CN19/CP$6-1)+SQRT(($CN19/CP$6-1)^2+8*($CN19/CP$6)/(Peak_Time_Eve*$O52*CP$6))),"-")</f>
        <v>2431.8054964804</v>
      </c>
      <c r="CQ19" s="463" t="n">
        <f aca="false">IF(CQ$6&lt;Total_Lanes,900*Peak_Time_Eve*(($CN19/CQ$6-1)+SQRT(($CN19/CQ$6-1)^2+8*($CN19/CQ$6)/(Peak_Time_Eve*$O52*CQ$6))),"-")</f>
        <v>426.754819222919</v>
      </c>
      <c r="CR19" s="482" t="n">
        <f aca="false">IF(CR$6&lt;Total_Lanes,900*Peak_Time_Eve*(($CN19/CR$6-1)+SQRT(($CN19/CR$6-1)^2+8*($CN19/CR$6)/(Peak_Time_Eve*$O52*CR$6))),"-")</f>
        <v>3.07249959710713</v>
      </c>
      <c r="CS19" s="482" t="n">
        <f aca="false">IF(CS$6&lt;Total_Lanes,900*Peak_Time_Eve*(($CN19/CS$6-1)+SQRT(($CN19/CS$6-1)^2+8*($CN19/CS$6)/(Peak_Time_Eve*$O52*CS$6))),"-")</f>
        <v>0.97317604083359</v>
      </c>
      <c r="CT19" s="482" t="n">
        <f aca="false">IF(CT$6&lt;Total_Lanes,900*Peak_Time_Eve*(($CN19/CT$6-1)+SQRT(($CN19/CT$6-1)^2+8*($CN19/CT$6)/(Peak_Time_Eve*$O52*CT$6))),"-")</f>
        <v>0.505277854600239</v>
      </c>
      <c r="CU19" s="482" t="n">
        <f aca="false">IF(CU$6&lt;Total_Lanes,900*Peak_Time_Eve*(($CN19/CU$6-1)+SQRT(($CN19/CU$6-1)^2+8*($CN19/CU$6)/(Peak_Time_Eve*$O52*CU$6))),"-")</f>
        <v>0.314507395102193</v>
      </c>
      <c r="CV19" s="482" t="n">
        <f aca="false">IF(CV$6&lt;Total_Lanes,900*Peak_Time_Eve*(($CN19/CV$6-1)+SQRT(($CN19/CV$6-1)^2+8*($CN19/CV$6)/(Peak_Time_Eve*$O52*CV$6))),"-")</f>
        <v>0.216034625699124</v>
      </c>
      <c r="CW19" s="482" t="n">
        <f aca="false">IF(CW$6&lt;Total_Lanes,900*Peak_Time_Eve*(($CN19/CW$6-1)+SQRT(($CN19/CW$6-1)^2+8*($CN19/CW$6)/(Peak_Time_Eve*$O52*CW$6))),"-")</f>
        <v>0.15805220077374</v>
      </c>
      <c r="CX19" s="482" t="n">
        <f aca="false">IF(CX$6&lt;Total_Lanes,900*Peak_Time_Eve*(($CN19/CX$6-1)+SQRT(($CN19/CX$6-1)^2+8*($CN19/CX$6)/(Peak_Time_Eve*$O52*CX$6))),"-")</f>
        <v>0.12086089714296</v>
      </c>
      <c r="CY19" s="482" t="n">
        <f aca="false">IF(CY$6&lt;Total_Lanes,900*Peak_Time_Eve*(($CN19/CY$6-1)+SQRT(($CN19/CY$6-1)^2+8*($CN19/CY$6)/(Peak_Time_Eve*$O52*CY$6))),"-")</f>
        <v>0.0955133858928203</v>
      </c>
      <c r="CZ19" s="483" t="str">
        <f aca="false">IF(CZ$6&lt;Total_Lanes,900*Peak_Time_Eve*(($CN19/CZ$6-1)+SQRT(($CN19/CZ$6-1)^2+8*($CN19/CZ$6)/(Peak_Time_Eve*$O52*CZ$6))),"-")</f>
        <v>-</v>
      </c>
      <c r="DA19" s="483" t="str">
        <f aca="false">IF(DA$6&lt;Total_Lanes,900*Peak_Time_Eve*(($CN19/DA$6-1)+SQRT(($CN19/DA$6-1)^2+8*($CN19/DA$6)/(Peak_Time_Eve*$O52*DA$6))),"-")</f>
        <v>-</v>
      </c>
      <c r="DB19" s="483" t="str">
        <f aca="false">IF(DB$6&lt;Total_Lanes,900*Peak_Time_Eve*(($CN19/DB$6-1)+SQRT(($CN19/DB$6-1)^2+8*($CN19/DB$6)/(Peak_Time_Eve*$O52*DB$6))),"-")</f>
        <v>-</v>
      </c>
      <c r="DC19" s="483" t="str">
        <f aca="false">IF(DC$6&lt;Total_Lanes,900*Peak_Time_Eve*(($CN19/DC$6-1)+SQRT(($CN19/DC$6-1)^2+8*($CN19/DC$6)/(Peak_Time_Eve*$O52*DC$6))),"-")</f>
        <v>-</v>
      </c>
      <c r="DD19" s="483" t="str">
        <f aca="false">IF(DD$6&lt;Total_Lanes,900*Peak_Time_Eve*(($CN19/DD$6-1)+SQRT(($CN19/DD$6-1)^2+8*($CN19/DD$6)/(Peak_Time_Eve*$O52*DD$6))),"-")</f>
        <v>-</v>
      </c>
      <c r="DE19" s="483" t="str">
        <f aca="false">IF(DE$6&lt;Total_Lanes,900*Peak_Time_Eve*(($CN19/DE$6-1)+SQRT(($CN19/DE$6-1)^2+8*($CN19/DE$6)/(Peak_Time_Eve*$O52*DE$6))),"-")</f>
        <v>-</v>
      </c>
      <c r="DF19" s="483" t="str">
        <f aca="false">IF(DF$6&lt;Total_Lanes,900*Peak_Time_Eve*(($CN19/DF$6-1)+SQRT(($CN19/DF$6-1)^2+8*($CN19/DF$6)/(Peak_Time_Eve*$O52*DF$6))),"-")</f>
        <v>-</v>
      </c>
      <c r="DG19" s="483" t="str">
        <f aca="false">IF(DG$6&lt;Total_Lanes,900*Peak_Time_Eve*(($CN19/DG$6-1)+SQRT(($CN19/DG$6-1)^2+8*($CN19/DG$6)/(Peak_Time_Eve*$O52*DG$6))),"-")</f>
        <v>-</v>
      </c>
      <c r="DH19" s="483" t="str">
        <f aca="false">IF(DH$6&lt;Total_Lanes,900*Peak_Time_Eve*(($CN19/DH$6-1)+SQRT(($CN19/DH$6-1)^2+8*($CN19/DH$6)/(Peak_Time_Eve*$O52*DH$6))),"-")</f>
        <v>-</v>
      </c>
      <c r="DI19" s="484" t="str">
        <f aca="false">IF(DI$6&lt;Total_Lanes,900*Peak_Time_Eve*(($CN19/DI$6-1)+SQRT(($CN19/DI$6-1)^2+8*($CN19/DI$6)/(Peak_Time_Eve*$O52*DI$6))),"-")</f>
        <v>-</v>
      </c>
      <c r="DJ19" s="485" t="n">
        <f aca="false">3600/O52</f>
        <v>2.4</v>
      </c>
    </row>
    <row r="20" customFormat="false" ht="13.2" hidden="false" customHeight="false" outlineLevel="0" collapsed="false">
      <c r="H20" s="440" t="n">
        <v>13</v>
      </c>
      <c r="I20" s="441" t="n">
        <f aca="false">'Input-Detail'!E27</f>
        <v>26155660.55</v>
      </c>
      <c r="J20" s="442" t="n">
        <f aca="false">'Input-Detail'!F27</f>
        <v>0.7</v>
      </c>
      <c r="K20" s="451" t="n">
        <f aca="false">AC20</f>
        <v>7895.04237035496</v>
      </c>
      <c r="L20" s="452" t="n">
        <f aca="false">AD67</f>
        <v>13.0669791612154</v>
      </c>
      <c r="M20" s="467" t="n">
        <f aca="false">AD20</f>
        <v>30.1933244288236</v>
      </c>
      <c r="N20" s="467" t="n">
        <f aca="false">SUM(L20:M20)</f>
        <v>43.260303590039</v>
      </c>
      <c r="O20" s="471" t="n">
        <f aca="false">$S$34*N20</f>
        <v>11247.6789334101</v>
      </c>
      <c r="P20" s="452" t="n">
        <f aca="false">BC67</f>
        <v>4.35732668741094</v>
      </c>
      <c r="Q20" s="467" t="n">
        <f aca="false">BC20</f>
        <v>15.4623289958582</v>
      </c>
      <c r="R20" s="467" t="n">
        <f aca="false">SUM(P20:Q20)</f>
        <v>19.8196556832691</v>
      </c>
      <c r="S20" s="472" t="n">
        <f aca="false">$S$34*R20</f>
        <v>5153.11047764997</v>
      </c>
      <c r="T20" s="405"/>
      <c r="U20" s="405"/>
      <c r="V20" s="440" t="n">
        <v>13</v>
      </c>
      <c r="W20" s="448" t="n">
        <f aca="false">W$7+(W$27-W$7)*$V20/20</f>
        <v>26155660.55</v>
      </c>
      <c r="X20" s="442" t="n">
        <f aca="false">J20</f>
        <v>0.7</v>
      </c>
      <c r="Y20" s="448" t="n">
        <f aca="false">'Input-Detail'!E27/Z20</f>
        <v>11278.6319576499</v>
      </c>
      <c r="Z20" s="473" t="n">
        <f aca="false">Z19</f>
        <v>2319.04548780488</v>
      </c>
      <c r="AA20" s="473" t="n">
        <f aca="false">AA19</f>
        <v>2</v>
      </c>
      <c r="AB20" s="474" t="n">
        <f aca="false">AB19</f>
        <v>0.7</v>
      </c>
      <c r="AC20" s="451" t="n">
        <f aca="false">Y20*AB20</f>
        <v>7895.04237035496</v>
      </c>
      <c r="AD20" s="452" t="n">
        <f aca="false">Peak_Time_Eve*$BH20*(3600/K53+BK20)/3600</f>
        <v>30.1933244288236</v>
      </c>
      <c r="AE20" s="453" t="n">
        <f aca="false">IF(AE$6&lt;Total_Lanes,($BI20*($CH20+BM20)+$CM20*CO20)*Peak_Time_Eve/3600,"-")</f>
        <v>29690.0084750533</v>
      </c>
      <c r="AF20" s="453" t="n">
        <f aca="false">IF(AF$6&lt;Total_Lanes,($BI20*($CH20+BN20)+$CM20*CP20)*Peak_Time_Eve/3600,"-")</f>
        <v>9326.43438998843</v>
      </c>
      <c r="AG20" s="453" t="n">
        <f aca="false">IF(AG$6&lt;Total_Lanes,($BI20*($CH20+BO20)+$CM20*CQ20)*Peak_Time_Eve/3600,"-")</f>
        <v>2544.57328390747</v>
      </c>
      <c r="AH20" s="453" t="n">
        <f aca="false">IF(AH$6&lt;Total_Lanes,($BI20*($CH20+BP20)+$CM20*CR20)*Peak_Time_Eve/3600,"-")</f>
        <v>31.4657104569408</v>
      </c>
      <c r="AI20" s="453" t="n">
        <f aca="false">IF(AI$6&lt;Total_Lanes,($BI20*($CH20+BQ20)+$CM20*CS20)*Peak_Time_Eve/3600,"-")</f>
        <v>15.4623289958582</v>
      </c>
      <c r="AJ20" s="453" t="n">
        <f aca="false">IF(AJ$6&lt;Total_Lanes,($BI20*($CH20+BR20)+$CM20*CT20)*Peak_Time_Eve/3600,"-")</f>
        <v>15.4890157491536</v>
      </c>
      <c r="AK20" s="453" t="n">
        <f aca="false">IF(AK$6&lt;Total_Lanes,($BI20*($CH20+BS20)+$CM20*CU20)*Peak_Time_Eve/3600,"-")</f>
        <v>26.1433716328519</v>
      </c>
      <c r="AL20" s="453" t="n">
        <f aca="false">IF(AL$6&lt;Total_Lanes,($BI20*($CH20+BT20)+$CM20*CV20)*Peak_Time_Eve/3600,"-")</f>
        <v>630.290749079918</v>
      </c>
      <c r="AM20" s="453" t="n">
        <f aca="false">IF(AM$6&lt;Total_Lanes,($BI20*($CH20+BU20)+$CM20*CW20)*Peak_Time_Eve/3600,"-")</f>
        <v>2399.00876680091</v>
      </c>
      <c r="AN20" s="453" t="n">
        <f aca="false">IF(AN$6&lt;Total_Lanes,($BI20*($CH20+BV20)+$CM20*CX20)*Peak_Time_Eve/3600,"-")</f>
        <v>5956.76175598874</v>
      </c>
      <c r="AO20" s="453" t="n">
        <f aca="false">IF(AO$6&lt;Total_Lanes,($BI20*($CH20+BW20)+$CM20*CY20)*Peak_Time_Eve/3600,"-")</f>
        <v>16636.4052994431</v>
      </c>
      <c r="AP20" s="453" t="str">
        <f aca="false">IF(AP$6&lt;Total_Lanes,($BI20*($CH20+BX20)+$CM20*CZ20)*Peak_Time_Eve/3600,"-")</f>
        <v>-</v>
      </c>
      <c r="AQ20" s="453" t="str">
        <f aca="false">IF(AQ$6&lt;Total_Lanes,($BI20*($CH20+BY20)+$CM20*DA20)*Peak_Time_Eve/3600,"-")</f>
        <v>-</v>
      </c>
      <c r="AR20" s="453" t="str">
        <f aca="false">IF(AR$6&lt;Total_Lanes,($BI20*($CH20+BZ20)+$CM20*DB20)*Peak_Time_Eve/3600,"-")</f>
        <v>-</v>
      </c>
      <c r="AS20" s="453" t="str">
        <f aca="false">IF(AS$6&lt;Total_Lanes,($BI20*($CH20+CA20)+$CM20*DC20)*Peak_Time_Eve/3600,"-")</f>
        <v>-</v>
      </c>
      <c r="AT20" s="453" t="str">
        <f aca="false">IF(AT$6&lt;Total_Lanes,($BI20*($CH20+CB20)+$CM20*DD20)*Peak_Time_Eve/3600,"-")</f>
        <v>-</v>
      </c>
      <c r="AU20" s="453" t="str">
        <f aca="false">IF(AU$6&lt;Total_Lanes,($BI20*($CH20+CC20)+$CM20*DE20)*Peak_Time_Eve/3600,"-")</f>
        <v>-</v>
      </c>
      <c r="AV20" s="453" t="str">
        <f aca="false">IF(AV$6&lt;Total_Lanes,($BI20*($CH20+CD20)+$CM20*DF20)*Peak_Time_Eve/3600,"-")</f>
        <v>-</v>
      </c>
      <c r="AW20" s="453" t="str">
        <f aca="false">IF(AW$6&lt;Total_Lanes,($BI20*($CH20+CE20)+$CM20*DG20)*Peak_Time_Eve/3600,"-")</f>
        <v>-</v>
      </c>
      <c r="AX20" s="453" t="str">
        <f aca="false">IF(AX$6&lt;Total_Lanes,($BI20*($CH20+CF20)+$CM20*DH20)*Peak_Time_Eve/3600,"-")</f>
        <v>-</v>
      </c>
      <c r="AY20" s="454" t="str">
        <f aca="false">IF(AY$6&lt;Total_Lanes,($BI20*($CH20+CG20)+$CM20*DI20)*Peak_Time_Eve/3600,"-")</f>
        <v>-</v>
      </c>
      <c r="AZ20" s="475" t="n">
        <f aca="false">SUMIF(AE20:AY20,BA20,$AE$6:$AY$6)</f>
        <v>5</v>
      </c>
      <c r="BA20" s="476" t="n">
        <f aca="false">MIN(AE20:AY20)</f>
        <v>15.4623289958582</v>
      </c>
      <c r="BB20" s="475" t="n">
        <f aca="false">IF((SUMIF($BM18:$CG18,$AZ20,$BM20:$CG20)+$CH20)&lt;(SUMIF($CO18:$DI18,$AZ20,$CO20:$DI20)+$DJ20),AZ20+1,AZ20)</f>
        <v>5</v>
      </c>
      <c r="BC20" s="476" t="n">
        <f aca="false">SUMIF($AE$6:$AY$6,$BB20,$AE20:$AY20)</f>
        <v>15.4623289958582</v>
      </c>
      <c r="BF20" s="440" t="n">
        <v>13</v>
      </c>
      <c r="BG20" s="442" t="n">
        <f aca="false">$X20</f>
        <v>0.7</v>
      </c>
      <c r="BH20" s="458" t="n">
        <f aca="false">$AC20</f>
        <v>7895.04237035496</v>
      </c>
      <c r="BI20" s="477" t="n">
        <f aca="false">BH20*(1-BG20)</f>
        <v>2368.51271110649</v>
      </c>
      <c r="BJ20" s="460" t="n">
        <f aca="false">Peak_Arrival_Manual/K53</f>
        <v>4.32582529875699</v>
      </c>
      <c r="BK20" s="461" t="n">
        <f aca="false">900*Peak_Time_Eve*(BJ20/Total_Lanes-1+SQRT((BJ20/Total_Lanes-1)^2+8*(BJ20/Total_Lanes)/(Peak_Time_Eve*$K53*Total_Lanes)))</f>
        <v>0.30881156457796</v>
      </c>
      <c r="BL20" s="462" t="n">
        <f aca="false">Peak_Arrival_Manual/N53</f>
        <v>4.50757575332454</v>
      </c>
      <c r="BM20" s="463" t="n">
        <f aca="false">IF(BM$6&lt;Total_Lanes,900*Peak_Time_Eve*(($BL20/(Total_Lanes-BM$6))-1+SQRT((($BL20/(Total_Lanes-BM$6))-1)^2+8*($BL20/(Total_Lanes-BM$6))/(Peak_Time_Eve*$N53*(Total_Lanes-BM$6)))),"-")</f>
        <v>0.432339498578682</v>
      </c>
      <c r="BN20" s="463" t="n">
        <f aca="false">IF(BN$6&lt;Total_Lanes,900*Peak_Time_Eve*(($BL20/(Total_Lanes-BN$6))-1+SQRT((($BL20/(Total_Lanes-BN$6))-1)^2+8*($BL20/(Total_Lanes-BN$6))/(Peak_Time_Eve*$N53*(Total_Lanes-BN$6)))),"-")</f>
        <v>0.562115196347945</v>
      </c>
      <c r="BO20" s="463" t="n">
        <f aca="false">IF(BO$6&lt;Total_Lanes,900*Peak_Time_Eve*(($BL20/(Total_Lanes-BO$6))-1+SQRT((($BL20/(Total_Lanes-BO$6))-1)^2+8*($BL20/(Total_Lanes-BO$6))/(Peak_Time_Eve*$N53*(Total_Lanes-BO$6)))),"-")</f>
        <v>0.763493060705967</v>
      </c>
      <c r="BP20" s="463" t="n">
        <f aca="false">IF(BP$6&lt;Total_Lanes,900*Peak_Time_Eve*(($BL20/(Total_Lanes-BP$6))-1+SQRT((($BL20/(Total_Lanes-BP$6))-1)^2+8*($BL20/(Total_Lanes-BP$6))/(Peak_Time_Eve*$N53*(Total_Lanes-BP$6)))),"-")</f>
        <v>1.10456362938161</v>
      </c>
      <c r="BQ20" s="463" t="n">
        <f aca="false">IF(BQ$6&lt;Total_Lanes,900*Peak_Time_Eve*(($BL20/(Total_Lanes-BQ$6))-1+SQRT((($BL20/(Total_Lanes-BQ$6))-1)^2+8*($BL20/(Total_Lanes-BQ$6))/(Peak_Time_Eve*$N53*(Total_Lanes-BQ$6)))),"-")</f>
        <v>1.76764218341673</v>
      </c>
      <c r="BR20" s="463" t="n">
        <f aca="false">IF(BR$6&lt;Total_Lanes,900*Peak_Time_Eve*(($BL20/(Total_Lanes-BR$6))-1+SQRT((($BL20/(Total_Lanes-BR$6))-1)^2+8*($BL20/(Total_Lanes-BR$6))/(Peak_Time_Eve*$N53*(Total_Lanes-BR$6)))),"-")</f>
        <v>3.43562864321311</v>
      </c>
      <c r="BS20" s="463" t="n">
        <f aca="false">IF(BS$6&lt;Total_Lanes,900*Peak_Time_Eve*(($BL20/(Total_Lanes-BS$6))-1+SQRT((($BL20/(Total_Lanes-BS$6))-1)^2+8*($BL20/(Total_Lanes-BS$6))/(Peak_Time_Eve*$N53*(Total_Lanes-BS$6)))),"-")</f>
        <v>12.1281805506059</v>
      </c>
      <c r="BT20" s="463" t="n">
        <f aca="false">IF(BT$6&lt;Total_Lanes,900*Peak_Time_Eve*(($BL20/(Total_Lanes-BT$6))-1+SQRT((($BL20/(Total_Lanes-BT$6))-1)^2+8*($BL20/(Total_Lanes-BT$6))/(Peak_Time_Eve*$N53*(Total_Lanes-BT$6)))),"-")</f>
        <v>471.553656736086</v>
      </c>
      <c r="BU20" s="463" t="n">
        <f aca="false">IF(BU$6&lt;Total_Lanes,900*Peak_Time_Eve*(($BL20/(Total_Lanes-BU$6))-1+SQRT((($BL20/(Total_Lanes-BU$6))-1)^2+8*($BL20/(Total_Lanes-BU$6))/(Peak_Time_Eve*$N53*(Total_Lanes-BU$6)))),"-")</f>
        <v>1815.89362150861</v>
      </c>
      <c r="BV20" s="463" t="n">
        <f aca="false">IF(BV$6&lt;Total_Lanes,900*Peak_Time_Eve*(($BL20/(Total_Lanes-BV$6))-1+SQRT((($BL20/(Total_Lanes-BV$6))-1)^2+8*($BL20/(Total_Lanes-BV$6))/(Peak_Time_Eve*$N53*(Total_Lanes-BV$6)))),"-")</f>
        <v>4519.78582337667</v>
      </c>
      <c r="BW20" s="463" t="n">
        <f aca="false">IF(BW$6&lt;Total_Lanes,900*Peak_Time_Eve*(($BL20/(Total_Lanes-BW$6))-1+SQRT((($BL20/(Total_Lanes-BW$6))-1)^2+8*($BL20/(Total_Lanes-BW$6))/(Peak_Time_Eve*$N53*(Total_Lanes-BW$6)))),"-")</f>
        <v>12636.0711035931</v>
      </c>
      <c r="BX20" s="453" t="str">
        <f aca="false">IF(BX$6&lt;Total_Lanes,900*Peak_Time_Eve*(($BL20/(Total_Lanes-BX$6))-1+SQRT((($BL20/(Total_Lanes-BX$6))-1)^2+8*($BL20/(Total_Lanes-BX$6))/(Peak_Time_Eve*$N53*(Total_Lanes-BX$6)))),"-")</f>
        <v>-</v>
      </c>
      <c r="BY20" s="453" t="str">
        <f aca="false">IF(BY$6&lt;Total_Lanes,900*Peak_Time_Eve*(($BL20/(Total_Lanes-BY$6))-1+SQRT((($BL20/(Total_Lanes-BY$6))-1)^2+8*($BL20/(Total_Lanes-BY$6))/(Peak_Time_Eve*$N53*(Total_Lanes-BY$6)))),"-")</f>
        <v>-</v>
      </c>
      <c r="BZ20" s="453" t="str">
        <f aca="false">IF(BZ$6&lt;Total_Lanes,900*Peak_Time_Eve*(($BL20/(Total_Lanes-BZ$6))-1+SQRT((($BL20/(Total_Lanes-BZ$6))-1)^2+8*($BL20/(Total_Lanes-BZ$6))/(Peak_Time_Eve*$N53*(Total_Lanes-BZ$6)))),"-")</f>
        <v>-</v>
      </c>
      <c r="CA20" s="453" t="str">
        <f aca="false">IF(CA$6&lt;Total_Lanes,900*Peak_Time_Eve*(($BL20/(Total_Lanes-CA$6))-1+SQRT((($BL20/(Total_Lanes-CA$6))-1)^2+8*($BL20/(Total_Lanes-CA$6))/(Peak_Time_Eve*$N53*(Total_Lanes-CA$6)))),"-")</f>
        <v>-</v>
      </c>
      <c r="CB20" s="453" t="str">
        <f aca="false">IF(CB$6&lt;Total_Lanes,900*Peak_Time_Eve*(($BL20/(Total_Lanes-CB$6))-1+SQRT((($BL20/(Total_Lanes-CB$6))-1)^2+8*($BL20/(Total_Lanes-CB$6))/(Peak_Time_Eve*$N53*(Total_Lanes-CB$6)))),"-")</f>
        <v>-</v>
      </c>
      <c r="CC20" s="453" t="str">
        <f aca="false">IF(CC$6&lt;Total_Lanes,900*Peak_Time_Eve*(($BL20/(Total_Lanes-CC$6))-1+SQRT((($BL20/(Total_Lanes-CC$6))-1)^2+8*($BL20/(Total_Lanes-CC$6))/(Peak_Time_Eve*$N53*(Total_Lanes-CC$6)))),"-")</f>
        <v>-</v>
      </c>
      <c r="CD20" s="453" t="str">
        <f aca="false">IF(CD$6&lt;Total_Lanes,900*Peak_Time_Eve*(($BL20/(Total_Lanes-CD$6))-1+SQRT((($BL20/(Total_Lanes-CD$6))-1)^2+8*($BL20/(Total_Lanes-CD$6))/(Peak_Time_Eve*$N53*(Total_Lanes-CD$6)))),"-")</f>
        <v>-</v>
      </c>
      <c r="CE20" s="453" t="str">
        <f aca="false">IF(CE$6&lt;Total_Lanes,900*Peak_Time_Eve*(($BL20/(Total_Lanes-CE$6))-1+SQRT((($BL20/(Total_Lanes-CE$6))-1)^2+8*($BL20/(Total_Lanes-CE$6))/(Peak_Time_Eve*$N53*(Total_Lanes-CE$6)))),"-")</f>
        <v>-</v>
      </c>
      <c r="CF20" s="453" t="str">
        <f aca="false">IF(CF$6&lt;Total_Lanes,900*Peak_Time_Eve*(($BL20/(Total_Lanes-CF$6))-1+SQRT((($BL20/(Total_Lanes-CF$6))-1)^2+8*($BL20/(Total_Lanes-CF$6))/(Peak_Time_Eve*$N53*(Total_Lanes-CF$6)))),"-")</f>
        <v>-</v>
      </c>
      <c r="CG20" s="464" t="str">
        <f aca="false">IF(CG$6&lt;Total_Lanes,900*Peak_Time_Eve*(($BL20/(Total_Lanes-CG$6))-1+SQRT((($BL20/(Total_Lanes-CG$6))-1)^2+8*($BL20/(Total_Lanes-CG$6))/(Peak_Time_Eve*$N53*(Total_Lanes-CG$6)))),"-")</f>
        <v>-</v>
      </c>
      <c r="CH20" s="478" t="n">
        <f aca="false">3600/N53</f>
        <v>6.85125</v>
      </c>
      <c r="CJ20" s="440" t="n">
        <v>13</v>
      </c>
      <c r="CK20" s="442" t="n">
        <f aca="false">$X20</f>
        <v>0.7</v>
      </c>
      <c r="CL20" s="451" t="n">
        <f aca="false">$AC20</f>
        <v>7895.04237035496</v>
      </c>
      <c r="CM20" s="452" t="n">
        <f aca="false">CL20*CK20</f>
        <v>5526.52965924847</v>
      </c>
      <c r="CN20" s="479" t="n">
        <f aca="false">CM20/O52</f>
        <v>3.68435310616565</v>
      </c>
      <c r="CO20" s="463" t="n">
        <f aca="false">IF(CO$6&lt;Total_Lanes,900*Peak_Time_Eve*(($CN20/CO$6-1)+SQRT(($CN20/CO$6-1)^2+8*($CN20/CO$6)/(Peak_Time_Eve*$O53*CO$6))),"-")</f>
        <v>9666.96413026237</v>
      </c>
      <c r="CP20" s="463" t="n">
        <f aca="false">IF(CP$6&lt;Total_Lanes,900*Peak_Time_Eve*(($CN20/CP$6-1)+SQRT(($CN20/CP$6-1)^2+8*($CN20/CP$6)/(Peak_Time_Eve*$O53*CP$6))),"-")</f>
        <v>3034.45820185104</v>
      </c>
      <c r="CQ20" s="463" t="n">
        <f aca="false">IF(CQ$6&lt;Total_Lanes,900*Peak_Time_Eve*(($CN20/CQ$6-1)+SQRT(($CN20/CQ$6-1)^2+8*($CN20/CQ$6)/(Peak_Time_Eve*$O53*CQ$6))),"-")</f>
        <v>825.508334632323</v>
      </c>
      <c r="CR20" s="482" t="n">
        <f aca="false">IF(CR$6&lt;Total_Lanes,900*Peak_Time_Eve*(($CN20/CR$6-1)+SQRT(($CN20/CR$6-1)^2+8*($CN20/CR$6)/(Peak_Time_Eve*$O53*CR$6))),"-")</f>
        <v>6.83880037644608</v>
      </c>
      <c r="CS20" s="482" t="n">
        <f aca="false">IF(CS$6&lt;Total_Lanes,900*Peak_Time_Eve*(($CN20/CS$6-1)+SQRT(($CN20/CS$6-1)^2+8*($CN20/CS$6)/(Peak_Time_Eve*$O53*CS$6))),"-")</f>
        <v>1.34229561005823</v>
      </c>
      <c r="CT20" s="482" t="n">
        <f aca="false">IF(CT$6&lt;Total_Lanes,900*Peak_Time_Eve*(($CN20/CT$6-1)+SQRT(($CN20/CT$6-1)^2+8*($CN20/CT$6)/(Peak_Time_Eve*$O53*CT$6))),"-")</f>
        <v>0.636136190553704</v>
      </c>
      <c r="CU20" s="482" t="n">
        <f aca="false">IF(CU$6&lt;Total_Lanes,900*Peak_Time_Eve*(($CN20/CU$6-1)+SQRT(($CN20/CU$6-1)^2+8*($CN20/CU$6)/(Peak_Time_Eve*$O53*CU$6))),"-")</f>
        <v>0.380898422744891</v>
      </c>
      <c r="CV20" s="482" t="n">
        <f aca="false">IF(CV$6&lt;Total_Lanes,900*Peak_Time_Eve*(($CN20/CV$6-1)+SQRT(($CN20/CV$6-1)^2+8*($CN20/CV$6)/(Peak_Time_Eve*$O53*CV$6))),"-")</f>
        <v>0.256082165658955</v>
      </c>
      <c r="CW20" s="482" t="n">
        <f aca="false">IF(CW$6&lt;Total_Lanes,900*Peak_Time_Eve*(($CN20/CW$6-1)+SQRT(($CN20/CW$6-1)^2+8*($CN20/CW$6)/(Peak_Time_Eve*$O53*CW$6))),"-")</f>
        <v>0.184814527797017</v>
      </c>
      <c r="CX20" s="482" t="n">
        <f aca="false">IF(CX$6&lt;Total_Lanes,900*Peak_Time_Eve*(($CN20/CX$6-1)+SQRT(($CN20/CX$6-1)^2+8*($CN20/CX$6)/(Peak_Time_Eve*$O53*CX$6))),"-")</f>
        <v>0.139999958188164</v>
      </c>
      <c r="CY20" s="482" t="n">
        <f aca="false">IF(CY$6&lt;Total_Lanes,900*Peak_Time_Eve*(($CN20/CY$6-1)+SQRT(($CN20/CY$6-1)^2+8*($CN20/CY$6)/(Peak_Time_Eve*$O53*CY$6))),"-")</f>
        <v>0.10987708695458</v>
      </c>
      <c r="CZ20" s="483" t="str">
        <f aca="false">IF(CZ$6&lt;Total_Lanes,900*Peak_Time_Eve*(($CN20/CZ$6-1)+SQRT(($CN20/CZ$6-1)^2+8*($CN20/CZ$6)/(Peak_Time_Eve*$O53*CZ$6))),"-")</f>
        <v>-</v>
      </c>
      <c r="DA20" s="483" t="str">
        <f aca="false">IF(DA$6&lt;Total_Lanes,900*Peak_Time_Eve*(($CN20/DA$6-1)+SQRT(($CN20/DA$6-1)^2+8*($CN20/DA$6)/(Peak_Time_Eve*$O53*DA$6))),"-")</f>
        <v>-</v>
      </c>
      <c r="DB20" s="483" t="str">
        <f aca="false">IF(DB$6&lt;Total_Lanes,900*Peak_Time_Eve*(($CN20/DB$6-1)+SQRT(($CN20/DB$6-1)^2+8*($CN20/DB$6)/(Peak_Time_Eve*$O53*DB$6))),"-")</f>
        <v>-</v>
      </c>
      <c r="DC20" s="483" t="str">
        <f aca="false">IF(DC$6&lt;Total_Lanes,900*Peak_Time_Eve*(($CN20/DC$6-1)+SQRT(($CN20/DC$6-1)^2+8*($CN20/DC$6)/(Peak_Time_Eve*$O53*DC$6))),"-")</f>
        <v>-</v>
      </c>
      <c r="DD20" s="483" t="str">
        <f aca="false">IF(DD$6&lt;Total_Lanes,900*Peak_Time_Eve*(($CN20/DD$6-1)+SQRT(($CN20/DD$6-1)^2+8*($CN20/DD$6)/(Peak_Time_Eve*$O53*DD$6))),"-")</f>
        <v>-</v>
      </c>
      <c r="DE20" s="483" t="str">
        <f aca="false">IF(DE$6&lt;Total_Lanes,900*Peak_Time_Eve*(($CN20/DE$6-1)+SQRT(($CN20/DE$6-1)^2+8*($CN20/DE$6)/(Peak_Time_Eve*$O53*DE$6))),"-")</f>
        <v>-</v>
      </c>
      <c r="DF20" s="483" t="str">
        <f aca="false">IF(DF$6&lt;Total_Lanes,900*Peak_Time_Eve*(($CN20/DF$6-1)+SQRT(($CN20/DF$6-1)^2+8*($CN20/DF$6)/(Peak_Time_Eve*$O53*DF$6))),"-")</f>
        <v>-</v>
      </c>
      <c r="DG20" s="483" t="str">
        <f aca="false">IF(DG$6&lt;Total_Lanes,900*Peak_Time_Eve*(($CN20/DG$6-1)+SQRT(($CN20/DG$6-1)^2+8*($CN20/DG$6)/(Peak_Time_Eve*$O53*DG$6))),"-")</f>
        <v>-</v>
      </c>
      <c r="DH20" s="483" t="str">
        <f aca="false">IF(DH$6&lt;Total_Lanes,900*Peak_Time_Eve*(($CN20/DH$6-1)+SQRT(($CN20/DH$6-1)^2+8*($CN20/DH$6)/(Peak_Time_Eve*$O53*DH$6))),"-")</f>
        <v>-</v>
      </c>
      <c r="DI20" s="484" t="str">
        <f aca="false">IF(DI$6&lt;Total_Lanes,900*Peak_Time_Eve*(($CN20/DI$6-1)+SQRT(($CN20/DI$6-1)^2+8*($CN20/DI$6)/(Peak_Time_Eve*$O53*DI$6))),"-")</f>
        <v>-</v>
      </c>
      <c r="DJ20" s="485" t="n">
        <f aca="false">3600/O53</f>
        <v>2.4</v>
      </c>
    </row>
    <row r="21" customFormat="false" ht="13.2" hidden="false" customHeight="false" outlineLevel="0" collapsed="false">
      <c r="H21" s="440" t="n">
        <v>14</v>
      </c>
      <c r="I21" s="441" t="n">
        <f aca="false">'Input-Detail'!E28</f>
        <v>26704851.9</v>
      </c>
      <c r="J21" s="442" t="n">
        <f aca="false">'Input-Detail'!F28</f>
        <v>0.75</v>
      </c>
      <c r="K21" s="451" t="n">
        <f aca="false">AC21</f>
        <v>8060.81486038226</v>
      </c>
      <c r="L21" s="452" t="n">
        <f aca="false">AD68</f>
        <v>13.3491324063658</v>
      </c>
      <c r="M21" s="467" t="n">
        <f aca="false">AD21</f>
        <v>30.5297812173089</v>
      </c>
      <c r="N21" s="467" t="n">
        <f aca="false">SUM(L21:M21)</f>
        <v>43.8789136236747</v>
      </c>
      <c r="O21" s="471" t="n">
        <f aca="false">$S$34*N21</f>
        <v>11408.5175421554</v>
      </c>
      <c r="P21" s="452" t="n">
        <f aca="false">BC68</f>
        <v>3.738459732929</v>
      </c>
      <c r="Q21" s="467" t="n">
        <f aca="false">BC21</f>
        <v>12.7292653783922</v>
      </c>
      <c r="R21" s="467" t="n">
        <f aca="false">SUM(P21:Q21)</f>
        <v>16.4677251113212</v>
      </c>
      <c r="S21" s="472" t="n">
        <f aca="false">$S$34*R21</f>
        <v>4281.60852894352</v>
      </c>
      <c r="T21" s="405"/>
      <c r="U21" s="405"/>
      <c r="V21" s="440" t="n">
        <v>14</v>
      </c>
      <c r="W21" s="448" t="n">
        <f aca="false">W$7+(W$27-W$7)*$V21/20</f>
        <v>26704851.9</v>
      </c>
      <c r="X21" s="442" t="n">
        <f aca="false">J21</f>
        <v>0.75</v>
      </c>
      <c r="Y21" s="448" t="n">
        <f aca="false">'Input-Detail'!E28/Z21</f>
        <v>11515.4498005461</v>
      </c>
      <c r="Z21" s="473" t="n">
        <f aca="false">Z20</f>
        <v>2319.04548780488</v>
      </c>
      <c r="AA21" s="473" t="n">
        <f aca="false">AA20</f>
        <v>2</v>
      </c>
      <c r="AB21" s="474" t="n">
        <f aca="false">AB20</f>
        <v>0.7</v>
      </c>
      <c r="AC21" s="451" t="n">
        <f aca="false">Y21*AB21</f>
        <v>8060.81486038226</v>
      </c>
      <c r="AD21" s="452" t="n">
        <f aca="false">Peak_Time_Eve*$BH21*(3600/K54+BK21)/3600</f>
        <v>30.5297812173089</v>
      </c>
      <c r="AE21" s="453" t="n">
        <f aca="false">IF(AE$6&lt;Total_Lanes,($BI21*($CH21+BM21)+$CM21*CO21)*Peak_Time_Eve/3600,"-")</f>
        <v>36660.1178302672</v>
      </c>
      <c r="AF21" s="453" t="n">
        <f aca="false">IF(AF$6&lt;Total_Lanes,($BI21*($CH21+BN21)+$CM21*CP21)*Peak_Time_Eve/3600,"-")</f>
        <v>12291.2241767933</v>
      </c>
      <c r="AG21" s="453" t="n">
        <f aca="false">IF(AG$6&lt;Total_Lanes,($BI21*($CH21+BO21)+$CM21*CQ21)*Peak_Time_Eve/3600,"-")</f>
        <v>4171.7774185303</v>
      </c>
      <c r="AH21" s="453" t="n">
        <f aca="false">IF(AH$6&lt;Total_Lanes,($BI21*($CH21+BP21)+$CM21*CR21)*Peak_Time_Eve/3600,"-")</f>
        <v>217.832618175072</v>
      </c>
      <c r="AI21" s="453" t="n">
        <f aca="false">IF(AI$6&lt;Total_Lanes,($BI21*($CH21+BQ21)+$CM21*CS21)*Peak_Time_Eve/3600,"-")</f>
        <v>15.7167354850274</v>
      </c>
      <c r="AJ21" s="453" t="n">
        <f aca="false">IF(AJ$6&lt;Total_Lanes,($BI21*($CH21+BR21)+$CM21*CT21)*Peak_Time_Eve/3600,"-")</f>
        <v>12.7292653783922</v>
      </c>
      <c r="AK21" s="453" t="n">
        <f aca="false">IF(AK$6&lt;Total_Lanes,($BI21*($CH21+BS21)+$CM21*CU21)*Peak_Time_Eve/3600,"-")</f>
        <v>14.3633247277599</v>
      </c>
      <c r="AL21" s="453" t="n">
        <f aca="false">IF(AL$6&lt;Total_Lanes,($BI21*($CH21+BT21)+$CM21*CV21)*Peak_Time_Eve/3600,"-")</f>
        <v>47.3979223761375</v>
      </c>
      <c r="AM21" s="453" t="n">
        <f aca="false">IF(AM$6&lt;Total_Lanes,($BI21*($CH21+BU21)+$CM21*CW21)*Peak_Time_Eve/3600,"-")</f>
        <v>1157.97716834022</v>
      </c>
      <c r="AN21" s="453" t="n">
        <f aca="false">IF(AN$6&lt;Total_Lanes,($BI21*($CH21+BV21)+$CM21*CX21)*Peak_Time_Eve/3600,"-")</f>
        <v>3738.47605147396</v>
      </c>
      <c r="AO21" s="453" t="n">
        <f aca="false">IF(AO$6&lt;Total_Lanes,($BI21*($CH21+BW21)+$CM21*CY21)*Peak_Time_Eve/3600,"-")</f>
        <v>11493.396997582</v>
      </c>
      <c r="AP21" s="453" t="str">
        <f aca="false">IF(AP$6&lt;Total_Lanes,($BI21*($CH21+BX21)+$CM21*CZ21)*Peak_Time_Eve/3600,"-")</f>
        <v>-</v>
      </c>
      <c r="AQ21" s="453" t="str">
        <f aca="false">IF(AQ$6&lt;Total_Lanes,($BI21*($CH21+BY21)+$CM21*DA21)*Peak_Time_Eve/3600,"-")</f>
        <v>-</v>
      </c>
      <c r="AR21" s="453" t="str">
        <f aca="false">IF(AR$6&lt;Total_Lanes,($BI21*($CH21+BZ21)+$CM21*DB21)*Peak_Time_Eve/3600,"-")</f>
        <v>-</v>
      </c>
      <c r="AS21" s="453" t="str">
        <f aca="false">IF(AS$6&lt;Total_Lanes,($BI21*($CH21+CA21)+$CM21*DC21)*Peak_Time_Eve/3600,"-")</f>
        <v>-</v>
      </c>
      <c r="AT21" s="453" t="str">
        <f aca="false">IF(AT$6&lt;Total_Lanes,($BI21*($CH21+CB21)+$CM21*DD21)*Peak_Time_Eve/3600,"-")</f>
        <v>-</v>
      </c>
      <c r="AU21" s="453" t="str">
        <f aca="false">IF(AU$6&lt;Total_Lanes,($BI21*($CH21+CC21)+$CM21*DE21)*Peak_Time_Eve/3600,"-")</f>
        <v>-</v>
      </c>
      <c r="AV21" s="453" t="str">
        <f aca="false">IF(AV$6&lt;Total_Lanes,($BI21*($CH21+CD21)+$CM21*DF21)*Peak_Time_Eve/3600,"-")</f>
        <v>-</v>
      </c>
      <c r="AW21" s="453" t="str">
        <f aca="false">IF(AW$6&lt;Total_Lanes,($BI21*($CH21+CE21)+$CM21*DG21)*Peak_Time_Eve/3600,"-")</f>
        <v>-</v>
      </c>
      <c r="AX21" s="453" t="str">
        <f aca="false">IF(AX$6&lt;Total_Lanes,($BI21*($CH21+CF21)+$CM21*DH21)*Peak_Time_Eve/3600,"-")</f>
        <v>-</v>
      </c>
      <c r="AY21" s="454" t="str">
        <f aca="false">IF(AY$6&lt;Total_Lanes,($BI21*($CH21+CG21)+$CM21*DI21)*Peak_Time_Eve/3600,"-")</f>
        <v>-</v>
      </c>
      <c r="AZ21" s="475" t="n">
        <f aca="false">SUMIF(AE21:AY21,BA21,$AE$6:$AY$6)</f>
        <v>6</v>
      </c>
      <c r="BA21" s="476" t="n">
        <f aca="false">MIN(AE21:AY21)</f>
        <v>12.7292653783922</v>
      </c>
      <c r="BB21" s="475" t="n">
        <f aca="false">IF((SUMIF($BM19:$CG19,$AZ21,$BM21:$CG21)+$CH21)&lt;(SUMIF($CO19:$DI19,$AZ21,$CO21:$DI21)+$DJ21),AZ21+1,AZ21)</f>
        <v>6</v>
      </c>
      <c r="BC21" s="476" t="n">
        <f aca="false">SUMIF($AE$6:$AY$6,$BB21,$AE21:$AY21)</f>
        <v>12.7292653783922</v>
      </c>
      <c r="BF21" s="440" t="n">
        <v>14</v>
      </c>
      <c r="BG21" s="442" t="n">
        <f aca="false">$X21</f>
        <v>0.75</v>
      </c>
      <c r="BH21" s="458" t="n">
        <f aca="false">$AC21</f>
        <v>8060.81486038226</v>
      </c>
      <c r="BI21" s="477" t="n">
        <f aca="false">BH21*(1-BG21)</f>
        <v>2015.20371509557</v>
      </c>
      <c r="BJ21" s="460" t="n">
        <f aca="false">Peak_Arrival_Manual/K54</f>
        <v>3.68054567409815</v>
      </c>
      <c r="BK21" s="461" t="n">
        <f aca="false">900*Peak_Time_Eve*(BJ21/Total_Lanes-1+SQRT((BJ21/Total_Lanes-1)^2+8*(BJ21/Total_Lanes)/(Peak_Time_Eve*$K54*Total_Lanes)))</f>
        <v>0.24237605229529</v>
      </c>
      <c r="BL21" s="462" t="n">
        <f aca="false">Peak_Arrival_Manual/N54</f>
        <v>3.84707986999841</v>
      </c>
      <c r="BM21" s="463" t="n">
        <f aca="false">IF(BM$6&lt;Total_Lanes,900*Peak_Time_Eve*(($BL21/(Total_Lanes-BM$6))-1+SQRT((($BL21/(Total_Lanes-BM$6))-1)^2+8*($BL21/(Total_Lanes-BM$6))/(Peak_Time_Eve*$N54*(Total_Lanes-BM$6)))),"-")</f>
        <v>0.3359754658395</v>
      </c>
      <c r="BN21" s="463" t="n">
        <f aca="false">IF(BN$6&lt;Total_Lanes,900*Peak_Time_Eve*(($BL21/(Total_Lanes-BN$6))-1+SQRT((($BL21/(Total_Lanes-BN$6))-1)^2+8*($BL21/(Total_Lanes-BN$6))/(Peak_Time_Eve*$N54*(Total_Lanes-BN$6)))),"-")</f>
        <v>0.429616001933075</v>
      </c>
      <c r="BO21" s="463" t="n">
        <f aca="false">IF(BO$6&lt;Total_Lanes,900*Peak_Time_Eve*(($BL21/(Total_Lanes-BO$6))-1+SQRT((($BL21/(Total_Lanes-BO$6))-1)^2+8*($BL21/(Total_Lanes-BO$6))/(Peak_Time_Eve*$N54*(Total_Lanes-BO$6)))),"-")</f>
        <v>0.569941077658731</v>
      </c>
      <c r="BP21" s="463" t="n">
        <f aca="false">IF(BP$6&lt;Total_Lanes,900*Peak_Time_Eve*(($BL21/(Total_Lanes-BP$6))-1+SQRT((($BL21/(Total_Lanes-BP$6))-1)^2+8*($BL21/(Total_Lanes-BP$6))/(Peak_Time_Eve*$N54*(Total_Lanes-BP$6)))),"-")</f>
        <v>0.795458575325925</v>
      </c>
      <c r="BQ21" s="463" t="n">
        <f aca="false">IF(BQ$6&lt;Total_Lanes,900*Peak_Time_Eve*(($BL21/(Total_Lanes-BQ$6))-1+SQRT((($BL21/(Total_Lanes-BQ$6))-1)^2+8*($BL21/(Total_Lanes-BQ$6))/(Peak_Time_Eve*$N54*(Total_Lanes-BQ$6)))),"-")</f>
        <v>1.19705594323349</v>
      </c>
      <c r="BR21" s="463" t="n">
        <f aca="false">IF(BR$6&lt;Total_Lanes,900*Peak_Time_Eve*(($BL21/(Total_Lanes-BR$6))-1+SQRT((($BL21/(Total_Lanes-BR$6))-1)^2+8*($BL21/(Total_Lanes-BR$6))/(Peak_Time_Eve*$N54*(Total_Lanes-BR$6)))),"-")</f>
        <v>2.04352652876528</v>
      </c>
      <c r="BS21" s="463" t="n">
        <f aca="false">IF(BS$6&lt;Total_Lanes,900*Peak_Time_Eve*(($BL21/(Total_Lanes-BS$6))-1+SQRT((($BL21/(Total_Lanes-BS$6))-1)^2+8*($BL21/(Total_Lanes-BS$6))/(Peak_Time_Eve*$N54*(Total_Lanes-BS$6)))),"-")</f>
        <v>4.56138598501815</v>
      </c>
      <c r="BT21" s="463" t="n">
        <f aca="false">IF(BT$6&lt;Total_Lanes,900*Peak_Time_Eve*(($BL21/(Total_Lanes-BT$6))-1+SQRT((($BL21/(Total_Lanes-BT$6))-1)^2+8*($BL21/(Total_Lanes-BT$6))/(Peak_Time_Eve*$N54*(Total_Lanes-BT$6)))),"-")</f>
        <v>34.550163253317</v>
      </c>
      <c r="BU21" s="463" t="n">
        <f aca="false">IF(BU$6&lt;Total_Lanes,900*Peak_Time_Eve*(($BL21/(Total_Lanes-BU$6))-1+SQRT((($BL21/(Total_Lanes-BU$6))-1)^2+8*($BL21/(Total_Lanes-BU$6))/(Peak_Time_Eve*$N54*(Total_Lanes-BU$6)))),"-")</f>
        <v>1026.79548276756</v>
      </c>
      <c r="BV21" s="463" t="n">
        <f aca="false">IF(BV$6&lt;Total_Lanes,900*Peak_Time_Eve*(($BL21/(Total_Lanes-BV$6))-1+SQRT((($BL21/(Total_Lanes-BV$6))-1)^2+8*($BL21/(Total_Lanes-BV$6))/(Peak_Time_Eve*$N54*(Total_Lanes-BV$6)))),"-")</f>
        <v>3331.88541338702</v>
      </c>
      <c r="BW21" s="463" t="n">
        <f aca="false">IF(BW$6&lt;Total_Lanes,900*Peak_Time_Eve*(($BL21/(Total_Lanes-BW$6))-1+SQRT((($BL21/(Total_Lanes-BW$6))-1)^2+8*($BL21/(Total_Lanes-BW$6))/(Peak_Time_Eve*$N54*(Total_Lanes-BW$6)))),"-")</f>
        <v>10258.7655102236</v>
      </c>
      <c r="BX21" s="453" t="str">
        <f aca="false">IF(BX$6&lt;Total_Lanes,900*Peak_Time_Eve*(($BL21/(Total_Lanes-BX$6))-1+SQRT((($BL21/(Total_Lanes-BX$6))-1)^2+8*($BL21/(Total_Lanes-BX$6))/(Peak_Time_Eve*$N54*(Total_Lanes-BX$6)))),"-")</f>
        <v>-</v>
      </c>
      <c r="BY21" s="453" t="str">
        <f aca="false">IF(BY$6&lt;Total_Lanes,900*Peak_Time_Eve*(($BL21/(Total_Lanes-BY$6))-1+SQRT((($BL21/(Total_Lanes-BY$6))-1)^2+8*($BL21/(Total_Lanes-BY$6))/(Peak_Time_Eve*$N54*(Total_Lanes-BY$6)))),"-")</f>
        <v>-</v>
      </c>
      <c r="BZ21" s="453" t="str">
        <f aca="false">IF(BZ$6&lt;Total_Lanes,900*Peak_Time_Eve*(($BL21/(Total_Lanes-BZ$6))-1+SQRT((($BL21/(Total_Lanes-BZ$6))-1)^2+8*($BL21/(Total_Lanes-BZ$6))/(Peak_Time_Eve*$N54*(Total_Lanes-BZ$6)))),"-")</f>
        <v>-</v>
      </c>
      <c r="CA21" s="453" t="str">
        <f aca="false">IF(CA$6&lt;Total_Lanes,900*Peak_Time_Eve*(($BL21/(Total_Lanes-CA$6))-1+SQRT((($BL21/(Total_Lanes-CA$6))-1)^2+8*($BL21/(Total_Lanes-CA$6))/(Peak_Time_Eve*$N54*(Total_Lanes-CA$6)))),"-")</f>
        <v>-</v>
      </c>
      <c r="CB21" s="453" t="str">
        <f aca="false">IF(CB$6&lt;Total_Lanes,900*Peak_Time_Eve*(($BL21/(Total_Lanes-CB$6))-1+SQRT((($BL21/(Total_Lanes-CB$6))-1)^2+8*($BL21/(Total_Lanes-CB$6))/(Peak_Time_Eve*$N54*(Total_Lanes-CB$6)))),"-")</f>
        <v>-</v>
      </c>
      <c r="CC21" s="453" t="str">
        <f aca="false">IF(CC$6&lt;Total_Lanes,900*Peak_Time_Eve*(($BL21/(Total_Lanes-CC$6))-1+SQRT((($BL21/(Total_Lanes-CC$6))-1)^2+8*($BL21/(Total_Lanes-CC$6))/(Peak_Time_Eve*$N54*(Total_Lanes-CC$6)))),"-")</f>
        <v>-</v>
      </c>
      <c r="CD21" s="453" t="str">
        <f aca="false">IF(CD$6&lt;Total_Lanes,900*Peak_Time_Eve*(($BL21/(Total_Lanes-CD$6))-1+SQRT((($BL21/(Total_Lanes-CD$6))-1)^2+8*($BL21/(Total_Lanes-CD$6))/(Peak_Time_Eve*$N54*(Total_Lanes-CD$6)))),"-")</f>
        <v>-</v>
      </c>
      <c r="CE21" s="453" t="str">
        <f aca="false">IF(CE$6&lt;Total_Lanes,900*Peak_Time_Eve*(($BL21/(Total_Lanes-CE$6))-1+SQRT((($BL21/(Total_Lanes-CE$6))-1)^2+8*($BL21/(Total_Lanes-CE$6))/(Peak_Time_Eve*$N54*(Total_Lanes-CE$6)))),"-")</f>
        <v>-</v>
      </c>
      <c r="CF21" s="453" t="str">
        <f aca="false">IF(CF$6&lt;Total_Lanes,900*Peak_Time_Eve*(($BL21/(Total_Lanes-CF$6))-1+SQRT((($BL21/(Total_Lanes-CF$6))-1)^2+8*($BL21/(Total_Lanes-CF$6))/(Peak_Time_Eve*$N54*(Total_Lanes-CF$6)))),"-")</f>
        <v>-</v>
      </c>
      <c r="CG21" s="464" t="str">
        <f aca="false">IF(CG$6&lt;Total_Lanes,900*Peak_Time_Eve*(($BL21/(Total_Lanes-CG$6))-1+SQRT((($BL21/(Total_Lanes-CG$6))-1)^2+8*($BL21/(Total_Lanes-CG$6))/(Peak_Time_Eve*$N54*(Total_Lanes-CG$6)))),"-")</f>
        <v>-</v>
      </c>
      <c r="CH21" s="478" t="n">
        <f aca="false">3600/N54</f>
        <v>6.8725</v>
      </c>
      <c r="CJ21" s="440" t="n">
        <v>14</v>
      </c>
      <c r="CK21" s="442" t="n">
        <f aca="false">$X21</f>
        <v>0.75</v>
      </c>
      <c r="CL21" s="451" t="n">
        <f aca="false">$AC21</f>
        <v>8060.81486038226</v>
      </c>
      <c r="CM21" s="452" t="n">
        <f aca="false">CL21*CK21</f>
        <v>6045.6111452867</v>
      </c>
      <c r="CN21" s="479" t="n">
        <f aca="false">CM21/O53</f>
        <v>4.03040743019113</v>
      </c>
      <c r="CO21" s="463" t="n">
        <f aca="false">IF(CO$6&lt;Total_Lanes,900*Peak_Time_Eve*(($CN21/CO$6-1)+SQRT(($CN21/CO$6-1)^2+8*($CN21/CO$6)/(Peak_Time_Eve*$O54*CO$6))),"-")</f>
        <v>10912.6577880181</v>
      </c>
      <c r="CP21" s="463" t="n">
        <f aca="false">IF(CP$6&lt;Total_Lanes,900*Peak_Time_Eve*(($CN21/CP$6-1)+SQRT(($CN21/CP$6-1)^2+8*($CN21/CP$6)/(Peak_Time_Eve*$O54*CP$6))),"-")</f>
        <v>3657.11385261189</v>
      </c>
      <c r="CQ21" s="463" t="n">
        <f aca="false">IF(CQ$6&lt;Total_Lanes,900*Peak_Time_Eve*(($CN21/CQ$6-1)+SQRT(($CN21/CQ$6-1)^2+8*($CN21/CQ$6)/(Peak_Time_Eve*$O54*CQ$6))),"-")</f>
        <v>1239.6102128216</v>
      </c>
      <c r="CR21" s="482" t="n">
        <f aca="false">IF(CR$6&lt;Total_Lanes,900*Peak_Time_Eve*(($CN21/CR$6-1)+SQRT(($CN21/CR$6-1)^2+8*($CN21/CR$6)/(Peak_Time_Eve*$O54*CR$6))),"-")</f>
        <v>62.3007674584853</v>
      </c>
      <c r="CS21" s="482" t="n">
        <f aca="false">IF(CS$6&lt;Total_Lanes,900*Peak_Time_Eve*(($CN21/CS$6-1)+SQRT(($CN21/CS$6-1)^2+8*($CN21/CS$6)/(Peak_Time_Eve*$O54*CS$6))),"-")</f>
        <v>1.98959616621244</v>
      </c>
      <c r="CT21" s="482" t="n">
        <f aca="false">IF(CT$6&lt;Total_Lanes,900*Peak_Time_Eve*(($CN21/CT$6-1)+SQRT(($CN21/CT$6-1)^2+8*($CN21/CT$6)/(Peak_Time_Eve*$O54*CT$6))),"-")</f>
        <v>0.817959967587878</v>
      </c>
      <c r="CU21" s="482" t="n">
        <f aca="false">IF(CU$6&lt;Total_Lanes,900*Peak_Time_Eve*(($CN21/CU$6-1)+SQRT(($CN21/CU$6-1)^2+8*($CN21/CU$6)/(Peak_Time_Eve*$O54*CU$6))),"-")</f>
        <v>0.465192836157291</v>
      </c>
      <c r="CV21" s="482" t="n">
        <f aca="false">IF(CV$6&lt;Total_Lanes,900*Peak_Time_Eve*(($CN21/CV$6-1)+SQRT(($CN21/CV$6-1)^2+8*($CN21/CV$6)/(Peak_Time_Eve*$O54*CV$6))),"-")</f>
        <v>0.304544132191797</v>
      </c>
      <c r="CW21" s="482" t="n">
        <f aca="false">IF(CW$6&lt;Total_Lanes,900*Peak_Time_Eve*(($CN21/CW$6-1)+SQRT(($CN21/CW$6-1)^2+8*($CN21/CW$6)/(Peak_Time_Eve*$O54*CW$6))),"-")</f>
        <v>0.21624678340193</v>
      </c>
      <c r="CX21" s="482" t="n">
        <f aca="false">IF(CX$6&lt;Total_Lanes,900*Peak_Time_Eve*(($CN21/CX$6-1)+SQRT(($CN21/CX$6-1)^2+8*($CN21/CX$6)/(Peak_Time_Eve*$O54*CX$6))),"-")</f>
        <v>0.162025272108268</v>
      </c>
      <c r="CY21" s="482" t="n">
        <f aca="false">IF(CY$6&lt;Total_Lanes,900*Peak_Time_Eve*(($CN21/CY$6-1)+SQRT(($CN21/CY$6-1)^2+8*($CN21/CY$6)/(Peak_Time_Eve*$O54*CY$6))),"-")</f>
        <v>0.126164187621924</v>
      </c>
      <c r="CZ21" s="483" t="str">
        <f aca="false">IF(CZ$6&lt;Total_Lanes,900*Peak_Time_Eve*(($CN21/CZ$6-1)+SQRT(($CN21/CZ$6-1)^2+8*($CN21/CZ$6)/(Peak_Time_Eve*$O54*CZ$6))),"-")</f>
        <v>-</v>
      </c>
      <c r="DA21" s="483" t="str">
        <f aca="false">IF(DA$6&lt;Total_Lanes,900*Peak_Time_Eve*(($CN21/DA$6-1)+SQRT(($CN21/DA$6-1)^2+8*($CN21/DA$6)/(Peak_Time_Eve*$O54*DA$6))),"-")</f>
        <v>-</v>
      </c>
      <c r="DB21" s="483" t="str">
        <f aca="false">IF(DB$6&lt;Total_Lanes,900*Peak_Time_Eve*(($CN21/DB$6-1)+SQRT(($CN21/DB$6-1)^2+8*($CN21/DB$6)/(Peak_Time_Eve*$O54*DB$6))),"-")</f>
        <v>-</v>
      </c>
      <c r="DC21" s="483" t="str">
        <f aca="false">IF(DC$6&lt;Total_Lanes,900*Peak_Time_Eve*(($CN21/DC$6-1)+SQRT(($CN21/DC$6-1)^2+8*($CN21/DC$6)/(Peak_Time_Eve*$O54*DC$6))),"-")</f>
        <v>-</v>
      </c>
      <c r="DD21" s="483" t="str">
        <f aca="false">IF(DD$6&lt;Total_Lanes,900*Peak_Time_Eve*(($CN21/DD$6-1)+SQRT(($CN21/DD$6-1)^2+8*($CN21/DD$6)/(Peak_Time_Eve*$O54*DD$6))),"-")</f>
        <v>-</v>
      </c>
      <c r="DE21" s="483" t="str">
        <f aca="false">IF(DE$6&lt;Total_Lanes,900*Peak_Time_Eve*(($CN21/DE$6-1)+SQRT(($CN21/DE$6-1)^2+8*($CN21/DE$6)/(Peak_Time_Eve*$O54*DE$6))),"-")</f>
        <v>-</v>
      </c>
      <c r="DF21" s="483" t="str">
        <f aca="false">IF(DF$6&lt;Total_Lanes,900*Peak_Time_Eve*(($CN21/DF$6-1)+SQRT(($CN21/DF$6-1)^2+8*($CN21/DF$6)/(Peak_Time_Eve*$O54*DF$6))),"-")</f>
        <v>-</v>
      </c>
      <c r="DG21" s="483" t="str">
        <f aca="false">IF(DG$6&lt;Total_Lanes,900*Peak_Time_Eve*(($CN21/DG$6-1)+SQRT(($CN21/DG$6-1)^2+8*($CN21/DG$6)/(Peak_Time_Eve*$O54*DG$6))),"-")</f>
        <v>-</v>
      </c>
      <c r="DH21" s="483" t="str">
        <f aca="false">IF(DH$6&lt;Total_Lanes,900*Peak_Time_Eve*(($CN21/DH$6-1)+SQRT(($CN21/DH$6-1)^2+8*($CN21/DH$6)/(Peak_Time_Eve*$O54*DH$6))),"-")</f>
        <v>-</v>
      </c>
      <c r="DI21" s="484" t="str">
        <f aca="false">IF(DI$6&lt;Total_Lanes,900*Peak_Time_Eve*(($CN21/DI$6-1)+SQRT(($CN21/DI$6-1)^2+8*($CN21/DI$6)/(Peak_Time_Eve*$O54*DI$6))),"-")</f>
        <v>-</v>
      </c>
      <c r="DJ21" s="485" t="n">
        <f aca="false">3600/O54</f>
        <v>2.4</v>
      </c>
    </row>
    <row r="22" customFormat="false" ht="13.2" hidden="false" customHeight="false" outlineLevel="0" collapsed="false">
      <c r="H22" s="440" t="n">
        <v>15</v>
      </c>
      <c r="I22" s="441" t="n">
        <f aca="false">'Input-Detail'!E29</f>
        <v>27254043.25</v>
      </c>
      <c r="J22" s="442" t="n">
        <f aca="false">'Input-Detail'!F29</f>
        <v>0.8</v>
      </c>
      <c r="K22" s="451" t="n">
        <f aca="false">AC22</f>
        <v>8226.58735040957</v>
      </c>
      <c r="L22" s="452" t="n">
        <f aca="false">AD69</f>
        <v>13.6318884105652</v>
      </c>
      <c r="M22" s="467" t="n">
        <f aca="false">AD22</f>
        <v>30.8864101208147</v>
      </c>
      <c r="N22" s="467" t="n">
        <f aca="false">SUM(L22:M22)</f>
        <v>44.5182985313799</v>
      </c>
      <c r="O22" s="471" t="n">
        <f aca="false">$S$34*N22</f>
        <v>11574.7576181588</v>
      </c>
      <c r="P22" s="452" t="n">
        <f aca="false">BC69</f>
        <v>3.097673742885</v>
      </c>
      <c r="Q22" s="467" t="n">
        <f aca="false">BC22</f>
        <v>10.5490575995983</v>
      </c>
      <c r="R22" s="467" t="n">
        <f aca="false">SUM(P22:Q22)</f>
        <v>13.6467313424833</v>
      </c>
      <c r="S22" s="472" t="n">
        <f aca="false">$S$34*R22</f>
        <v>3548.15014904567</v>
      </c>
      <c r="T22" s="405"/>
      <c r="U22" s="405"/>
      <c r="V22" s="440" t="n">
        <v>15</v>
      </c>
      <c r="W22" s="448" t="n">
        <f aca="false">W$7+(W$27-W$7)*$V22/20</f>
        <v>27254043.25</v>
      </c>
      <c r="X22" s="442" t="n">
        <f aca="false">J22</f>
        <v>0.8</v>
      </c>
      <c r="Y22" s="448" t="n">
        <f aca="false">'Input-Detail'!E29/Z22</f>
        <v>11752.2676434422</v>
      </c>
      <c r="Z22" s="473" t="n">
        <f aca="false">Z21</f>
        <v>2319.04548780488</v>
      </c>
      <c r="AA22" s="473" t="n">
        <f aca="false">AA21</f>
        <v>2</v>
      </c>
      <c r="AB22" s="474" t="n">
        <f aca="false">AB21</f>
        <v>0.7</v>
      </c>
      <c r="AC22" s="451" t="n">
        <f aca="false">Y22*AB22</f>
        <v>8226.58735040957</v>
      </c>
      <c r="AD22" s="452" t="n">
        <f aca="false">Peak_Time_Eve*$BH22*(3600/K55+BK22)/3600</f>
        <v>30.8864101208147</v>
      </c>
      <c r="AE22" s="453" t="n">
        <f aca="false">IF(AE$6&lt;Total_Lanes,($BI22*($CH22+BM22)+$CM22*CO22)*Peak_Time_Eve/3600,"-")</f>
        <v>44606.1716767343</v>
      </c>
      <c r="AF22" s="453" t="n">
        <f aca="false">IF(AF$6&lt;Total_Lanes,($BI22*($CH22+BN22)+$CM22*CP22)*Peak_Time_Eve/3600,"-")</f>
        <v>15727.5189874208</v>
      </c>
      <c r="AG22" s="453" t="n">
        <f aca="false">IF(AG$6&lt;Total_Lanes,($BI22*($CH22+BO22)+$CM22*CQ22)*Peak_Time_Eve/3600,"-")</f>
        <v>6103.64646822759</v>
      </c>
      <c r="AH22" s="453" t="n">
        <f aca="false">IF(AH$6&lt;Total_Lanes,($BI22*($CH22+BP22)+$CM22*CR22)*Peak_Time_Eve/3600,"-")</f>
        <v>1306.34999440649</v>
      </c>
      <c r="AI22" s="453" t="n">
        <f aca="false">IF(AI$6&lt;Total_Lanes,($BI22*($CH22+BQ22)+$CM22*CS22)*Peak_Time_Eve/3600,"-")</f>
        <v>19.5131956099842</v>
      </c>
      <c r="AJ22" s="453" t="n">
        <f aca="false">IF(AJ$6&lt;Total_Lanes,($BI22*($CH22+BR22)+$CM22*CT22)*Peak_Time_Eve/3600,"-")</f>
        <v>11.4367178361166</v>
      </c>
      <c r="AK22" s="453" t="n">
        <f aca="false">IF(AK$6&lt;Total_Lanes,($BI22*($CH22+BS22)+$CM22*CU22)*Peak_Time_Eve/3600,"-")</f>
        <v>10.5490575995983</v>
      </c>
      <c r="AL22" s="453" t="n">
        <f aca="false">IF(AL$6&lt;Total_Lanes,($BI22*($CH22+BT22)+$CM22*CV22)*Peak_Time_Eve/3600,"-")</f>
        <v>13.4290074607169</v>
      </c>
      <c r="AM22" s="453" t="n">
        <f aca="false">IF(AM$6&lt;Total_Lanes,($BI22*($CH22+BU22)+$CM22*CW22)*Peak_Time_Eve/3600,"-")</f>
        <v>208.550274649591</v>
      </c>
      <c r="AN22" s="453" t="n">
        <f aca="false">IF(AN$6&lt;Total_Lanes,($BI22*($CH22+BV22)+$CM22*CX22)*Peak_Time_Eve/3600,"-")</f>
        <v>1908.79051517538</v>
      </c>
      <c r="AO22" s="453" t="n">
        <f aca="false">IF(AO$6&lt;Total_Lanes,($BI22*($CH22+BW22)+$CM22*CY22)*Peak_Time_Eve/3600,"-")</f>
        <v>7093.11544114399</v>
      </c>
      <c r="AP22" s="453" t="str">
        <f aca="false">IF(AP$6&lt;Total_Lanes,($BI22*($CH22+BX22)+$CM22*CZ22)*Peak_Time_Eve/3600,"-")</f>
        <v>-</v>
      </c>
      <c r="AQ22" s="453" t="str">
        <f aca="false">IF(AQ$6&lt;Total_Lanes,($BI22*($CH22+BY22)+$CM22*DA22)*Peak_Time_Eve/3600,"-")</f>
        <v>-</v>
      </c>
      <c r="AR22" s="453" t="str">
        <f aca="false">IF(AR$6&lt;Total_Lanes,($BI22*($CH22+BZ22)+$CM22*DB22)*Peak_Time_Eve/3600,"-")</f>
        <v>-</v>
      </c>
      <c r="AS22" s="453" t="str">
        <f aca="false">IF(AS$6&lt;Total_Lanes,($BI22*($CH22+CA22)+$CM22*DC22)*Peak_Time_Eve/3600,"-")</f>
        <v>-</v>
      </c>
      <c r="AT22" s="453" t="str">
        <f aca="false">IF(AT$6&lt;Total_Lanes,($BI22*($CH22+CB22)+$CM22*DD22)*Peak_Time_Eve/3600,"-")</f>
        <v>-</v>
      </c>
      <c r="AU22" s="453" t="str">
        <f aca="false">IF(AU$6&lt;Total_Lanes,($BI22*($CH22+CC22)+$CM22*DE22)*Peak_Time_Eve/3600,"-")</f>
        <v>-</v>
      </c>
      <c r="AV22" s="453" t="str">
        <f aca="false">IF(AV$6&lt;Total_Lanes,($BI22*($CH22+CD22)+$CM22*DF22)*Peak_Time_Eve/3600,"-")</f>
        <v>-</v>
      </c>
      <c r="AW22" s="453" t="str">
        <f aca="false">IF(AW$6&lt;Total_Lanes,($BI22*($CH22+CE22)+$CM22*DG22)*Peak_Time_Eve/3600,"-")</f>
        <v>-</v>
      </c>
      <c r="AX22" s="453" t="str">
        <f aca="false">IF(AX$6&lt;Total_Lanes,($BI22*($CH22+CF22)+$CM22*DH22)*Peak_Time_Eve/3600,"-")</f>
        <v>-</v>
      </c>
      <c r="AY22" s="454" t="str">
        <f aca="false">IF(AY$6&lt;Total_Lanes,($BI22*($CH22+CG22)+$CM22*DI22)*Peak_Time_Eve/3600,"-")</f>
        <v>-</v>
      </c>
      <c r="AZ22" s="475" t="n">
        <f aca="false">SUMIF(AE22:AY22,BA22,$AE$6:$AY$6)</f>
        <v>7</v>
      </c>
      <c r="BA22" s="476" t="n">
        <f aca="false">MIN(AE22:AY22)</f>
        <v>10.5490575995983</v>
      </c>
      <c r="BB22" s="475" t="n">
        <f aca="false">IF((SUMIF($BM20:$CG20,$AZ22,$BM22:$CG22)+$CH22)&lt;(SUMIF($CO20:$DI20,$AZ22,$CO22:$DI22)+$DJ22),AZ22+1,AZ22)</f>
        <v>7</v>
      </c>
      <c r="BC22" s="476" t="n">
        <f aca="false">SUMIF($AE$6:$AY$6,$BB22,$AE22:$AY22)</f>
        <v>10.5490575995983</v>
      </c>
      <c r="BF22" s="440" t="n">
        <v>15</v>
      </c>
      <c r="BG22" s="442" t="n">
        <f aca="false">$X22</f>
        <v>0.8</v>
      </c>
      <c r="BH22" s="458" t="n">
        <f aca="false">$AC22</f>
        <v>8226.58735040957</v>
      </c>
      <c r="BI22" s="477" t="n">
        <f aca="false">BH22*(1-BG22)</f>
        <v>1645.31747008191</v>
      </c>
      <c r="BJ22" s="460" t="n">
        <f aca="false">Peak_Arrival_Manual/K55</f>
        <v>3.00498954605238</v>
      </c>
      <c r="BK22" s="461" t="n">
        <f aca="false">900*Peak_Time_Eve*(BJ22/Total_Lanes-1+SQRT((BJ22/Total_Lanes-1)^2+8*(BJ22/Total_Lanes)/(Peak_Time_Eve*$K55*Total_Lanes)))</f>
        <v>0.1830317146573</v>
      </c>
      <c r="BL22" s="462" t="n">
        <f aca="false">Peak_Arrival_Manual/N55</f>
        <v>3.15066869704922</v>
      </c>
      <c r="BM22" s="463" t="n">
        <f aca="false">IF(BM$6&lt;Total_Lanes,900*Peak_Time_Eve*(($BL22/(Total_Lanes-BM$6))-1+SQRT((($BL22/(Total_Lanes-BM$6))-1)^2+8*($BL22/(Total_Lanes-BM$6))/(Peak_Time_Eve*$N55*(Total_Lanes-BM$6)))),"-")</f>
        <v>0.251530353356477</v>
      </c>
      <c r="BN22" s="463" t="n">
        <f aca="false">IF(BN$6&lt;Total_Lanes,900*Peak_Time_Eve*(($BL22/(Total_Lanes-BN$6))-1+SQRT((($BL22/(Total_Lanes-BN$6))-1)^2+8*($BL22/(Total_Lanes-BN$6))/(Peak_Time_Eve*$N55*(Total_Lanes-BN$6)))),"-")</f>
        <v>0.317069342790788</v>
      </c>
      <c r="BO22" s="463" t="n">
        <f aca="false">IF(BO$6&lt;Total_Lanes,900*Peak_Time_Eve*(($BL22/(Total_Lanes-BO$6))-1+SQRT((($BL22/(Total_Lanes-BO$6))-1)^2+8*($BL22/(Total_Lanes-BO$6))/(Peak_Time_Eve*$N55*(Total_Lanes-BO$6)))),"-")</f>
        <v>0.412508570654091</v>
      </c>
      <c r="BP22" s="463" t="n">
        <f aca="false">IF(BP$6&lt;Total_Lanes,900*Peak_Time_Eve*(($BL22/(Total_Lanes-BP$6))-1+SQRT((($BL22/(Total_Lanes-BP$6))-1)^2+8*($BL22/(Total_Lanes-BP$6))/(Peak_Time_Eve*$N55*(Total_Lanes-BP$6)))),"-")</f>
        <v>0.559725437594461</v>
      </c>
      <c r="BQ22" s="463" t="n">
        <f aca="false">IF(BQ$6&lt;Total_Lanes,900*Peak_Time_Eve*(($BL22/(Total_Lanes-BQ$6))-1+SQRT((($BL22/(Total_Lanes-BQ$6))-1)^2+8*($BL22/(Total_Lanes-BQ$6))/(Peak_Time_Eve*$N55*(Total_Lanes-BQ$6)))),"-")</f>
        <v>0.805746093983473</v>
      </c>
      <c r="BR22" s="463" t="n">
        <f aca="false">IF(BR$6&lt;Total_Lanes,900*Peak_Time_Eve*(($BL22/(Total_Lanes-BR$6))-1+SQRT((($BL22/(Total_Lanes-BR$6))-1)^2+8*($BL22/(Total_Lanes-BR$6))/(Peak_Time_Eve*$N55*(Total_Lanes-BR$6)))),"-")</f>
        <v>1.26952625333113</v>
      </c>
      <c r="BS22" s="463" t="n">
        <f aca="false">IF(BS$6&lt;Total_Lanes,900*Peak_Time_Eve*(($BL22/(Total_Lanes-BS$6))-1+SQRT((($BL22/(Total_Lanes-BS$6))-1)^2+8*($BL22/(Total_Lanes-BS$6))/(Peak_Time_Eve*$N55*(Total_Lanes-BS$6)))),"-")</f>
        <v>2.34481950319357</v>
      </c>
      <c r="BT22" s="463" t="n">
        <f aca="false">IF(BT$6&lt;Total_Lanes,900*Peak_Time_Eve*(($BL22/(Total_Lanes-BT$6))-1+SQRT((($BL22/(Total_Lanes-BT$6))-1)^2+8*($BL22/(Total_Lanes-BT$6))/(Peak_Time_Eve*$N55*(Total_Lanes-BT$6)))),"-")</f>
        <v>6.34064666500236</v>
      </c>
      <c r="BU22" s="463" t="n">
        <f aca="false">IF(BU$6&lt;Total_Lanes,900*Peak_Time_Eve*(($BL22/(Total_Lanes-BU$6))-1+SQRT((($BL22/(Total_Lanes-BU$6))-1)^2+8*($BL22/(Total_Lanes-BU$6))/(Peak_Time_Eve*$N55*(Total_Lanes-BU$6)))),"-")</f>
        <v>220.24862555635</v>
      </c>
      <c r="BV22" s="463" t="n">
        <f aca="false">IF(BV$6&lt;Total_Lanes,900*Peak_Time_Eve*(($BL22/(Total_Lanes-BV$6))-1+SQRT((($BL22/(Total_Lanes-BV$6))-1)^2+8*($BL22/(Total_Lanes-BV$6))/(Peak_Time_Eve*$N55*(Total_Lanes-BV$6)))),"-")</f>
        <v>2080.59899236251</v>
      </c>
      <c r="BW22" s="463" t="n">
        <f aca="false">IF(BW$6&lt;Total_Lanes,900*Peak_Time_Eve*(($BL22/(Total_Lanes-BW$6))-1+SQRT((($BL22/(Total_Lanes-BW$6))-1)^2+8*($BL22/(Total_Lanes-BW$6))/(Peak_Time_Eve*$N55*(Total_Lanes-BW$6)))),"-")</f>
        <v>7752.49331876462</v>
      </c>
      <c r="BX22" s="453" t="str">
        <f aca="false">IF(BX$6&lt;Total_Lanes,900*Peak_Time_Eve*(($BL22/(Total_Lanes-BX$6))-1+SQRT((($BL22/(Total_Lanes-BX$6))-1)^2+8*($BL22/(Total_Lanes-BX$6))/(Peak_Time_Eve*$N55*(Total_Lanes-BX$6)))),"-")</f>
        <v>-</v>
      </c>
      <c r="BY22" s="453" t="str">
        <f aca="false">IF(BY$6&lt;Total_Lanes,900*Peak_Time_Eve*(($BL22/(Total_Lanes-BY$6))-1+SQRT((($BL22/(Total_Lanes-BY$6))-1)^2+8*($BL22/(Total_Lanes-BY$6))/(Peak_Time_Eve*$N55*(Total_Lanes-BY$6)))),"-")</f>
        <v>-</v>
      </c>
      <c r="BZ22" s="453" t="str">
        <f aca="false">IF(BZ$6&lt;Total_Lanes,900*Peak_Time_Eve*(($BL22/(Total_Lanes-BZ$6))-1+SQRT((($BL22/(Total_Lanes-BZ$6))-1)^2+8*($BL22/(Total_Lanes-BZ$6))/(Peak_Time_Eve*$N55*(Total_Lanes-BZ$6)))),"-")</f>
        <v>-</v>
      </c>
      <c r="CA22" s="453" t="str">
        <f aca="false">IF(CA$6&lt;Total_Lanes,900*Peak_Time_Eve*(($BL22/(Total_Lanes-CA$6))-1+SQRT((($BL22/(Total_Lanes-CA$6))-1)^2+8*($BL22/(Total_Lanes-CA$6))/(Peak_Time_Eve*$N55*(Total_Lanes-CA$6)))),"-")</f>
        <v>-</v>
      </c>
      <c r="CB22" s="453" t="str">
        <f aca="false">IF(CB$6&lt;Total_Lanes,900*Peak_Time_Eve*(($BL22/(Total_Lanes-CB$6))-1+SQRT((($BL22/(Total_Lanes-CB$6))-1)^2+8*($BL22/(Total_Lanes-CB$6))/(Peak_Time_Eve*$N55*(Total_Lanes-CB$6)))),"-")</f>
        <v>-</v>
      </c>
      <c r="CC22" s="453" t="str">
        <f aca="false">IF(CC$6&lt;Total_Lanes,900*Peak_Time_Eve*(($BL22/(Total_Lanes-CC$6))-1+SQRT((($BL22/(Total_Lanes-CC$6))-1)^2+8*($BL22/(Total_Lanes-CC$6))/(Peak_Time_Eve*$N55*(Total_Lanes-CC$6)))),"-")</f>
        <v>-</v>
      </c>
      <c r="CD22" s="453" t="str">
        <f aca="false">IF(CD$6&lt;Total_Lanes,900*Peak_Time_Eve*(($BL22/(Total_Lanes-CD$6))-1+SQRT((($BL22/(Total_Lanes-CD$6))-1)^2+8*($BL22/(Total_Lanes-CD$6))/(Peak_Time_Eve*$N55*(Total_Lanes-CD$6)))),"-")</f>
        <v>-</v>
      </c>
      <c r="CE22" s="453" t="str">
        <f aca="false">IF(CE$6&lt;Total_Lanes,900*Peak_Time_Eve*(($BL22/(Total_Lanes-CE$6))-1+SQRT((($BL22/(Total_Lanes-CE$6))-1)^2+8*($BL22/(Total_Lanes-CE$6))/(Peak_Time_Eve*$N55*(Total_Lanes-CE$6)))),"-")</f>
        <v>-</v>
      </c>
      <c r="CF22" s="453" t="str">
        <f aca="false">IF(CF$6&lt;Total_Lanes,900*Peak_Time_Eve*(($BL22/(Total_Lanes-CF$6))-1+SQRT((($BL22/(Total_Lanes-CF$6))-1)^2+8*($BL22/(Total_Lanes-CF$6))/(Peak_Time_Eve*$N55*(Total_Lanes-CF$6)))),"-")</f>
        <v>-</v>
      </c>
      <c r="CG22" s="464" t="str">
        <f aca="false">IF(CG$6&lt;Total_Lanes,900*Peak_Time_Eve*(($BL22/(Total_Lanes-CG$6))-1+SQRT((($BL22/(Total_Lanes-CG$6))-1)^2+8*($BL22/(Total_Lanes-CG$6))/(Peak_Time_Eve*$N55*(Total_Lanes-CG$6)))),"-")</f>
        <v>-</v>
      </c>
      <c r="CH22" s="478" t="n">
        <f aca="false">3600/N55</f>
        <v>6.89375</v>
      </c>
      <c r="CJ22" s="440" t="n">
        <v>15</v>
      </c>
      <c r="CK22" s="442" t="n">
        <f aca="false">$X22</f>
        <v>0.8</v>
      </c>
      <c r="CL22" s="451" t="n">
        <f aca="false">$AC22</f>
        <v>8226.58735040957</v>
      </c>
      <c r="CM22" s="452" t="n">
        <f aca="false">CL22*CK22</f>
        <v>6581.26988032766</v>
      </c>
      <c r="CN22" s="479" t="n">
        <f aca="false">CM22/O54</f>
        <v>4.38751325355177</v>
      </c>
      <c r="CO22" s="463" t="n">
        <f aca="false">IF(CO$6&lt;Total_Lanes,900*Peak_Time_Eve*(($CN22/CO$6-1)+SQRT(($CN22/CO$6-1)^2+8*($CN22/CO$6)/(Peak_Time_Eve*$O55*CO$6))),"-")</f>
        <v>12198.1554051588</v>
      </c>
      <c r="CP22" s="463" t="n">
        <f aca="false">IF(CP$6&lt;Total_Lanes,900*Peak_Time_Eve*(($CN22/CP$6-1)+SQRT(($CN22/CP$6-1)^2+8*($CN22/CP$6)/(Peak_Time_Eve*$O55*CP$6))),"-")</f>
        <v>4299.72795598383</v>
      </c>
      <c r="CQ22" s="463" t="n">
        <f aca="false">IF(CQ$6&lt;Total_Lanes,900*Peak_Time_Eve*(($CN22/CQ$6-1)+SQRT(($CN22/CQ$6-1)^2+8*($CN22/CQ$6)/(Peak_Time_Eve*$O55*CQ$6))),"-")</f>
        <v>1667.54178562816</v>
      </c>
      <c r="CR22" s="463" t="n">
        <f aca="false">IF(CR$6&lt;Total_Lanes,900*Peak_Time_Eve*(($CN22/CR$6-1)+SQRT(($CN22/CR$6-1)^2+8*($CN22/CR$6)/(Peak_Time_Eve*$O55*CR$6))),"-")</f>
        <v>355.427858014678</v>
      </c>
      <c r="CS22" s="482" t="n">
        <f aca="false">IF(CS$6&lt;Total_Lanes,900*Peak_Time_Eve*(($CN22/CS$6-1)+SQRT(($CN22/CS$6-1)^2+8*($CN22/CS$6)/(Peak_Time_Eve*$O55*CS$6))),"-")</f>
        <v>3.41205224402605</v>
      </c>
      <c r="CT22" s="482" t="n">
        <f aca="false">IF(CT$6&lt;Total_Lanes,900*Peak_Time_Eve*(($CN22/CT$6-1)+SQRT(($CN22/CT$6-1)^2+8*($CN22/CT$6)/(Peak_Time_Eve*$O55*CT$6))),"-")</f>
        <v>1.08716269084882</v>
      </c>
      <c r="CU22" s="482" t="n">
        <f aca="false">IF(CU$6&lt;Total_Lanes,900*Peak_Time_Eve*(($CN22/CU$6-1)+SQRT(($CN22/CU$6-1)^2+8*($CN22/CU$6)/(Peak_Time_Eve*$O55*CU$6))),"-")</f>
        <v>0.575561243648326</v>
      </c>
      <c r="CV22" s="482" t="n">
        <f aca="false">IF(CV$6&lt;Total_Lanes,900*Peak_Time_Eve*(($CN22/CV$6-1)+SQRT(($CN22/CV$6-1)^2+8*($CN22/CV$6)/(Peak_Time_Eve*$O55*CV$6))),"-")</f>
        <v>0.364280668315176</v>
      </c>
      <c r="CW22" s="482" t="n">
        <f aca="false">IF(CW$6&lt;Total_Lanes,900*Peak_Time_Eve*(($CN22/CW$6-1)+SQRT(($CN22/CW$6-1)^2+8*($CN22/CW$6)/(Peak_Time_Eve*$O55*CW$6))),"-")</f>
        <v>0.253625166699667</v>
      </c>
      <c r="CX22" s="482" t="n">
        <f aca="false">IF(CX$6&lt;Total_Lanes,900*Peak_Time_Eve*(($CN22/CX$6-1)+SQRT(($CN22/CX$6-1)^2+8*($CN22/CX$6)/(Peak_Time_Eve*$O55*CX$6))),"-")</f>
        <v>0.1876005178159</v>
      </c>
      <c r="CY22" s="482" t="n">
        <f aca="false">IF(CY$6&lt;Total_Lanes,900*Peak_Time_Eve*(($CN22/CY$6-1)+SQRT(($CN22/CY$6-1)^2+8*($CN22/CY$6)/(Peak_Time_Eve*$O55*CY$6))),"-")</f>
        <v>0.144758186549088</v>
      </c>
      <c r="CZ22" s="483" t="str">
        <f aca="false">IF(CZ$6&lt;Total_Lanes,900*Peak_Time_Eve*(($CN22/CZ$6-1)+SQRT(($CN22/CZ$6-1)^2+8*($CN22/CZ$6)/(Peak_Time_Eve*$O55*CZ$6))),"-")</f>
        <v>-</v>
      </c>
      <c r="DA22" s="483" t="str">
        <f aca="false">IF(DA$6&lt;Total_Lanes,900*Peak_Time_Eve*(($CN22/DA$6-1)+SQRT(($CN22/DA$6-1)^2+8*($CN22/DA$6)/(Peak_Time_Eve*$O55*DA$6))),"-")</f>
        <v>-</v>
      </c>
      <c r="DB22" s="483" t="str">
        <f aca="false">IF(DB$6&lt;Total_Lanes,900*Peak_Time_Eve*(($CN22/DB$6-1)+SQRT(($CN22/DB$6-1)^2+8*($CN22/DB$6)/(Peak_Time_Eve*$O55*DB$6))),"-")</f>
        <v>-</v>
      </c>
      <c r="DC22" s="483" t="str">
        <f aca="false">IF(DC$6&lt;Total_Lanes,900*Peak_Time_Eve*(($CN22/DC$6-1)+SQRT(($CN22/DC$6-1)^2+8*($CN22/DC$6)/(Peak_Time_Eve*$O55*DC$6))),"-")</f>
        <v>-</v>
      </c>
      <c r="DD22" s="483" t="str">
        <f aca="false">IF(DD$6&lt;Total_Lanes,900*Peak_Time_Eve*(($CN22/DD$6-1)+SQRT(($CN22/DD$6-1)^2+8*($CN22/DD$6)/(Peak_Time_Eve*$O55*DD$6))),"-")</f>
        <v>-</v>
      </c>
      <c r="DE22" s="483" t="str">
        <f aca="false">IF(DE$6&lt;Total_Lanes,900*Peak_Time_Eve*(($CN22/DE$6-1)+SQRT(($CN22/DE$6-1)^2+8*($CN22/DE$6)/(Peak_Time_Eve*$O55*DE$6))),"-")</f>
        <v>-</v>
      </c>
      <c r="DF22" s="483" t="str">
        <f aca="false">IF(DF$6&lt;Total_Lanes,900*Peak_Time_Eve*(($CN22/DF$6-1)+SQRT(($CN22/DF$6-1)^2+8*($CN22/DF$6)/(Peak_Time_Eve*$O55*DF$6))),"-")</f>
        <v>-</v>
      </c>
      <c r="DG22" s="483" t="str">
        <f aca="false">IF(DG$6&lt;Total_Lanes,900*Peak_Time_Eve*(($CN22/DG$6-1)+SQRT(($CN22/DG$6-1)^2+8*($CN22/DG$6)/(Peak_Time_Eve*$O55*DG$6))),"-")</f>
        <v>-</v>
      </c>
      <c r="DH22" s="483" t="str">
        <f aca="false">IF(DH$6&lt;Total_Lanes,900*Peak_Time_Eve*(($CN22/DH$6-1)+SQRT(($CN22/DH$6-1)^2+8*($CN22/DH$6)/(Peak_Time_Eve*$O55*DH$6))),"-")</f>
        <v>-</v>
      </c>
      <c r="DI22" s="484" t="str">
        <f aca="false">IF(DI$6&lt;Total_Lanes,900*Peak_Time_Eve*(($CN22/DI$6-1)+SQRT(($CN22/DI$6-1)^2+8*($CN22/DI$6)/(Peak_Time_Eve*$O55*DI$6))),"-")</f>
        <v>-</v>
      </c>
      <c r="DJ22" s="485" t="n">
        <f aca="false">3600/O55</f>
        <v>2.4</v>
      </c>
    </row>
    <row r="23" customFormat="false" ht="13.2" hidden="false" customHeight="false" outlineLevel="0" collapsed="false">
      <c r="H23" s="440" t="n">
        <v>16</v>
      </c>
      <c r="I23" s="441" t="n">
        <f aca="false">'Input-Detail'!E30</f>
        <v>27803234.6</v>
      </c>
      <c r="J23" s="442" t="n">
        <f aca="false">'Input-Detail'!F30</f>
        <v>0.85</v>
      </c>
      <c r="K23" s="451" t="n">
        <f aca="false">AC23</f>
        <v>8392.35984043687</v>
      </c>
      <c r="L23" s="452" t="n">
        <f aca="false">AD70</f>
        <v>13.9153619291803</v>
      </c>
      <c r="M23" s="467" t="n">
        <f aca="false">AD23</f>
        <v>31.2608582060134</v>
      </c>
      <c r="N23" s="467" t="n">
        <f aca="false">SUM(L23:M23)</f>
        <v>45.1762201351937</v>
      </c>
      <c r="O23" s="471" t="n">
        <f aca="false">$S$34*N23</f>
        <v>11745.8172351504</v>
      </c>
      <c r="P23" s="452" t="n">
        <f aca="false">BC70</f>
        <v>2.42016119816019</v>
      </c>
      <c r="Q23" s="467" t="n">
        <f aca="false">BC23</f>
        <v>8.42294087697531</v>
      </c>
      <c r="R23" s="467" t="n">
        <f aca="false">SUM(P23:Q23)</f>
        <v>10.8431020751355</v>
      </c>
      <c r="S23" s="472" t="n">
        <f aca="false">$S$34*R23</f>
        <v>2819.20653953523</v>
      </c>
      <c r="T23" s="405"/>
      <c r="U23" s="405"/>
      <c r="V23" s="440" t="n">
        <v>16</v>
      </c>
      <c r="W23" s="448" t="n">
        <f aca="false">W$7+(W$27-W$7)*$V23/20</f>
        <v>27803234.6</v>
      </c>
      <c r="X23" s="442" t="n">
        <f aca="false">J23</f>
        <v>0.85</v>
      </c>
      <c r="Y23" s="448" t="n">
        <f aca="false">'Input-Detail'!E30/Z23</f>
        <v>11989.0854863384</v>
      </c>
      <c r="Z23" s="473" t="n">
        <f aca="false">Z22</f>
        <v>2319.04548780488</v>
      </c>
      <c r="AA23" s="473" t="n">
        <f aca="false">AA22</f>
        <v>2</v>
      </c>
      <c r="AB23" s="474" t="n">
        <f aca="false">AB22</f>
        <v>0.7</v>
      </c>
      <c r="AC23" s="451" t="n">
        <f aca="false">Y23*AB23</f>
        <v>8392.35984043687</v>
      </c>
      <c r="AD23" s="452" t="n">
        <f aca="false">Peak_Time_Eve*$BH23*(3600/K56+BK23)/3600</f>
        <v>31.2608582060134</v>
      </c>
      <c r="AE23" s="453" t="n">
        <f aca="false">IF(AE$6&lt;Total_Lanes,($BI23*($CH23+BM23)+$CM23*CO23)*Peak_Time_Eve/3600,"-")</f>
        <v>53599.1972877944</v>
      </c>
      <c r="AF23" s="453" t="n">
        <f aca="false">IF(AF$6&lt;Total_Lanes,($BI23*($CH23+BN23)+$CM23*CP23)*Peak_Time_Eve/3600,"-")</f>
        <v>19670.7863336252</v>
      </c>
      <c r="AG23" s="453" t="n">
        <f aca="false">IF(AG$6&lt;Total_Lanes,($BI23*($CH23+BO23)+$CM23*CQ23)*Peak_Time_Eve/3600,"-")</f>
        <v>8363.00351387408</v>
      </c>
      <c r="AH23" s="453" t="n">
        <f aca="false">IF(AH$6&lt;Total_Lanes,($BI23*($CH23+BP23)+$CM23*CR23)*Peak_Time_Eve/3600,"-")</f>
        <v>2715.2704559865</v>
      </c>
      <c r="AI23" s="453" t="n">
        <f aca="false">IF(AI$6&lt;Total_Lanes,($BI23*($CH23+BQ23)+$CM23*CS23)*Peak_Time_Eve/3600,"-")</f>
        <v>40.4449696318212</v>
      </c>
      <c r="AJ23" s="453" t="n">
        <f aca="false">IF(AJ$6&lt;Total_Lanes,($BI23*($CH23+BR23)+$CM23*CT23)*Peak_Time_Eve/3600,"-")</f>
        <v>11.426183522604</v>
      </c>
      <c r="AK23" s="453" t="n">
        <f aca="false">IF(AK$6&lt;Total_Lanes,($BI23*($CH23+BS23)+$CM23*CU23)*Peak_Time_Eve/3600,"-")</f>
        <v>8.61865782384287</v>
      </c>
      <c r="AL23" s="453" t="n">
        <f aca="false">IF(AL$6&lt;Total_Lanes,($BI23*($CH23+BT23)+$CM23*CV23)*Peak_Time_Eve/3600,"-")</f>
        <v>8.42294087697531</v>
      </c>
      <c r="AM23" s="453" t="n">
        <f aca="false">IF(AM$6&lt;Total_Lanes,($BI23*($CH23+BU23)+$CM23*CW23)*Peak_Time_Eve/3600,"-")</f>
        <v>12.6287091807182</v>
      </c>
      <c r="AN23" s="453" t="n">
        <f aca="false">IF(AN$6&lt;Total_Lanes,($BI23*($CH23+BV23)+$CM23*CX23)*Peak_Time_Eve/3600,"-")</f>
        <v>545.593886380095</v>
      </c>
      <c r="AO23" s="453" t="n">
        <f aca="false">IF(AO$6&lt;Total_Lanes,($BI23*($CH23+BW23)+$CM23*CY23)*Peak_Time_Eve/3600,"-")</f>
        <v>3583.95453471895</v>
      </c>
      <c r="AP23" s="453" t="str">
        <f aca="false">IF(AP$6&lt;Total_Lanes,($BI23*($CH23+BX23)+$CM23*CZ23)*Peak_Time_Eve/3600,"-")</f>
        <v>-</v>
      </c>
      <c r="AQ23" s="453" t="str">
        <f aca="false">IF(AQ$6&lt;Total_Lanes,($BI23*($CH23+BY23)+$CM23*DA23)*Peak_Time_Eve/3600,"-")</f>
        <v>-</v>
      </c>
      <c r="AR23" s="453" t="str">
        <f aca="false">IF(AR$6&lt;Total_Lanes,($BI23*($CH23+BZ23)+$CM23*DB23)*Peak_Time_Eve/3600,"-")</f>
        <v>-</v>
      </c>
      <c r="AS23" s="453" t="str">
        <f aca="false">IF(AS$6&lt;Total_Lanes,($BI23*($CH23+CA23)+$CM23*DC23)*Peak_Time_Eve/3600,"-")</f>
        <v>-</v>
      </c>
      <c r="AT23" s="453" t="str">
        <f aca="false">IF(AT$6&lt;Total_Lanes,($BI23*($CH23+CB23)+$CM23*DD23)*Peak_Time_Eve/3600,"-")</f>
        <v>-</v>
      </c>
      <c r="AU23" s="453" t="str">
        <f aca="false">IF(AU$6&lt;Total_Lanes,($BI23*($CH23+CC23)+$CM23*DE23)*Peak_Time_Eve/3600,"-")</f>
        <v>-</v>
      </c>
      <c r="AV23" s="453" t="str">
        <f aca="false">IF(AV$6&lt;Total_Lanes,($BI23*($CH23+CD23)+$CM23*DF23)*Peak_Time_Eve/3600,"-")</f>
        <v>-</v>
      </c>
      <c r="AW23" s="453" t="str">
        <f aca="false">IF(AW$6&lt;Total_Lanes,($BI23*($CH23+CE23)+$CM23*DG23)*Peak_Time_Eve/3600,"-")</f>
        <v>-</v>
      </c>
      <c r="AX23" s="453" t="str">
        <f aca="false">IF(AX$6&lt;Total_Lanes,($BI23*($CH23+CF23)+$CM23*DH23)*Peak_Time_Eve/3600,"-")</f>
        <v>-</v>
      </c>
      <c r="AY23" s="454" t="str">
        <f aca="false">IF(AY$6&lt;Total_Lanes,($BI23*($CH23+CG23)+$CM23*DI23)*Peak_Time_Eve/3600,"-")</f>
        <v>-</v>
      </c>
      <c r="AZ23" s="475" t="n">
        <f aca="false">SUMIF(AE23:AY23,BA23,$AE$6:$AY$6)</f>
        <v>8</v>
      </c>
      <c r="BA23" s="476" t="n">
        <f aca="false">MIN(AE23:AY23)</f>
        <v>8.42294087697531</v>
      </c>
      <c r="BB23" s="475" t="n">
        <f aca="false">IF((SUMIF($BM21:$CG21,$AZ23,$BM23:$CG23)+$CH23)&lt;(SUMIF($CO21:$DI21,$AZ23,$CO23:$DI23)+$DJ23),AZ23+1,AZ23)</f>
        <v>8</v>
      </c>
      <c r="BC23" s="476" t="n">
        <f aca="false">SUMIF($AE$6:$AY$6,$BB23,$AE23:$AY23)</f>
        <v>8.42294087697531</v>
      </c>
      <c r="BF23" s="440" t="n">
        <v>16</v>
      </c>
      <c r="BG23" s="442" t="n">
        <f aca="false">$X23</f>
        <v>0.85</v>
      </c>
      <c r="BH23" s="458" t="n">
        <f aca="false">$AC23</f>
        <v>8392.35984043687</v>
      </c>
      <c r="BI23" s="477" t="n">
        <f aca="false">BH23*(1-BG23)</f>
        <v>1258.85397606553</v>
      </c>
      <c r="BJ23" s="460" t="n">
        <f aca="false">Peak_Arrival_Manual/K56</f>
        <v>2.29915691461969</v>
      </c>
      <c r="BK23" s="461" t="n">
        <f aca="false">900*Peak_Time_Eve*(BJ23/Total_Lanes-1+SQRT((BJ23/Total_Lanes-1)^2+8*(BJ23/Total_Lanes)/(Peak_Time_Eve*$K56*Total_Lanes)))</f>
        <v>0.129853681285308</v>
      </c>
      <c r="BL23" s="462" t="n">
        <f aca="false">Peak_Arrival_Manual/N56</f>
        <v>2.41804867902588</v>
      </c>
      <c r="BM23" s="463" t="n">
        <f aca="false">IF(BM$6&lt;Total_Lanes,900*Peak_Time_Eve*(($BL23/(Total_Lanes-BM$6))-1+SQRT((($BL23/(Total_Lanes-BM$6))-1)^2+8*($BL23/(Total_Lanes-BM$6))/(Peak_Time_Eve*$N56*(Total_Lanes-BM$6)))),"-")</f>
        <v>0.177113272001739</v>
      </c>
      <c r="BN23" s="463" t="n">
        <f aca="false">IF(BN$6&lt;Total_Lanes,900*Peak_Time_Eve*(($BL23/(Total_Lanes-BN$6))-1+SQRT((($BL23/(Total_Lanes-BN$6))-1)^2+8*($BL23/(Total_Lanes-BN$6))/(Peak_Time_Eve*$N56*(Total_Lanes-BN$6)))),"-")</f>
        <v>0.220516528564563</v>
      </c>
      <c r="BO23" s="463" t="n">
        <f aca="false">IF(BO$6&lt;Total_Lanes,900*Peak_Time_Eve*(($BL23/(Total_Lanes-BO$6))-1+SQRT((($BL23/(Total_Lanes-BO$6))-1)^2+8*($BL23/(Total_Lanes-BO$6))/(Peak_Time_Eve*$N56*(Total_Lanes-BO$6)))),"-")</f>
        <v>0.2822367056869</v>
      </c>
      <c r="BP23" s="463" t="n">
        <f aca="false">IF(BP$6&lt;Total_Lanes,900*Peak_Time_Eve*(($BL23/(Total_Lanes-BP$6))-1+SQRT((($BL23/(Total_Lanes-BP$6))-1)^2+8*($BL23/(Total_Lanes-BP$6))/(Peak_Time_Eve*$N56*(Total_Lanes-BP$6)))),"-")</f>
        <v>0.374383299630288</v>
      </c>
      <c r="BQ23" s="463" t="n">
        <f aca="false">IF(BQ$6&lt;Total_Lanes,900*Peak_Time_Eve*(($BL23/(Total_Lanes-BQ$6))-1+SQRT((($BL23/(Total_Lanes-BQ$6))-1)^2+8*($BL23/(Total_Lanes-BQ$6))/(Peak_Time_Eve*$N56*(Total_Lanes-BQ$6)))),"-")</f>
        <v>0.521209909212828</v>
      </c>
      <c r="BR23" s="463" t="n">
        <f aca="false">IF(BR$6&lt;Total_Lanes,900*Peak_Time_Eve*(($BL23/(Total_Lanes-BR$6))-1+SQRT((($BL23/(Total_Lanes-BR$6))-1)^2+8*($BL23/(Total_Lanes-BR$6))/(Peak_Time_Eve*$N56*(Total_Lanes-BR$6)))),"-")</f>
        <v>0.777730556591916</v>
      </c>
      <c r="BS23" s="463" t="n">
        <f aca="false">IF(BS$6&lt;Total_Lanes,900*Peak_Time_Eve*(($BL23/(Total_Lanes-BS$6))-1+SQRT((($BL23/(Total_Lanes-BS$6))-1)^2+8*($BL23/(Total_Lanes-BS$6))/(Peak_Time_Eve*$N56*(Total_Lanes-BS$6)))),"-")</f>
        <v>1.2943058186311</v>
      </c>
      <c r="BT23" s="463" t="n">
        <f aca="false">IF(BT$6&lt;Total_Lanes,900*Peak_Time_Eve*(($BL23/(Total_Lanes-BT$6))-1+SQRT((($BL23/(Total_Lanes-BT$6))-1)^2+8*($BL23/(Total_Lanes-BT$6))/(Peak_Time_Eve*$N56*(Total_Lanes-BT$6)))),"-")</f>
        <v>2.63754767850094</v>
      </c>
      <c r="BU23" s="463" t="n">
        <f aca="false">IF(BU$6&lt;Total_Lanes,900*Peak_Time_Eve*(($BL23/(Total_Lanes-BU$6))-1+SQRT((($BL23/(Total_Lanes-BU$6))-1)^2+8*($BL23/(Total_Lanes-BU$6))/(Peak_Time_Eve*$N56*(Total_Lanes-BU$6)))),"-")</f>
        <v>9.44957080870436</v>
      </c>
      <c r="BV23" s="463" t="n">
        <f aca="false">IF(BV$6&lt;Total_Lanes,900*Peak_Time_Eve*(($BL23/(Total_Lanes-BV$6))-1+SQRT((($BL23/(Total_Lanes-BV$6))-1)^2+8*($BL23/(Total_Lanes-BV$6))/(Peak_Time_Eve*$N56*(Total_Lanes-BV$6)))),"-")</f>
        <v>771.981263688108</v>
      </c>
      <c r="BW23" s="463" t="n">
        <f aca="false">IF(BW$6&lt;Total_Lanes,900*Peak_Time_Eve*(($BL23/(Total_Lanes-BW$6))-1+SQRT((($BL23/(Total_Lanes-BW$6))-1)^2+8*($BL23/(Total_Lanes-BW$6))/(Peak_Time_Eve*$N56*(Total_Lanes-BW$6)))),"-")</f>
        <v>5116.73955322716</v>
      </c>
      <c r="BX23" s="453" t="str">
        <f aca="false">IF(BX$6&lt;Total_Lanes,900*Peak_Time_Eve*(($BL23/(Total_Lanes-BX$6))-1+SQRT((($BL23/(Total_Lanes-BX$6))-1)^2+8*($BL23/(Total_Lanes-BX$6))/(Peak_Time_Eve*$N56*(Total_Lanes-BX$6)))),"-")</f>
        <v>-</v>
      </c>
      <c r="BY23" s="453" t="str">
        <f aca="false">IF(BY$6&lt;Total_Lanes,900*Peak_Time_Eve*(($BL23/(Total_Lanes-BY$6))-1+SQRT((($BL23/(Total_Lanes-BY$6))-1)^2+8*($BL23/(Total_Lanes-BY$6))/(Peak_Time_Eve*$N56*(Total_Lanes-BY$6)))),"-")</f>
        <v>-</v>
      </c>
      <c r="BZ23" s="453" t="str">
        <f aca="false">IF(BZ$6&lt;Total_Lanes,900*Peak_Time_Eve*(($BL23/(Total_Lanes-BZ$6))-1+SQRT((($BL23/(Total_Lanes-BZ$6))-1)^2+8*($BL23/(Total_Lanes-BZ$6))/(Peak_Time_Eve*$N56*(Total_Lanes-BZ$6)))),"-")</f>
        <v>-</v>
      </c>
      <c r="CA23" s="453" t="str">
        <f aca="false">IF(CA$6&lt;Total_Lanes,900*Peak_Time_Eve*(($BL23/(Total_Lanes-CA$6))-1+SQRT((($BL23/(Total_Lanes-CA$6))-1)^2+8*($BL23/(Total_Lanes-CA$6))/(Peak_Time_Eve*$N56*(Total_Lanes-CA$6)))),"-")</f>
        <v>-</v>
      </c>
      <c r="CB23" s="453" t="str">
        <f aca="false">IF(CB$6&lt;Total_Lanes,900*Peak_Time_Eve*(($BL23/(Total_Lanes-CB$6))-1+SQRT((($BL23/(Total_Lanes-CB$6))-1)^2+8*($BL23/(Total_Lanes-CB$6))/(Peak_Time_Eve*$N56*(Total_Lanes-CB$6)))),"-")</f>
        <v>-</v>
      </c>
      <c r="CC23" s="453" t="str">
        <f aca="false">IF(CC$6&lt;Total_Lanes,900*Peak_Time_Eve*(($BL23/(Total_Lanes-CC$6))-1+SQRT((($BL23/(Total_Lanes-CC$6))-1)^2+8*($BL23/(Total_Lanes-CC$6))/(Peak_Time_Eve*$N56*(Total_Lanes-CC$6)))),"-")</f>
        <v>-</v>
      </c>
      <c r="CD23" s="453" t="str">
        <f aca="false">IF(CD$6&lt;Total_Lanes,900*Peak_Time_Eve*(($BL23/(Total_Lanes-CD$6))-1+SQRT((($BL23/(Total_Lanes-CD$6))-1)^2+8*($BL23/(Total_Lanes-CD$6))/(Peak_Time_Eve*$N56*(Total_Lanes-CD$6)))),"-")</f>
        <v>-</v>
      </c>
      <c r="CE23" s="453" t="str">
        <f aca="false">IF(CE$6&lt;Total_Lanes,900*Peak_Time_Eve*(($BL23/(Total_Lanes-CE$6))-1+SQRT((($BL23/(Total_Lanes-CE$6))-1)^2+8*($BL23/(Total_Lanes-CE$6))/(Peak_Time_Eve*$N56*(Total_Lanes-CE$6)))),"-")</f>
        <v>-</v>
      </c>
      <c r="CF23" s="453" t="str">
        <f aca="false">IF(CF$6&lt;Total_Lanes,900*Peak_Time_Eve*(($BL23/(Total_Lanes-CF$6))-1+SQRT((($BL23/(Total_Lanes-CF$6))-1)^2+8*($BL23/(Total_Lanes-CF$6))/(Peak_Time_Eve*$N56*(Total_Lanes-CF$6)))),"-")</f>
        <v>-</v>
      </c>
      <c r="CG23" s="464" t="str">
        <f aca="false">IF(CG$6&lt;Total_Lanes,900*Peak_Time_Eve*(($BL23/(Total_Lanes-CG$6))-1+SQRT((($BL23/(Total_Lanes-CG$6))-1)^2+8*($BL23/(Total_Lanes-CG$6))/(Peak_Time_Eve*$N56*(Total_Lanes-CG$6)))),"-")</f>
        <v>-</v>
      </c>
      <c r="CH23" s="478" t="n">
        <f aca="false">3600/N56</f>
        <v>6.915</v>
      </c>
      <c r="CJ23" s="440" t="n">
        <v>16</v>
      </c>
      <c r="CK23" s="442" t="n">
        <f aca="false">$X23</f>
        <v>0.85</v>
      </c>
      <c r="CL23" s="451" t="n">
        <f aca="false">$AC23</f>
        <v>8392.35984043687</v>
      </c>
      <c r="CM23" s="452" t="n">
        <f aca="false">CL23*CK23</f>
        <v>7133.50586437134</v>
      </c>
      <c r="CN23" s="479" t="n">
        <f aca="false">CM23/O55</f>
        <v>4.75567057624756</v>
      </c>
      <c r="CO23" s="463" t="n">
        <f aca="false">IF(CO$6&lt;Total_Lanes,900*Peak_Time_Eve*(($CN23/CO$6-1)+SQRT(($CN23/CO$6-1)^2+8*($CN23/CO$6)/(Peak_Time_Eve*$O56*CO$6))),"-")</f>
        <v>13523.4524253861</v>
      </c>
      <c r="CP23" s="463" t="n">
        <f aca="false">IF(CP$6&lt;Total_Lanes,900*Peak_Time_Eve*(($CN23/CP$6-1)+SQRT(($CN23/CP$6-1)^2+8*($CN23/CP$6)/(Peak_Time_Eve*$O56*CP$6))),"-")</f>
        <v>4962.27710472228</v>
      </c>
      <c r="CQ23" s="463" t="n">
        <f aca="false">IF(CQ$6&lt;Total_Lanes,900*Peak_Time_Eve*(($CN23/CQ$6-1)+SQRT(($CN23/CQ$6-1)^2+8*($CN23/CQ$6)/(Peak_Time_Eve*$O56*CQ$6))),"-")</f>
        <v>2108.96946620167</v>
      </c>
      <c r="CR23" s="463" t="n">
        <f aca="false">IF(CR$6&lt;Total_Lanes,900*Peak_Time_Eve*(($CN23/CR$6-1)+SQRT(($CN23/CR$6-1)^2+8*($CN23/CR$6)/(Peak_Time_Eve*$O56*CR$6))),"-")</f>
        <v>683.858770761073</v>
      </c>
      <c r="CS23" s="482" t="n">
        <f aca="false">IF(CS$6&lt;Total_Lanes,900*Peak_Time_Eve*(($CN23/CS$6-1)+SQRT(($CN23/CS$6-1)^2+8*($CN23/CS$6)/(Peak_Time_Eve*$O56*CS$6))),"-")</f>
        <v>8.89322082751222</v>
      </c>
      <c r="CT23" s="482" t="n">
        <f aca="false">IF(CT$6&lt;Total_Lanes,900*Peak_Time_Eve*(($CN23/CT$6-1)+SQRT(($CN23/CT$6-1)^2+8*($CN23/CT$6)/(Peak_Time_Eve*$O56*CT$6))),"-")</f>
        <v>1.52563215053582</v>
      </c>
      <c r="CU23" s="482" t="n">
        <f aca="false">IF(CU$6&lt;Total_Lanes,900*Peak_Time_Eve*(($CN23/CU$6-1)+SQRT(($CN23/CU$6-1)^2+8*($CN23/CU$6)/(Peak_Time_Eve*$O56*CU$6))),"-")</f>
        <v>0.726047880364633</v>
      </c>
      <c r="CV23" s="482" t="n">
        <f aca="false">IF(CV$6&lt;Total_Lanes,900*Peak_Time_Eve*(($CN23/CV$6-1)+SQRT(($CN23/CV$6-1)^2+8*($CN23/CV$6)/(Peak_Time_Eve*$O56*CV$6))),"-")</f>
        <v>0.439619874370911</v>
      </c>
      <c r="CW23" s="482" t="n">
        <f aca="false">IF(CW$6&lt;Total_Lanes,900*Peak_Time_Eve*(($CN23/CW$6-1)+SQRT(($CN23/CW$6-1)^2+8*($CN23/CW$6)/(Peak_Time_Eve*$O56*CW$6))),"-")</f>
        <v>0.298741115051582</v>
      </c>
      <c r="CX23" s="482" t="n">
        <f aca="false">IF(CX$6&lt;Total_Lanes,900*Peak_Time_Eve*(($CN23/CX$6-1)+SQRT(($CN23/CX$6-1)^2+8*($CN23/CX$6)/(Peak_Time_Eve*$O56*CX$6))),"-")</f>
        <v>0.217612072846629</v>
      </c>
      <c r="CY23" s="482" t="n">
        <f aca="false">IF(CY$6&lt;Total_Lanes,900*Peak_Time_Eve*(($CN23/CY$6-1)+SQRT(($CN23/CY$6-1)^2+8*($CN23/CY$6)/(Peak_Time_Eve*$O56*CY$6))),"-")</f>
        <v>0.166153389423451</v>
      </c>
      <c r="CZ23" s="483" t="str">
        <f aca="false">IF(CZ$6&lt;Total_Lanes,900*Peak_Time_Eve*(($CN23/CZ$6-1)+SQRT(($CN23/CZ$6-1)^2+8*($CN23/CZ$6)/(Peak_Time_Eve*$O56*CZ$6))),"-")</f>
        <v>-</v>
      </c>
      <c r="DA23" s="483" t="str">
        <f aca="false">IF(DA$6&lt;Total_Lanes,900*Peak_Time_Eve*(($CN23/DA$6-1)+SQRT(($CN23/DA$6-1)^2+8*($CN23/DA$6)/(Peak_Time_Eve*$O56*DA$6))),"-")</f>
        <v>-</v>
      </c>
      <c r="DB23" s="483" t="str">
        <f aca="false">IF(DB$6&lt;Total_Lanes,900*Peak_Time_Eve*(($CN23/DB$6-1)+SQRT(($CN23/DB$6-1)^2+8*($CN23/DB$6)/(Peak_Time_Eve*$O56*DB$6))),"-")</f>
        <v>-</v>
      </c>
      <c r="DC23" s="483" t="str">
        <f aca="false">IF(DC$6&lt;Total_Lanes,900*Peak_Time_Eve*(($CN23/DC$6-1)+SQRT(($CN23/DC$6-1)^2+8*($CN23/DC$6)/(Peak_Time_Eve*$O56*DC$6))),"-")</f>
        <v>-</v>
      </c>
      <c r="DD23" s="483" t="str">
        <f aca="false">IF(DD$6&lt;Total_Lanes,900*Peak_Time_Eve*(($CN23/DD$6-1)+SQRT(($CN23/DD$6-1)^2+8*($CN23/DD$6)/(Peak_Time_Eve*$O56*DD$6))),"-")</f>
        <v>-</v>
      </c>
      <c r="DE23" s="483" t="str">
        <f aca="false">IF(DE$6&lt;Total_Lanes,900*Peak_Time_Eve*(($CN23/DE$6-1)+SQRT(($CN23/DE$6-1)^2+8*($CN23/DE$6)/(Peak_Time_Eve*$O56*DE$6))),"-")</f>
        <v>-</v>
      </c>
      <c r="DF23" s="483" t="str">
        <f aca="false">IF(DF$6&lt;Total_Lanes,900*Peak_Time_Eve*(($CN23/DF$6-1)+SQRT(($CN23/DF$6-1)^2+8*($CN23/DF$6)/(Peak_Time_Eve*$O56*DF$6))),"-")</f>
        <v>-</v>
      </c>
      <c r="DG23" s="483" t="str">
        <f aca="false">IF(DG$6&lt;Total_Lanes,900*Peak_Time_Eve*(($CN23/DG$6-1)+SQRT(($CN23/DG$6-1)^2+8*($CN23/DG$6)/(Peak_Time_Eve*$O56*DG$6))),"-")</f>
        <v>-</v>
      </c>
      <c r="DH23" s="483" t="str">
        <f aca="false">IF(DH$6&lt;Total_Lanes,900*Peak_Time_Eve*(($CN23/DH$6-1)+SQRT(($CN23/DH$6-1)^2+8*($CN23/DH$6)/(Peak_Time_Eve*$O56*DH$6))),"-")</f>
        <v>-</v>
      </c>
      <c r="DI23" s="484" t="str">
        <f aca="false">IF(DI$6&lt;Total_Lanes,900*Peak_Time_Eve*(($CN23/DI$6-1)+SQRT(($CN23/DI$6-1)^2+8*($CN23/DI$6)/(Peak_Time_Eve*$O56*DI$6))),"-")</f>
        <v>-</v>
      </c>
      <c r="DJ23" s="485" t="n">
        <f aca="false">3600/O56</f>
        <v>2.4</v>
      </c>
    </row>
    <row r="24" customFormat="false" ht="13.2" hidden="false" customHeight="false" outlineLevel="0" collapsed="false">
      <c r="H24" s="440" t="n">
        <v>17</v>
      </c>
      <c r="I24" s="441" t="n">
        <f aca="false">'Input-Detail'!E31</f>
        <v>28352425.95</v>
      </c>
      <c r="J24" s="442" t="n">
        <f aca="false">'Input-Detail'!F31</f>
        <v>0.9</v>
      </c>
      <c r="K24" s="451" t="n">
        <f aca="false">AC24</f>
        <v>8558.13233046418</v>
      </c>
      <c r="L24" s="452" t="n">
        <f aca="false">AD71</f>
        <v>14.1996623258617</v>
      </c>
      <c r="M24" s="467" t="n">
        <f aca="false">AD24</f>
        <v>31.6510845478937</v>
      </c>
      <c r="N24" s="467" t="n">
        <f aca="false">SUM(L24:M24)</f>
        <v>45.8507468737554</v>
      </c>
      <c r="O24" s="471" t="n">
        <f aca="false">$S$34*N24</f>
        <v>11921.1941871764</v>
      </c>
      <c r="P24" s="452" t="n">
        <f aca="false">BC71</f>
        <v>1.69793723777108</v>
      </c>
      <c r="Q24" s="467" t="n">
        <f aca="false">BC24</f>
        <v>6.15275666877029</v>
      </c>
      <c r="R24" s="467" t="n">
        <f aca="false">SUM(P24:Q24)</f>
        <v>7.85069390654136</v>
      </c>
      <c r="S24" s="472" t="n">
        <f aca="false">$S$34*R24</f>
        <v>2041.18041570075</v>
      </c>
      <c r="T24" s="405"/>
      <c r="U24" s="405"/>
      <c r="V24" s="440" t="n">
        <v>17</v>
      </c>
      <c r="W24" s="448" t="n">
        <f aca="false">W$7+(W$27-W$7)*$V24/20</f>
        <v>28352425.95</v>
      </c>
      <c r="X24" s="442" t="n">
        <f aca="false">J24</f>
        <v>0.9</v>
      </c>
      <c r="Y24" s="448" t="n">
        <f aca="false">'Input-Detail'!E31/Z24</f>
        <v>12225.9033292345</v>
      </c>
      <c r="Z24" s="473" t="n">
        <f aca="false">Z23</f>
        <v>2319.04548780488</v>
      </c>
      <c r="AA24" s="473" t="n">
        <f aca="false">AA23</f>
        <v>2</v>
      </c>
      <c r="AB24" s="474" t="n">
        <f aca="false">AB23</f>
        <v>0.7</v>
      </c>
      <c r="AC24" s="451" t="n">
        <f aca="false">Y24*AB24</f>
        <v>8558.13233046418</v>
      </c>
      <c r="AD24" s="452" t="n">
        <f aca="false">Peak_Time_Eve*$BH24*(3600/K57+BK24)/3600</f>
        <v>31.6510845478937</v>
      </c>
      <c r="AE24" s="453" t="n">
        <f aca="false">IF(AE$6&lt;Total_Lanes,($BI24*($CH24+BM24)+$CM24*CO24)*Peak_Time_Eve/3600,"-")</f>
        <v>63712.4227229179</v>
      </c>
      <c r="AF24" s="453" t="n">
        <f aca="false">IF(AF$6&lt;Total_Lanes,($BI24*($CH24+BN24)+$CM24*CP24)*Peak_Time_Eve/3600,"-")</f>
        <v>24157.612341177</v>
      </c>
      <c r="AG24" s="453" t="n">
        <f aca="false">IF(AG$6&lt;Total_Lanes,($BI24*($CH24+BO24)+$CM24*CQ24)*Peak_Time_Eve/3600,"-")</f>
        <v>10973.955822686</v>
      </c>
      <c r="AH24" s="453" t="n">
        <f aca="false">IF(AH$6&lt;Total_Lanes,($BI24*($CH24+BP24)+$CM24*CR24)*Peak_Time_Eve/3600,"-")</f>
        <v>4385.59243686441</v>
      </c>
      <c r="AI24" s="453" t="n">
        <f aca="false">IF(AI$6&lt;Total_Lanes,($BI24*($CH24+BQ24)+$CM24*CS24)*Peak_Time_Eve/3600,"-")</f>
        <v>486.292786709248</v>
      </c>
      <c r="AJ24" s="453" t="n">
        <f aca="false">IF(AJ$6&lt;Total_Lanes,($BI24*($CH24+BR24)+$CM24*CT24)*Peak_Time_Eve/3600,"-")</f>
        <v>13.6193402732019</v>
      </c>
      <c r="AK24" s="453" t="n">
        <f aca="false">IF(AK$6&lt;Total_Lanes,($BI24*($CH24+BS24)+$CM24*CU24)*Peak_Time_Eve/3600,"-")</f>
        <v>7.65745007247456</v>
      </c>
      <c r="AL24" s="453" t="n">
        <f aca="false">IF(AL$6&lt;Total_Lanes,($BI24*($CH24+BT24)+$CM24*CV24)*Peak_Time_Eve/3600,"-")</f>
        <v>6.17548669528638</v>
      </c>
      <c r="AM24" s="453" t="n">
        <f aca="false">IF(AM$6&lt;Total_Lanes,($BI24*($CH24+BU24)+$CM24*CW24)*Peak_Time_Eve/3600,"-")</f>
        <v>6.15275666877029</v>
      </c>
      <c r="AN24" s="453" t="n">
        <f aca="false">IF(AN$6&lt;Total_Lanes,($BI24*($CH24+BV24)+$CM24*CX24)*Peak_Time_Eve/3600,"-")</f>
        <v>11.9363470454939</v>
      </c>
      <c r="AO24" s="453" t="n">
        <f aca="false">IF(AO$6&lt;Total_Lanes,($BI24*($CH24+BW24)+$CM24*CY24)*Peak_Time_Eve/3600,"-")</f>
        <v>1123.15208815003</v>
      </c>
      <c r="AP24" s="453" t="str">
        <f aca="false">IF(AP$6&lt;Total_Lanes,($BI24*($CH24+BX24)+$CM24*CZ24)*Peak_Time_Eve/3600,"-")</f>
        <v>-</v>
      </c>
      <c r="AQ24" s="453" t="str">
        <f aca="false">IF(AQ$6&lt;Total_Lanes,($BI24*($CH24+BY24)+$CM24*DA24)*Peak_Time_Eve/3600,"-")</f>
        <v>-</v>
      </c>
      <c r="AR24" s="453" t="str">
        <f aca="false">IF(AR$6&lt;Total_Lanes,($BI24*($CH24+BZ24)+$CM24*DB24)*Peak_Time_Eve/3600,"-")</f>
        <v>-</v>
      </c>
      <c r="AS24" s="453" t="str">
        <f aca="false">IF(AS$6&lt;Total_Lanes,($BI24*($CH24+CA24)+$CM24*DC24)*Peak_Time_Eve/3600,"-")</f>
        <v>-</v>
      </c>
      <c r="AT24" s="453" t="str">
        <f aca="false">IF(AT$6&lt;Total_Lanes,($BI24*($CH24+CB24)+$CM24*DD24)*Peak_Time_Eve/3600,"-")</f>
        <v>-</v>
      </c>
      <c r="AU24" s="453" t="str">
        <f aca="false">IF(AU$6&lt;Total_Lanes,($BI24*($CH24+CC24)+$CM24*DE24)*Peak_Time_Eve/3600,"-")</f>
        <v>-</v>
      </c>
      <c r="AV24" s="453" t="str">
        <f aca="false">IF(AV$6&lt;Total_Lanes,($BI24*($CH24+CD24)+$CM24*DF24)*Peak_Time_Eve/3600,"-")</f>
        <v>-</v>
      </c>
      <c r="AW24" s="453" t="str">
        <f aca="false">IF(AW$6&lt;Total_Lanes,($BI24*($CH24+CE24)+$CM24*DG24)*Peak_Time_Eve/3600,"-")</f>
        <v>-</v>
      </c>
      <c r="AX24" s="453" t="str">
        <f aca="false">IF(AX$6&lt;Total_Lanes,($BI24*($CH24+CF24)+$CM24*DH24)*Peak_Time_Eve/3600,"-")</f>
        <v>-</v>
      </c>
      <c r="AY24" s="454" t="str">
        <f aca="false">IF(AY$6&lt;Total_Lanes,($BI24*($CH24+CG24)+$CM24*DI24)*Peak_Time_Eve/3600,"-")</f>
        <v>-</v>
      </c>
      <c r="AZ24" s="475" t="n">
        <f aca="false">SUMIF(AE24:AY24,BA24,$AE$6:$AY$6)</f>
        <v>9</v>
      </c>
      <c r="BA24" s="476" t="n">
        <f aca="false">MIN(AE24:AY24)</f>
        <v>6.15275666877029</v>
      </c>
      <c r="BB24" s="475" t="n">
        <f aca="false">IF((SUMIF($BM22:$CG22,$AZ24,$BM24:$CG24)+$CH24)&lt;(SUMIF($CO22:$DI22,$AZ24,$CO24:$DI24)+$DJ24),AZ24+1,AZ24)</f>
        <v>9</v>
      </c>
      <c r="BC24" s="476" t="n">
        <f aca="false">SUMIF($AE$6:$AY$6,$BB24,$AE24:$AY24)</f>
        <v>6.15275666877029</v>
      </c>
      <c r="BF24" s="440" t="n">
        <v>17</v>
      </c>
      <c r="BG24" s="442" t="n">
        <f aca="false">$X24</f>
        <v>0.9</v>
      </c>
      <c r="BH24" s="458" t="n">
        <f aca="false">$AC24</f>
        <v>8558.13233046418</v>
      </c>
      <c r="BI24" s="477" t="n">
        <f aca="false">BH24*(1-BG24)</f>
        <v>855.813233046418</v>
      </c>
      <c r="BJ24" s="460" t="n">
        <f aca="false">Peak_Arrival_Manual/K57</f>
        <v>1.56304777980005</v>
      </c>
      <c r="BK24" s="461" t="n">
        <f aca="false">900*Peak_Time_Eve*(BJ24/Total_Lanes-1+SQRT((BJ24/Total_Lanes-1)^2+8*(BJ24/Total_Lanes)/(Peak_Time_Eve*$K57*Total_Lanes)))</f>
        <v>0.0820543649350913</v>
      </c>
      <c r="BL24" s="462" t="n">
        <f aca="false">Peak_Arrival_Manual/N57</f>
        <v>1.64892626047728</v>
      </c>
      <c r="BM24" s="463" t="n">
        <f aca="false">IF(BM$6&lt;Total_Lanes,900*Peak_Time_Eve*(($BL24/(Total_Lanes-BM$6))-1+SQRT((($BL24/(Total_Lanes-BM$6))-1)^2+8*($BL24/(Total_Lanes-BM$6))/(Peak_Time_Eve*$N57*(Total_Lanes-BM$6)))),"-")</f>
        <v>0.111187515805811</v>
      </c>
      <c r="BN24" s="463" t="n">
        <f aca="false">IF(BN$6&lt;Total_Lanes,900*Peak_Time_Eve*(($BL24/(Total_Lanes-BN$6))-1+SQRT((($BL24/(Total_Lanes-BN$6))-1)^2+8*($BL24/(Total_Lanes-BN$6))/(Peak_Time_Eve*$N57*(Total_Lanes-BN$6)))),"-")</f>
        <v>0.136950578403883</v>
      </c>
      <c r="BO24" s="463" t="n">
        <f aca="false">IF(BO$6&lt;Total_Lanes,900*Peak_Time_Eve*(($BL24/(Total_Lanes-BO$6))-1+SQRT((($BL24/(Total_Lanes-BO$6))-1)^2+8*($BL24/(Total_Lanes-BO$6))/(Peak_Time_Eve*$N57*(Total_Lanes-BO$6)))),"-")</f>
        <v>0.172865032711789</v>
      </c>
      <c r="BP24" s="463" t="n">
        <f aca="false">IF(BP$6&lt;Total_Lanes,900*Peak_Time_Eve*(($BL24/(Total_Lanes-BP$6))-1+SQRT((($BL24/(Total_Lanes-BP$6))-1)^2+8*($BL24/(Total_Lanes-BP$6))/(Peak_Time_Eve*$N57*(Total_Lanes-BP$6)))),"-")</f>
        <v>0.225089184318805</v>
      </c>
      <c r="BQ24" s="463" t="n">
        <f aca="false">IF(BQ$6&lt;Total_Lanes,900*Peak_Time_Eve*(($BL24/(Total_Lanes-BQ$6))-1+SQRT((($BL24/(Total_Lanes-BQ$6))-1)^2+8*($BL24/(Total_Lanes-BQ$6))/(Peak_Time_Eve*$N57*(Total_Lanes-BQ$6)))),"-")</f>
        <v>0.305308445558294</v>
      </c>
      <c r="BR24" s="463" t="n">
        <f aca="false">IF(BR$6&lt;Total_Lanes,900*Peak_Time_Eve*(($BL24/(Total_Lanes-BR$6))-1+SQRT((($BL24/(Total_Lanes-BR$6))-1)^2+8*($BL24/(Total_Lanes-BR$6))/(Peak_Time_Eve*$N57*(Total_Lanes-BR$6)))),"-")</f>
        <v>0.438031573439135</v>
      </c>
      <c r="BS24" s="463" t="n">
        <f aca="false">IF(BS$6&lt;Total_Lanes,900*Peak_Time_Eve*(($BL24/(Total_Lanes-BS$6))-1+SQRT((($BL24/(Total_Lanes-BS$6))-1)^2+8*($BL24/(Total_Lanes-BS$6))/(Peak_Time_Eve*$N57*(Total_Lanes-BS$6)))),"-")</f>
        <v>0.682415947488924</v>
      </c>
      <c r="BT24" s="463" t="n">
        <f aca="false">IF(BT$6&lt;Total_Lanes,900*Peak_Time_Eve*(($BL24/(Total_Lanes-BT$6))-1+SQRT((($BL24/(Total_Lanes-BT$6))-1)^2+8*($BL24/(Total_Lanes-BT$6))/(Peak_Time_Eve*$N57*(Total_Lanes-BT$6)))),"-")</f>
        <v>1.21548702632543</v>
      </c>
      <c r="BU24" s="463" t="n">
        <f aca="false">IF(BU$6&lt;Total_Lanes,900*Peak_Time_Eve*(($BL24/(Total_Lanes-BU$6))-1+SQRT((($BL24/(Total_Lanes-BU$6))-1)^2+8*($BL24/(Total_Lanes-BU$6))/(Peak_Time_Eve*$N57*(Total_Lanes-BU$6)))),"-")</f>
        <v>2.81690211678843</v>
      </c>
      <c r="BV24" s="463" t="n">
        <f aca="false">IF(BV$6&lt;Total_Lanes,900*Peak_Time_Eve*(($BL24/(Total_Lanes-BV$6))-1+SQRT((($BL24/(Total_Lanes-BV$6))-1)^2+8*($BL24/(Total_Lanes-BV$6))/(Peak_Time_Eve*$N57*(Total_Lanes-BV$6)))),"-")</f>
        <v>15.8895858129949</v>
      </c>
      <c r="BW24" s="463" t="n">
        <f aca="false">IF(BW$6&lt;Total_Lanes,900*Peak_Time_Eve*(($BL24/(Total_Lanes-BW$6))-1+SQRT((($BL24/(Total_Lanes-BW$6))-1)^2+8*($BL24/(Total_Lanes-BW$6))/(Peak_Time_Eve*$N57*(Total_Lanes-BW$6)))),"-")</f>
        <v>2353.62859488456</v>
      </c>
      <c r="BX24" s="453" t="str">
        <f aca="false">IF(BX$6&lt;Total_Lanes,900*Peak_Time_Eve*(($BL24/(Total_Lanes-BX$6))-1+SQRT((($BL24/(Total_Lanes-BX$6))-1)^2+8*($BL24/(Total_Lanes-BX$6))/(Peak_Time_Eve*$N57*(Total_Lanes-BX$6)))),"-")</f>
        <v>-</v>
      </c>
      <c r="BY24" s="453" t="str">
        <f aca="false">IF(BY$6&lt;Total_Lanes,900*Peak_Time_Eve*(($BL24/(Total_Lanes-BY$6))-1+SQRT((($BL24/(Total_Lanes-BY$6))-1)^2+8*($BL24/(Total_Lanes-BY$6))/(Peak_Time_Eve*$N57*(Total_Lanes-BY$6)))),"-")</f>
        <v>-</v>
      </c>
      <c r="BZ24" s="453" t="str">
        <f aca="false">IF(BZ$6&lt;Total_Lanes,900*Peak_Time_Eve*(($BL24/(Total_Lanes-BZ$6))-1+SQRT((($BL24/(Total_Lanes-BZ$6))-1)^2+8*($BL24/(Total_Lanes-BZ$6))/(Peak_Time_Eve*$N57*(Total_Lanes-BZ$6)))),"-")</f>
        <v>-</v>
      </c>
      <c r="CA24" s="453" t="str">
        <f aca="false">IF(CA$6&lt;Total_Lanes,900*Peak_Time_Eve*(($BL24/(Total_Lanes-CA$6))-1+SQRT((($BL24/(Total_Lanes-CA$6))-1)^2+8*($BL24/(Total_Lanes-CA$6))/(Peak_Time_Eve*$N57*(Total_Lanes-CA$6)))),"-")</f>
        <v>-</v>
      </c>
      <c r="CB24" s="453" t="str">
        <f aca="false">IF(CB$6&lt;Total_Lanes,900*Peak_Time_Eve*(($BL24/(Total_Lanes-CB$6))-1+SQRT((($BL24/(Total_Lanes-CB$6))-1)^2+8*($BL24/(Total_Lanes-CB$6))/(Peak_Time_Eve*$N57*(Total_Lanes-CB$6)))),"-")</f>
        <v>-</v>
      </c>
      <c r="CC24" s="453" t="str">
        <f aca="false">IF(CC$6&lt;Total_Lanes,900*Peak_Time_Eve*(($BL24/(Total_Lanes-CC$6))-1+SQRT((($BL24/(Total_Lanes-CC$6))-1)^2+8*($BL24/(Total_Lanes-CC$6))/(Peak_Time_Eve*$N57*(Total_Lanes-CC$6)))),"-")</f>
        <v>-</v>
      </c>
      <c r="CD24" s="453" t="str">
        <f aca="false">IF(CD$6&lt;Total_Lanes,900*Peak_Time_Eve*(($BL24/(Total_Lanes-CD$6))-1+SQRT((($BL24/(Total_Lanes-CD$6))-1)^2+8*($BL24/(Total_Lanes-CD$6))/(Peak_Time_Eve*$N57*(Total_Lanes-CD$6)))),"-")</f>
        <v>-</v>
      </c>
      <c r="CE24" s="453" t="str">
        <f aca="false">IF(CE$6&lt;Total_Lanes,900*Peak_Time_Eve*(($BL24/(Total_Lanes-CE$6))-1+SQRT((($BL24/(Total_Lanes-CE$6))-1)^2+8*($BL24/(Total_Lanes-CE$6))/(Peak_Time_Eve*$N57*(Total_Lanes-CE$6)))),"-")</f>
        <v>-</v>
      </c>
      <c r="CF24" s="453" t="str">
        <f aca="false">IF(CF$6&lt;Total_Lanes,900*Peak_Time_Eve*(($BL24/(Total_Lanes-CF$6))-1+SQRT((($BL24/(Total_Lanes-CF$6))-1)^2+8*($BL24/(Total_Lanes-CF$6))/(Peak_Time_Eve*$N57*(Total_Lanes-CF$6)))),"-")</f>
        <v>-</v>
      </c>
      <c r="CG24" s="464" t="str">
        <f aca="false">IF(CG$6&lt;Total_Lanes,900*Peak_Time_Eve*(($BL24/(Total_Lanes-CG$6))-1+SQRT((($BL24/(Total_Lanes-CG$6))-1)^2+8*($BL24/(Total_Lanes-CG$6))/(Peak_Time_Eve*$N57*(Total_Lanes-CG$6)))),"-")</f>
        <v>-</v>
      </c>
      <c r="CH24" s="478" t="n">
        <f aca="false">3600/N57</f>
        <v>6.93625</v>
      </c>
      <c r="CJ24" s="440" t="n">
        <v>17</v>
      </c>
      <c r="CK24" s="442" t="n">
        <f aca="false">$X24</f>
        <v>0.9</v>
      </c>
      <c r="CL24" s="451" t="n">
        <f aca="false">$AC24</f>
        <v>8558.13233046418</v>
      </c>
      <c r="CM24" s="452" t="n">
        <f aca="false">CL24*CK24</f>
        <v>7702.31909741776</v>
      </c>
      <c r="CN24" s="479" t="n">
        <f aca="false">CM24/O56</f>
        <v>5.13487939827851</v>
      </c>
      <c r="CO24" s="463" t="n">
        <f aca="false">IF(CO$6&lt;Total_Lanes,900*Peak_Time_Eve*(($CN24/CO$6-1)+SQRT(($CN24/CO$6-1)^2+8*($CN24/CO$6)/(Peak_Time_Eve*$O57*CO$6))),"-")</f>
        <v>14888.5456653455</v>
      </c>
      <c r="CP24" s="463" t="n">
        <f aca="false">IF(CP$6&lt;Total_Lanes,900*Peak_Time_Eve*(($CN24/CP$6-1)+SQRT(($CN24/CP$6-1)^2+8*($CN24/CP$6)/(Peak_Time_Eve*$O57*CP$6))),"-")</f>
        <v>5644.74781238804</v>
      </c>
      <c r="CQ24" s="463" t="n">
        <f aca="false">IF(CQ$6&lt;Total_Lanes,900*Peak_Time_Eve*(($CN24/CQ$6-1)+SQRT(($CN24/CQ$6-1)^2+8*($CN24/CQ$6)/(Peak_Time_Eve*$O57*CQ$6))),"-")</f>
        <v>2563.77802014653</v>
      </c>
      <c r="CR24" s="463" t="n">
        <f aca="false">IF(CR$6&lt;Total_Lanes,900*Peak_Time_Eve*(($CN24/CR$6-1)+SQRT(($CN24/CR$6-1)^2+8*($CN24/CR$6)/(Peak_Time_Eve*$O57*CR$6))),"-")</f>
        <v>1024.09904312587</v>
      </c>
      <c r="CS24" s="463" t="n">
        <f aca="false">IF(CS$6&lt;Total_Lanes,900*Peak_Time_Eve*(($CN24/CS$6-1)+SQRT(($CN24/CS$6-1)^2+8*($CN24/CS$6)/(Peak_Time_Eve*$O57*CS$6))),"-")</f>
        <v>112.839988000814</v>
      </c>
      <c r="CT24" s="482" t="n">
        <f aca="false">IF(CT$6&lt;Total_Lanes,900*Peak_Time_Eve*(($CN24/CT$6-1)+SQRT(($CN24/CT$6-1)^2+8*($CN24/CT$6)/(Peak_Time_Eve*$O57*CT$6))),"-")</f>
        <v>2.3634186673864</v>
      </c>
      <c r="CU24" s="482" t="n">
        <f aca="false">IF(CU$6&lt;Total_Lanes,900*Peak_Time_Eve*(($CN24/CU$6-1)+SQRT(($CN24/CU$6-1)^2+8*($CN24/CU$6)/(Peak_Time_Eve*$O57*CU$6))),"-")</f>
        <v>0.942995856516526</v>
      </c>
      <c r="CV24" s="482" t="n">
        <f aca="false">IF(CV$6&lt;Total_Lanes,900*Peak_Time_Eve*(($CN24/CV$6-1)+SQRT(($CN24/CV$6-1)^2+8*($CN24/CV$6)/(Peak_Time_Eve*$O57*CV$6))),"-")</f>
        <v>0.537437047169276</v>
      </c>
      <c r="CW24" s="482" t="n">
        <f aca="false">IF(CW$6&lt;Total_Lanes,900*Peak_Time_Eve*(($CN24/CW$6-1)+SQRT(($CN24/CW$6-1)^2+8*($CN24/CW$6)/(Peak_Time_Eve*$O57*CW$6))),"-")</f>
        <v>0.354190124275544</v>
      </c>
      <c r="CX24" s="482" t="n">
        <f aca="false">IF(CX$6&lt;Total_Lanes,900*Peak_Time_Eve*(($CN24/CX$6-1)+SQRT(($CN24/CX$6-1)^2+8*($CN24/CX$6)/(Peak_Time_Eve*$O57*CX$6))),"-")</f>
        <v>0.253270776386971</v>
      </c>
      <c r="CY24" s="482" t="n">
        <f aca="false">IF(CY$6&lt;Total_Lanes,900*Peak_Time_Eve*(($CN24/CY$6-1)+SQRT(($CN24/CY$6-1)^2+8*($CN24/CY$6)/(Peak_Time_Eve*$O57*CY$6))),"-")</f>
        <v>0.190997923492486</v>
      </c>
      <c r="CZ24" s="483" t="str">
        <f aca="false">IF(CZ$6&lt;Total_Lanes,900*Peak_Time_Eve*(($CN24/CZ$6-1)+SQRT(($CN24/CZ$6-1)^2+8*($CN24/CZ$6)/(Peak_Time_Eve*$O57*CZ$6))),"-")</f>
        <v>-</v>
      </c>
      <c r="DA24" s="483" t="str">
        <f aca="false">IF(DA$6&lt;Total_Lanes,900*Peak_Time_Eve*(($CN24/DA$6-1)+SQRT(($CN24/DA$6-1)^2+8*($CN24/DA$6)/(Peak_Time_Eve*$O57*DA$6))),"-")</f>
        <v>-</v>
      </c>
      <c r="DB24" s="483" t="str">
        <f aca="false">IF(DB$6&lt;Total_Lanes,900*Peak_Time_Eve*(($CN24/DB$6-1)+SQRT(($CN24/DB$6-1)^2+8*($CN24/DB$6)/(Peak_Time_Eve*$O57*DB$6))),"-")</f>
        <v>-</v>
      </c>
      <c r="DC24" s="483" t="str">
        <f aca="false">IF(DC$6&lt;Total_Lanes,900*Peak_Time_Eve*(($CN24/DC$6-1)+SQRT(($CN24/DC$6-1)^2+8*($CN24/DC$6)/(Peak_Time_Eve*$O57*DC$6))),"-")</f>
        <v>-</v>
      </c>
      <c r="DD24" s="483" t="str">
        <f aca="false">IF(DD$6&lt;Total_Lanes,900*Peak_Time_Eve*(($CN24/DD$6-1)+SQRT(($CN24/DD$6-1)^2+8*($CN24/DD$6)/(Peak_Time_Eve*$O57*DD$6))),"-")</f>
        <v>-</v>
      </c>
      <c r="DE24" s="483" t="str">
        <f aca="false">IF(DE$6&lt;Total_Lanes,900*Peak_Time_Eve*(($CN24/DE$6-1)+SQRT(($CN24/DE$6-1)^2+8*($CN24/DE$6)/(Peak_Time_Eve*$O57*DE$6))),"-")</f>
        <v>-</v>
      </c>
      <c r="DF24" s="483" t="str">
        <f aca="false">IF(DF$6&lt;Total_Lanes,900*Peak_Time_Eve*(($CN24/DF$6-1)+SQRT(($CN24/DF$6-1)^2+8*($CN24/DF$6)/(Peak_Time_Eve*$O57*DF$6))),"-")</f>
        <v>-</v>
      </c>
      <c r="DG24" s="483" t="str">
        <f aca="false">IF(DG$6&lt;Total_Lanes,900*Peak_Time_Eve*(($CN24/DG$6-1)+SQRT(($CN24/DG$6-1)^2+8*($CN24/DG$6)/(Peak_Time_Eve*$O57*DG$6))),"-")</f>
        <v>-</v>
      </c>
      <c r="DH24" s="483" t="str">
        <f aca="false">IF(DH$6&lt;Total_Lanes,900*Peak_Time_Eve*(($CN24/DH$6-1)+SQRT(($CN24/DH$6-1)^2+8*($CN24/DH$6)/(Peak_Time_Eve*$O57*DH$6))),"-")</f>
        <v>-</v>
      </c>
      <c r="DI24" s="484" t="str">
        <f aca="false">IF(DI$6&lt;Total_Lanes,900*Peak_Time_Eve*(($CN24/DI$6-1)+SQRT(($CN24/DI$6-1)^2+8*($CN24/DI$6)/(Peak_Time_Eve*$O57*DI$6))),"-")</f>
        <v>-</v>
      </c>
      <c r="DJ24" s="485" t="n">
        <f aca="false">3600/O57</f>
        <v>2.4</v>
      </c>
    </row>
    <row r="25" customFormat="false" ht="13.2" hidden="false" customHeight="false" outlineLevel="0" collapsed="false">
      <c r="H25" s="440" t="n">
        <v>18</v>
      </c>
      <c r="I25" s="441" t="n">
        <f aca="false">'Input-Detail'!E32</f>
        <v>28901617.3</v>
      </c>
      <c r="J25" s="442" t="n">
        <f aca="false">'Input-Detail'!F32</f>
        <v>0.95</v>
      </c>
      <c r="K25" s="451" t="n">
        <f aca="false">AC25</f>
        <v>8723.90482049148</v>
      </c>
      <c r="L25" s="452" t="n">
        <f aca="false">AD72</f>
        <v>14.4848930544688</v>
      </c>
      <c r="M25" s="467" t="n">
        <f aca="false">AD25</f>
        <v>32.0553172478912</v>
      </c>
      <c r="N25" s="467" t="n">
        <f aca="false">SUM(L25:M25)</f>
        <v>46.5402103023601</v>
      </c>
      <c r="O25" s="471" t="n">
        <f aca="false">$S$34*N25</f>
        <v>12100.4546786136</v>
      </c>
      <c r="P25" s="452" t="n">
        <f aca="false">BC72</f>
        <v>0.943421964394648</v>
      </c>
      <c r="Q25" s="467" t="n">
        <f aca="false">BC25</f>
        <v>3.66363709198948</v>
      </c>
      <c r="R25" s="467" t="n">
        <f aca="false">SUM(P25:Q25)</f>
        <v>4.60705905638413</v>
      </c>
      <c r="S25" s="472" t="n">
        <f aca="false">$S$34*R25</f>
        <v>1197.83535465987</v>
      </c>
      <c r="T25" s="405"/>
      <c r="U25" s="405"/>
      <c r="V25" s="440" t="n">
        <v>18</v>
      </c>
      <c r="W25" s="448" t="n">
        <f aca="false">W$7+(W$27-W$7)*$V25/20</f>
        <v>28901617.3</v>
      </c>
      <c r="X25" s="442" t="n">
        <f aca="false">J25</f>
        <v>0.95</v>
      </c>
      <c r="Y25" s="448" t="n">
        <f aca="false">'Input-Detail'!E32/Z25</f>
        <v>12462.7211721307</v>
      </c>
      <c r="Z25" s="473" t="n">
        <f aca="false">Z24</f>
        <v>2319.04548780488</v>
      </c>
      <c r="AA25" s="473" t="n">
        <f aca="false">AA24</f>
        <v>2</v>
      </c>
      <c r="AB25" s="474" t="n">
        <f aca="false">AB24</f>
        <v>0.7</v>
      </c>
      <c r="AC25" s="451" t="n">
        <f aca="false">Y25*AB25</f>
        <v>8723.90482049148</v>
      </c>
      <c r="AD25" s="452" t="n">
        <f aca="false">Peak_Time_Eve*$BH25*(3600/K58+BK25)/3600</f>
        <v>32.0553172478912</v>
      </c>
      <c r="AE25" s="453" t="n">
        <f aca="false">IF(AE$6&lt;Total_Lanes,($BI25*($CH25+BM25)+$CM25*CO25)*Peak_Time_Eve/3600,"-")</f>
        <v>75021.2761714369</v>
      </c>
      <c r="AF25" s="453" t="n">
        <f aca="false">IF(AF$6&lt;Total_Lanes,($BI25*($CH25+BN25)+$CM25*CP25)*Peak_Time_Eve/3600,"-")</f>
        <v>29225.6930418029</v>
      </c>
      <c r="AG25" s="453" t="n">
        <f aca="false">IF(AG$6&lt;Total_Lanes,($BI25*($CH25+BO25)+$CM25*CQ25)*Peak_Time_Eve/3600,"-")</f>
        <v>13961.5100208727</v>
      </c>
      <c r="AH25" s="453" t="n">
        <f aca="false">IF(AH$6&lt;Total_Lanes,($BI25*($CH25+BP25)+$CM25*CR25)*Peak_Time_Eve/3600,"-")</f>
        <v>6331.66056402314</v>
      </c>
      <c r="AI25" s="453" t="n">
        <f aca="false">IF(AI$6&lt;Total_Lanes,($BI25*($CH25+BQ25)+$CM25*CS25)*Peak_Time_Eve/3600,"-")</f>
        <v>1765.55124296572</v>
      </c>
      <c r="AJ25" s="453" t="n">
        <f aca="false">IF(AJ$6&lt;Total_Lanes,($BI25*($CH25+BR25)+$CM25*CT25)*Peak_Time_Eve/3600,"-")</f>
        <v>22.8217736381435</v>
      </c>
      <c r="AK25" s="453" t="n">
        <f aca="false">IF(AK$6&lt;Total_Lanes,($BI25*($CH25+BS25)+$CM25*CU25)*Peak_Time_Eve/3600,"-")</f>
        <v>7.65822446565822</v>
      </c>
      <c r="AL25" s="453" t="n">
        <f aca="false">IF(AL$6&lt;Total_Lanes,($BI25*($CH25+BT25)+$CM25*CV25)*Peak_Time_Eve/3600,"-")</f>
        <v>4.88042530903028</v>
      </c>
      <c r="AM25" s="453" t="n">
        <f aca="false">IF(AM$6&lt;Total_Lanes,($BI25*($CH25+BU25)+$CM25*CW25)*Peak_Time_Eve/3600,"-")</f>
        <v>3.85724537453484</v>
      </c>
      <c r="AN25" s="453" t="n">
        <f aca="false">IF(AN$6&lt;Total_Lanes,($BI25*($CH25+BV25)+$CM25*CX25)*Peak_Time_Eve/3600,"-")</f>
        <v>3.66363709198948</v>
      </c>
      <c r="AO25" s="453" t="n">
        <f aca="false">IF(AO$6&lt;Total_Lanes,($BI25*($CH25+BW25)+$CM25*CY25)*Peak_Time_Eve/3600,"-")</f>
        <v>11.2227647036476</v>
      </c>
      <c r="AP25" s="453" t="str">
        <f aca="false">IF(AP$6&lt;Total_Lanes,($BI25*($CH25+BX25)+$CM25*CZ25)*Peak_Time_Eve/3600,"-")</f>
        <v>-</v>
      </c>
      <c r="AQ25" s="453" t="str">
        <f aca="false">IF(AQ$6&lt;Total_Lanes,($BI25*($CH25+BY25)+$CM25*DA25)*Peak_Time_Eve/3600,"-")</f>
        <v>-</v>
      </c>
      <c r="AR25" s="453" t="str">
        <f aca="false">IF(AR$6&lt;Total_Lanes,($BI25*($CH25+BZ25)+$CM25*DB25)*Peak_Time_Eve/3600,"-")</f>
        <v>-</v>
      </c>
      <c r="AS25" s="453" t="str">
        <f aca="false">IF(AS$6&lt;Total_Lanes,($BI25*($CH25+CA25)+$CM25*DC25)*Peak_Time_Eve/3600,"-")</f>
        <v>-</v>
      </c>
      <c r="AT25" s="453" t="str">
        <f aca="false">IF(AT$6&lt;Total_Lanes,($BI25*($CH25+CB25)+$CM25*DD25)*Peak_Time_Eve/3600,"-")</f>
        <v>-</v>
      </c>
      <c r="AU25" s="453" t="str">
        <f aca="false">IF(AU$6&lt;Total_Lanes,($BI25*($CH25+CC25)+$CM25*DE25)*Peak_Time_Eve/3600,"-")</f>
        <v>-</v>
      </c>
      <c r="AV25" s="453" t="str">
        <f aca="false">IF(AV$6&lt;Total_Lanes,($BI25*($CH25+CD25)+$CM25*DF25)*Peak_Time_Eve/3600,"-")</f>
        <v>-</v>
      </c>
      <c r="AW25" s="453" t="str">
        <f aca="false">IF(AW$6&lt;Total_Lanes,($BI25*($CH25+CE25)+$CM25*DG25)*Peak_Time_Eve/3600,"-")</f>
        <v>-</v>
      </c>
      <c r="AX25" s="453" t="str">
        <f aca="false">IF(AX$6&lt;Total_Lanes,($BI25*($CH25+CF25)+$CM25*DH25)*Peak_Time_Eve/3600,"-")</f>
        <v>-</v>
      </c>
      <c r="AY25" s="454" t="str">
        <f aca="false">IF(AY$6&lt;Total_Lanes,($BI25*($CH25+CG25)+$CM25*DI25)*Peak_Time_Eve/3600,"-")</f>
        <v>-</v>
      </c>
      <c r="AZ25" s="475" t="n">
        <f aca="false">SUMIF(AE25:AY25,BA25,$AE$6:$AY$6)</f>
        <v>10</v>
      </c>
      <c r="BA25" s="476" t="n">
        <f aca="false">MIN(AE25:AY25)</f>
        <v>3.66363709198948</v>
      </c>
      <c r="BB25" s="475" t="n">
        <f aca="false">IF((SUMIF($BM23:$CG23,$AZ25,$BM25:$CG25)+$CH25)&lt;(SUMIF($CO23:$DI23,$AZ25,$CO25:$DI25)+$DJ25),AZ25+1,AZ25)</f>
        <v>10</v>
      </c>
      <c r="BC25" s="476" t="n">
        <f aca="false">SUMIF($AE$6:$AY$6,$BB25,$AE25:$AY25)</f>
        <v>3.66363709198948</v>
      </c>
      <c r="BF25" s="440" t="n">
        <v>18</v>
      </c>
      <c r="BG25" s="442" t="n">
        <f aca="false">$X25</f>
        <v>0.95</v>
      </c>
      <c r="BH25" s="458" t="n">
        <f aca="false">$AC25</f>
        <v>8723.90482049148</v>
      </c>
      <c r="BI25" s="477" t="n">
        <f aca="false">BH25*(1-BG25)</f>
        <v>436.195241024575</v>
      </c>
      <c r="BJ25" s="460" t="n">
        <f aca="false">Peak_Arrival_Manual/K58</f>
        <v>0.796662141593494</v>
      </c>
      <c r="BK25" s="461" t="n">
        <f aca="false">900*Peak_Time_Eve*(BJ25/Total_Lanes-1+SQRT((BJ25/Total_Lanes-1)^2+8*(BJ25/Total_Lanes)/(Peak_Time_Eve*$K58*Total_Lanes)))</f>
        <v>0.0389615497264906</v>
      </c>
      <c r="BL25" s="462" t="n">
        <f aca="false">Peak_Arrival_Manual/N58</f>
        <v>0.843007885952355</v>
      </c>
      <c r="BM25" s="463" t="n">
        <f aca="false">IF(BM$6&lt;Total_Lanes,900*Peak_Time_Eve*(($BL25/(Total_Lanes-BM$6))-1+SQRT((($BL25/(Total_Lanes-BM$6))-1)^2+8*($BL25/(Total_Lanes-BM$6))/(Peak_Time_Eve*$N58*(Total_Lanes-BM$6)))),"-")</f>
        <v>0.0524952723718553</v>
      </c>
      <c r="BN25" s="463" t="n">
        <f aca="false">IF(BN$6&lt;Total_Lanes,900*Peak_Time_Eve*(($BL25/(Total_Lanes-BN$6))-1+SQRT((($BL25/(Total_Lanes-BN$6))-1)^2+8*($BL25/(Total_Lanes-BN$6))/(Peak_Time_Eve*$N58*(Total_Lanes-BN$6)))),"-")</f>
        <v>0.0640506547949782</v>
      </c>
      <c r="BO25" s="463" t="n">
        <f aca="false">IF(BO$6&lt;Total_Lanes,900*Peak_Time_Eve*(($BL25/(Total_Lanes-BO$6))-1+SQRT((($BL25/(Total_Lanes-BO$6))-1)^2+8*($BL25/(Total_Lanes-BO$6))/(Peak_Time_Eve*$N58*(Total_Lanes-BO$6)))),"-")</f>
        <v>0.0798917007385658</v>
      </c>
      <c r="BP25" s="463" t="n">
        <f aca="false">IF(BP$6&lt;Total_Lanes,900*Peak_Time_Eve*(($BL25/(Total_Lanes-BP$6))-1+SQRT((($BL25/(Total_Lanes-BP$6))-1)^2+8*($BL25/(Total_Lanes-BP$6))/(Peak_Time_Eve*$N58*(Total_Lanes-BP$6)))),"-")</f>
        <v>0.102435505206766</v>
      </c>
      <c r="BQ25" s="463" t="n">
        <f aca="false">IF(BQ$6&lt;Total_Lanes,900*Peak_Time_Eve*(($BL25/(Total_Lanes-BQ$6))-1+SQRT((($BL25/(Total_Lanes-BQ$6))-1)^2+8*($BL25/(Total_Lanes-BQ$6))/(Peak_Time_Eve*$N58*(Total_Lanes-BQ$6)))),"-")</f>
        <v>0.13608164516532</v>
      </c>
      <c r="BR25" s="463" t="n">
        <f aca="false">IF(BR$6&lt;Total_Lanes,900*Peak_Time_Eve*(($BL25/(Total_Lanes-BR$6))-1+SQRT((($BL25/(Total_Lanes-BR$6))-1)^2+8*($BL25/(Total_Lanes-BR$6))/(Peak_Time_Eve*$N58*(Total_Lanes-BR$6)))),"-")</f>
        <v>0.189544213846626</v>
      </c>
      <c r="BS25" s="463" t="n">
        <f aca="false">IF(BS$6&lt;Total_Lanes,900*Peak_Time_Eve*(($BL25/(Total_Lanes-BS$6))-1+SQRT((($BL25/(Total_Lanes-BS$6))-1)^2+8*($BL25/(Total_Lanes-BS$6))/(Peak_Time_Eve*$N58*(Total_Lanes-BS$6)))),"-")</f>
        <v>0.282159519703296</v>
      </c>
      <c r="BT25" s="463" t="n">
        <f aca="false">IF(BT$6&lt;Total_Lanes,900*Peak_Time_Eve*(($BL25/(Total_Lanes-BT$6))-1+SQRT((($BL25/(Total_Lanes-BT$6))-1)^2+8*($BL25/(Total_Lanes-BT$6))/(Peak_Time_Eve*$N58*(Total_Lanes-BT$6)))),"-")</f>
        <v>0.464387357115026</v>
      </c>
      <c r="BU25" s="463" t="n">
        <f aca="false">IF(BU$6&lt;Total_Lanes,900*Peak_Time_Eve*(($BL25/(Total_Lanes-BU$6))-1+SQRT((($BL25/(Total_Lanes-BU$6))-1)^2+8*($BL25/(Total_Lanes-BU$6))/(Peak_Time_Eve*$N58*(Total_Lanes-BU$6)))),"-")</f>
        <v>0.906072690920623</v>
      </c>
      <c r="BV25" s="463" t="n">
        <f aca="false">IF(BV$6&lt;Total_Lanes,900*Peak_Time_Eve*(($BL25/(Total_Lanes-BV$6))-1+SQRT((($BL25/(Total_Lanes-BV$6))-1)^2+8*($BL25/(Total_Lanes-BV$6))/(Peak_Time_Eve*$N58*(Total_Lanes-BV$6)))),"-")</f>
        <v>2.53161025394617</v>
      </c>
      <c r="BW25" s="463" t="n">
        <f aca="false">IF(BW$6&lt;Total_Lanes,900*Peak_Time_Eve*(($BL25/(Total_Lanes-BW$6))-1+SQRT((($BL25/(Total_Lanes-BW$6))-1)^2+8*($BL25/(Total_Lanes-BW$6))/(Peak_Time_Eve*$N58*(Total_Lanes-BW$6)))),"-")</f>
        <v>35.1712652389571</v>
      </c>
      <c r="BX25" s="453" t="str">
        <f aca="false">IF(BX$6&lt;Total_Lanes,900*Peak_Time_Eve*(($BL25/(Total_Lanes-BX$6))-1+SQRT((($BL25/(Total_Lanes-BX$6))-1)^2+8*($BL25/(Total_Lanes-BX$6))/(Peak_Time_Eve*$N58*(Total_Lanes-BX$6)))),"-")</f>
        <v>-</v>
      </c>
      <c r="BY25" s="453" t="str">
        <f aca="false">IF(BY$6&lt;Total_Lanes,900*Peak_Time_Eve*(($BL25/(Total_Lanes-BY$6))-1+SQRT((($BL25/(Total_Lanes-BY$6))-1)^2+8*($BL25/(Total_Lanes-BY$6))/(Peak_Time_Eve*$N58*(Total_Lanes-BY$6)))),"-")</f>
        <v>-</v>
      </c>
      <c r="BZ25" s="453" t="str">
        <f aca="false">IF(BZ$6&lt;Total_Lanes,900*Peak_Time_Eve*(($BL25/(Total_Lanes-BZ$6))-1+SQRT((($BL25/(Total_Lanes-BZ$6))-1)^2+8*($BL25/(Total_Lanes-BZ$6))/(Peak_Time_Eve*$N58*(Total_Lanes-BZ$6)))),"-")</f>
        <v>-</v>
      </c>
      <c r="CA25" s="453" t="str">
        <f aca="false">IF(CA$6&lt;Total_Lanes,900*Peak_Time_Eve*(($BL25/(Total_Lanes-CA$6))-1+SQRT((($BL25/(Total_Lanes-CA$6))-1)^2+8*($BL25/(Total_Lanes-CA$6))/(Peak_Time_Eve*$N58*(Total_Lanes-CA$6)))),"-")</f>
        <v>-</v>
      </c>
      <c r="CB25" s="453" t="str">
        <f aca="false">IF(CB$6&lt;Total_Lanes,900*Peak_Time_Eve*(($BL25/(Total_Lanes-CB$6))-1+SQRT((($BL25/(Total_Lanes-CB$6))-1)^2+8*($BL25/(Total_Lanes-CB$6))/(Peak_Time_Eve*$N58*(Total_Lanes-CB$6)))),"-")</f>
        <v>-</v>
      </c>
      <c r="CC25" s="453" t="str">
        <f aca="false">IF(CC$6&lt;Total_Lanes,900*Peak_Time_Eve*(($BL25/(Total_Lanes-CC$6))-1+SQRT((($BL25/(Total_Lanes-CC$6))-1)^2+8*($BL25/(Total_Lanes-CC$6))/(Peak_Time_Eve*$N58*(Total_Lanes-CC$6)))),"-")</f>
        <v>-</v>
      </c>
      <c r="CD25" s="453" t="str">
        <f aca="false">IF(CD$6&lt;Total_Lanes,900*Peak_Time_Eve*(($BL25/(Total_Lanes-CD$6))-1+SQRT((($BL25/(Total_Lanes-CD$6))-1)^2+8*($BL25/(Total_Lanes-CD$6))/(Peak_Time_Eve*$N58*(Total_Lanes-CD$6)))),"-")</f>
        <v>-</v>
      </c>
      <c r="CE25" s="453" t="str">
        <f aca="false">IF(CE$6&lt;Total_Lanes,900*Peak_Time_Eve*(($BL25/(Total_Lanes-CE$6))-1+SQRT((($BL25/(Total_Lanes-CE$6))-1)^2+8*($BL25/(Total_Lanes-CE$6))/(Peak_Time_Eve*$N58*(Total_Lanes-CE$6)))),"-")</f>
        <v>-</v>
      </c>
      <c r="CF25" s="453" t="str">
        <f aca="false">IF(CF$6&lt;Total_Lanes,900*Peak_Time_Eve*(($BL25/(Total_Lanes-CF$6))-1+SQRT((($BL25/(Total_Lanes-CF$6))-1)^2+8*($BL25/(Total_Lanes-CF$6))/(Peak_Time_Eve*$N58*(Total_Lanes-CF$6)))),"-")</f>
        <v>-</v>
      </c>
      <c r="CG25" s="464" t="str">
        <f aca="false">IF(CG$6&lt;Total_Lanes,900*Peak_Time_Eve*(($BL25/(Total_Lanes-CG$6))-1+SQRT((($BL25/(Total_Lanes-CG$6))-1)^2+8*($BL25/(Total_Lanes-CG$6))/(Peak_Time_Eve*$N58*(Total_Lanes-CG$6)))),"-")</f>
        <v>-</v>
      </c>
      <c r="CH25" s="478" t="n">
        <f aca="false">3600/N58</f>
        <v>6.9575</v>
      </c>
      <c r="CJ25" s="440" t="n">
        <v>18</v>
      </c>
      <c r="CK25" s="442" t="n">
        <f aca="false">$X25</f>
        <v>0.95</v>
      </c>
      <c r="CL25" s="451" t="n">
        <f aca="false">$AC25</f>
        <v>8723.90482049148</v>
      </c>
      <c r="CM25" s="452" t="n">
        <f aca="false">CL25*CK25</f>
        <v>8287.70957946691</v>
      </c>
      <c r="CN25" s="479" t="n">
        <f aca="false">CM25/O57</f>
        <v>5.52513971964461</v>
      </c>
      <c r="CO25" s="463" t="n">
        <f aca="false">IF(CO$6&lt;Total_Lanes,900*Peak_Time_Eve*(($CN25/CO$6-1)+SQRT(($CN25/CO$6-1)^2+8*($CN25/CO$6)/(Peak_Time_Eve*$O58*CO$6))),"-")</f>
        <v>16293.4328341528</v>
      </c>
      <c r="CP25" s="463" t="n">
        <f aca="false">IF(CP$6&lt;Total_Lanes,900*Peak_Time_Eve*(($CN25/CP$6-1)+SQRT(($CN25/CP$6-1)^2+8*($CN25/CP$6)/(Peak_Time_Eve*$O58*CP$6))),"-")</f>
        <v>6347.13176226532</v>
      </c>
      <c r="CQ25" s="463" t="n">
        <f aca="false">IF(CQ$6&lt;Total_Lanes,900*Peak_Time_Eve*(($CN25/CQ$6-1)+SQRT(($CN25/CQ$6-1)^2+8*($CN25/CQ$6)/(Peak_Time_Eve*$O58*CQ$6))),"-")</f>
        <v>3031.91709601607</v>
      </c>
      <c r="CR25" s="463" t="n">
        <f aca="false">IF(CR$6&lt;Total_Lanes,900*Peak_Time_Eve*(($CN25/CR$6-1)+SQRT(($CN25/CR$6-1)^2+8*($CN25/CR$6)/(Peak_Time_Eve*$O58*CR$6))),"-")</f>
        <v>1374.795942802</v>
      </c>
      <c r="CS25" s="463" t="n">
        <f aca="false">IF(CS$6&lt;Total_Lanes,900*Peak_Time_Eve*(($CN25/CS$6-1)+SQRT(($CN25/CS$6-1)^2+8*($CN25/CS$6)/(Peak_Time_Eve*$O58*CS$6))),"-")</f>
        <v>383.08509972994</v>
      </c>
      <c r="CT25" s="482" t="n">
        <f aca="false">IF(CT$6&lt;Total_Lanes,900*Peak_Time_Eve*(($CN25/CT$6-1)+SQRT(($CN25/CT$6-1)^2+8*($CN25/CT$6)/(Peak_Time_Eve*$O58*CT$6))),"-")</f>
        <v>4.5804797466887</v>
      </c>
      <c r="CU25" s="482" t="n">
        <f aca="false">IF(CU$6&lt;Total_Lanes,900*Peak_Time_Eve*(($CN25/CU$6-1)+SQRT(($CN25/CU$6-1)^2+8*($CN25/CU$6)/(Peak_Time_Eve*$O58*CU$6))),"-")</f>
        <v>1.28224799712824</v>
      </c>
      <c r="CV25" s="482" t="n">
        <f aca="false">IF(CV$6&lt;Total_Lanes,900*Peak_Time_Eve*(($CN25/CV$6-1)+SQRT(($CN25/CV$6-1)^2+8*($CN25/CV$6)/(Peak_Time_Eve*$O58*CV$6))),"-")</f>
        <v>0.669349421389509</v>
      </c>
      <c r="CW25" s="482" t="n">
        <f aca="false">IF(CW$6&lt;Total_Lanes,900*Peak_Time_Eve*(($CN25/CW$6-1)+SQRT(($CN25/CW$6-1)^2+8*($CN25/CW$6)/(Peak_Time_Eve*$O58*CW$6))),"-")</f>
        <v>0.423879318555742</v>
      </c>
      <c r="CX25" s="482" t="n">
        <f aca="false">IF(CX$6&lt;Total_Lanes,900*Peak_Time_Eve*(($CN25/CX$6-1)+SQRT(($CN25/CX$6-1)^2+8*($CN25/CX$6)/(Peak_Time_Eve*$O58*CX$6))),"-")</f>
        <v>0.296275105649901</v>
      </c>
      <c r="CY25" s="482" t="n">
        <f aca="false">IF(CY$6&lt;Total_Lanes,900*Peak_Time_Eve*(($CN25/CY$6-1)+SQRT(($CN25/CY$6-1)^2+8*($CN25/CY$6)/(Peak_Time_Eve*$O58*CY$6))),"-")</f>
        <v>0.22015848185748</v>
      </c>
      <c r="CZ25" s="483" t="str">
        <f aca="false">IF(CZ$6&lt;Total_Lanes,900*Peak_Time_Eve*(($CN25/CZ$6-1)+SQRT(($CN25/CZ$6-1)^2+8*($CN25/CZ$6)/(Peak_Time_Eve*$O58*CZ$6))),"-")</f>
        <v>-</v>
      </c>
      <c r="DA25" s="483" t="str">
        <f aca="false">IF(DA$6&lt;Total_Lanes,900*Peak_Time_Eve*(($CN25/DA$6-1)+SQRT(($CN25/DA$6-1)^2+8*($CN25/DA$6)/(Peak_Time_Eve*$O58*DA$6))),"-")</f>
        <v>-</v>
      </c>
      <c r="DB25" s="483" t="str">
        <f aca="false">IF(DB$6&lt;Total_Lanes,900*Peak_Time_Eve*(($CN25/DB$6-1)+SQRT(($CN25/DB$6-1)^2+8*($CN25/DB$6)/(Peak_Time_Eve*$O58*DB$6))),"-")</f>
        <v>-</v>
      </c>
      <c r="DC25" s="483" t="str">
        <f aca="false">IF(DC$6&lt;Total_Lanes,900*Peak_Time_Eve*(($CN25/DC$6-1)+SQRT(($CN25/DC$6-1)^2+8*($CN25/DC$6)/(Peak_Time_Eve*$O58*DC$6))),"-")</f>
        <v>-</v>
      </c>
      <c r="DD25" s="483" t="str">
        <f aca="false">IF(DD$6&lt;Total_Lanes,900*Peak_Time_Eve*(($CN25/DD$6-1)+SQRT(($CN25/DD$6-1)^2+8*($CN25/DD$6)/(Peak_Time_Eve*$O58*DD$6))),"-")</f>
        <v>-</v>
      </c>
      <c r="DE25" s="483" t="str">
        <f aca="false">IF(DE$6&lt;Total_Lanes,900*Peak_Time_Eve*(($CN25/DE$6-1)+SQRT(($CN25/DE$6-1)^2+8*($CN25/DE$6)/(Peak_Time_Eve*$O58*DE$6))),"-")</f>
        <v>-</v>
      </c>
      <c r="DF25" s="483" t="str">
        <f aca="false">IF(DF$6&lt;Total_Lanes,900*Peak_Time_Eve*(($CN25/DF$6-1)+SQRT(($CN25/DF$6-1)^2+8*($CN25/DF$6)/(Peak_Time_Eve*$O58*DF$6))),"-")</f>
        <v>-</v>
      </c>
      <c r="DG25" s="483" t="str">
        <f aca="false">IF(DG$6&lt;Total_Lanes,900*Peak_Time_Eve*(($CN25/DG$6-1)+SQRT(($CN25/DG$6-1)^2+8*($CN25/DG$6)/(Peak_Time_Eve*$O58*DG$6))),"-")</f>
        <v>-</v>
      </c>
      <c r="DH25" s="483" t="str">
        <f aca="false">IF(DH$6&lt;Total_Lanes,900*Peak_Time_Eve*(($CN25/DH$6-1)+SQRT(($CN25/DH$6-1)^2+8*($CN25/DH$6)/(Peak_Time_Eve*$O58*DH$6))),"-")</f>
        <v>-</v>
      </c>
      <c r="DI25" s="484" t="str">
        <f aca="false">IF(DI$6&lt;Total_Lanes,900*Peak_Time_Eve*(($CN25/DI$6-1)+SQRT(($CN25/DI$6-1)^2+8*($CN25/DI$6)/(Peak_Time_Eve*$O58*DI$6))),"-")</f>
        <v>-</v>
      </c>
      <c r="DJ25" s="485" t="n">
        <f aca="false">3600/O58</f>
        <v>2.4</v>
      </c>
    </row>
    <row r="26" customFormat="false" ht="13.2" hidden="false" customHeight="false" outlineLevel="0" collapsed="false">
      <c r="H26" s="440" t="n">
        <v>19</v>
      </c>
      <c r="I26" s="441" t="n">
        <f aca="false">'Input-Detail'!E33</f>
        <v>29450808.65</v>
      </c>
      <c r="J26" s="442" t="n">
        <f aca="false">'Input-Detail'!F33</f>
        <v>0.95</v>
      </c>
      <c r="K26" s="451" t="n">
        <f aca="false">AC26</f>
        <v>8889.67731051879</v>
      </c>
      <c r="L26" s="452" t="n">
        <f aca="false">AD73</f>
        <v>14.8057785660587</v>
      </c>
      <c r="M26" s="467" t="n">
        <f aca="false">AD26</f>
        <v>32.6683571435711</v>
      </c>
      <c r="N26" s="467" t="n">
        <f aca="false">SUM(L26:M26)</f>
        <v>47.4741357096299</v>
      </c>
      <c r="O26" s="471" t="n">
        <f aca="false">$S$34*N26</f>
        <v>12343.2752845038</v>
      </c>
      <c r="P26" s="452" t="n">
        <f aca="false">BC73</f>
        <v>0.969520371302812</v>
      </c>
      <c r="Q26" s="467" t="n">
        <f aca="false">BC26</f>
        <v>3.82515451728786</v>
      </c>
      <c r="R26" s="467" t="n">
        <f aca="false">SUM(P26:Q26)</f>
        <v>4.79467488859068</v>
      </c>
      <c r="S26" s="472" t="n">
        <f aca="false">$S$34*R26</f>
        <v>1246.61547103358</v>
      </c>
      <c r="T26" s="405"/>
      <c r="U26" s="405"/>
      <c r="V26" s="440" t="n">
        <v>19</v>
      </c>
      <c r="W26" s="448" t="n">
        <f aca="false">W$7+(W$27-W$7)*$V26/20</f>
        <v>29450808.65</v>
      </c>
      <c r="X26" s="442" t="n">
        <f aca="false">J26</f>
        <v>0.95</v>
      </c>
      <c r="Y26" s="448" t="n">
        <f aca="false">'Input-Detail'!E33/Z26</f>
        <v>12699.5390150268</v>
      </c>
      <c r="Z26" s="473" t="n">
        <f aca="false">Z25</f>
        <v>2319.04548780488</v>
      </c>
      <c r="AA26" s="473" t="n">
        <f aca="false">AA25</f>
        <v>2</v>
      </c>
      <c r="AB26" s="474" t="n">
        <f aca="false">AB25</f>
        <v>0.7</v>
      </c>
      <c r="AC26" s="451" t="n">
        <f aca="false">Y26*AB26</f>
        <v>8889.67731051879</v>
      </c>
      <c r="AD26" s="452" t="n">
        <f aca="false">Peak_Time_Eve*$BH26*(3600/K59+BK26)/3600</f>
        <v>32.6683571435711</v>
      </c>
      <c r="AE26" s="453" t="n">
        <f aca="false">IF(AE$6&lt;Total_Lanes,($BI26*($CH26+BM26)+$CM26*CO26)*Peak_Time_Eve/3600,"-")</f>
        <v>78220.095971568</v>
      </c>
      <c r="AF26" s="453" t="n">
        <f aca="false">IF(AF$6&lt;Total_Lanes,($BI26*($CH26+BN26)+$CM26*CP26)*Peak_Time_Eve/3600,"-")</f>
        <v>30667.6104076455</v>
      </c>
      <c r="AG26" s="453" t="n">
        <f aca="false">IF(AG$6&lt;Total_Lanes,($BI26*($CH26+BO26)+$CM26*CQ26)*Peak_Time_Eve/3600,"-")</f>
        <v>14817.739148432</v>
      </c>
      <c r="AH26" s="453" t="n">
        <f aca="false">IF(AH$6&lt;Total_Lanes,($BI26*($CH26+BP26)+$CM26*CR26)*Peak_Time_Eve/3600,"-")</f>
        <v>6894.83547703788</v>
      </c>
      <c r="AI26" s="453" t="n">
        <f aca="false">IF(AI$6&lt;Total_Lanes,($BI26*($CH26+BQ26)+$CM26*CS26)*Peak_Time_Eve/3600,"-")</f>
        <v>2150.31737448203</v>
      </c>
      <c r="AJ26" s="453" t="n">
        <f aca="false">IF(AJ$6&lt;Total_Lanes,($BI26*($CH26+BR26)+$CM26*CT26)*Peak_Time_Eve/3600,"-")</f>
        <v>29.594984523609</v>
      </c>
      <c r="AK26" s="453" t="n">
        <f aca="false">IF(AK$6&lt;Total_Lanes,($BI26*($CH26+BS26)+$CM26*CU26)*Peak_Time_Eve/3600,"-")</f>
        <v>8.39321677730296</v>
      </c>
      <c r="AL26" s="453" t="n">
        <f aca="false">IF(AL$6&lt;Total_Lanes,($BI26*($CH26+BT26)+$CM26*CV26)*Peak_Time_Eve/3600,"-")</f>
        <v>5.18322450687168</v>
      </c>
      <c r="AM26" s="453" t="n">
        <f aca="false">IF(AM$6&lt;Total_Lanes,($BI26*($CH26+BU26)+$CM26*CW26)*Peak_Time_Eve/3600,"-")</f>
        <v>4.04430571562177</v>
      </c>
      <c r="AN26" s="453" t="n">
        <f aca="false">IF(AN$6&lt;Total_Lanes,($BI26*($CH26+BV26)+$CM26*CX26)*Peak_Time_Eve/3600,"-")</f>
        <v>3.82515451728786</v>
      </c>
      <c r="AO26" s="453" t="n">
        <f aca="false">IF(AO$6&lt;Total_Lanes,($BI26*($CH26+BW26)+$CM26*CY26)*Peak_Time_Eve/3600,"-")</f>
        <v>12.7273792797701</v>
      </c>
      <c r="AP26" s="453" t="str">
        <f aca="false">IF(AP$6&lt;Total_Lanes,($BI26*($CH26+BX26)+$CM26*CZ26)*Peak_Time_Eve/3600,"-")</f>
        <v>-</v>
      </c>
      <c r="AQ26" s="453" t="str">
        <f aca="false">IF(AQ$6&lt;Total_Lanes,($BI26*($CH26+BY26)+$CM26*DA26)*Peak_Time_Eve/3600,"-")</f>
        <v>-</v>
      </c>
      <c r="AR26" s="453" t="str">
        <f aca="false">IF(AR$6&lt;Total_Lanes,($BI26*($CH26+BZ26)+$CM26*DB26)*Peak_Time_Eve/3600,"-")</f>
        <v>-</v>
      </c>
      <c r="AS26" s="453" t="str">
        <f aca="false">IF(AS$6&lt;Total_Lanes,($BI26*($CH26+CA26)+$CM26*DC26)*Peak_Time_Eve/3600,"-")</f>
        <v>-</v>
      </c>
      <c r="AT26" s="453" t="str">
        <f aca="false">IF(AT$6&lt;Total_Lanes,($BI26*($CH26+CB26)+$CM26*DD26)*Peak_Time_Eve/3600,"-")</f>
        <v>-</v>
      </c>
      <c r="AU26" s="453" t="str">
        <f aca="false">IF(AU$6&lt;Total_Lanes,($BI26*($CH26+CC26)+$CM26*DE26)*Peak_Time_Eve/3600,"-")</f>
        <v>-</v>
      </c>
      <c r="AV26" s="453" t="str">
        <f aca="false">IF(AV$6&lt;Total_Lanes,($BI26*($CH26+CD26)+$CM26*DF26)*Peak_Time_Eve/3600,"-")</f>
        <v>-</v>
      </c>
      <c r="AW26" s="453" t="str">
        <f aca="false">IF(AW$6&lt;Total_Lanes,($BI26*($CH26+CE26)+$CM26*DG26)*Peak_Time_Eve/3600,"-")</f>
        <v>-</v>
      </c>
      <c r="AX26" s="453" t="str">
        <f aca="false">IF(AX$6&lt;Total_Lanes,($BI26*($CH26+CF26)+$CM26*DH26)*Peak_Time_Eve/3600,"-")</f>
        <v>-</v>
      </c>
      <c r="AY26" s="454" t="str">
        <f aca="false">IF(AY$6&lt;Total_Lanes,($BI26*($CH26+CG26)+$CM26*DI26)*Peak_Time_Eve/3600,"-")</f>
        <v>-</v>
      </c>
      <c r="AZ26" s="475" t="n">
        <f aca="false">SUMIF(AE26:AY26,BA26,$AE$6:$AY$6)</f>
        <v>10</v>
      </c>
      <c r="BA26" s="476" t="n">
        <f aca="false">MIN(AE26:AY26)</f>
        <v>3.82515451728786</v>
      </c>
      <c r="BB26" s="475" t="n">
        <f aca="false">IF((SUMIF($BM24:$CG24,$AZ26,$BM26:$CG26)+$CH26)&lt;(SUMIF($CO24:$DI24,$AZ26,$CO26:$DI26)+$DJ26),AZ26+1,AZ26)</f>
        <v>10</v>
      </c>
      <c r="BC26" s="476" t="n">
        <f aca="false">SUMIF($AE$6:$AY$6,$BB26,$AE26:$AY26)</f>
        <v>3.82515451728786</v>
      </c>
      <c r="BF26" s="440" t="n">
        <v>19</v>
      </c>
      <c r="BG26" s="442" t="n">
        <f aca="false">$X26</f>
        <v>0.95</v>
      </c>
      <c r="BH26" s="458" t="n">
        <f aca="false">$AC26</f>
        <v>8889.67731051879</v>
      </c>
      <c r="BI26" s="477" t="n">
        <f aca="false">BH26*(1-BG26)</f>
        <v>444.48386552594</v>
      </c>
      <c r="BJ26" s="460" t="n">
        <f aca="false">Peak_Arrival_Manual/K59</f>
        <v>0.811800393286959</v>
      </c>
      <c r="BK26" s="461" t="n">
        <f aca="false">900*Peak_Time_Eve*(BJ26/Total_Lanes-1+SQRT((BJ26/Total_Lanes-1)^2+8*(BJ26/Total_Lanes)/(Peak_Time_Eve*$K59*Total_Lanes)))</f>
        <v>0.0397556097282426</v>
      </c>
      <c r="BL26" s="462" t="n">
        <f aca="false">Peak_Arrival_Manual/N59</f>
        <v>0.861650493483098</v>
      </c>
      <c r="BM26" s="463" t="n">
        <f aca="false">IF(BM$6&lt;Total_Lanes,900*Peak_Time_Eve*(($BL26/(Total_Lanes-BM$6))-1+SQRT((($BL26/(Total_Lanes-BM$6))-1)^2+8*($BL26/(Total_Lanes-BM$6))/(Peak_Time_Eve*$N59*(Total_Lanes-BM$6)))),"-")</f>
        <v>0.0539189939722684</v>
      </c>
      <c r="BN26" s="463" t="n">
        <f aca="false">IF(BN$6&lt;Total_Lanes,900*Peak_Time_Eve*(($BL26/(Total_Lanes-BN$6))-1+SQRT((($BL26/(Total_Lanes-BN$6))-1)^2+8*($BL26/(Total_Lanes-BN$6))/(Peak_Time_Eve*$N59*(Total_Lanes-BN$6)))),"-")</f>
        <v>0.0658009753924382</v>
      </c>
      <c r="BO26" s="463" t="n">
        <f aca="false">IF(BO$6&lt;Total_Lanes,900*Peak_Time_Eve*(($BL26/(Total_Lanes-BO$6))-1+SQRT((($BL26/(Total_Lanes-BO$6))-1)^2+8*($BL26/(Total_Lanes-BO$6))/(Peak_Time_Eve*$N59*(Total_Lanes-BO$6)))),"-")</f>
        <v>0.0820954302594323</v>
      </c>
      <c r="BP26" s="463" t="n">
        <f aca="false">IF(BP$6&lt;Total_Lanes,900*Peak_Time_Eve*(($BL26/(Total_Lanes-BP$6))-1+SQRT((($BL26/(Total_Lanes-BP$6))-1)^2+8*($BL26/(Total_Lanes-BP$6))/(Peak_Time_Eve*$N59*(Total_Lanes-BP$6)))),"-")</f>
        <v>0.105294758156771</v>
      </c>
      <c r="BQ26" s="463" t="n">
        <f aca="false">IF(BQ$6&lt;Total_Lanes,900*Peak_Time_Eve*(($BL26/(Total_Lanes-BQ$6))-1+SQRT((($BL26/(Total_Lanes-BQ$6))-1)^2+8*($BL26/(Total_Lanes-BQ$6))/(Peak_Time_Eve*$N59*(Total_Lanes-BQ$6)))),"-")</f>
        <v>0.139939358251895</v>
      </c>
      <c r="BR26" s="463" t="n">
        <f aca="false">IF(BR$6&lt;Total_Lanes,900*Peak_Time_Eve*(($BL26/(Total_Lanes-BR$6))-1+SQRT((($BL26/(Total_Lanes-BR$6))-1)^2+8*($BL26/(Total_Lanes-BR$6))/(Peak_Time_Eve*$N59*(Total_Lanes-BR$6)))),"-")</f>
        <v>0.195032243914417</v>
      </c>
      <c r="BS26" s="463" t="n">
        <f aca="false">IF(BS$6&lt;Total_Lanes,900*Peak_Time_Eve*(($BL26/(Total_Lanes-BS$6))-1+SQRT((($BL26/(Total_Lanes-BS$6))-1)^2+8*($BL26/(Total_Lanes-BS$6))/(Peak_Time_Eve*$N59*(Total_Lanes-BS$6)))),"-")</f>
        <v>0.290582368460757</v>
      </c>
      <c r="BT26" s="463" t="n">
        <f aca="false">IF(BT$6&lt;Total_Lanes,900*Peak_Time_Eve*(($BL26/(Total_Lanes-BT$6))-1+SQRT((($BL26/(Total_Lanes-BT$6))-1)^2+8*($BL26/(Total_Lanes-BT$6))/(Peak_Time_Eve*$N59*(Total_Lanes-BT$6)))),"-")</f>
        <v>0.478931992809661</v>
      </c>
      <c r="BU26" s="463" t="n">
        <f aca="false">IF(BU$6&lt;Total_Lanes,900*Peak_Time_Eve*(($BL26/(Total_Lanes-BU$6))-1+SQRT((($BL26/(Total_Lanes-BU$6))-1)^2+8*($BL26/(Total_Lanes-BU$6))/(Peak_Time_Eve*$N59*(Total_Lanes-BU$6)))),"-")</f>
        <v>0.937023053305008</v>
      </c>
      <c r="BV26" s="463" t="n">
        <f aca="false">IF(BV$6&lt;Total_Lanes,900*Peak_Time_Eve*(($BL26/(Total_Lanes-BV$6))-1+SQRT((($BL26/(Total_Lanes-BV$6))-1)^2+8*($BL26/(Total_Lanes-BV$6))/(Peak_Time_Eve*$N59*(Total_Lanes-BV$6)))),"-")</f>
        <v>2.63781560795386</v>
      </c>
      <c r="BW26" s="463" t="n">
        <f aca="false">IF(BW$6&lt;Total_Lanes,900*Peak_Time_Eve*(($BL26/(Total_Lanes-BW$6))-1+SQRT((($BL26/(Total_Lanes-BW$6))-1)^2+8*($BL26/(Total_Lanes-BW$6))/(Peak_Time_Eve*$N59*(Total_Lanes-BW$6)))),"-")</f>
        <v>40.2167606035933</v>
      </c>
      <c r="BX26" s="453" t="str">
        <f aca="false">IF(BX$6&lt;Total_Lanes,900*Peak_Time_Eve*(($BL26/(Total_Lanes-BX$6))-1+SQRT((($BL26/(Total_Lanes-BX$6))-1)^2+8*($BL26/(Total_Lanes-BX$6))/(Peak_Time_Eve*$N59*(Total_Lanes-BX$6)))),"-")</f>
        <v>-</v>
      </c>
      <c r="BY26" s="453" t="str">
        <f aca="false">IF(BY$6&lt;Total_Lanes,900*Peak_Time_Eve*(($BL26/(Total_Lanes-BY$6))-1+SQRT((($BL26/(Total_Lanes-BY$6))-1)^2+8*($BL26/(Total_Lanes-BY$6))/(Peak_Time_Eve*$N59*(Total_Lanes-BY$6)))),"-")</f>
        <v>-</v>
      </c>
      <c r="BZ26" s="453" t="str">
        <f aca="false">IF(BZ$6&lt;Total_Lanes,900*Peak_Time_Eve*(($BL26/(Total_Lanes-BZ$6))-1+SQRT((($BL26/(Total_Lanes-BZ$6))-1)^2+8*($BL26/(Total_Lanes-BZ$6))/(Peak_Time_Eve*$N59*(Total_Lanes-BZ$6)))),"-")</f>
        <v>-</v>
      </c>
      <c r="CA26" s="453" t="str">
        <f aca="false">IF(CA$6&lt;Total_Lanes,900*Peak_Time_Eve*(($BL26/(Total_Lanes-CA$6))-1+SQRT((($BL26/(Total_Lanes-CA$6))-1)^2+8*($BL26/(Total_Lanes-CA$6))/(Peak_Time_Eve*$N59*(Total_Lanes-CA$6)))),"-")</f>
        <v>-</v>
      </c>
      <c r="CB26" s="453" t="str">
        <f aca="false">IF(CB$6&lt;Total_Lanes,900*Peak_Time_Eve*(($BL26/(Total_Lanes-CB$6))-1+SQRT((($BL26/(Total_Lanes-CB$6))-1)^2+8*($BL26/(Total_Lanes-CB$6))/(Peak_Time_Eve*$N59*(Total_Lanes-CB$6)))),"-")</f>
        <v>-</v>
      </c>
      <c r="CC26" s="453" t="str">
        <f aca="false">IF(CC$6&lt;Total_Lanes,900*Peak_Time_Eve*(($BL26/(Total_Lanes-CC$6))-1+SQRT((($BL26/(Total_Lanes-CC$6))-1)^2+8*($BL26/(Total_Lanes-CC$6))/(Peak_Time_Eve*$N59*(Total_Lanes-CC$6)))),"-")</f>
        <v>-</v>
      </c>
      <c r="CD26" s="453" t="str">
        <f aca="false">IF(CD$6&lt;Total_Lanes,900*Peak_Time_Eve*(($BL26/(Total_Lanes-CD$6))-1+SQRT((($BL26/(Total_Lanes-CD$6))-1)^2+8*($BL26/(Total_Lanes-CD$6))/(Peak_Time_Eve*$N59*(Total_Lanes-CD$6)))),"-")</f>
        <v>-</v>
      </c>
      <c r="CE26" s="453" t="str">
        <f aca="false">IF(CE$6&lt;Total_Lanes,900*Peak_Time_Eve*(($BL26/(Total_Lanes-CE$6))-1+SQRT((($BL26/(Total_Lanes-CE$6))-1)^2+8*($BL26/(Total_Lanes-CE$6))/(Peak_Time_Eve*$N59*(Total_Lanes-CE$6)))),"-")</f>
        <v>-</v>
      </c>
      <c r="CF26" s="453" t="str">
        <f aca="false">IF(CF$6&lt;Total_Lanes,900*Peak_Time_Eve*(($BL26/(Total_Lanes-CF$6))-1+SQRT((($BL26/(Total_Lanes-CF$6))-1)^2+8*($BL26/(Total_Lanes-CF$6))/(Peak_Time_Eve*$N59*(Total_Lanes-CF$6)))),"-")</f>
        <v>-</v>
      </c>
      <c r="CG26" s="464" t="str">
        <f aca="false">IF(CG$6&lt;Total_Lanes,900*Peak_Time_Eve*(($BL26/(Total_Lanes-CG$6))-1+SQRT((($BL26/(Total_Lanes-CG$6))-1)^2+8*($BL26/(Total_Lanes-CG$6))/(Peak_Time_Eve*$N59*(Total_Lanes-CG$6)))),"-")</f>
        <v>-</v>
      </c>
      <c r="CH26" s="478" t="n">
        <f aca="false">3600/N59</f>
        <v>6.97875</v>
      </c>
      <c r="CJ26" s="440" t="n">
        <v>19</v>
      </c>
      <c r="CK26" s="442" t="n">
        <f aca="false">$X26</f>
        <v>0.95</v>
      </c>
      <c r="CL26" s="451" t="n">
        <f aca="false">$AC26</f>
        <v>8889.67731051879</v>
      </c>
      <c r="CM26" s="452" t="n">
        <f aca="false">CL26*CK26</f>
        <v>8445.19344499285</v>
      </c>
      <c r="CN26" s="479" t="n">
        <f aca="false">CM26/O58</f>
        <v>5.63012896332857</v>
      </c>
      <c r="CO26" s="463" t="n">
        <f aca="false">IF(CO$6&lt;Total_Lanes,900*Peak_Time_Eve*(($CN26/CO$6-1)+SQRT(($CN26/CO$6-1)^2+8*($CN26/CO$6)/(Peak_Time_Eve*$O59*CO$6))),"-")</f>
        <v>16671.3821013063</v>
      </c>
      <c r="CP26" s="463" t="n">
        <f aca="false">IF(CP$6&lt;Total_Lanes,900*Peak_Time_Eve*(($CN26/CP$6-1)+SQRT(($CN26/CP$6-1)^2+8*($CN26/CP$6)/(Peak_Time_Eve*$O59*CP$6))),"-")</f>
        <v>6536.09273772652</v>
      </c>
      <c r="CQ26" s="463" t="n">
        <f aca="false">IF(CQ$6&lt;Total_Lanes,900*Peak_Time_Eve*(($CN26/CQ$6-1)+SQRT(($CN26/CQ$6-1)^2+8*($CN26/CQ$6)/(Peak_Time_Eve*$O59*CQ$6))),"-")</f>
        <v>3157.86633059528</v>
      </c>
      <c r="CR26" s="463" t="n">
        <f aca="false">IF(CR$6&lt;Total_Lanes,900*Peak_Time_Eve*(($CN26/CR$6-1)+SQRT(($CN26/CR$6-1)^2+8*($CN26/CR$6)/(Peak_Time_Eve*$O59*CR$6))),"-")</f>
        <v>1469.18542433471</v>
      </c>
      <c r="CS26" s="463" t="n">
        <f aca="false">IF(CS$6&lt;Total_Lanes,900*Peak_Time_Eve*(($CN26/CS$6-1)+SQRT(($CN26/CS$6-1)^2+8*($CN26/CS$6)/(Peak_Time_Eve*$O59*CS$6))),"-")</f>
        <v>457.941805204853</v>
      </c>
      <c r="CT26" s="482" t="n">
        <f aca="false">IF(CT$6&lt;Total_Lanes,900*Peak_Time_Eve*(($CN26/CT$6-1)+SQRT(($CN26/CT$6-1)^2+8*($CN26/CT$6)/(Peak_Time_Eve*$O59*CT$6))),"-")</f>
        <v>5.93027761962914</v>
      </c>
      <c r="CU26" s="482" t="n">
        <f aca="false">IF(CU$6&lt;Total_Lanes,900*Peak_Time_Eve*(($CN26/CU$6-1)+SQRT(($CN26/CU$6-1)^2+8*($CN26/CU$6)/(Peak_Time_Eve*$O59*CU$6))),"-")</f>
        <v>1.40632530510722</v>
      </c>
      <c r="CV26" s="482" t="n">
        <f aca="false">IF(CV$6&lt;Total_Lanes,900*Peak_Time_Eve*(($CN26/CV$6-1)+SQRT(($CN26/CV$6-1)^2+8*($CN26/CV$6)/(Peak_Time_Eve*$O59*CV$6))),"-")</f>
        <v>0.712237657019932</v>
      </c>
      <c r="CW26" s="482" t="n">
        <f aca="false">IF(CW$6&lt;Total_Lanes,900*Peak_Time_Eve*(($CN26/CW$6-1)+SQRT(($CN26/CW$6-1)^2+8*($CN26/CW$6)/(Peak_Time_Eve*$O59*CW$6))),"-")</f>
        <v>0.445379600509943</v>
      </c>
      <c r="CX26" s="482" t="n">
        <f aca="false">IF(CX$6&lt;Total_Lanes,900*Peak_Time_Eve*(($CN26/CX$6-1)+SQRT(($CN26/CX$6-1)^2+8*($CN26/CX$6)/(Peak_Time_Eve*$O59*CX$6))),"-")</f>
        <v>0.309154537858336</v>
      </c>
      <c r="CY26" s="482" t="n">
        <f aca="false">IF(CY$6&lt;Total_Lanes,900*Peak_Time_Eve*(($CN26/CY$6-1)+SQRT(($CN26/CY$6-1)^2+8*($CN26/CY$6)/(Peak_Time_Eve*$O59*CY$6))),"-")</f>
        <v>0.228726520903533</v>
      </c>
      <c r="CZ26" s="483" t="str">
        <f aca="false">IF(CZ$6&lt;Total_Lanes,900*Peak_Time_Eve*(($CN26/CZ$6-1)+SQRT(($CN26/CZ$6-1)^2+8*($CN26/CZ$6)/(Peak_Time_Eve*$O59*CZ$6))),"-")</f>
        <v>-</v>
      </c>
      <c r="DA26" s="483" t="str">
        <f aca="false">IF(DA$6&lt;Total_Lanes,900*Peak_Time_Eve*(($CN26/DA$6-1)+SQRT(($CN26/DA$6-1)^2+8*($CN26/DA$6)/(Peak_Time_Eve*$O59*DA$6))),"-")</f>
        <v>-</v>
      </c>
      <c r="DB26" s="483" t="str">
        <f aca="false">IF(DB$6&lt;Total_Lanes,900*Peak_Time_Eve*(($CN26/DB$6-1)+SQRT(($CN26/DB$6-1)^2+8*($CN26/DB$6)/(Peak_Time_Eve*$O59*DB$6))),"-")</f>
        <v>-</v>
      </c>
      <c r="DC26" s="483" t="str">
        <f aca="false">IF(DC$6&lt;Total_Lanes,900*Peak_Time_Eve*(($CN26/DC$6-1)+SQRT(($CN26/DC$6-1)^2+8*($CN26/DC$6)/(Peak_Time_Eve*$O59*DC$6))),"-")</f>
        <v>-</v>
      </c>
      <c r="DD26" s="483" t="str">
        <f aca="false">IF(DD$6&lt;Total_Lanes,900*Peak_Time_Eve*(($CN26/DD$6-1)+SQRT(($CN26/DD$6-1)^2+8*($CN26/DD$6)/(Peak_Time_Eve*$O59*DD$6))),"-")</f>
        <v>-</v>
      </c>
      <c r="DE26" s="483" t="str">
        <f aca="false">IF(DE$6&lt;Total_Lanes,900*Peak_Time_Eve*(($CN26/DE$6-1)+SQRT(($CN26/DE$6-1)^2+8*($CN26/DE$6)/(Peak_Time_Eve*$O59*DE$6))),"-")</f>
        <v>-</v>
      </c>
      <c r="DF26" s="483" t="str">
        <f aca="false">IF(DF$6&lt;Total_Lanes,900*Peak_Time_Eve*(($CN26/DF$6-1)+SQRT(($CN26/DF$6-1)^2+8*($CN26/DF$6)/(Peak_Time_Eve*$O59*DF$6))),"-")</f>
        <v>-</v>
      </c>
      <c r="DG26" s="483" t="str">
        <f aca="false">IF(DG$6&lt;Total_Lanes,900*Peak_Time_Eve*(($CN26/DG$6-1)+SQRT(($CN26/DG$6-1)^2+8*($CN26/DG$6)/(Peak_Time_Eve*$O59*DG$6))),"-")</f>
        <v>-</v>
      </c>
      <c r="DH26" s="483" t="str">
        <f aca="false">IF(DH$6&lt;Total_Lanes,900*Peak_Time_Eve*(($CN26/DH$6-1)+SQRT(($CN26/DH$6-1)^2+8*($CN26/DH$6)/(Peak_Time_Eve*$O59*DH$6))),"-")</f>
        <v>-</v>
      </c>
      <c r="DI26" s="484" t="str">
        <f aca="false">IF(DI$6&lt;Total_Lanes,900*Peak_Time_Eve*(($CN26/DI$6-1)+SQRT(($CN26/DI$6-1)^2+8*($CN26/DI$6)/(Peak_Time_Eve*$O59*DI$6))),"-")</f>
        <v>-</v>
      </c>
      <c r="DJ26" s="485" t="n">
        <f aca="false">3600/O59</f>
        <v>2.4</v>
      </c>
    </row>
    <row r="27" customFormat="false" ht="13.2" hidden="false" customHeight="false" outlineLevel="0" collapsed="false">
      <c r="B27" s="18"/>
      <c r="C27" s="18"/>
      <c r="D27" s="18"/>
      <c r="E27" s="18"/>
      <c r="H27" s="490" t="n">
        <v>20</v>
      </c>
      <c r="I27" s="491" t="n">
        <f aca="false">'Input-Detail'!E34</f>
        <v>30000000</v>
      </c>
      <c r="J27" s="492" t="n">
        <f aca="false">'Input-Detail'!F34</f>
        <v>0.95</v>
      </c>
      <c r="K27" s="493" t="n">
        <f aca="false">AC27</f>
        <v>9055.44980054609</v>
      </c>
      <c r="L27" s="494" t="n">
        <f aca="false">AD74</f>
        <v>15.1283670791973</v>
      </c>
      <c r="M27" s="495" t="n">
        <f aca="false">AD27</f>
        <v>33.2815541212347</v>
      </c>
      <c r="N27" s="495" t="n">
        <f aca="false">SUM(L27:M27)</f>
        <v>48.409921200432</v>
      </c>
      <c r="O27" s="496" t="n">
        <f aca="false">$S$34*N27</f>
        <v>12586.5795121123</v>
      </c>
      <c r="P27" s="497" t="n">
        <f aca="false">BC74</f>
        <v>0.996008316881621</v>
      </c>
      <c r="Q27" s="495" t="n">
        <f aca="false">BC27</f>
        <v>3.99423779008237</v>
      </c>
      <c r="R27" s="495" t="n">
        <f aca="false">SUM(P27:Q27)</f>
        <v>4.99024610696399</v>
      </c>
      <c r="S27" s="498" t="n">
        <f aca="false">$S$34*R27</f>
        <v>1297.46398781064</v>
      </c>
      <c r="T27" s="405"/>
      <c r="U27" s="405"/>
      <c r="V27" s="490" t="n">
        <v>20</v>
      </c>
      <c r="W27" s="499" t="n">
        <f aca="false">'Input-Detail'!E34</f>
        <v>30000000</v>
      </c>
      <c r="X27" s="500" t="n">
        <f aca="false">J27</f>
        <v>0.95</v>
      </c>
      <c r="Y27" s="501" t="n">
        <f aca="false">'Input-Detail'!E34/Z27</f>
        <v>12936.356857923</v>
      </c>
      <c r="Z27" s="502" t="n">
        <f aca="false">Z26</f>
        <v>2319.04548780488</v>
      </c>
      <c r="AA27" s="502" t="n">
        <f aca="false">AA26</f>
        <v>2</v>
      </c>
      <c r="AB27" s="503" t="n">
        <f aca="false">AB26</f>
        <v>0.7</v>
      </c>
      <c r="AC27" s="493" t="n">
        <f aca="false">Y27*AB27</f>
        <v>9055.44980054609</v>
      </c>
      <c r="AD27" s="497" t="n">
        <f aca="false">Peak_Time_Eve*$BH27*(3600/K60+BK27)/3600</f>
        <v>33.2815541212347</v>
      </c>
      <c r="AE27" s="504" t="n">
        <f aca="false">IF(AE$6&lt;Total_Lanes,($BI27*($CH27+BM27)+$CM27*CO27)*Peak_Time_Eve/3600,"-")</f>
        <v>81485.0528759168</v>
      </c>
      <c r="AF27" s="504" t="n">
        <f aca="false">IF(AF$6&lt;Total_Lanes,($BI27*($CH27+BN27)+$CM27*CP27)*Peak_Time_Eve/3600,"-")</f>
        <v>32142.5980541463</v>
      </c>
      <c r="AG27" s="504" t="n">
        <f aca="false">IF(AG$6&lt;Total_Lanes,($BI27*($CH27+BO27)+$CM27*CQ27)*Peak_Time_Eve/3600,"-")</f>
        <v>15696.0212301056</v>
      </c>
      <c r="AH27" s="504" t="n">
        <f aca="false">IF(AH$6&lt;Total_Lanes,($BI27*($CH27+BP27)+$CM27*CR27)*Peak_Time_Eve/3600,"-")</f>
        <v>7474.58520237584</v>
      </c>
      <c r="AI27" s="504" t="n">
        <f aca="false">IF(AI$6&lt;Total_Lanes,($BI27*($CH27+BQ27)+$CM27*CS27)*Peak_Time_Eve/3600,"-")</f>
        <v>2549.16329184404</v>
      </c>
      <c r="AJ27" s="504" t="n">
        <f aca="false">IF(AJ$6&lt;Total_Lanes,($BI27*($CH27+BR27)+$CM27*CT27)*Peak_Time_Eve/3600,"-")</f>
        <v>41.1639205522736</v>
      </c>
      <c r="AK27" s="504" t="n">
        <f aca="false">IF(AK$6&lt;Total_Lanes,($BI27*($CH27+BS27)+$CM27*CU27)*Peak_Time_Eve/3600,"-")</f>
        <v>9.24798494355367</v>
      </c>
      <c r="AL27" s="504" t="n">
        <f aca="false">IF(AL$6&lt;Total_Lanes,($BI27*($CH27+BT27)+$CM27*CV27)*Peak_Time_Eve/3600,"-")</f>
        <v>5.5128932284121</v>
      </c>
      <c r="AM27" s="504" t="n">
        <f aca="false">IF(AM$6&lt;Total_Lanes,($BI27*($CH27+BU27)+$CM27*CW27)*Peak_Time_Eve/3600,"-")</f>
        <v>4.24241578135727</v>
      </c>
      <c r="AN27" s="504" t="n">
        <f aca="false">IF(AN$6&lt;Total_Lanes,($BI27*($CH27+BV27)+$CM27*CX27)*Peak_Time_Eve/3600,"-")</f>
        <v>3.99423779008237</v>
      </c>
      <c r="AO27" s="504" t="n">
        <f aca="false">IF(AO$6&lt;Total_Lanes,($BI27*($CH27+BW27)+$CM27*CY27)*Peak_Time_Eve/3600,"-")</f>
        <v>14.5936337307612</v>
      </c>
      <c r="AP27" s="504" t="str">
        <f aca="false">IF(AP$6&lt;Total_Lanes,($BI27*($CH27+BX27)+$CM27*CZ27)*Peak_Time_Eve/3600,"-")</f>
        <v>-</v>
      </c>
      <c r="AQ27" s="504" t="str">
        <f aca="false">IF(AQ$6&lt;Total_Lanes,($BI27*($CH27+BY27)+$CM27*DA27)*Peak_Time_Eve/3600,"-")</f>
        <v>-</v>
      </c>
      <c r="AR27" s="504" t="str">
        <f aca="false">IF(AR$6&lt;Total_Lanes,($BI27*($CH27+BZ27)+$CM27*DB27)*Peak_Time_Eve/3600,"-")</f>
        <v>-</v>
      </c>
      <c r="AS27" s="504" t="str">
        <f aca="false">IF(AS$6&lt;Total_Lanes,($BI27*($CH27+CA27)+$CM27*DC27)*Peak_Time_Eve/3600,"-")</f>
        <v>-</v>
      </c>
      <c r="AT27" s="504" t="str">
        <f aca="false">IF(AT$6&lt;Total_Lanes,($BI27*($CH27+CB27)+$CM27*DD27)*Peak_Time_Eve/3600,"-")</f>
        <v>-</v>
      </c>
      <c r="AU27" s="504" t="str">
        <f aca="false">IF(AU$6&lt;Total_Lanes,($BI27*($CH27+CC27)+$CM27*DE27)*Peak_Time_Eve/3600,"-")</f>
        <v>-</v>
      </c>
      <c r="AV27" s="504" t="str">
        <f aca="false">IF(AV$6&lt;Total_Lanes,($BI27*($CH27+CD27)+$CM27*DF27)*Peak_Time_Eve/3600,"-")</f>
        <v>-</v>
      </c>
      <c r="AW27" s="504" t="str">
        <f aca="false">IF(AW$6&lt;Total_Lanes,($BI27*($CH27+CE27)+$CM27*DG27)*Peak_Time_Eve/3600,"-")</f>
        <v>-</v>
      </c>
      <c r="AX27" s="504" t="str">
        <f aca="false">IF(AX$6&lt;Total_Lanes,($BI27*($CH27+CF27)+$CM27*DH27)*Peak_Time_Eve/3600,"-")</f>
        <v>-</v>
      </c>
      <c r="AY27" s="505" t="str">
        <f aca="false">IF(AY$6&lt;Total_Lanes,($BI27*($CH27+CG27)+$CM27*DI27)*Peak_Time_Eve/3600,"-")</f>
        <v>-</v>
      </c>
      <c r="AZ27" s="506" t="n">
        <f aca="false">SUMIF(AE27:AY27,BA27,$AE$6:$AY$6)</f>
        <v>10</v>
      </c>
      <c r="BA27" s="507" t="n">
        <f aca="false">MIN(AE27:AY27)</f>
        <v>3.99423779008237</v>
      </c>
      <c r="BB27" s="506" t="n">
        <f aca="false">IF((SUMIF($BM25:$CG25,$AZ27,$BM27:$CG27)+$CH27)&lt;(SUMIF($CO25:$DI25,$AZ27,$CO27:$DI27)+$DJ27),AZ27+1,AZ27)</f>
        <v>10</v>
      </c>
      <c r="BC27" s="507" t="n">
        <f aca="false">SUMIF($AE$6:$AY$6,$BB27,$AE27:$AY27)</f>
        <v>3.99423779008237</v>
      </c>
      <c r="BF27" s="490" t="n">
        <v>20</v>
      </c>
      <c r="BG27" s="500" t="n">
        <f aca="false">$X27</f>
        <v>0.95</v>
      </c>
      <c r="BH27" s="508" t="n">
        <f aca="false">$AC27</f>
        <v>9055.44980054609</v>
      </c>
      <c r="BI27" s="494" t="n">
        <f aca="false">BH27*(1-BG27)</f>
        <v>452.772490027305</v>
      </c>
      <c r="BJ27" s="509" t="n">
        <f aca="false">Peak_Arrival_Manual/K60</f>
        <v>0.826938644980425</v>
      </c>
      <c r="BK27" s="510" t="n">
        <f aca="false">900*Peak_Time_Eve*(BJ27/Total_Lanes-1+SQRT((BJ27/Total_Lanes-1)^2+8*(BJ27/Total_Lanes)/(Peak_Time_Eve*$K60*Total_Lanes)))</f>
        <v>0.040551821027135</v>
      </c>
      <c r="BL27" s="511" t="n">
        <f aca="false">Peak_Arrival_Manual/N60</f>
        <v>0.880390952830871</v>
      </c>
      <c r="BM27" s="512" t="n">
        <f aca="false">IF(BM$6&lt;Total_Lanes,900*Peak_Time_Eve*(($BL27/(Total_Lanes-BM$6))-1+SQRT((($BL27/(Total_Lanes-BM$6))-1)^2+8*($BL27/(Total_Lanes-BM$6))/(Peak_Time_Eve*$N60*(Total_Lanes-BM$6)))),"-")</f>
        <v>0.0553617655093097</v>
      </c>
      <c r="BN27" s="512" t="n">
        <f aca="false">IF(BN$6&lt;Total_Lanes,900*Peak_Time_Eve*(($BL27/(Total_Lanes-BN$6))-1+SQRT((($BL27/(Total_Lanes-BN$6))-1)^2+8*($BL27/(Total_Lanes-BN$6))/(Peak_Time_Eve*$N60*(Total_Lanes-BN$6)))),"-")</f>
        <v>0.0675753729423301</v>
      </c>
      <c r="BO27" s="512" t="n">
        <f aca="false">IF(BO$6&lt;Total_Lanes,900*Peak_Time_Eve*(($BL27/(Total_Lanes-BO$6))-1+SQRT((($BL27/(Total_Lanes-BO$6))-1)^2+8*($BL27/(Total_Lanes-BO$6))/(Peak_Time_Eve*$N60*(Total_Lanes-BO$6)))),"-")</f>
        <v>0.084330506038488</v>
      </c>
      <c r="BP27" s="512" t="n">
        <f aca="false">IF(BP$6&lt;Total_Lanes,900*Peak_Time_Eve*(($BL27/(Total_Lanes-BP$6))-1+SQRT((($BL27/(Total_Lanes-BP$6))-1)^2+8*($BL27/(Total_Lanes-BP$6))/(Peak_Time_Eve*$N60*(Total_Lanes-BP$6)))),"-")</f>
        <v>0.108196400148652</v>
      </c>
      <c r="BQ27" s="512" t="n">
        <f aca="false">IF(BQ$6&lt;Total_Lanes,900*Peak_Time_Eve*(($BL27/(Total_Lanes-BQ$6))-1+SQRT((($BL27/(Total_Lanes-BQ$6))-1)^2+8*($BL27/(Total_Lanes-BQ$6))/(Peak_Time_Eve*$N60*(Total_Lanes-BQ$6)))),"-")</f>
        <v>0.143857345443577</v>
      </c>
      <c r="BR27" s="512" t="n">
        <f aca="false">IF(BR$6&lt;Total_Lanes,900*Peak_Time_Eve*(($BL27/(Total_Lanes-BR$6))-1+SQRT((($BL27/(Total_Lanes-BR$6))-1)^2+8*($BL27/(Total_Lanes-BR$6))/(Peak_Time_Eve*$N60*(Total_Lanes-BR$6)))),"-")</f>
        <v>0.20061213531315</v>
      </c>
      <c r="BS27" s="512" t="n">
        <f aca="false">IF(BS$6&lt;Total_Lanes,900*Peak_Time_Eve*(($BL27/(Total_Lanes-BS$6))-1+SQRT((($BL27/(Total_Lanes-BS$6))-1)^2+8*($BL27/(Total_Lanes-BS$6))/(Peak_Time_Eve*$N60*(Total_Lanes-BS$6)))),"-")</f>
        <v>0.29916019183196</v>
      </c>
      <c r="BT27" s="512" t="n">
        <f aca="false">IF(BT$6&lt;Total_Lanes,900*Peak_Time_Eve*(($BL27/(Total_Lanes-BT$6))-1+SQRT((($BL27/(Total_Lanes-BT$6))-1)^2+8*($BL27/(Total_Lanes-BT$6))/(Peak_Time_Eve*$N60*(Total_Lanes-BT$6)))),"-")</f>
        <v>0.493784070389047</v>
      </c>
      <c r="BU27" s="512" t="n">
        <f aca="false">IF(BU$6&lt;Total_Lanes,900*Peak_Time_Eve*(($BL27/(Total_Lanes-BU$6))-1+SQRT((($BL27/(Total_Lanes-BU$6))-1)^2+8*($BL27/(Total_Lanes-BU$6))/(Peak_Time_Eve*$N60*(Total_Lanes-BU$6)))),"-")</f>
        <v>0.968793478846575</v>
      </c>
      <c r="BV27" s="512" t="n">
        <f aca="false">IF(BV$6&lt;Total_Lanes,900*Peak_Time_Eve*(($BL27/(Total_Lanes-BV$6))-1+SQRT((($BL27/(Total_Lanes-BV$6))-1)^2+8*($BL27/(Total_Lanes-BV$6))/(Peak_Time_Eve*$N60*(Total_Lanes-BV$6)))),"-")</f>
        <v>2.74843414047798</v>
      </c>
      <c r="BW27" s="512" t="n">
        <f aca="false">IF(BW$6&lt;Total_Lanes,900*Peak_Time_Eve*(($BL27/(Total_Lanes-BW$6))-1+SQRT((($BL27/(Total_Lanes-BW$6))-1)^2+8*($BL27/(Total_Lanes-BW$6))/(Peak_Time_Eve*$N60*(Total_Lanes-BW$6)))),"-")</f>
        <v>46.5020006227812</v>
      </c>
      <c r="BX27" s="504" t="str">
        <f aca="false">IF(BX$6&lt;Total_Lanes,900*Peak_Time_Eve*(($BL27/(Total_Lanes-BX$6))-1+SQRT((($BL27/(Total_Lanes-BX$6))-1)^2+8*($BL27/(Total_Lanes-BX$6))/(Peak_Time_Eve*$N60*(Total_Lanes-BX$6)))),"-")</f>
        <v>-</v>
      </c>
      <c r="BY27" s="504" t="str">
        <f aca="false">IF(BY$6&lt;Total_Lanes,900*Peak_Time_Eve*(($BL27/(Total_Lanes-BY$6))-1+SQRT((($BL27/(Total_Lanes-BY$6))-1)^2+8*($BL27/(Total_Lanes-BY$6))/(Peak_Time_Eve*$N60*(Total_Lanes-BY$6)))),"-")</f>
        <v>-</v>
      </c>
      <c r="BZ27" s="504" t="str">
        <f aca="false">IF(BZ$6&lt;Total_Lanes,900*Peak_Time_Eve*(($BL27/(Total_Lanes-BZ$6))-1+SQRT((($BL27/(Total_Lanes-BZ$6))-1)^2+8*($BL27/(Total_Lanes-BZ$6))/(Peak_Time_Eve*$N60*(Total_Lanes-BZ$6)))),"-")</f>
        <v>-</v>
      </c>
      <c r="CA27" s="504" t="str">
        <f aca="false">IF(CA$6&lt;Total_Lanes,900*Peak_Time_Eve*(($BL27/(Total_Lanes-CA$6))-1+SQRT((($BL27/(Total_Lanes-CA$6))-1)^2+8*($BL27/(Total_Lanes-CA$6))/(Peak_Time_Eve*$N60*(Total_Lanes-CA$6)))),"-")</f>
        <v>-</v>
      </c>
      <c r="CB27" s="504" t="str">
        <f aca="false">IF(CB$6&lt;Total_Lanes,900*Peak_Time_Eve*(($BL27/(Total_Lanes-CB$6))-1+SQRT((($BL27/(Total_Lanes-CB$6))-1)^2+8*($BL27/(Total_Lanes-CB$6))/(Peak_Time_Eve*$N60*(Total_Lanes-CB$6)))),"-")</f>
        <v>-</v>
      </c>
      <c r="CC27" s="504" t="str">
        <f aca="false">IF(CC$6&lt;Total_Lanes,900*Peak_Time_Eve*(($BL27/(Total_Lanes-CC$6))-1+SQRT((($BL27/(Total_Lanes-CC$6))-1)^2+8*($BL27/(Total_Lanes-CC$6))/(Peak_Time_Eve*$N60*(Total_Lanes-CC$6)))),"-")</f>
        <v>-</v>
      </c>
      <c r="CD27" s="504" t="str">
        <f aca="false">IF(CD$6&lt;Total_Lanes,900*Peak_Time_Eve*(($BL27/(Total_Lanes-CD$6))-1+SQRT((($BL27/(Total_Lanes-CD$6))-1)^2+8*($BL27/(Total_Lanes-CD$6))/(Peak_Time_Eve*$N60*(Total_Lanes-CD$6)))),"-")</f>
        <v>-</v>
      </c>
      <c r="CE27" s="504" t="str">
        <f aca="false">IF(CE$6&lt;Total_Lanes,900*Peak_Time_Eve*(($BL27/(Total_Lanes-CE$6))-1+SQRT((($BL27/(Total_Lanes-CE$6))-1)^2+8*($BL27/(Total_Lanes-CE$6))/(Peak_Time_Eve*$N60*(Total_Lanes-CE$6)))),"-")</f>
        <v>-</v>
      </c>
      <c r="CF27" s="504" t="str">
        <f aca="false">IF(CF$6&lt;Total_Lanes,900*Peak_Time_Eve*(($BL27/(Total_Lanes-CF$6))-1+SQRT((($BL27/(Total_Lanes-CF$6))-1)^2+8*($BL27/(Total_Lanes-CF$6))/(Peak_Time_Eve*$N60*(Total_Lanes-CF$6)))),"-")</f>
        <v>-</v>
      </c>
      <c r="CG27" s="513" t="str">
        <f aca="false">IF(CG$6&lt;Total_Lanes,900*Peak_Time_Eve*(($BL27/(Total_Lanes-CG$6))-1+SQRT((($BL27/(Total_Lanes-CG$6))-1)^2+8*($BL27/(Total_Lanes-CG$6))/(Peak_Time_Eve*$N60*(Total_Lanes-CG$6)))),"-")</f>
        <v>-</v>
      </c>
      <c r="CH27" s="514" t="n">
        <f aca="false">3600/N60</f>
        <v>7</v>
      </c>
      <c r="CJ27" s="490" t="n">
        <v>20</v>
      </c>
      <c r="CK27" s="500" t="n">
        <f aca="false">$X27</f>
        <v>0.95</v>
      </c>
      <c r="CL27" s="493" t="n">
        <f aca="false">$AC27</f>
        <v>9055.44980054609</v>
      </c>
      <c r="CM27" s="497" t="n">
        <f aca="false">CL27*CK27</f>
        <v>8602.67731051879</v>
      </c>
      <c r="CN27" s="515" t="n">
        <f aca="false">CM27/O59</f>
        <v>5.73511820701253</v>
      </c>
      <c r="CO27" s="512" t="n">
        <f aca="false">IF(CO$6&lt;Total_Lanes,900*Peak_Time_Eve*(($CN27/CO$6-1)+SQRT(($CN27/CO$6-1)^2+8*($CN27/CO$6)/(Peak_Time_Eve*$O60*CO$6))),"-")</f>
        <v>17049.3319008487</v>
      </c>
      <c r="CP27" s="512" t="n">
        <f aca="false">IF(CP$6&lt;Total_Lanes,900*Peak_Time_Eve*(($CN27/CP$6-1)+SQRT(($CN27/CP$6-1)^2+8*($CN27/CP$6)/(Peak_Time_Eve*$O60*CP$6))),"-")</f>
        <v>6725.05481787907</v>
      </c>
      <c r="CQ27" s="512" t="n">
        <f aca="false">IF(CQ$6&lt;Total_Lanes,900*Peak_Time_Eve*(($CN27/CQ$6-1)+SQRT(($CN27/CQ$6-1)^2+8*($CN27/CQ$6)/(Peak_Time_Eve*$O60*CQ$6))),"-")</f>
        <v>3283.8184677327</v>
      </c>
      <c r="CR27" s="512" t="n">
        <f aca="false">IF(CR$6&lt;Total_Lanes,900*Peak_Time_Eve*(($CN27/CR$6-1)+SQRT(($CN27/CR$6-1)^2+8*($CN27/CR$6)/(Peak_Time_Eve*$O60*CR$6))),"-")</f>
        <v>1563.58706516235</v>
      </c>
      <c r="CS27" s="512" t="n">
        <f aca="false">IF(CS$6&lt;Total_Lanes,900*Peak_Time_Eve*(($CN27/CS$6-1)+SQRT(($CN27/CS$6-1)^2+8*($CN27/CS$6)/(Peak_Time_Eve*$O60*CS$6))),"-")</f>
        <v>533.003763564864</v>
      </c>
      <c r="CT27" s="516" t="n">
        <f aca="false">IF(CT$6&lt;Total_Lanes,900*Peak_Time_Eve*(($CN27/CT$6-1)+SQRT(($CN27/CT$6-1)^2+8*($CN27/CT$6)/(Peak_Time_Eve*$O60*CT$6))),"-")</f>
        <v>8.23404335081286</v>
      </c>
      <c r="CU27" s="516" t="n">
        <f aca="false">IF(CU$6&lt;Total_Lanes,900*Peak_Time_Eve*(($CN27/CU$6-1)+SQRT(($CN27/CU$6-1)^2+8*($CN27/CU$6)/(Peak_Time_Eve*$O60*CU$6))),"-")</f>
        <v>1.55085602791581</v>
      </c>
      <c r="CV27" s="516" t="n">
        <f aca="false">IF(CV$6&lt;Total_Lanes,900*Peak_Time_Eve*(($CN27/CV$6-1)+SQRT(($CN27/CV$6-1)^2+8*($CN27/CV$6)/(Peak_Time_Eve*$O60*CV$6))),"-")</f>
        <v>0.759092582710275</v>
      </c>
      <c r="CW27" s="516" t="n">
        <f aca="false">IF(CW$6&lt;Total_Lanes,900*Peak_Time_Eve*(($CN27/CW$6-1)+SQRT(($CN27/CW$6-1)^2+8*($CN27/CW$6)/(Peak_Time_Eve*$O60*CW$6))),"-")</f>
        <v>0.468260960525257</v>
      </c>
      <c r="CX27" s="516" t="n">
        <f aca="false">IF(CX$6&lt;Total_Lanes,900*Peak_Time_Eve*(($CN27/CX$6-1)+SQRT(($CN27/CX$6-1)^2+8*($CN27/CX$6)/(Peak_Time_Eve*$O60*CX$6))),"-")</f>
        <v>0.322667597807347</v>
      </c>
      <c r="CY27" s="516" t="n">
        <f aca="false">IF(CY$6&lt;Total_Lanes,900*Peak_Time_Eve*(($CN27/CY$6-1)+SQRT(($CN27/CY$6-1)^2+8*($CN27/CY$6)/(Peak_Time_Eve*$O60*CY$6))),"-")</f>
        <v>0.237636098409899</v>
      </c>
      <c r="CZ27" s="517" t="str">
        <f aca="false">IF(CZ$6&lt;Total_Lanes,900*Peak_Time_Eve*(($CN27/CZ$6-1)+SQRT(($CN27/CZ$6-1)^2+8*($CN27/CZ$6)/(Peak_Time_Eve*$O60*CZ$6))),"-")</f>
        <v>-</v>
      </c>
      <c r="DA27" s="517" t="str">
        <f aca="false">IF(DA$6&lt;Total_Lanes,900*Peak_Time_Eve*(($CN27/DA$6-1)+SQRT(($CN27/DA$6-1)^2+8*($CN27/DA$6)/(Peak_Time_Eve*$O60*DA$6))),"-")</f>
        <v>-</v>
      </c>
      <c r="DB27" s="517" t="str">
        <f aca="false">IF(DB$6&lt;Total_Lanes,900*Peak_Time_Eve*(($CN27/DB$6-1)+SQRT(($CN27/DB$6-1)^2+8*($CN27/DB$6)/(Peak_Time_Eve*$O60*DB$6))),"-")</f>
        <v>-</v>
      </c>
      <c r="DC27" s="517" t="str">
        <f aca="false">IF(DC$6&lt;Total_Lanes,900*Peak_Time_Eve*(($CN27/DC$6-1)+SQRT(($CN27/DC$6-1)^2+8*($CN27/DC$6)/(Peak_Time_Eve*$O60*DC$6))),"-")</f>
        <v>-</v>
      </c>
      <c r="DD27" s="517" t="str">
        <f aca="false">IF(DD$6&lt;Total_Lanes,900*Peak_Time_Eve*(($CN27/DD$6-1)+SQRT(($CN27/DD$6-1)^2+8*($CN27/DD$6)/(Peak_Time_Eve*$O60*DD$6))),"-")</f>
        <v>-</v>
      </c>
      <c r="DE27" s="517" t="str">
        <f aca="false">IF(DE$6&lt;Total_Lanes,900*Peak_Time_Eve*(($CN27/DE$6-1)+SQRT(($CN27/DE$6-1)^2+8*($CN27/DE$6)/(Peak_Time_Eve*$O60*DE$6))),"-")</f>
        <v>-</v>
      </c>
      <c r="DF27" s="517" t="str">
        <f aca="false">IF(DF$6&lt;Total_Lanes,900*Peak_Time_Eve*(($CN27/DF$6-1)+SQRT(($CN27/DF$6-1)^2+8*($CN27/DF$6)/(Peak_Time_Eve*$O60*DF$6))),"-")</f>
        <v>-</v>
      </c>
      <c r="DG27" s="517" t="str">
        <f aca="false">IF(DG$6&lt;Total_Lanes,900*Peak_Time_Eve*(($CN27/DG$6-1)+SQRT(($CN27/DG$6-1)^2+8*($CN27/DG$6)/(Peak_Time_Eve*$O60*DG$6))),"-")</f>
        <v>-</v>
      </c>
      <c r="DH27" s="517" t="str">
        <f aca="false">IF(DH$6&lt;Total_Lanes,900*Peak_Time_Eve*(($CN27/DH$6-1)+SQRT(($CN27/DH$6-1)^2+8*($CN27/DH$6)/(Peak_Time_Eve*$O60*DH$6))),"-")</f>
        <v>-</v>
      </c>
      <c r="DI27" s="518" t="str">
        <f aca="false">IF(DI$6&lt;Total_Lanes,900*Peak_Time_Eve*(($CN27/DI$6-1)+SQRT(($CN27/DI$6-1)^2+8*($CN27/DI$6)/(Peak_Time_Eve*$O60*DI$6))),"-")</f>
        <v>-</v>
      </c>
      <c r="DJ27" s="519" t="n">
        <f aca="false">3600/O60</f>
        <v>2.4</v>
      </c>
    </row>
    <row r="29" customFormat="false" ht="13.2" hidden="false" customHeight="false" outlineLevel="0" collapsed="false">
      <c r="B29" s="18"/>
      <c r="C29" s="18"/>
      <c r="D29" s="18"/>
      <c r="E29" s="18"/>
    </row>
    <row r="30" customFormat="false" ht="13.8" hidden="false" customHeight="false" outlineLevel="0" collapsed="false">
      <c r="B30" s="18"/>
      <c r="C30" s="18"/>
      <c r="D30" s="18"/>
      <c r="E30" s="18"/>
      <c r="H30" s="297" t="s">
        <v>234</v>
      </c>
      <c r="V30" s="297" t="s">
        <v>234</v>
      </c>
    </row>
    <row r="31" customFormat="false" ht="13.8" hidden="false" customHeight="false" outlineLevel="0" collapsed="false">
      <c r="B31" s="18"/>
      <c r="C31" s="18"/>
      <c r="D31" s="18"/>
      <c r="E31" s="18"/>
      <c r="H31" s="520" t="s">
        <v>329</v>
      </c>
      <c r="I31" s="521"/>
      <c r="J31" s="521"/>
      <c r="K31" s="521"/>
      <c r="L31" s="521"/>
      <c r="M31" s="521"/>
      <c r="N31" s="521"/>
      <c r="O31" s="521"/>
      <c r="P31" s="521"/>
      <c r="Q31" s="521"/>
      <c r="R31" s="521"/>
      <c r="S31" s="522"/>
      <c r="T31" s="405"/>
      <c r="U31" s="405"/>
      <c r="V31" s="523" t="s">
        <v>330</v>
      </c>
      <c r="W31" s="524"/>
      <c r="X31" s="524"/>
      <c r="Y31" s="524"/>
      <c r="Z31" s="524"/>
      <c r="AA31" s="524"/>
      <c r="AB31" s="524"/>
      <c r="AC31" s="524"/>
      <c r="AD31" s="524"/>
      <c r="AE31" s="524"/>
      <c r="AF31" s="524"/>
      <c r="AG31" s="524"/>
      <c r="AH31" s="524"/>
      <c r="AI31" s="524"/>
      <c r="AJ31" s="524"/>
      <c r="AK31" s="524"/>
      <c r="AL31" s="524"/>
      <c r="AM31" s="524"/>
      <c r="AN31" s="524"/>
      <c r="AO31" s="524"/>
      <c r="AP31" s="524"/>
      <c r="AQ31" s="524"/>
      <c r="AR31" s="524"/>
      <c r="AS31" s="524"/>
      <c r="AT31" s="524"/>
      <c r="AU31" s="524"/>
      <c r="AV31" s="524"/>
      <c r="AW31" s="524"/>
      <c r="AX31" s="524"/>
      <c r="AY31" s="524"/>
      <c r="AZ31" s="524"/>
      <c r="BA31" s="524"/>
      <c r="BB31" s="524"/>
      <c r="BC31" s="525"/>
      <c r="CS31" s="360"/>
      <c r="CT31" s="360"/>
      <c r="CU31" s="360"/>
      <c r="CV31" s="360"/>
      <c r="CW31" s="360"/>
      <c r="CX31" s="360"/>
      <c r="CY31" s="360"/>
      <c r="CZ31" s="360"/>
      <c r="DA31" s="360"/>
      <c r="DB31" s="360"/>
      <c r="DC31" s="360"/>
      <c r="DD31" s="360"/>
      <c r="DE31" s="360"/>
      <c r="DF31" s="360"/>
    </row>
    <row r="32" customFormat="false" ht="15" hidden="false" customHeight="false" outlineLevel="0" collapsed="false">
      <c r="B32" s="18"/>
      <c r="C32" s="18"/>
      <c r="D32" s="18"/>
      <c r="E32" s="18"/>
      <c r="H32" s="526" t="s">
        <v>331</v>
      </c>
      <c r="I32" s="527"/>
      <c r="J32" s="527"/>
      <c r="K32" s="527"/>
      <c r="L32" s="527"/>
      <c r="M32" s="527"/>
      <c r="N32" s="527"/>
      <c r="O32" s="527"/>
      <c r="P32" s="527"/>
      <c r="Q32" s="527"/>
      <c r="R32" s="527"/>
      <c r="S32" s="528"/>
      <c r="T32" s="405"/>
      <c r="U32" s="405"/>
      <c r="V32" s="529" t="s">
        <v>332</v>
      </c>
      <c r="W32" s="530"/>
      <c r="X32" s="530"/>
      <c r="Y32" s="530"/>
      <c r="Z32" s="530"/>
      <c r="AA32" s="530"/>
      <c r="AB32" s="530"/>
      <c r="AC32" s="530"/>
      <c r="AD32" s="530"/>
      <c r="AE32" s="530"/>
      <c r="AF32" s="530"/>
      <c r="AG32" s="530"/>
      <c r="AH32" s="530"/>
      <c r="AI32" s="530"/>
      <c r="AJ32" s="530"/>
      <c r="AK32" s="530"/>
      <c r="AL32" s="530"/>
      <c r="AM32" s="530"/>
      <c r="AN32" s="530"/>
      <c r="AO32" s="530"/>
      <c r="AP32" s="530"/>
      <c r="AQ32" s="530"/>
      <c r="AR32" s="530"/>
      <c r="AS32" s="530"/>
      <c r="AT32" s="530"/>
      <c r="AU32" s="530"/>
      <c r="AV32" s="530"/>
      <c r="AW32" s="530"/>
      <c r="AX32" s="530"/>
      <c r="AY32" s="530"/>
      <c r="AZ32" s="530"/>
      <c r="BA32" s="530"/>
      <c r="BB32" s="530"/>
      <c r="BC32" s="531"/>
      <c r="CS32" s="360"/>
      <c r="CT32" s="360"/>
      <c r="CU32" s="360"/>
      <c r="CV32" s="360"/>
      <c r="CW32" s="360"/>
      <c r="CX32" s="360"/>
      <c r="CY32" s="360"/>
      <c r="CZ32" s="360"/>
      <c r="DA32" s="360"/>
      <c r="DB32" s="360"/>
      <c r="DC32" s="360"/>
      <c r="DD32" s="360"/>
      <c r="DE32" s="360"/>
      <c r="DF32" s="360"/>
    </row>
    <row r="33" customFormat="false" ht="13.2" hidden="false" customHeight="false" outlineLevel="0" collapsed="false">
      <c r="A33" s="18"/>
      <c r="B33" s="18"/>
      <c r="C33" s="18"/>
      <c r="D33" s="18"/>
      <c r="E33" s="18"/>
      <c r="F33" s="18"/>
      <c r="G33" s="18"/>
      <c r="H33" s="526" t="s">
        <v>333</v>
      </c>
      <c r="I33" s="527"/>
      <c r="J33" s="527"/>
      <c r="K33" s="527"/>
      <c r="L33" s="527"/>
      <c r="M33" s="527"/>
      <c r="N33" s="527"/>
      <c r="O33" s="527"/>
      <c r="P33" s="527"/>
      <c r="Q33" s="527"/>
      <c r="R33" s="530"/>
      <c r="S33" s="528" t="n">
        <v>52</v>
      </c>
      <c r="T33" s="18"/>
      <c r="U33" s="18"/>
      <c r="V33" s="306" t="s">
        <v>334</v>
      </c>
      <c r="W33" s="530"/>
      <c r="X33" s="530"/>
      <c r="Y33" s="530"/>
      <c r="Z33" s="530"/>
      <c r="AA33" s="530"/>
      <c r="AB33" s="530"/>
      <c r="AC33" s="530"/>
      <c r="AD33" s="530"/>
      <c r="AE33" s="530"/>
      <c r="AF33" s="530"/>
      <c r="AG33" s="530"/>
      <c r="AH33" s="530"/>
      <c r="AI33" s="530"/>
      <c r="AJ33" s="530"/>
      <c r="AK33" s="530"/>
      <c r="AL33" s="530"/>
      <c r="AM33" s="530"/>
      <c r="AN33" s="530"/>
      <c r="AO33" s="530"/>
      <c r="AP33" s="530"/>
      <c r="AQ33" s="530"/>
      <c r="AR33" s="530"/>
      <c r="AS33" s="530"/>
      <c r="AT33" s="530"/>
      <c r="AU33" s="530"/>
      <c r="AV33" s="530"/>
      <c r="AW33" s="530"/>
      <c r="AX33" s="530"/>
      <c r="AY33" s="530"/>
      <c r="AZ33" s="530"/>
      <c r="BA33" s="530"/>
      <c r="BB33" s="530"/>
      <c r="BC33" s="531"/>
      <c r="CF33" s="18"/>
      <c r="CS33" s="360"/>
      <c r="CT33" s="360"/>
      <c r="CU33" s="360"/>
      <c r="CV33" s="360"/>
      <c r="CW33" s="360"/>
      <c r="CX33" s="360"/>
      <c r="CY33" s="360"/>
      <c r="CZ33" s="360"/>
      <c r="DA33" s="360"/>
      <c r="DB33" s="360"/>
      <c r="DC33" s="360"/>
      <c r="DD33" s="360"/>
      <c r="DE33" s="360"/>
      <c r="DF33" s="360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  <c r="IW33" s="18"/>
    </row>
    <row r="34" customFormat="false" ht="13.8" hidden="false" customHeight="false" outlineLevel="0" collapsed="false">
      <c r="B34" s="18"/>
      <c r="C34" s="18"/>
      <c r="D34" s="18"/>
      <c r="E34" s="18"/>
      <c r="H34" s="308" t="s">
        <v>335</v>
      </c>
      <c r="I34" s="532"/>
      <c r="J34" s="532"/>
      <c r="K34" s="532"/>
      <c r="L34" s="532"/>
      <c r="M34" s="532"/>
      <c r="N34" s="532"/>
      <c r="O34" s="532"/>
      <c r="P34" s="532"/>
      <c r="Q34" s="532"/>
      <c r="R34" s="532"/>
      <c r="S34" s="533" t="n">
        <f aca="false">5*S33</f>
        <v>260</v>
      </c>
      <c r="T34" s="405"/>
      <c r="U34" s="405"/>
      <c r="V34" s="306" t="s">
        <v>336</v>
      </c>
      <c r="W34" s="530"/>
      <c r="X34" s="530"/>
      <c r="Y34" s="530"/>
      <c r="Z34" s="530"/>
      <c r="AA34" s="530"/>
      <c r="AB34" s="530"/>
      <c r="AC34" s="530"/>
      <c r="AD34" s="530"/>
      <c r="AE34" s="530"/>
      <c r="AF34" s="530"/>
      <c r="AG34" s="530"/>
      <c r="AH34" s="530"/>
      <c r="AI34" s="530"/>
      <c r="AJ34" s="530"/>
      <c r="AK34" s="530"/>
      <c r="AL34" s="530"/>
      <c r="AM34" s="530"/>
      <c r="AN34" s="530"/>
      <c r="AO34" s="530"/>
      <c r="AP34" s="530"/>
      <c r="AQ34" s="530"/>
      <c r="AR34" s="530"/>
      <c r="AS34" s="530"/>
      <c r="AT34" s="530"/>
      <c r="AU34" s="530"/>
      <c r="AV34" s="530"/>
      <c r="AW34" s="530"/>
      <c r="AX34" s="530"/>
      <c r="AY34" s="530"/>
      <c r="AZ34" s="530"/>
      <c r="BA34" s="530"/>
      <c r="BB34" s="530"/>
      <c r="BC34" s="531"/>
      <c r="CS34" s="360"/>
      <c r="CT34" s="360"/>
      <c r="CU34" s="360"/>
      <c r="CV34" s="360"/>
      <c r="CW34" s="360"/>
      <c r="CX34" s="360"/>
      <c r="CY34" s="360"/>
      <c r="CZ34" s="360"/>
      <c r="DA34" s="360"/>
      <c r="DB34" s="360"/>
      <c r="DC34" s="360"/>
      <c r="DD34" s="360"/>
      <c r="DE34" s="360"/>
      <c r="DF34" s="360"/>
    </row>
    <row r="35" customFormat="false" ht="13.8" hidden="false" customHeight="false" outlineLevel="0" collapsed="false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306" t="s">
        <v>337</v>
      </c>
      <c r="W35" s="530"/>
      <c r="X35" s="530"/>
      <c r="Y35" s="530"/>
      <c r="Z35" s="530"/>
      <c r="AA35" s="530"/>
      <c r="AB35" s="530"/>
      <c r="AC35" s="530"/>
      <c r="AD35" s="530"/>
      <c r="AE35" s="530"/>
      <c r="AF35" s="530"/>
      <c r="AG35" s="530"/>
      <c r="AH35" s="530"/>
      <c r="AI35" s="530"/>
      <c r="AJ35" s="530"/>
      <c r="AK35" s="530"/>
      <c r="AL35" s="530"/>
      <c r="AM35" s="530"/>
      <c r="AN35" s="530"/>
      <c r="AO35" s="530"/>
      <c r="AP35" s="530"/>
      <c r="AQ35" s="530"/>
      <c r="AR35" s="530"/>
      <c r="AS35" s="530"/>
      <c r="AT35" s="530"/>
      <c r="AU35" s="530"/>
      <c r="AV35" s="530"/>
      <c r="AW35" s="530"/>
      <c r="AX35" s="530"/>
      <c r="AY35" s="530"/>
      <c r="AZ35" s="530"/>
      <c r="BA35" s="530"/>
      <c r="BB35" s="530"/>
      <c r="BC35" s="531"/>
      <c r="CF35" s="18"/>
      <c r="CS35" s="360"/>
      <c r="CT35" s="360"/>
      <c r="CU35" s="360"/>
      <c r="CV35" s="360"/>
      <c r="CW35" s="360"/>
      <c r="CX35" s="360"/>
      <c r="CY35" s="360"/>
      <c r="CZ35" s="360"/>
      <c r="DA35" s="360"/>
      <c r="DB35" s="360"/>
      <c r="DC35" s="360"/>
      <c r="DD35" s="360"/>
      <c r="DE35" s="360"/>
      <c r="DF35" s="360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</row>
    <row r="36" customFormat="false" ht="13.2" hidden="false" customHeight="fals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306" t="s">
        <v>338</v>
      </c>
      <c r="W36" s="530"/>
      <c r="X36" s="530"/>
      <c r="Y36" s="530"/>
      <c r="Z36" s="530"/>
      <c r="AA36" s="530"/>
      <c r="AB36" s="530"/>
      <c r="AC36" s="530"/>
      <c r="AD36" s="530"/>
      <c r="AE36" s="530"/>
      <c r="AF36" s="530"/>
      <c r="AG36" s="530"/>
      <c r="AH36" s="530"/>
      <c r="AI36" s="530"/>
      <c r="AJ36" s="530"/>
      <c r="AK36" s="530"/>
      <c r="AL36" s="530"/>
      <c r="AM36" s="530"/>
      <c r="AN36" s="530"/>
      <c r="AO36" s="530"/>
      <c r="AP36" s="530"/>
      <c r="AQ36" s="530"/>
      <c r="AR36" s="530"/>
      <c r="AS36" s="530"/>
      <c r="AT36" s="530"/>
      <c r="AU36" s="530"/>
      <c r="AV36" s="530"/>
      <c r="AW36" s="530"/>
      <c r="AX36" s="530"/>
      <c r="AY36" s="530"/>
      <c r="AZ36" s="530"/>
      <c r="BA36" s="530"/>
      <c r="BB36" s="530"/>
      <c r="BC36" s="531"/>
      <c r="CF36" s="18"/>
      <c r="CS36" s="360"/>
      <c r="CT36" s="360"/>
      <c r="CU36" s="360"/>
      <c r="CV36" s="360"/>
      <c r="CW36" s="360"/>
      <c r="CX36" s="360"/>
      <c r="CY36" s="360"/>
      <c r="CZ36" s="360"/>
      <c r="DA36" s="360"/>
      <c r="DB36" s="360"/>
      <c r="DC36" s="360"/>
      <c r="DD36" s="360"/>
      <c r="DE36" s="360"/>
      <c r="DF36" s="360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</row>
    <row r="37" customFormat="false" ht="14.4" hidden="false" customHeight="false" outlineLevel="0" collapsed="false">
      <c r="A37" s="18"/>
      <c r="B37" s="18"/>
      <c r="C37" s="18"/>
      <c r="D37" s="18"/>
      <c r="E37" s="18"/>
      <c r="F37" s="18"/>
      <c r="G37" s="18"/>
      <c r="H37" s="354" t="s">
        <v>339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306" t="s">
        <v>340</v>
      </c>
      <c r="W37" s="530"/>
      <c r="X37" s="530"/>
      <c r="Y37" s="530"/>
      <c r="Z37" s="530"/>
      <c r="AA37" s="530"/>
      <c r="AB37" s="530"/>
      <c r="AC37" s="530"/>
      <c r="AD37" s="530"/>
      <c r="AE37" s="530"/>
      <c r="AF37" s="530"/>
      <c r="AG37" s="530"/>
      <c r="AH37" s="530"/>
      <c r="AI37" s="530"/>
      <c r="AJ37" s="530"/>
      <c r="AK37" s="530"/>
      <c r="AL37" s="530"/>
      <c r="AM37" s="530"/>
      <c r="AN37" s="530"/>
      <c r="AO37" s="530"/>
      <c r="AP37" s="530"/>
      <c r="AQ37" s="530"/>
      <c r="AR37" s="530"/>
      <c r="AS37" s="530"/>
      <c r="AT37" s="530"/>
      <c r="AU37" s="530"/>
      <c r="AV37" s="530"/>
      <c r="AW37" s="530"/>
      <c r="AX37" s="530"/>
      <c r="AY37" s="530"/>
      <c r="AZ37" s="530"/>
      <c r="BA37" s="530"/>
      <c r="BB37" s="530"/>
      <c r="BC37" s="531"/>
      <c r="CF37" s="18"/>
      <c r="CS37" s="360"/>
      <c r="CT37" s="360"/>
      <c r="CU37" s="360"/>
      <c r="CV37" s="360"/>
      <c r="CW37" s="360"/>
      <c r="CX37" s="360"/>
      <c r="CY37" s="360"/>
      <c r="CZ37" s="360"/>
      <c r="DA37" s="360"/>
      <c r="DB37" s="360"/>
      <c r="DC37" s="360"/>
      <c r="DD37" s="360"/>
      <c r="DE37" s="360"/>
      <c r="DF37" s="360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  <c r="IS37" s="18"/>
      <c r="IT37" s="18"/>
      <c r="IU37" s="18"/>
      <c r="IV37" s="18"/>
      <c r="IW37" s="18"/>
    </row>
    <row r="38" customFormat="false" ht="12.75" hidden="false" customHeight="true" outlineLevel="0" collapsed="false">
      <c r="A38" s="18"/>
      <c r="B38" s="18"/>
      <c r="C38" s="18"/>
      <c r="D38" s="18"/>
      <c r="E38" s="18"/>
      <c r="F38" s="18"/>
      <c r="G38" s="18"/>
      <c r="H38" s="420" t="s">
        <v>96</v>
      </c>
      <c r="I38" s="534" t="s">
        <v>341</v>
      </c>
      <c r="J38" s="534"/>
      <c r="K38" s="534"/>
      <c r="L38" s="535" t="s">
        <v>342</v>
      </c>
      <c r="M38" s="535"/>
      <c r="N38" s="535"/>
      <c r="O38" s="420" t="s">
        <v>343</v>
      </c>
      <c r="P38" s="18"/>
      <c r="Q38" s="18"/>
      <c r="R38" s="18"/>
      <c r="S38" s="18"/>
      <c r="T38" s="18"/>
      <c r="U38" s="18"/>
      <c r="V38" s="306" t="s">
        <v>344</v>
      </c>
      <c r="W38" s="530"/>
      <c r="X38" s="530"/>
      <c r="Y38" s="530"/>
      <c r="Z38" s="530"/>
      <c r="AA38" s="530"/>
      <c r="AB38" s="530"/>
      <c r="AC38" s="530"/>
      <c r="AD38" s="530"/>
      <c r="AE38" s="530"/>
      <c r="AF38" s="530"/>
      <c r="AG38" s="530"/>
      <c r="AH38" s="530"/>
      <c r="AI38" s="530"/>
      <c r="AJ38" s="530"/>
      <c r="AK38" s="530"/>
      <c r="AL38" s="530"/>
      <c r="AM38" s="530"/>
      <c r="AN38" s="530"/>
      <c r="AO38" s="530"/>
      <c r="AP38" s="530"/>
      <c r="AQ38" s="530"/>
      <c r="AR38" s="530"/>
      <c r="AS38" s="530"/>
      <c r="AT38" s="530"/>
      <c r="AU38" s="530"/>
      <c r="AV38" s="530"/>
      <c r="AW38" s="530"/>
      <c r="AX38" s="530"/>
      <c r="AY38" s="530"/>
      <c r="AZ38" s="530"/>
      <c r="BA38" s="530"/>
      <c r="BB38" s="530"/>
      <c r="BC38" s="531"/>
      <c r="CF38" s="18"/>
      <c r="CS38" s="360"/>
      <c r="CT38" s="360"/>
      <c r="CU38" s="360"/>
      <c r="CV38" s="360"/>
      <c r="CW38" s="360"/>
      <c r="CX38" s="360"/>
      <c r="CY38" s="360"/>
      <c r="CZ38" s="360"/>
      <c r="DA38" s="360"/>
      <c r="DB38" s="360"/>
      <c r="DC38" s="360"/>
      <c r="DD38" s="360"/>
      <c r="DE38" s="360"/>
      <c r="DF38" s="360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  <c r="IW38" s="18"/>
    </row>
    <row r="39" customFormat="false" ht="13.8" hidden="false" customHeight="false" outlineLevel="0" collapsed="false">
      <c r="A39" s="18"/>
      <c r="B39" s="18"/>
      <c r="C39" s="18"/>
      <c r="D39" s="18"/>
      <c r="E39" s="18"/>
      <c r="F39" s="18"/>
      <c r="G39" s="18"/>
      <c r="H39" s="420"/>
      <c r="I39" s="390" t="s">
        <v>345</v>
      </c>
      <c r="J39" s="536" t="s">
        <v>109</v>
      </c>
      <c r="K39" s="536" t="s">
        <v>346</v>
      </c>
      <c r="L39" s="390" t="s">
        <v>347</v>
      </c>
      <c r="M39" s="536" t="s">
        <v>109</v>
      </c>
      <c r="N39" s="536" t="s">
        <v>346</v>
      </c>
      <c r="O39" s="420"/>
      <c r="P39" s="18"/>
      <c r="Q39" s="18"/>
      <c r="R39" s="18"/>
      <c r="S39" s="18"/>
      <c r="T39" s="18"/>
      <c r="U39" s="18"/>
      <c r="V39" s="306" t="s">
        <v>348</v>
      </c>
      <c r="W39" s="530"/>
      <c r="X39" s="530"/>
      <c r="Y39" s="530"/>
      <c r="Z39" s="530"/>
      <c r="AA39" s="530"/>
      <c r="AB39" s="530"/>
      <c r="AC39" s="530"/>
      <c r="AD39" s="530"/>
      <c r="AE39" s="530"/>
      <c r="AF39" s="530"/>
      <c r="AG39" s="530"/>
      <c r="AH39" s="530"/>
      <c r="AI39" s="530"/>
      <c r="AJ39" s="530"/>
      <c r="AK39" s="530"/>
      <c r="AL39" s="530"/>
      <c r="AM39" s="530"/>
      <c r="AN39" s="530"/>
      <c r="AO39" s="530"/>
      <c r="AP39" s="530"/>
      <c r="AQ39" s="530"/>
      <c r="AR39" s="530"/>
      <c r="AS39" s="530"/>
      <c r="AT39" s="530"/>
      <c r="AU39" s="530"/>
      <c r="AV39" s="530"/>
      <c r="AW39" s="530"/>
      <c r="AX39" s="530"/>
      <c r="AY39" s="530"/>
      <c r="AZ39" s="530"/>
      <c r="BA39" s="530"/>
      <c r="BB39" s="530"/>
      <c r="BC39" s="531"/>
      <c r="CF39" s="18"/>
      <c r="CS39" s="360"/>
      <c r="CT39" s="360"/>
      <c r="CU39" s="360"/>
      <c r="CV39" s="360"/>
      <c r="CW39" s="360"/>
      <c r="CX39" s="360"/>
      <c r="CY39" s="360"/>
      <c r="CZ39" s="360"/>
      <c r="DA39" s="360"/>
      <c r="DB39" s="360"/>
      <c r="DC39" s="360"/>
      <c r="DD39" s="360"/>
      <c r="DE39" s="360"/>
      <c r="DF39" s="360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  <c r="IO39" s="18"/>
      <c r="IP39" s="18"/>
      <c r="IQ39" s="18"/>
      <c r="IR39" s="18"/>
      <c r="IS39" s="18"/>
      <c r="IT39" s="18"/>
      <c r="IU39" s="18"/>
      <c r="IV39" s="18"/>
      <c r="IW39" s="18"/>
    </row>
    <row r="40" customFormat="false" ht="13.8" hidden="false" customHeight="false" outlineLevel="0" collapsed="false">
      <c r="A40" s="18"/>
      <c r="B40" s="18"/>
      <c r="C40" s="18"/>
      <c r="D40" s="18"/>
      <c r="E40" s="18"/>
      <c r="F40" s="18"/>
      <c r="G40" s="18"/>
      <c r="H40" s="537" t="s">
        <v>114</v>
      </c>
      <c r="I40" s="538" t="n">
        <f aca="false">'Input-Detail'!BH13</f>
        <v>0.83</v>
      </c>
      <c r="J40" s="539" t="n">
        <f aca="false">1-I40</f>
        <v>0.17</v>
      </c>
      <c r="K40" s="540" t="n">
        <f aca="false">3600/(Trans_Time_Cash*I40+Trans_Time_Ticket*J40)</f>
        <v>547.528517110266</v>
      </c>
      <c r="L40" s="538" t="n">
        <f aca="false">'Input-Detail'!BJ13</f>
        <v>0.83</v>
      </c>
      <c r="M40" s="539" t="n">
        <f aca="false">1-L40</f>
        <v>0.17</v>
      </c>
      <c r="N40" s="540" t="n">
        <f aca="false">3600/(Trans_Time_Cash*L40+Trans_Time_Ticket*M40)</f>
        <v>547.528517110266</v>
      </c>
      <c r="O40" s="540" t="n">
        <f aca="false">3600/Headway_ETC</f>
        <v>1500</v>
      </c>
      <c r="P40" s="18"/>
      <c r="Q40" s="18"/>
      <c r="R40" s="18"/>
      <c r="S40" s="18"/>
      <c r="T40" s="18"/>
      <c r="U40" s="18"/>
      <c r="V40" s="306" t="s">
        <v>349</v>
      </c>
      <c r="W40" s="530"/>
      <c r="X40" s="530"/>
      <c r="Y40" s="530"/>
      <c r="Z40" s="530"/>
      <c r="AA40" s="530"/>
      <c r="AB40" s="530"/>
      <c r="AC40" s="530"/>
      <c r="AD40" s="530"/>
      <c r="AE40" s="530"/>
      <c r="AF40" s="530"/>
      <c r="AG40" s="530"/>
      <c r="AH40" s="530"/>
      <c r="AI40" s="530"/>
      <c r="AJ40" s="530"/>
      <c r="AK40" s="530"/>
      <c r="AL40" s="530"/>
      <c r="AM40" s="530"/>
      <c r="AN40" s="530"/>
      <c r="AO40" s="530"/>
      <c r="AP40" s="530"/>
      <c r="AQ40" s="530"/>
      <c r="AR40" s="530"/>
      <c r="AS40" s="530"/>
      <c r="AT40" s="530"/>
      <c r="AU40" s="530"/>
      <c r="AV40" s="530"/>
      <c r="AW40" s="530"/>
      <c r="AX40" s="530"/>
      <c r="AY40" s="530"/>
      <c r="AZ40" s="530"/>
      <c r="BA40" s="530"/>
      <c r="BB40" s="530"/>
      <c r="BC40" s="531"/>
      <c r="CF40" s="18"/>
      <c r="CS40" s="360"/>
      <c r="CT40" s="360"/>
      <c r="CU40" s="360"/>
      <c r="CV40" s="360"/>
      <c r="CW40" s="360"/>
      <c r="CX40" s="360"/>
      <c r="CY40" s="360"/>
      <c r="CZ40" s="360"/>
      <c r="DA40" s="360"/>
      <c r="DB40" s="360"/>
      <c r="DC40" s="360"/>
      <c r="DD40" s="360"/>
      <c r="DE40" s="360"/>
      <c r="DF40" s="360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18"/>
      <c r="IK40" s="18"/>
      <c r="IL40" s="18"/>
      <c r="IM40" s="18"/>
      <c r="IN40" s="18"/>
      <c r="IO40" s="18"/>
      <c r="IP40" s="18"/>
      <c r="IQ40" s="18"/>
      <c r="IR40" s="18"/>
      <c r="IS40" s="18"/>
      <c r="IT40" s="18"/>
      <c r="IU40" s="18"/>
      <c r="IV40" s="18"/>
      <c r="IW40" s="18"/>
    </row>
    <row r="41" customFormat="false" ht="13.2" hidden="false" customHeight="false" outlineLevel="0" collapsed="false">
      <c r="A41" s="18"/>
      <c r="B41" s="18"/>
      <c r="C41" s="18"/>
      <c r="D41" s="18"/>
      <c r="E41" s="18"/>
      <c r="F41" s="18"/>
      <c r="G41" s="18"/>
      <c r="H41" s="537" t="n">
        <v>1</v>
      </c>
      <c r="I41" s="538" t="n">
        <f aca="false">'Input-Detail'!BH14</f>
        <v>0.83</v>
      </c>
      <c r="J41" s="539" t="n">
        <f aca="false">1-I41</f>
        <v>0.17</v>
      </c>
      <c r="K41" s="540" t="n">
        <f aca="false">3600/(Trans_Time_Cash*I41+Trans_Time_Ticket*J41)</f>
        <v>547.528517110266</v>
      </c>
      <c r="L41" s="538" t="n">
        <f aca="false">'Input-Detail'!BJ14</f>
        <v>0.8385</v>
      </c>
      <c r="M41" s="539" t="n">
        <f aca="false">1-L41</f>
        <v>0.1615</v>
      </c>
      <c r="N41" s="540" t="n">
        <f aca="false">3600/(Trans_Time_Cash*L41+Trans_Time_Ticket*M41)</f>
        <v>545.764638999432</v>
      </c>
      <c r="O41" s="540" t="n">
        <f aca="false">3600/Headway_ETC</f>
        <v>1500</v>
      </c>
      <c r="P41" s="18"/>
      <c r="Q41" s="18"/>
      <c r="R41" s="18"/>
      <c r="S41" s="18"/>
      <c r="T41" s="18"/>
      <c r="U41" s="18"/>
      <c r="V41" s="306" t="s">
        <v>350</v>
      </c>
      <c r="W41" s="530"/>
      <c r="X41" s="530"/>
      <c r="Y41" s="530"/>
      <c r="Z41" s="530"/>
      <c r="AA41" s="530"/>
      <c r="AB41" s="530"/>
      <c r="AC41" s="530"/>
      <c r="AD41" s="530"/>
      <c r="AE41" s="530"/>
      <c r="AF41" s="530"/>
      <c r="AG41" s="530"/>
      <c r="AH41" s="530"/>
      <c r="AI41" s="530"/>
      <c r="AJ41" s="530"/>
      <c r="AK41" s="530"/>
      <c r="AL41" s="530"/>
      <c r="AM41" s="530"/>
      <c r="AN41" s="530"/>
      <c r="AO41" s="530"/>
      <c r="AP41" s="530"/>
      <c r="AQ41" s="530"/>
      <c r="AR41" s="530"/>
      <c r="AS41" s="530"/>
      <c r="AT41" s="530"/>
      <c r="AU41" s="530"/>
      <c r="AV41" s="530"/>
      <c r="AW41" s="530"/>
      <c r="AX41" s="530"/>
      <c r="AY41" s="530"/>
      <c r="AZ41" s="530"/>
      <c r="BA41" s="530"/>
      <c r="BB41" s="530"/>
      <c r="BC41" s="531"/>
      <c r="CF41" s="18"/>
      <c r="CS41" s="360"/>
      <c r="CT41" s="360"/>
      <c r="CU41" s="360"/>
      <c r="CV41" s="360"/>
      <c r="CW41" s="360"/>
      <c r="CX41" s="360"/>
      <c r="CY41" s="360"/>
      <c r="CZ41" s="360"/>
      <c r="DA41" s="360"/>
      <c r="DB41" s="360"/>
      <c r="DC41" s="360"/>
      <c r="DD41" s="360"/>
      <c r="DE41" s="360"/>
      <c r="DF41" s="360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18"/>
      <c r="IS41" s="18"/>
      <c r="IT41" s="18"/>
      <c r="IU41" s="18"/>
      <c r="IV41" s="18"/>
      <c r="IW41" s="18"/>
    </row>
    <row r="42" customFormat="false" ht="13.2" hidden="false" customHeight="false" outlineLevel="0" collapsed="false">
      <c r="A42" s="18"/>
      <c r="B42" s="18"/>
      <c r="C42" s="18"/>
      <c r="D42" s="18"/>
      <c r="E42" s="18"/>
      <c r="F42" s="18"/>
      <c r="G42" s="18"/>
      <c r="H42" s="537" t="n">
        <v>2</v>
      </c>
      <c r="I42" s="538" t="n">
        <f aca="false">'Input-Detail'!BH15</f>
        <v>0.83</v>
      </c>
      <c r="J42" s="539" t="n">
        <f aca="false">1-I42</f>
        <v>0.17</v>
      </c>
      <c r="K42" s="540" t="n">
        <f aca="false">3600/(Trans_Time_Cash*I42+Trans_Time_Ticket*J42)</f>
        <v>547.528517110266</v>
      </c>
      <c r="L42" s="538" t="n">
        <f aca="false">'Input-Detail'!BJ15</f>
        <v>0.847</v>
      </c>
      <c r="M42" s="539" t="n">
        <f aca="false">1-L42</f>
        <v>0.153</v>
      </c>
      <c r="N42" s="540" t="n">
        <f aca="false">3600/(Trans_Time_Cash*L42+Trans_Time_Ticket*M42)</f>
        <v>544.012089157537</v>
      </c>
      <c r="O42" s="540" t="n">
        <f aca="false">3600/Headway_ETC</f>
        <v>1500</v>
      </c>
      <c r="P42" s="18"/>
      <c r="Q42" s="18"/>
      <c r="R42" s="18"/>
      <c r="S42" s="18"/>
      <c r="T42" s="18"/>
      <c r="U42" s="18"/>
      <c r="V42" s="306"/>
      <c r="W42" s="530"/>
      <c r="X42" s="530"/>
      <c r="Y42" s="530"/>
      <c r="Z42" s="530"/>
      <c r="AA42" s="530"/>
      <c r="AB42" s="530"/>
      <c r="AC42" s="530"/>
      <c r="AD42" s="530"/>
      <c r="AE42" s="530"/>
      <c r="AF42" s="530"/>
      <c r="AG42" s="530"/>
      <c r="AH42" s="530"/>
      <c r="AI42" s="530"/>
      <c r="AJ42" s="530"/>
      <c r="AK42" s="530"/>
      <c r="AL42" s="530"/>
      <c r="AM42" s="530"/>
      <c r="AN42" s="530"/>
      <c r="AO42" s="530"/>
      <c r="AP42" s="530"/>
      <c r="AQ42" s="530"/>
      <c r="AR42" s="530"/>
      <c r="AS42" s="530"/>
      <c r="AT42" s="530"/>
      <c r="AU42" s="530"/>
      <c r="AV42" s="530"/>
      <c r="AW42" s="530"/>
      <c r="AX42" s="530"/>
      <c r="AY42" s="530"/>
      <c r="AZ42" s="530"/>
      <c r="BA42" s="530"/>
      <c r="BB42" s="530"/>
      <c r="BC42" s="531"/>
      <c r="CF42" s="18"/>
      <c r="CS42" s="360"/>
      <c r="CT42" s="360"/>
      <c r="CU42" s="360"/>
      <c r="CV42" s="360"/>
      <c r="CW42" s="360"/>
      <c r="CX42" s="360"/>
      <c r="CY42" s="360"/>
      <c r="CZ42" s="360"/>
      <c r="DA42" s="360"/>
      <c r="DB42" s="360"/>
      <c r="DC42" s="360"/>
      <c r="DD42" s="360"/>
      <c r="DE42" s="360"/>
      <c r="DF42" s="360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18"/>
      <c r="IQ42" s="18"/>
      <c r="IR42" s="18"/>
      <c r="IS42" s="18"/>
      <c r="IT42" s="18"/>
      <c r="IU42" s="18"/>
      <c r="IV42" s="18"/>
      <c r="IW42" s="18"/>
    </row>
    <row r="43" customFormat="false" ht="14.4" hidden="false" customHeight="false" outlineLevel="0" collapsed="false">
      <c r="A43" s="18"/>
      <c r="B43" s="18"/>
      <c r="C43" s="18"/>
      <c r="D43" s="18"/>
      <c r="E43" s="18"/>
      <c r="F43" s="18"/>
      <c r="G43" s="18"/>
      <c r="H43" s="537" t="n">
        <v>3</v>
      </c>
      <c r="I43" s="538" t="n">
        <f aca="false">'Input-Detail'!BH16</f>
        <v>0.83</v>
      </c>
      <c r="J43" s="539" t="n">
        <f aca="false">1-I43</f>
        <v>0.17</v>
      </c>
      <c r="K43" s="540" t="n">
        <f aca="false">3600/(Trans_Time_Cash*I43+Trans_Time_Ticket*J43)</f>
        <v>547.528517110266</v>
      </c>
      <c r="L43" s="538" t="n">
        <f aca="false">'Input-Detail'!BJ16</f>
        <v>0.8555</v>
      </c>
      <c r="M43" s="539" t="n">
        <f aca="false">1-L43</f>
        <v>0.1445</v>
      </c>
      <c r="N43" s="540" t="n">
        <f aca="false">3600/(Trans_Time_Cash*L43+Trans_Time_Ticket*M43)</f>
        <v>542.270758802485</v>
      </c>
      <c r="O43" s="540" t="n">
        <f aca="false">3600/Headway_ETC</f>
        <v>1500</v>
      </c>
      <c r="P43" s="18"/>
      <c r="Q43" s="18"/>
      <c r="R43" s="18"/>
      <c r="S43" s="18"/>
      <c r="T43" s="18"/>
      <c r="U43" s="18"/>
      <c r="V43" s="529" t="s">
        <v>351</v>
      </c>
      <c r="W43" s="530"/>
      <c r="X43" s="530"/>
      <c r="Y43" s="530"/>
      <c r="Z43" s="530"/>
      <c r="AA43" s="530"/>
      <c r="AB43" s="530"/>
      <c r="AC43" s="530"/>
      <c r="AD43" s="530"/>
      <c r="AE43" s="530"/>
      <c r="AF43" s="530"/>
      <c r="AG43" s="530"/>
      <c r="AH43" s="530"/>
      <c r="AI43" s="530"/>
      <c r="AJ43" s="530"/>
      <c r="AK43" s="530"/>
      <c r="AL43" s="530"/>
      <c r="AM43" s="530"/>
      <c r="AN43" s="530"/>
      <c r="AO43" s="530"/>
      <c r="AP43" s="530"/>
      <c r="AQ43" s="530"/>
      <c r="AR43" s="530"/>
      <c r="AS43" s="530"/>
      <c r="AT43" s="530"/>
      <c r="AU43" s="530"/>
      <c r="AV43" s="530"/>
      <c r="AW43" s="530"/>
      <c r="AX43" s="530"/>
      <c r="AY43" s="530"/>
      <c r="AZ43" s="530"/>
      <c r="BA43" s="530"/>
      <c r="BB43" s="530"/>
      <c r="BC43" s="531"/>
      <c r="CF43" s="18"/>
      <c r="CS43" s="360"/>
      <c r="CT43" s="360"/>
      <c r="CU43" s="360"/>
      <c r="CV43" s="360"/>
      <c r="CW43" s="360"/>
      <c r="CX43" s="360"/>
      <c r="CY43" s="360"/>
      <c r="CZ43" s="360"/>
      <c r="DA43" s="360"/>
      <c r="DB43" s="360"/>
      <c r="DC43" s="360"/>
      <c r="DD43" s="360"/>
      <c r="DE43" s="360"/>
      <c r="DF43" s="360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18"/>
      <c r="IS43" s="18"/>
      <c r="IT43" s="18"/>
      <c r="IU43" s="18"/>
      <c r="IV43" s="18"/>
      <c r="IW43" s="18"/>
    </row>
    <row r="44" customFormat="false" ht="13.2" hidden="false" customHeight="false" outlineLevel="0" collapsed="false">
      <c r="A44" s="18"/>
      <c r="B44" s="18"/>
      <c r="C44" s="18"/>
      <c r="D44" s="18"/>
      <c r="E44" s="18"/>
      <c r="F44" s="18"/>
      <c r="G44" s="18"/>
      <c r="H44" s="537" t="n">
        <v>4</v>
      </c>
      <c r="I44" s="538" t="n">
        <f aca="false">'Input-Detail'!BH17</f>
        <v>0.83</v>
      </c>
      <c r="J44" s="539" t="n">
        <f aca="false">1-I44</f>
        <v>0.17</v>
      </c>
      <c r="K44" s="540" t="n">
        <f aca="false">3600/(Trans_Time_Cash*I44+Trans_Time_Ticket*J44)</f>
        <v>547.528517110266</v>
      </c>
      <c r="L44" s="538" t="n">
        <f aca="false">'Input-Detail'!BJ17</f>
        <v>0.864</v>
      </c>
      <c r="M44" s="539" t="n">
        <f aca="false">1-L44</f>
        <v>0.136</v>
      </c>
      <c r="N44" s="540" t="n">
        <f aca="false">3600/(Trans_Time_Cash*L44+Trans_Time_Ticket*M44)</f>
        <v>540.540540540541</v>
      </c>
      <c r="O44" s="540" t="n">
        <f aca="false">3600/Headway_ETC</f>
        <v>1500</v>
      </c>
      <c r="P44" s="18"/>
      <c r="Q44" s="18"/>
      <c r="R44" s="18"/>
      <c r="S44" s="18"/>
      <c r="T44" s="18"/>
      <c r="U44" s="18"/>
      <c r="V44" s="306" t="s">
        <v>352</v>
      </c>
      <c r="W44" s="530"/>
      <c r="X44" s="530"/>
      <c r="Y44" s="530"/>
      <c r="Z44" s="530"/>
      <c r="AA44" s="530"/>
      <c r="AB44" s="530"/>
      <c r="AC44" s="530"/>
      <c r="AD44" s="530"/>
      <c r="AE44" s="530"/>
      <c r="AF44" s="530"/>
      <c r="AG44" s="530"/>
      <c r="AH44" s="530"/>
      <c r="AI44" s="530"/>
      <c r="AJ44" s="530"/>
      <c r="AK44" s="530"/>
      <c r="AL44" s="530"/>
      <c r="AM44" s="530"/>
      <c r="AN44" s="530"/>
      <c r="AO44" s="530"/>
      <c r="AP44" s="530"/>
      <c r="AQ44" s="530"/>
      <c r="AR44" s="530"/>
      <c r="AS44" s="530"/>
      <c r="AT44" s="530"/>
      <c r="AU44" s="530"/>
      <c r="AV44" s="530"/>
      <c r="AW44" s="530"/>
      <c r="AX44" s="530"/>
      <c r="AY44" s="530"/>
      <c r="AZ44" s="530"/>
      <c r="BA44" s="530"/>
      <c r="BB44" s="530"/>
      <c r="BC44" s="531"/>
      <c r="CF44" s="18"/>
      <c r="CS44" s="360"/>
      <c r="CT44" s="360"/>
      <c r="CU44" s="360"/>
      <c r="CV44" s="360"/>
      <c r="CW44" s="360"/>
      <c r="CX44" s="360"/>
      <c r="CY44" s="360"/>
      <c r="CZ44" s="360"/>
      <c r="DA44" s="360"/>
      <c r="DB44" s="360"/>
      <c r="DC44" s="360"/>
      <c r="DD44" s="360"/>
      <c r="DE44" s="360"/>
      <c r="DF44" s="360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18"/>
      <c r="IQ44" s="18"/>
      <c r="IR44" s="18"/>
      <c r="IS44" s="18"/>
      <c r="IT44" s="18"/>
      <c r="IU44" s="18"/>
      <c r="IV44" s="18"/>
      <c r="IW44" s="18"/>
    </row>
    <row r="45" customFormat="false" ht="13.2" hidden="false" customHeight="false" outlineLevel="0" collapsed="false">
      <c r="A45" s="18"/>
      <c r="B45" s="18"/>
      <c r="C45" s="18"/>
      <c r="D45" s="18"/>
      <c r="E45" s="18"/>
      <c r="F45" s="18"/>
      <c r="G45" s="18"/>
      <c r="H45" s="537" t="n">
        <v>5</v>
      </c>
      <c r="I45" s="538" t="n">
        <f aca="false">'Input-Detail'!BH18</f>
        <v>0.83</v>
      </c>
      <c r="J45" s="539" t="n">
        <f aca="false">1-I45</f>
        <v>0.17</v>
      </c>
      <c r="K45" s="540" t="n">
        <f aca="false">3600/(Trans_Time_Cash*I45+Trans_Time_Ticket*J45)</f>
        <v>547.528517110266</v>
      </c>
      <c r="L45" s="538" t="n">
        <f aca="false">'Input-Detail'!BJ18</f>
        <v>0.8725</v>
      </c>
      <c r="M45" s="539" t="n">
        <f aca="false">1-L45</f>
        <v>0.1275</v>
      </c>
      <c r="N45" s="540" t="n">
        <f aca="false">3600/(Trans_Time_Cash*L45+Trans_Time_Ticket*M45)</f>
        <v>538.821328344247</v>
      </c>
      <c r="O45" s="540" t="n">
        <f aca="false">3600/Headway_ETC</f>
        <v>1500</v>
      </c>
      <c r="P45" s="18"/>
      <c r="Q45" s="18"/>
      <c r="R45" s="18"/>
      <c r="S45" s="18"/>
      <c r="T45" s="18"/>
      <c r="U45" s="18"/>
      <c r="V45" s="306" t="s">
        <v>353</v>
      </c>
      <c r="W45" s="530"/>
      <c r="X45" s="530"/>
      <c r="Y45" s="530"/>
      <c r="Z45" s="530"/>
      <c r="AA45" s="530"/>
      <c r="AB45" s="530"/>
      <c r="AC45" s="530"/>
      <c r="AD45" s="530"/>
      <c r="AE45" s="530"/>
      <c r="AF45" s="530"/>
      <c r="AG45" s="530"/>
      <c r="AH45" s="530"/>
      <c r="AI45" s="530"/>
      <c r="AJ45" s="530"/>
      <c r="AK45" s="530"/>
      <c r="AL45" s="530"/>
      <c r="AM45" s="530"/>
      <c r="AN45" s="530"/>
      <c r="AO45" s="530"/>
      <c r="AP45" s="530"/>
      <c r="AQ45" s="530"/>
      <c r="AR45" s="530"/>
      <c r="AS45" s="530"/>
      <c r="AT45" s="530"/>
      <c r="AU45" s="530"/>
      <c r="AV45" s="530"/>
      <c r="AW45" s="530"/>
      <c r="AX45" s="530"/>
      <c r="AY45" s="530"/>
      <c r="AZ45" s="530"/>
      <c r="BA45" s="530"/>
      <c r="BB45" s="530"/>
      <c r="BC45" s="531"/>
      <c r="CF45" s="18"/>
      <c r="CS45" s="360"/>
      <c r="CT45" s="360"/>
      <c r="CU45" s="360"/>
      <c r="CV45" s="360"/>
      <c r="CW45" s="360"/>
      <c r="CX45" s="360"/>
      <c r="CY45" s="360"/>
      <c r="CZ45" s="360"/>
      <c r="DA45" s="360"/>
      <c r="DB45" s="360"/>
      <c r="DC45" s="360"/>
      <c r="DD45" s="360"/>
      <c r="DE45" s="360"/>
      <c r="DF45" s="360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IK45" s="18"/>
      <c r="IL45" s="18"/>
      <c r="IM45" s="18"/>
      <c r="IN45" s="18"/>
      <c r="IO45" s="18"/>
      <c r="IP45" s="18"/>
      <c r="IQ45" s="18"/>
      <c r="IR45" s="18"/>
      <c r="IS45" s="18"/>
      <c r="IT45" s="18"/>
      <c r="IU45" s="18"/>
      <c r="IV45" s="18"/>
      <c r="IW45" s="18"/>
    </row>
    <row r="46" customFormat="false" ht="13.2" hidden="false" customHeight="false" outlineLevel="0" collapsed="false">
      <c r="A46" s="18"/>
      <c r="B46" s="18"/>
      <c r="C46" s="18"/>
      <c r="D46" s="18"/>
      <c r="E46" s="18"/>
      <c r="F46" s="18"/>
      <c r="G46" s="18"/>
      <c r="H46" s="537" t="n">
        <v>6</v>
      </c>
      <c r="I46" s="538" t="n">
        <f aca="false">'Input-Detail'!BH19</f>
        <v>0.83</v>
      </c>
      <c r="J46" s="539" t="n">
        <f aca="false">1-I46</f>
        <v>0.17</v>
      </c>
      <c r="K46" s="540" t="n">
        <f aca="false">3600/(Trans_Time_Cash*I46+Trans_Time_Ticket*J46)</f>
        <v>547.528517110266</v>
      </c>
      <c r="L46" s="538" t="n">
        <f aca="false">'Input-Detail'!BJ19</f>
        <v>0.881</v>
      </c>
      <c r="M46" s="539" t="n">
        <f aca="false">1-L46</f>
        <v>0.119</v>
      </c>
      <c r="N46" s="540" t="n">
        <f aca="false">3600/(Trans_Time_Cash*L46+Trans_Time_Ticket*M46)</f>
        <v>537.113017530772</v>
      </c>
      <c r="O46" s="540" t="n">
        <f aca="false">3600/Headway_ETC</f>
        <v>1500</v>
      </c>
      <c r="P46" s="18"/>
      <c r="Q46" s="18"/>
      <c r="R46" s="18"/>
      <c r="S46" s="18"/>
      <c r="T46" s="18"/>
      <c r="U46" s="18"/>
      <c r="V46" s="306"/>
      <c r="W46" s="530"/>
      <c r="X46" s="530"/>
      <c r="Y46" s="530"/>
      <c r="Z46" s="530"/>
      <c r="AA46" s="530"/>
      <c r="AB46" s="530"/>
      <c r="AC46" s="530"/>
      <c r="AD46" s="530"/>
      <c r="AE46" s="530"/>
      <c r="AF46" s="530"/>
      <c r="AG46" s="530"/>
      <c r="AH46" s="530"/>
      <c r="AI46" s="530"/>
      <c r="AJ46" s="530"/>
      <c r="AK46" s="530"/>
      <c r="AL46" s="530"/>
      <c r="AM46" s="530"/>
      <c r="AN46" s="530"/>
      <c r="AO46" s="530"/>
      <c r="AP46" s="530"/>
      <c r="AQ46" s="530"/>
      <c r="AR46" s="530"/>
      <c r="AS46" s="530"/>
      <c r="AT46" s="530"/>
      <c r="AU46" s="530"/>
      <c r="AV46" s="530"/>
      <c r="AW46" s="530"/>
      <c r="AX46" s="530"/>
      <c r="AY46" s="530"/>
      <c r="AZ46" s="530"/>
      <c r="BA46" s="530"/>
      <c r="BB46" s="530"/>
      <c r="BC46" s="531"/>
      <c r="CF46" s="18"/>
      <c r="CS46" s="360"/>
      <c r="CT46" s="360"/>
      <c r="CU46" s="360"/>
      <c r="CV46" s="360"/>
      <c r="CW46" s="360"/>
      <c r="CX46" s="360"/>
      <c r="CY46" s="360"/>
      <c r="CZ46" s="360"/>
      <c r="DA46" s="360"/>
      <c r="DB46" s="360"/>
      <c r="DC46" s="360"/>
      <c r="DD46" s="360"/>
      <c r="DE46" s="360"/>
      <c r="DF46" s="360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18"/>
      <c r="IK46" s="18"/>
      <c r="IL46" s="18"/>
      <c r="IM46" s="18"/>
      <c r="IN46" s="18"/>
      <c r="IO46" s="18"/>
      <c r="IP46" s="18"/>
      <c r="IQ46" s="18"/>
      <c r="IR46" s="18"/>
      <c r="IS46" s="18"/>
      <c r="IT46" s="18"/>
      <c r="IU46" s="18"/>
      <c r="IV46" s="18"/>
      <c r="IW46" s="18"/>
    </row>
    <row r="47" customFormat="false" ht="13.8" hidden="false" customHeight="false" outlineLevel="0" collapsed="false">
      <c r="A47" s="18"/>
      <c r="B47" s="18"/>
      <c r="C47" s="18"/>
      <c r="D47" s="18"/>
      <c r="E47" s="18"/>
      <c r="F47" s="18"/>
      <c r="G47" s="18"/>
      <c r="H47" s="537" t="n">
        <v>7</v>
      </c>
      <c r="I47" s="538" t="n">
        <f aca="false">'Input-Detail'!BH20</f>
        <v>0.83</v>
      </c>
      <c r="J47" s="539" t="n">
        <f aca="false">1-I47</f>
        <v>0.17</v>
      </c>
      <c r="K47" s="540" t="n">
        <f aca="false">3600/(Trans_Time_Cash*I47+Trans_Time_Ticket*J47)</f>
        <v>547.528517110266</v>
      </c>
      <c r="L47" s="538" t="n">
        <f aca="false">'Input-Detail'!BJ20</f>
        <v>0.8895</v>
      </c>
      <c r="M47" s="539" t="n">
        <f aca="false">1-L47</f>
        <v>0.1105</v>
      </c>
      <c r="N47" s="540" t="n">
        <f aca="false">3600/(Trans_Time_Cash*L47+Trans_Time_Ticket*M47)</f>
        <v>535.415504740658</v>
      </c>
      <c r="O47" s="540" t="n">
        <f aca="false">3600/Headway_ETC</f>
        <v>1500</v>
      </c>
      <c r="P47" s="18"/>
      <c r="Q47" s="18"/>
      <c r="R47" s="18"/>
      <c r="S47" s="18"/>
      <c r="T47" s="18"/>
      <c r="U47" s="18"/>
      <c r="V47" s="541" t="s">
        <v>354</v>
      </c>
      <c r="W47" s="309"/>
      <c r="X47" s="309"/>
      <c r="Y47" s="309"/>
      <c r="Z47" s="309"/>
      <c r="AA47" s="309"/>
      <c r="AB47" s="309"/>
      <c r="AC47" s="309"/>
      <c r="AD47" s="309"/>
      <c r="AE47" s="309"/>
      <c r="AF47" s="309"/>
      <c r="AG47" s="309"/>
      <c r="AH47" s="309"/>
      <c r="AI47" s="309"/>
      <c r="AJ47" s="309"/>
      <c r="AK47" s="309"/>
      <c r="AL47" s="309"/>
      <c r="AM47" s="309"/>
      <c r="AN47" s="309"/>
      <c r="AO47" s="309"/>
      <c r="AP47" s="309"/>
      <c r="AQ47" s="309"/>
      <c r="AR47" s="309"/>
      <c r="AS47" s="309"/>
      <c r="AT47" s="309"/>
      <c r="AU47" s="309"/>
      <c r="AV47" s="309"/>
      <c r="AW47" s="309"/>
      <c r="AX47" s="309"/>
      <c r="AY47" s="309"/>
      <c r="AZ47" s="309"/>
      <c r="BA47" s="309"/>
      <c r="BB47" s="309"/>
      <c r="BC47" s="542"/>
      <c r="CF47" s="18"/>
      <c r="CS47" s="360"/>
      <c r="CT47" s="360"/>
      <c r="CU47" s="360"/>
      <c r="CV47" s="360"/>
      <c r="CW47" s="360"/>
      <c r="CX47" s="360"/>
      <c r="CY47" s="360"/>
      <c r="CZ47" s="360"/>
      <c r="DA47" s="360"/>
      <c r="DB47" s="360"/>
      <c r="DC47" s="360"/>
      <c r="DD47" s="360"/>
      <c r="DE47" s="360"/>
      <c r="DF47" s="360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</row>
    <row r="48" customFormat="false" ht="13.8" hidden="false" customHeight="false" outlineLevel="0" collapsed="false">
      <c r="A48" s="18"/>
      <c r="B48" s="18"/>
      <c r="C48" s="18"/>
      <c r="D48" s="18"/>
      <c r="E48" s="18"/>
      <c r="F48" s="18"/>
      <c r="G48" s="18"/>
      <c r="H48" s="537" t="n">
        <v>8</v>
      </c>
      <c r="I48" s="538" t="n">
        <f aca="false">'Input-Detail'!BH21</f>
        <v>0.83</v>
      </c>
      <c r="J48" s="539" t="n">
        <f aca="false">1-I48</f>
        <v>0.17</v>
      </c>
      <c r="K48" s="540" t="n">
        <f aca="false">3600/(Trans_Time_Cash*I48+Trans_Time_Ticket*J48)</f>
        <v>547.528517110266</v>
      </c>
      <c r="L48" s="538" t="n">
        <f aca="false">'Input-Detail'!BJ21</f>
        <v>0.898</v>
      </c>
      <c r="M48" s="539" t="n">
        <f aca="false">1-L48</f>
        <v>0.102</v>
      </c>
      <c r="N48" s="540" t="n">
        <f aca="false">3600/(Trans_Time_Cash*L48+Trans_Time_Ticket*M48)</f>
        <v>533.728687916976</v>
      </c>
      <c r="O48" s="540" t="n">
        <f aca="false">3600/Headway_ETC</f>
        <v>1500</v>
      </c>
      <c r="P48" s="18"/>
      <c r="Q48" s="18"/>
      <c r="R48" s="18"/>
      <c r="S48" s="18"/>
      <c r="T48" s="18"/>
      <c r="U48" s="18"/>
      <c r="CF48" s="18"/>
      <c r="CS48" s="360"/>
      <c r="CT48" s="360"/>
      <c r="CU48" s="360"/>
      <c r="CV48" s="360"/>
      <c r="CW48" s="360"/>
      <c r="CX48" s="360"/>
      <c r="CY48" s="360"/>
      <c r="CZ48" s="360"/>
      <c r="DA48" s="360"/>
      <c r="DB48" s="360"/>
      <c r="DC48" s="360"/>
      <c r="DD48" s="360"/>
      <c r="DE48" s="360"/>
      <c r="DF48" s="360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18"/>
      <c r="IK48" s="18"/>
      <c r="IL48" s="18"/>
      <c r="IM48" s="18"/>
      <c r="IN48" s="18"/>
      <c r="IO48" s="18"/>
      <c r="IP48" s="18"/>
      <c r="IQ48" s="18"/>
      <c r="IR48" s="18"/>
      <c r="IS48" s="18"/>
      <c r="IT48" s="18"/>
      <c r="IU48" s="18"/>
      <c r="IV48" s="18"/>
      <c r="IW48" s="18"/>
    </row>
    <row r="49" customFormat="false" ht="13.2" hidden="false" customHeight="false" outlineLevel="0" collapsed="false">
      <c r="A49" s="18"/>
      <c r="B49" s="18"/>
      <c r="C49" s="18"/>
      <c r="D49" s="18"/>
      <c r="E49" s="18"/>
      <c r="F49" s="18"/>
      <c r="G49" s="18"/>
      <c r="H49" s="537" t="n">
        <v>9</v>
      </c>
      <c r="I49" s="538" t="n">
        <f aca="false">'Input-Detail'!BH22</f>
        <v>0.83</v>
      </c>
      <c r="J49" s="539" t="n">
        <f aca="false">1-I49</f>
        <v>0.17</v>
      </c>
      <c r="K49" s="540" t="n">
        <f aca="false">3600/(Trans_Time_Cash*I49+Trans_Time_Ticket*J49)</f>
        <v>547.528517110266</v>
      </c>
      <c r="L49" s="538" t="n">
        <f aca="false">'Input-Detail'!BJ22</f>
        <v>0.9065</v>
      </c>
      <c r="M49" s="539" t="n">
        <f aca="false">1-L49</f>
        <v>0.0935</v>
      </c>
      <c r="N49" s="540" t="n">
        <f aca="false">3600/(Trans_Time_Cash*L49+Trans_Time_Ticket*M49)</f>
        <v>532.05246628487</v>
      </c>
      <c r="O49" s="540" t="n">
        <f aca="false">3600/Headway_ETC</f>
        <v>1500</v>
      </c>
      <c r="P49" s="18"/>
      <c r="Q49" s="18"/>
      <c r="R49" s="18"/>
      <c r="S49" s="18"/>
      <c r="T49" s="18"/>
      <c r="U49" s="18"/>
      <c r="CF49" s="18"/>
      <c r="CS49" s="360"/>
      <c r="CT49" s="360"/>
      <c r="CU49" s="360"/>
      <c r="CV49" s="360"/>
      <c r="CW49" s="360"/>
      <c r="CX49" s="360"/>
      <c r="CY49" s="360"/>
      <c r="CZ49" s="360"/>
      <c r="DA49" s="360"/>
      <c r="DB49" s="360"/>
      <c r="DC49" s="360"/>
      <c r="DD49" s="360"/>
      <c r="DE49" s="360"/>
      <c r="DF49" s="360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8"/>
      <c r="IG49" s="18"/>
      <c r="IH49" s="18"/>
      <c r="II49" s="18"/>
      <c r="IJ49" s="18"/>
      <c r="IK49" s="18"/>
      <c r="IL49" s="18"/>
      <c r="IM49" s="18"/>
      <c r="IN49" s="18"/>
      <c r="IO49" s="18"/>
      <c r="IP49" s="18"/>
      <c r="IQ49" s="18"/>
      <c r="IR49" s="18"/>
      <c r="IS49" s="18"/>
      <c r="IT49" s="18"/>
      <c r="IU49" s="18"/>
      <c r="IV49" s="18"/>
      <c r="IW49" s="18"/>
    </row>
    <row r="50" customFormat="false" ht="13.2" hidden="false" customHeight="false" outlineLevel="0" collapsed="false">
      <c r="A50" s="18"/>
      <c r="B50" s="18"/>
      <c r="C50" s="18"/>
      <c r="D50" s="18"/>
      <c r="E50" s="18"/>
      <c r="F50" s="18"/>
      <c r="G50" s="18"/>
      <c r="H50" s="537" t="n">
        <v>10</v>
      </c>
      <c r="I50" s="538" t="n">
        <f aca="false">'Input-Detail'!BH23</f>
        <v>0.83</v>
      </c>
      <c r="J50" s="539" t="n">
        <f aca="false">1-I50</f>
        <v>0.17</v>
      </c>
      <c r="K50" s="540" t="n">
        <f aca="false">3600/(Trans_Time_Cash*I50+Trans_Time_Ticket*J50)</f>
        <v>547.528517110266</v>
      </c>
      <c r="L50" s="538" t="n">
        <f aca="false">'Input-Detail'!BJ23</f>
        <v>0.915</v>
      </c>
      <c r="M50" s="539" t="n">
        <f aca="false">1-L50</f>
        <v>0.085</v>
      </c>
      <c r="N50" s="540" t="n">
        <f aca="false">3600/(Trans_Time_Cash*L50+Trans_Time_Ticket*M50)</f>
        <v>530.386740331492</v>
      </c>
      <c r="O50" s="540" t="n">
        <f aca="false">3600/Headway_ETC</f>
        <v>1500</v>
      </c>
      <c r="P50" s="18"/>
      <c r="Q50" s="18"/>
      <c r="R50" s="18"/>
      <c r="S50" s="18"/>
      <c r="T50" s="18"/>
      <c r="U50" s="18"/>
      <c r="V50" s="1" t="s">
        <v>355</v>
      </c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" t="s">
        <v>309</v>
      </c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" t="s">
        <v>310</v>
      </c>
      <c r="CK50" s="18"/>
      <c r="CS50" s="360"/>
      <c r="CT50" s="360"/>
      <c r="CU50" s="360"/>
      <c r="CV50" s="360"/>
      <c r="CW50" s="360"/>
      <c r="CX50" s="360"/>
      <c r="CY50" s="360"/>
      <c r="CZ50" s="360"/>
      <c r="DA50" s="360"/>
      <c r="DB50" s="360"/>
      <c r="DC50" s="360"/>
      <c r="DD50" s="360"/>
      <c r="DE50" s="360"/>
      <c r="DF50" s="360"/>
      <c r="DG50" s="360"/>
      <c r="DH50" s="360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18"/>
      <c r="IK50" s="18"/>
      <c r="IL50" s="18"/>
      <c r="IM50" s="18"/>
      <c r="IN50" s="18"/>
      <c r="IO50" s="18"/>
      <c r="IP50" s="18"/>
      <c r="IQ50" s="18"/>
      <c r="IR50" s="18"/>
      <c r="IS50" s="18"/>
      <c r="IT50" s="18"/>
      <c r="IU50" s="18"/>
      <c r="IV50" s="18"/>
      <c r="IW50" s="18"/>
    </row>
    <row r="51" customFormat="false" ht="13.2" hidden="false" customHeight="false" outlineLevel="0" collapsed="false">
      <c r="A51" s="18"/>
      <c r="B51" s="18"/>
      <c r="C51" s="18"/>
      <c r="D51" s="18"/>
      <c r="E51" s="18"/>
      <c r="F51" s="18"/>
      <c r="G51" s="18"/>
      <c r="H51" s="537" t="n">
        <v>11</v>
      </c>
      <c r="I51" s="538" t="n">
        <f aca="false">'Input-Detail'!BH24</f>
        <v>0.83</v>
      </c>
      <c r="J51" s="539" t="n">
        <f aca="false">1-I51</f>
        <v>0.17</v>
      </c>
      <c r="K51" s="540" t="n">
        <f aca="false">3600/(Trans_Time_Cash*I51+Trans_Time_Ticket*J51)</f>
        <v>547.528517110266</v>
      </c>
      <c r="L51" s="538" t="n">
        <f aca="false">'Input-Detail'!BJ24</f>
        <v>0.9235</v>
      </c>
      <c r="M51" s="539" t="n">
        <f aca="false">1-L51</f>
        <v>0.0765</v>
      </c>
      <c r="N51" s="540" t="n">
        <f aca="false">3600/(Trans_Time_Cash*L51+Trans_Time_Ticket*M51)</f>
        <v>528.731411786304</v>
      </c>
      <c r="O51" s="540" t="n">
        <f aca="false">3600/Headway_ETC</f>
        <v>1500</v>
      </c>
      <c r="P51" s="18"/>
      <c r="Q51" s="18"/>
      <c r="R51" s="18"/>
      <c r="S51" s="18"/>
      <c r="T51" s="18"/>
      <c r="U51" s="18"/>
      <c r="X51" s="409"/>
      <c r="CF51" s="18"/>
      <c r="CS51" s="360"/>
      <c r="CT51" s="360"/>
      <c r="CU51" s="360"/>
      <c r="CV51" s="360"/>
      <c r="CW51" s="360"/>
      <c r="CX51" s="360"/>
      <c r="CY51" s="360"/>
      <c r="CZ51" s="360"/>
      <c r="DA51" s="360"/>
      <c r="DB51" s="360"/>
      <c r="DC51" s="360"/>
      <c r="DD51" s="360"/>
      <c r="DE51" s="360"/>
      <c r="DF51" s="360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18"/>
      <c r="HR51" s="18"/>
      <c r="HS51" s="18"/>
      <c r="HT51" s="18"/>
      <c r="HU51" s="18"/>
      <c r="HV51" s="18"/>
      <c r="HW51" s="18"/>
      <c r="HX51" s="18"/>
      <c r="HY51" s="18"/>
      <c r="HZ51" s="18"/>
      <c r="IA51" s="18"/>
      <c r="IB51" s="18"/>
      <c r="IC51" s="18"/>
      <c r="ID51" s="18"/>
      <c r="IE51" s="18"/>
      <c r="IF51" s="18"/>
      <c r="IG51" s="18"/>
      <c r="IH51" s="18"/>
      <c r="II51" s="18"/>
      <c r="IJ51" s="18"/>
      <c r="IK51" s="18"/>
      <c r="IL51" s="18"/>
      <c r="IM51" s="18"/>
      <c r="IN51" s="18"/>
      <c r="IO51" s="18"/>
      <c r="IP51" s="18"/>
      <c r="IQ51" s="18"/>
      <c r="IR51" s="18"/>
      <c r="IS51" s="18"/>
      <c r="IT51" s="18"/>
      <c r="IU51" s="18"/>
      <c r="IV51" s="18"/>
      <c r="IW51" s="18"/>
    </row>
    <row r="52" customFormat="false" ht="18" hidden="false" customHeight="true" outlineLevel="0" collapsed="false">
      <c r="A52" s="18"/>
      <c r="B52" s="18"/>
      <c r="C52" s="18"/>
      <c r="D52" s="18"/>
      <c r="E52" s="18"/>
      <c r="F52" s="18"/>
      <c r="G52" s="18"/>
      <c r="H52" s="537" t="n">
        <v>12</v>
      </c>
      <c r="I52" s="538" t="n">
        <f aca="false">'Input-Detail'!BH25</f>
        <v>0.83</v>
      </c>
      <c r="J52" s="539" t="n">
        <f aca="false">1-I52</f>
        <v>0.17</v>
      </c>
      <c r="K52" s="540" t="n">
        <f aca="false">3600/(Trans_Time_Cash*I52+Trans_Time_Ticket*J52)</f>
        <v>547.528517110266</v>
      </c>
      <c r="L52" s="538" t="n">
        <f aca="false">'Input-Detail'!BJ25</f>
        <v>0.932</v>
      </c>
      <c r="M52" s="539" t="n">
        <f aca="false">1-L52</f>
        <v>0.0680000000000001</v>
      </c>
      <c r="N52" s="540" t="n">
        <f aca="false">3600/(Trans_Time_Cash*L52+Trans_Time_Ticket*M52)</f>
        <v>527.086383601757</v>
      </c>
      <c r="O52" s="540" t="n">
        <f aca="false">3600/Headway_ETC</f>
        <v>1500</v>
      </c>
      <c r="P52" s="18"/>
      <c r="Q52" s="18"/>
      <c r="R52" s="18"/>
      <c r="S52" s="18"/>
      <c r="T52" s="18"/>
      <c r="U52" s="18"/>
      <c r="V52" s="420" t="s">
        <v>96</v>
      </c>
      <c r="W52" s="420" t="s">
        <v>222</v>
      </c>
      <c r="X52" s="420" t="s">
        <v>311</v>
      </c>
      <c r="Y52" s="420" t="s">
        <v>229</v>
      </c>
      <c r="Z52" s="420" t="s">
        <v>230</v>
      </c>
      <c r="AA52" s="420" t="s">
        <v>143</v>
      </c>
      <c r="AB52" s="419" t="s">
        <v>231</v>
      </c>
      <c r="AC52" s="420" t="s">
        <v>316</v>
      </c>
      <c r="AD52" s="543" t="s">
        <v>317</v>
      </c>
      <c r="AE52" s="543"/>
      <c r="AF52" s="543"/>
      <c r="AG52" s="543"/>
      <c r="AH52" s="543"/>
      <c r="AI52" s="543"/>
      <c r="AJ52" s="543"/>
      <c r="AK52" s="543"/>
      <c r="AL52" s="543"/>
      <c r="AM52" s="543"/>
      <c r="AN52" s="543"/>
      <c r="AO52" s="543"/>
      <c r="AP52" s="543"/>
      <c r="AQ52" s="543"/>
      <c r="AR52" s="543"/>
      <c r="AS52" s="543"/>
      <c r="AT52" s="543"/>
      <c r="AU52" s="543"/>
      <c r="AV52" s="543"/>
      <c r="AW52" s="543"/>
      <c r="AX52" s="543"/>
      <c r="AY52" s="543"/>
      <c r="AZ52" s="418" t="s">
        <v>318</v>
      </c>
      <c r="BA52" s="419" t="s">
        <v>319</v>
      </c>
      <c r="BB52" s="418" t="s">
        <v>320</v>
      </c>
      <c r="BC52" s="419" t="s">
        <v>319</v>
      </c>
      <c r="BF52" s="420" t="s">
        <v>96</v>
      </c>
      <c r="BG52" s="421" t="s">
        <v>311</v>
      </c>
      <c r="BH52" s="422" t="s">
        <v>316</v>
      </c>
      <c r="BI52" s="419" t="s">
        <v>356</v>
      </c>
      <c r="BJ52" s="424" t="s">
        <v>317</v>
      </c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0" t="s">
        <v>322</v>
      </c>
      <c r="CJ52" s="420" t="s">
        <v>96</v>
      </c>
      <c r="CK52" s="421" t="s">
        <v>311</v>
      </c>
      <c r="CL52" s="420" t="s">
        <v>316</v>
      </c>
      <c r="CM52" s="420" t="s">
        <v>323</v>
      </c>
      <c r="CN52" s="424" t="s">
        <v>317</v>
      </c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4"/>
      <c r="DF52" s="424"/>
      <c r="DG52" s="424"/>
      <c r="DH52" s="424"/>
      <c r="DI52" s="424"/>
      <c r="DJ52" s="420" t="s">
        <v>324</v>
      </c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18"/>
      <c r="IA52" s="18"/>
      <c r="IB52" s="18"/>
      <c r="IC52" s="18"/>
      <c r="ID52" s="18"/>
      <c r="IE52" s="18"/>
      <c r="IF52" s="18"/>
      <c r="IG52" s="18"/>
      <c r="IH52" s="18"/>
      <c r="II52" s="18"/>
      <c r="IJ52" s="18"/>
      <c r="IK52" s="18"/>
      <c r="IL52" s="18"/>
      <c r="IM52" s="18"/>
      <c r="IN52" s="18"/>
      <c r="IO52" s="18"/>
      <c r="IP52" s="18"/>
      <c r="IQ52" s="18"/>
      <c r="IR52" s="18"/>
      <c r="IS52" s="18"/>
      <c r="IT52" s="18"/>
      <c r="IU52" s="18"/>
      <c r="IV52" s="18"/>
      <c r="IW52" s="18"/>
    </row>
    <row r="53" customFormat="false" ht="34.5" hidden="false" customHeight="true" outlineLevel="0" collapsed="false">
      <c r="A53" s="18"/>
      <c r="B53" s="18"/>
      <c r="C53" s="18"/>
      <c r="D53" s="18"/>
      <c r="E53" s="18"/>
      <c r="F53" s="18"/>
      <c r="G53" s="18"/>
      <c r="H53" s="537" t="n">
        <v>13</v>
      </c>
      <c r="I53" s="538" t="n">
        <f aca="false">'Input-Detail'!BH26</f>
        <v>0.83</v>
      </c>
      <c r="J53" s="539" t="n">
        <f aca="false">1-I53</f>
        <v>0.17</v>
      </c>
      <c r="K53" s="540" t="n">
        <f aca="false">3600/(Trans_Time_Cash*I53+Trans_Time_Ticket*J53)</f>
        <v>547.528517110266</v>
      </c>
      <c r="L53" s="538" t="n">
        <f aca="false">'Input-Detail'!BJ26</f>
        <v>0.9405</v>
      </c>
      <c r="M53" s="539" t="n">
        <f aca="false">1-L53</f>
        <v>0.0595</v>
      </c>
      <c r="N53" s="540" t="n">
        <f aca="false">3600/(Trans_Time_Cash*L53+Trans_Time_Ticket*M53)</f>
        <v>525.451559934319</v>
      </c>
      <c r="O53" s="540" t="n">
        <f aca="false">3600/Headway_ETC</f>
        <v>1500</v>
      </c>
      <c r="P53" s="18"/>
      <c r="Q53" s="18"/>
      <c r="R53" s="18"/>
      <c r="S53" s="18"/>
      <c r="T53" s="18"/>
      <c r="U53" s="18"/>
      <c r="V53" s="420"/>
      <c r="W53" s="420"/>
      <c r="X53" s="420"/>
      <c r="Y53" s="420"/>
      <c r="Z53" s="420"/>
      <c r="AA53" s="420"/>
      <c r="AB53" s="419"/>
      <c r="AC53" s="420"/>
      <c r="AD53" s="544" t="s">
        <v>325</v>
      </c>
      <c r="AE53" s="436" t="n">
        <v>1</v>
      </c>
      <c r="AF53" s="436" t="n">
        <v>2</v>
      </c>
      <c r="AG53" s="436" t="n">
        <v>3</v>
      </c>
      <c r="AH53" s="436" t="n">
        <v>4</v>
      </c>
      <c r="AI53" s="436" t="n">
        <v>5</v>
      </c>
      <c r="AJ53" s="436" t="n">
        <v>6</v>
      </c>
      <c r="AK53" s="436" t="n">
        <v>7</v>
      </c>
      <c r="AL53" s="436" t="n">
        <v>8</v>
      </c>
      <c r="AM53" s="436" t="n">
        <v>9</v>
      </c>
      <c r="AN53" s="436" t="n">
        <v>10</v>
      </c>
      <c r="AO53" s="436" t="n">
        <v>11</v>
      </c>
      <c r="AP53" s="436" t="n">
        <v>12</v>
      </c>
      <c r="AQ53" s="436" t="n">
        <v>13</v>
      </c>
      <c r="AR53" s="436" t="n">
        <v>14</v>
      </c>
      <c r="AS53" s="436" t="n">
        <v>15</v>
      </c>
      <c r="AT53" s="436" t="n">
        <v>16</v>
      </c>
      <c r="AU53" s="436" t="n">
        <v>17</v>
      </c>
      <c r="AV53" s="436" t="n">
        <v>18</v>
      </c>
      <c r="AW53" s="436" t="n">
        <v>19</v>
      </c>
      <c r="AX53" s="436" t="n">
        <v>20</v>
      </c>
      <c r="AY53" s="437" t="n">
        <v>21</v>
      </c>
      <c r="AZ53" s="418"/>
      <c r="BA53" s="419"/>
      <c r="BB53" s="418"/>
      <c r="BC53" s="419"/>
      <c r="BF53" s="420"/>
      <c r="BG53" s="421"/>
      <c r="BH53" s="422"/>
      <c r="BI53" s="419"/>
      <c r="BJ53" s="431" t="s">
        <v>326</v>
      </c>
      <c r="BK53" s="545" t="s">
        <v>325</v>
      </c>
      <c r="BL53" s="431" t="s">
        <v>327</v>
      </c>
      <c r="BM53" s="436" t="n">
        <v>1</v>
      </c>
      <c r="BN53" s="436" t="n">
        <v>2</v>
      </c>
      <c r="BO53" s="436" t="n">
        <v>3</v>
      </c>
      <c r="BP53" s="436" t="n">
        <v>4</v>
      </c>
      <c r="BQ53" s="436" t="n">
        <v>5</v>
      </c>
      <c r="BR53" s="436" t="n">
        <v>6</v>
      </c>
      <c r="BS53" s="436" t="n">
        <v>7</v>
      </c>
      <c r="BT53" s="436" t="n">
        <v>8</v>
      </c>
      <c r="BU53" s="436" t="n">
        <v>9</v>
      </c>
      <c r="BV53" s="436" t="n">
        <v>10</v>
      </c>
      <c r="BW53" s="436" t="n">
        <v>11</v>
      </c>
      <c r="BX53" s="436" t="n">
        <v>12</v>
      </c>
      <c r="BY53" s="436" t="n">
        <v>13</v>
      </c>
      <c r="BZ53" s="436" t="n">
        <v>14</v>
      </c>
      <c r="CA53" s="436" t="n">
        <v>15</v>
      </c>
      <c r="CB53" s="436" t="n">
        <v>16</v>
      </c>
      <c r="CC53" s="436" t="n">
        <v>17</v>
      </c>
      <c r="CD53" s="436" t="n">
        <v>18</v>
      </c>
      <c r="CE53" s="436" t="n">
        <v>19</v>
      </c>
      <c r="CF53" s="436" t="n">
        <v>20</v>
      </c>
      <c r="CG53" s="437" t="n">
        <v>21</v>
      </c>
      <c r="CH53" s="420"/>
      <c r="CJ53" s="420"/>
      <c r="CK53" s="421"/>
      <c r="CL53" s="420"/>
      <c r="CM53" s="420"/>
      <c r="CN53" s="435" t="s">
        <v>327</v>
      </c>
      <c r="CO53" s="436" t="n">
        <v>1</v>
      </c>
      <c r="CP53" s="436" t="n">
        <v>2</v>
      </c>
      <c r="CQ53" s="436" t="n">
        <v>3</v>
      </c>
      <c r="CR53" s="436" t="n">
        <v>4</v>
      </c>
      <c r="CS53" s="436" t="n">
        <v>5</v>
      </c>
      <c r="CT53" s="436" t="n">
        <v>6</v>
      </c>
      <c r="CU53" s="436" t="n">
        <v>7</v>
      </c>
      <c r="CV53" s="436" t="n">
        <v>8</v>
      </c>
      <c r="CW53" s="436" t="n">
        <v>9</v>
      </c>
      <c r="CX53" s="436" t="n">
        <v>10</v>
      </c>
      <c r="CY53" s="436" t="n">
        <v>11</v>
      </c>
      <c r="CZ53" s="436" t="n">
        <v>12</v>
      </c>
      <c r="DA53" s="436" t="n">
        <v>13</v>
      </c>
      <c r="DB53" s="436" t="n">
        <v>14</v>
      </c>
      <c r="DC53" s="436" t="n">
        <v>15</v>
      </c>
      <c r="DD53" s="436" t="n">
        <v>16</v>
      </c>
      <c r="DE53" s="436" t="n">
        <v>17</v>
      </c>
      <c r="DF53" s="436" t="n">
        <v>18</v>
      </c>
      <c r="DG53" s="436" t="n">
        <v>19</v>
      </c>
      <c r="DH53" s="436" t="n">
        <v>20</v>
      </c>
      <c r="DI53" s="437" t="n">
        <v>21</v>
      </c>
      <c r="DJ53" s="420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  <c r="HT53" s="18"/>
      <c r="HU53" s="18"/>
      <c r="HV53" s="18"/>
      <c r="HW53" s="18"/>
      <c r="HX53" s="18"/>
      <c r="HY53" s="18"/>
      <c r="HZ53" s="18"/>
      <c r="IA53" s="18"/>
      <c r="IB53" s="18"/>
      <c r="IC53" s="18"/>
      <c r="ID53" s="18"/>
      <c r="IE53" s="18"/>
      <c r="IF53" s="18"/>
      <c r="IG53" s="18"/>
      <c r="IH53" s="18"/>
      <c r="II53" s="18"/>
      <c r="IJ53" s="18"/>
      <c r="IK53" s="18"/>
      <c r="IL53" s="18"/>
      <c r="IM53" s="18"/>
      <c r="IN53" s="18"/>
      <c r="IO53" s="18"/>
      <c r="IP53" s="18"/>
      <c r="IQ53" s="18"/>
      <c r="IR53" s="18"/>
      <c r="IS53" s="18"/>
      <c r="IT53" s="18"/>
      <c r="IU53" s="18"/>
      <c r="IV53" s="18"/>
      <c r="IW53" s="18"/>
    </row>
    <row r="54" customFormat="false" ht="13.8" hidden="false" customHeight="false" outlineLevel="0" collapsed="false">
      <c r="A54" s="18"/>
      <c r="B54" s="18"/>
      <c r="C54" s="18"/>
      <c r="D54" s="18"/>
      <c r="E54" s="18"/>
      <c r="F54" s="18"/>
      <c r="G54" s="18"/>
      <c r="H54" s="537" t="n">
        <v>14</v>
      </c>
      <c r="I54" s="538" t="n">
        <f aca="false">'Input-Detail'!BH27</f>
        <v>0.83</v>
      </c>
      <c r="J54" s="539" t="n">
        <f aca="false">1-I54</f>
        <v>0.17</v>
      </c>
      <c r="K54" s="540" t="n">
        <f aca="false">3600/(Trans_Time_Cash*I54+Trans_Time_Ticket*J54)</f>
        <v>547.528517110266</v>
      </c>
      <c r="L54" s="538" t="n">
        <f aca="false">'Input-Detail'!BJ27</f>
        <v>0.949</v>
      </c>
      <c r="M54" s="539" t="n">
        <f aca="false">1-L54</f>
        <v>0.051</v>
      </c>
      <c r="N54" s="540" t="n">
        <f aca="false">3600/(Trans_Time_Cash*L54+Trans_Time_Ticket*M54)</f>
        <v>523.826846125864</v>
      </c>
      <c r="O54" s="540" t="n">
        <f aca="false">3600/Headway_ETC</f>
        <v>1500</v>
      </c>
      <c r="P54" s="18"/>
      <c r="Q54" s="18"/>
      <c r="R54" s="18"/>
      <c r="S54" s="18"/>
      <c r="T54" s="18"/>
      <c r="U54" s="18"/>
      <c r="V54" s="440" t="s">
        <v>114</v>
      </c>
      <c r="W54" s="441" t="n">
        <f aca="false">W7</f>
        <v>19016173</v>
      </c>
      <c r="X54" s="442" t="n">
        <f aca="false">X7</f>
        <v>0</v>
      </c>
      <c r="Y54" s="441" t="n">
        <f aca="false">'Input-Detail'!M18</f>
        <v>8200</v>
      </c>
      <c r="Z54" s="441" t="n">
        <f aca="false">'Input-Detail'!N18</f>
        <v>2319.04548780488</v>
      </c>
      <c r="AA54" s="441" t="n">
        <f aca="false">'Input-Detail'!O18</f>
        <v>2</v>
      </c>
      <c r="AB54" s="546" t="n">
        <f aca="false">'Input-Detail'!P18</f>
        <v>0.3</v>
      </c>
      <c r="AC54" s="445" t="n">
        <f aca="false">Y54*AB54</f>
        <v>2460</v>
      </c>
      <c r="AD54" s="452" t="n">
        <f aca="false">Peak_Time_Mor*$BH54*(CH54+BK54)/3600</f>
        <v>9.43392928235184</v>
      </c>
      <c r="AE54" s="453"/>
      <c r="AF54" s="547"/>
      <c r="AG54" s="547"/>
      <c r="AH54" s="547"/>
      <c r="AI54" s="547"/>
      <c r="AJ54" s="547"/>
      <c r="AK54" s="547"/>
      <c r="AL54" s="547"/>
      <c r="AM54" s="547"/>
      <c r="AN54" s="547"/>
      <c r="AO54" s="547"/>
      <c r="AP54" s="547"/>
      <c r="AQ54" s="547"/>
      <c r="AR54" s="547"/>
      <c r="AS54" s="547"/>
      <c r="AT54" s="547"/>
      <c r="AU54" s="547"/>
      <c r="AV54" s="547"/>
      <c r="AW54" s="547"/>
      <c r="AX54" s="547"/>
      <c r="AY54" s="548"/>
      <c r="AZ54" s="455"/>
      <c r="BA54" s="456"/>
      <c r="BB54" s="457"/>
      <c r="BC54" s="457"/>
      <c r="BF54" s="440" t="s">
        <v>114</v>
      </c>
      <c r="BG54" s="442" t="n">
        <f aca="false">$X54</f>
        <v>0</v>
      </c>
      <c r="BH54" s="451" t="n">
        <f aca="false">$AC54</f>
        <v>2460</v>
      </c>
      <c r="BI54" s="466" t="n">
        <f aca="false">BH54*(1-BG54)</f>
        <v>2460</v>
      </c>
      <c r="BJ54" s="460" t="n">
        <f aca="false">Peak_Arrival_Manual_Mor/K40</f>
        <v>4.49291666666667</v>
      </c>
      <c r="BK54" s="549" t="n">
        <f aca="false">900*Peak_Time_Mor*($BJ54/Total_Lanes-1+SQRT(($BJ54/Total_Lanes-1)^2+8*($BJ54/Total_Lanes)/(Peak_Time_Mor*$K40*Total_Lanes)))</f>
        <v>0.327875084647689</v>
      </c>
      <c r="BL54" s="460" t="n">
        <f aca="false">Peak_Arrival_Manual_Mor/N40</f>
        <v>4.49291666666667</v>
      </c>
      <c r="BM54" s="550" t="n">
        <f aca="false">IF(BM$6&lt;Total_Lanes,900*Peak_Time_Mor*($BL54/(Total_Lanes-BM$6)-1+SQRT(($BL54/(Total_Lanes-BM$6)-1)^2+8*($BL54/(Total_Lanes-BM$6))/(Peak_Time_Mor*$N40*(Total_Lanes-BM$6)))),"-")</f>
        <v>0.412630119867385</v>
      </c>
      <c r="BN54" s="483" t="n">
        <f aca="false">IF(BN$6&lt;Total_Lanes,900*Peak_Time_Mor*($BL54/(Total_Lanes-BN$6)-1+SQRT(($BL54/(Total_Lanes-BN$6)-1)^2+8*($BL54/(Total_Lanes-BN$6))/(Peak_Time_Mor*$N40*(Total_Lanes-BN$6)))),"-")</f>
        <v>0.536271865772009</v>
      </c>
      <c r="BO54" s="483" t="n">
        <f aca="false">IF(BO$6&lt;Total_Lanes,900*Peak_Time_Mor*($BL54/(Total_Lanes-BO$6)-1+SQRT(($BL54/(Total_Lanes-BO$6)-1)^2+8*($BL54/(Total_Lanes-BO$6))/(Peak_Time_Mor*$N40*(Total_Lanes-BO$6)))),"-")</f>
        <v>0.727965328135594</v>
      </c>
      <c r="BP54" s="483" t="n">
        <f aca="false">IF(BP$6&lt;Total_Lanes,900*Peak_Time_Mor*($BL54/(Total_Lanes-BP$6)-1+SQRT(($BL54/(Total_Lanes-BP$6)-1)^2+8*($BL54/(Total_Lanes-BP$6))/(Peak_Time_Mor*$N40*(Total_Lanes-BP$6)))),"-")</f>
        <v>1.05220071891619</v>
      </c>
      <c r="BQ54" s="483" t="n">
        <f aca="false">IF(BQ$6&lt;Total_Lanes,900*Peak_Time_Mor*($BL54/(Total_Lanes-BQ$6)-1+SQRT(($BL54/(Total_Lanes-BQ$6)-1)^2+8*($BL54/(Total_Lanes-BQ$6))/(Peak_Time_Mor*$N40*(Total_Lanes-BQ$6)))),"-")</f>
        <v>1.68109182843778</v>
      </c>
      <c r="BR54" s="483" t="n">
        <f aca="false">IF(BR$6&lt;Total_Lanes,900*Peak_Time_Mor*($BL54/(Total_Lanes-BR$6)-1+SQRT(($BL54/(Total_Lanes-BR$6)-1)^2+8*($BL54/(Total_Lanes-BR$6))/(Peak_Time_Mor*$N40*(Total_Lanes-BR$6)))),"-")</f>
        <v>3.25517999615812</v>
      </c>
      <c r="BS54" s="483" t="n">
        <f aca="false">IF(BS$6&lt;Total_Lanes,900*Peak_Time_Mor*($BL54/(Total_Lanes-BS$6)-1+SQRT(($BL54/(Total_Lanes-BS$6)-1)^2+8*($BL54/(Total_Lanes-BS$6))/(Peak_Time_Mor*$N40*(Total_Lanes-BS$6)))),"-")</f>
        <v>11.3014792308792</v>
      </c>
      <c r="BT54" s="483" t="n">
        <f aca="false">IF(BT$6&lt;Total_Lanes,900*Peak_Time_Mor*($BL54/(Total_Lanes-BT$6)-1+SQRT(($BL54/(Total_Lanes-BT$6)-1)^2+8*($BL54/(Total_Lanes-BT$6))/(Peak_Time_Mor*$N40*(Total_Lanes-BT$6)))),"-")</f>
        <v>458.133243376454</v>
      </c>
      <c r="BU54" s="483" t="n">
        <f aca="false">IF(BU$6&lt;Total_Lanes,900*Peak_Time_Mor*($BL54/(Total_Lanes-BU$6)-1+SQRT(($BL54/(Total_Lanes-BU$6)-1)^2+8*($BL54/(Total_Lanes-BU$6))/(Peak_Time_Mor*$N40*(Total_Lanes-BU$6)))),"-")</f>
        <v>1798.07169060338</v>
      </c>
      <c r="BV54" s="483" t="n">
        <f aca="false">IF(BV$6&lt;Total_Lanes,900*Peak_Time_Mor*($BL54/(Total_Lanes-BV$6)-1+SQRT(($BL54/(Total_Lanes-BV$6)-1)^2+8*($BL54/(Total_Lanes-BV$6))/(Peak_Time_Mor*$N40*(Total_Lanes-BV$6)))),"-")</f>
        <v>4493.16717008706</v>
      </c>
      <c r="BW54" s="551" t="n">
        <f aca="false">IF(BW$6&lt;Total_Lanes,900*Peak_Time_Mor*($BL54/(Total_Lanes-BW$6)-1+SQRT(($BL54/(Total_Lanes-BW$6)-1)^2+8*($BL54/(Total_Lanes-BW$6))/(Peak_Time_Mor*$N40*(Total_Lanes-BW$6)))),"-")</f>
        <v>12582.9517003667</v>
      </c>
      <c r="BX54" s="483" t="str">
        <f aca="false">IF(BX$6&lt;Total_Lanes,900*Peak_Time_Mor*($BL54/(Total_Lanes-BX$6)-1+SQRT(($BL54/(Total_Lanes-BX$6)-1)^2+8*($BL54/(Total_Lanes-BX$6))/(Peak_Time_Mor*$N40*(Total_Lanes-BX$6)))),"-")</f>
        <v>-</v>
      </c>
      <c r="BY54" s="483" t="str">
        <f aca="false">IF(BY$6&lt;Total_Lanes,900*Peak_Time_Mor*($BL54/(Total_Lanes-BY$6)-1+SQRT(($BL54/(Total_Lanes-BY$6)-1)^2+8*($BL54/(Total_Lanes-BY$6))/(Peak_Time_Mor*$N40*(Total_Lanes-BY$6)))),"-")</f>
        <v>-</v>
      </c>
      <c r="BZ54" s="483" t="str">
        <f aca="false">IF(BZ$6&lt;Total_Lanes,900*Peak_Time_Mor*($BL54/(Total_Lanes-BZ$6)-1+SQRT(($BL54/(Total_Lanes-BZ$6)-1)^2+8*($BL54/(Total_Lanes-BZ$6))/(Peak_Time_Mor*$N40*(Total_Lanes-BZ$6)))),"-")</f>
        <v>-</v>
      </c>
      <c r="CA54" s="483" t="str">
        <f aca="false">IF(CA$6&lt;Total_Lanes,900*Peak_Time_Mor*($BL54/(Total_Lanes-CA$6)-1+SQRT(($BL54/(Total_Lanes-CA$6)-1)^2+8*($BL54/(Total_Lanes-CA$6))/(Peak_Time_Mor*$N40*(Total_Lanes-CA$6)))),"-")</f>
        <v>-</v>
      </c>
      <c r="CB54" s="483" t="str">
        <f aca="false">IF(CB$6&lt;Total_Lanes,900*Peak_Time_Mor*($BL54/(Total_Lanes-CB$6)-1+SQRT(($BL54/(Total_Lanes-CB$6)-1)^2+8*($BL54/(Total_Lanes-CB$6))/(Peak_Time_Mor*$N40*(Total_Lanes-CB$6)))),"-")</f>
        <v>-</v>
      </c>
      <c r="CC54" s="483" t="str">
        <f aca="false">IF(CC$6&lt;Total_Lanes,900*Peak_Time_Mor*($BL54/(Total_Lanes-CC$6)-1+SQRT(($BL54/(Total_Lanes-CC$6)-1)^2+8*($BL54/(Total_Lanes-CC$6))/(Peak_Time_Mor*$N40*(Total_Lanes-CC$6)))),"-")</f>
        <v>-</v>
      </c>
      <c r="CD54" s="483" t="str">
        <f aca="false">IF(CD$6&lt;Total_Lanes,900*Peak_Time_Mor*($BL54/(Total_Lanes-CD$6)-1+SQRT(($BL54/(Total_Lanes-CD$6)-1)^2+8*($BL54/(Total_Lanes-CD$6))/(Peak_Time_Mor*$N40*(Total_Lanes-CD$6)))),"-")</f>
        <v>-</v>
      </c>
      <c r="CE54" s="483" t="str">
        <f aca="false">IF(CE$6&lt;Total_Lanes,900*Peak_Time_Mor*($BL54/(Total_Lanes-CE$6)-1+SQRT(($BL54/(Total_Lanes-CE$6)-1)^2+8*($BL54/(Total_Lanes-CE$6))/(Peak_Time_Mor*$N40*(Total_Lanes-CE$6)))),"-")</f>
        <v>-</v>
      </c>
      <c r="CF54" s="483" t="str">
        <f aca="false">IF(CF$6&lt;Total_Lanes,900*Peak_Time_Mor*($BL54/(Total_Lanes-CF$6)-1+SQRT(($BL54/(Total_Lanes-CF$6)-1)^2+8*($BL54/(Total_Lanes-CF$6))/(Peak_Time_Mor*$N40*(Total_Lanes-CF$6)))),"-")</f>
        <v>-</v>
      </c>
      <c r="CG54" s="484" t="str">
        <f aca="false">IF(CG$6&lt;Total_Lanes,900*Peak_Time_Mor*($BL54/(Total_Lanes-CG$6)-1+SQRT(($BL54/(Total_Lanes-CG$6)-1)^2+8*($BL54/(Total_Lanes-CG$6))/(Peak_Time_Mor*$N40*(Total_Lanes-CG$6)))),"-")</f>
        <v>-</v>
      </c>
      <c r="CH54" s="552" t="n">
        <f aca="false">3600/N40</f>
        <v>6.575</v>
      </c>
      <c r="CJ54" s="440" t="s">
        <v>114</v>
      </c>
      <c r="CK54" s="442" t="n">
        <f aca="false">$X54</f>
        <v>0</v>
      </c>
      <c r="CL54" s="467" t="n">
        <f aca="false">$AC54</f>
        <v>2460</v>
      </c>
      <c r="CM54" s="553" t="n">
        <f aca="false">CL54*CK54</f>
        <v>0</v>
      </c>
      <c r="CN54" s="467"/>
      <c r="CO54" s="482"/>
      <c r="CP54" s="469"/>
      <c r="CQ54" s="469"/>
      <c r="CR54" s="469"/>
      <c r="CS54" s="469"/>
      <c r="CT54" s="469"/>
      <c r="CU54" s="469"/>
      <c r="CV54" s="469"/>
      <c r="CW54" s="469"/>
      <c r="CX54" s="469"/>
      <c r="CY54" s="469"/>
      <c r="CZ54" s="469"/>
      <c r="DA54" s="469"/>
      <c r="DB54" s="469"/>
      <c r="DC54" s="469"/>
      <c r="DD54" s="469"/>
      <c r="DE54" s="469"/>
      <c r="DF54" s="469"/>
      <c r="DG54" s="469"/>
      <c r="DH54" s="469"/>
      <c r="DI54" s="470"/>
      <c r="DJ54" s="465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8"/>
      <c r="IG54" s="18"/>
      <c r="IH54" s="18"/>
      <c r="II54" s="18"/>
      <c r="IJ54" s="18"/>
      <c r="IK54" s="18"/>
      <c r="IL54" s="18"/>
      <c r="IM54" s="18"/>
      <c r="IN54" s="18"/>
      <c r="IO54" s="18"/>
      <c r="IP54" s="18"/>
      <c r="IQ54" s="18"/>
      <c r="IR54" s="18"/>
      <c r="IS54" s="18"/>
      <c r="IT54" s="18"/>
      <c r="IU54" s="18"/>
      <c r="IV54" s="18"/>
      <c r="IW54" s="18"/>
    </row>
    <row r="55" customFormat="false" ht="13.2" hidden="false" customHeight="false" outlineLevel="0" collapsed="false">
      <c r="A55" s="18"/>
      <c r="B55" s="18"/>
      <c r="C55" s="18"/>
      <c r="D55" s="18"/>
      <c r="E55" s="18"/>
      <c r="F55" s="18"/>
      <c r="G55" s="18"/>
      <c r="H55" s="537" t="n">
        <v>15</v>
      </c>
      <c r="I55" s="538" t="n">
        <f aca="false">'Input-Detail'!BH28</f>
        <v>0.83</v>
      </c>
      <c r="J55" s="539" t="n">
        <f aca="false">1-I55</f>
        <v>0.17</v>
      </c>
      <c r="K55" s="540" t="n">
        <f aca="false">3600/(Trans_Time_Cash*I55+Trans_Time_Ticket*J55)</f>
        <v>547.528517110266</v>
      </c>
      <c r="L55" s="538" t="n">
        <f aca="false">'Input-Detail'!BJ28</f>
        <v>0.9575</v>
      </c>
      <c r="M55" s="539" t="n">
        <f aca="false">1-L55</f>
        <v>0.0425</v>
      </c>
      <c r="N55" s="540" t="n">
        <f aca="false">3600/(Trans_Time_Cash*L55+Trans_Time_Ticket*M55)</f>
        <v>522.212148685403</v>
      </c>
      <c r="O55" s="540" t="n">
        <f aca="false">3600/Headway_ETC</f>
        <v>1500</v>
      </c>
      <c r="P55" s="18"/>
      <c r="Q55" s="18"/>
      <c r="R55" s="18"/>
      <c r="S55" s="18"/>
      <c r="T55" s="18"/>
      <c r="U55" s="18"/>
      <c r="V55" s="440" t="n">
        <v>1</v>
      </c>
      <c r="W55" s="441" t="n">
        <f aca="false">W8</f>
        <v>19565364.35</v>
      </c>
      <c r="X55" s="442" t="n">
        <f aca="false">X8</f>
        <v>0.06</v>
      </c>
      <c r="Y55" s="441" t="n">
        <f aca="false">Y8</f>
        <v>8436.81784289615</v>
      </c>
      <c r="Z55" s="449" t="n">
        <f aca="false">W55/Y55</f>
        <v>2319.04548780488</v>
      </c>
      <c r="AA55" s="554" t="n">
        <f aca="false">AA8</f>
        <v>2</v>
      </c>
      <c r="AB55" s="474" t="n">
        <f aca="false">1-AB8</f>
        <v>0.3</v>
      </c>
      <c r="AC55" s="445" t="n">
        <f aca="false">Y55*AB55</f>
        <v>2531.04535286885</v>
      </c>
      <c r="AD55" s="467" t="n">
        <f aca="false">Peak_Time_Mor*$BH55*(CH55+BK55)/3600</f>
        <v>9.71252382651897</v>
      </c>
      <c r="AE55" s="453" t="n">
        <f aca="false">IF(AE$53&lt;Total_Lanes,($BI55*($CH55+BM55)+$CM55*CO55)*Peak_Time_Mor/3600,"-")</f>
        <v>9.26174761602526</v>
      </c>
      <c r="AF55" s="453" t="n">
        <f aca="false">IF(AF$53&lt;Total_Lanes,($BI55*($CH55+BN55)+$CM55*CP55)*Peak_Time_Mor/3600,"-")</f>
        <v>9.39776550091898</v>
      </c>
      <c r="AG55" s="453" t="n">
        <f aca="false">IF(AG$53&lt;Total_Lanes,($BI55*($CH55+BO55)+$CM55*CQ55)*Peak_Time_Mor/3600,"-")</f>
        <v>9.63075956084459</v>
      </c>
      <c r="AH55" s="453" t="n">
        <f aca="false">IF(AH$53&lt;Total_Lanes,($BI55*($CH55+BP55)+$CM55*CR55)*Peak_Time_Mor/3600,"-")</f>
        <v>10.0242303625323</v>
      </c>
      <c r="AI55" s="453" t="n">
        <f aca="false">IF(AI$53&lt;Total_Lanes,($BI55*($CH55+BQ55)+$CM55*CS55)*Peak_Time_Mor/3600,"-")</f>
        <v>10.7734075302634</v>
      </c>
      <c r="AJ55" s="453" t="n">
        <f aca="false">IF(AJ$53&lt;Total_Lanes,($BI55*($CH55+BR55)+$CM55*CT55)*Peak_Time_Mor/3600,"-")</f>
        <v>12.5689864645703</v>
      </c>
      <c r="AK55" s="453" t="n">
        <f aca="false">IF(AK$53&lt;Total_Lanes,($BI55*($CH55+BS55)+$CM55*CU55)*Peak_Time_Mor/3600,"-")</f>
        <v>20.362348332056</v>
      </c>
      <c r="AL55" s="453" t="n">
        <f aca="false">IF(AL$53&lt;Total_Lanes,($BI55*($CH55+BT55)+$CM55*CV55)*Peak_Time_Mor/3600,"-")</f>
        <v>461.188211274695</v>
      </c>
      <c r="AM55" s="453" t="n">
        <f aca="false">IF(AM$53&lt;Total_Lanes,($BI55*($CH55+BU55)+$CM55*CW55)*Peak_Time_Mor/3600,"-")</f>
        <v>2174.10404871632</v>
      </c>
      <c r="AN55" s="453" t="n">
        <f aca="false">IF(AN$53&lt;Total_Lanes,($BI55*($CH55+BV55)+$CM55*CX55)*Peak_Time_Mor/3600,"-")</f>
        <v>5630.10215871143</v>
      </c>
      <c r="AO55" s="453" t="n">
        <f aca="false">IF(AO$53&lt;Total_Lanes,($BI55*($CH55+BW55)+$CM55*CY55)*Peak_Time_Mor/3600,"-")</f>
        <v>16005.0702748031</v>
      </c>
      <c r="AP55" s="453" t="str">
        <f aca="false">IF(AP$53&lt;Total_Lanes,($BI55*($CH55+BX55)+$CM55*CZ55)*Peak_Time_Mor/3600,"-")</f>
        <v>-</v>
      </c>
      <c r="AQ55" s="453" t="str">
        <f aca="false">IF(AQ$53&lt;Total_Lanes,($BI55*($CH55+BY55)+$CM55*DA55)*Peak_Time_Mor/3600,"-")</f>
        <v>-</v>
      </c>
      <c r="AR55" s="453" t="str">
        <f aca="false">IF(AR$53&lt;Total_Lanes,($BI55*($CH55+BZ55)+$CM55*DB55)*Peak_Time_Mor/3600,"-")</f>
        <v>-</v>
      </c>
      <c r="AS55" s="453" t="str">
        <f aca="false">IF(AS$53&lt;Total_Lanes,($BI55*($CH55+CA55)+$CM55*DC55)*Peak_Time_Mor/3600,"-")</f>
        <v>-</v>
      </c>
      <c r="AT55" s="453" t="str">
        <f aca="false">IF(AT$53&lt;Total_Lanes,($BI55*($CH55+CB55)+$CM55*DD55)*Peak_Time_Mor/3600,"-")</f>
        <v>-</v>
      </c>
      <c r="AU55" s="453" t="str">
        <f aca="false">IF(AU$53&lt;Total_Lanes,($BI55*($CH55+CC55)+$CM55*DE55)*Peak_Time_Mor/3600,"-")</f>
        <v>-</v>
      </c>
      <c r="AV55" s="453" t="str">
        <f aca="false">IF(AV$53&lt;Total_Lanes,($BI55*($CH55+CD55)+$CM55*DF55)*Peak_Time_Mor/3600,"-")</f>
        <v>-</v>
      </c>
      <c r="AW55" s="453" t="str">
        <f aca="false">IF(AW$53&lt;Total_Lanes,($BI55*($CH55+CE55)+$CM55*DG55)*Peak_Time_Mor/3600,"-")</f>
        <v>-</v>
      </c>
      <c r="AX55" s="453" t="str">
        <f aca="false">IF(AX$53&lt;Total_Lanes,($BI55*($CH55+CF55)+$CM55*DH55)*Peak_Time_Mor/3600,"-")</f>
        <v>-</v>
      </c>
      <c r="AY55" s="454" t="str">
        <f aca="false">IF(AY$53&lt;Total_Lanes,($BI55*($CH55+CG55)+$CM55*DI55)*Peak_Time_Mor/3600,"-")</f>
        <v>-</v>
      </c>
      <c r="AZ55" s="475" t="n">
        <f aca="false">SUMIF(AE55:AY55,BA55,$AE$53:$AY$53)</f>
        <v>1</v>
      </c>
      <c r="BA55" s="476" t="n">
        <f aca="false">MIN(AE55:AY55)</f>
        <v>9.26174761602526</v>
      </c>
      <c r="BB55" s="475" t="n">
        <f aca="false">IF((SUMIF($BM53:$CG53,$AZ55,$BM55:$CG55)+$CH55)&lt;(SUMIF($CO53:$DI53,$AZ55,$CO55:$DI55)+$DJ55),AZ55+1,AZ55)</f>
        <v>1</v>
      </c>
      <c r="BC55" s="476" t="n">
        <f aca="false">SUMIF($AE$53:$AY$53,$BB55,$AE55:$AY55)</f>
        <v>9.26174761602526</v>
      </c>
      <c r="BF55" s="440" t="n">
        <v>1</v>
      </c>
      <c r="BG55" s="442" t="n">
        <f aca="false">$X55</f>
        <v>0.06</v>
      </c>
      <c r="BH55" s="451" t="n">
        <f aca="false">$AC55</f>
        <v>2531.04535286885</v>
      </c>
      <c r="BI55" s="452" t="n">
        <f aca="false">BH55*(1-BG55)</f>
        <v>2379.18263169671</v>
      </c>
      <c r="BJ55" s="460" t="n">
        <f aca="false">Peak_Arrival_Manual_Mor/K41</f>
        <v>4.3453127231683</v>
      </c>
      <c r="BK55" s="549" t="n">
        <f aca="false">900*Peak_Time_Mor*($BJ55/Total_Lanes-1+SQRT(($BJ55/Total_Lanes-1)^2+8*($BJ55/Total_Lanes)/(Peak_Time_Mor*$K41*Total_Lanes)))</f>
        <v>0.310992048396463</v>
      </c>
      <c r="BL55" s="460" t="n">
        <f aca="false">Peak_Arrival_Manual_Mor/N41</f>
        <v>4.35935650953596</v>
      </c>
      <c r="BM55" s="550" t="n">
        <f aca="false">IF(BM$6&lt;Total_Lanes,900*Peak_Time_Mor*($BL55/(Total_Lanes-BM$6)-1+SQRT(($BL55/(Total_Lanes-BM$6)-1)^2+8*($BL55/(Total_Lanes-BM$6))/(Peak_Time_Mor*$N41*(Total_Lanes-BM$6)))),"-")</f>
        <v>0.393584512233192</v>
      </c>
      <c r="BN55" s="483" t="n">
        <f aca="false">IF(BN$6&lt;Total_Lanes,900*Peak_Time_Mor*($BL55/(Total_Lanes-BN$6)-1+SQRT(($BL55/(Total_Lanes-BN$6)-1)^2+8*($BL55/(Total_Lanes-BN$6))/(Peak_Time_Mor*$N41*(Total_Lanes-BN$6)))),"-")</f>
        <v>0.509661530841243</v>
      </c>
      <c r="BO55" s="483" t="n">
        <f aca="false">IF(BO$6&lt;Total_Lanes,900*Peak_Time_Mor*($BL55/(Total_Lanes-BO$6)-1+SQRT(($BL55/(Total_Lanes-BO$6)-1)^2+8*($BL55/(Total_Lanes-BO$6))/(Peak_Time_Mor*$N41*(Total_Lanes-BO$6)))),"-")</f>
        <v>0.688236636616013</v>
      </c>
      <c r="BP55" s="483" t="n">
        <f aca="false">IF(BP$6&lt;Total_Lanes,900*Peak_Time_Mor*($BL55/(Total_Lanes-BP$6)-1+SQRT(($BL55/(Total_Lanes-BP$6)-1)^2+8*($BL55/(Total_Lanes-BP$6))/(Peak_Time_Mor*$N41*(Total_Lanes-BP$6)))),"-")</f>
        <v>0.986710764184373</v>
      </c>
      <c r="BQ55" s="483" t="n">
        <f aca="false">IF(BQ$6&lt;Total_Lanes,900*Peak_Time_Mor*($BL55/(Total_Lanes-BQ$6)-1+SQRT(($BL55/(Total_Lanes-BQ$6)-1)^2+8*($BL55/(Total_Lanes-BQ$6))/(Peak_Time_Mor*$N41*(Total_Lanes-BQ$6)))),"-")</f>
        <v>1.55387131061664</v>
      </c>
      <c r="BR55" s="483" t="n">
        <f aca="false">IF(BR$6&lt;Total_Lanes,900*Peak_Time_Mor*($BL55/(Total_Lanes-BR$6)-1+SQRT(($BL55/(Total_Lanes-BR$6)-1)^2+8*($BL55/(Total_Lanes-BR$6))/(Peak_Time_Mor*$N41*(Total_Lanes-BR$6)))),"-")</f>
        <v>2.91253371176697</v>
      </c>
      <c r="BS55" s="483" t="n">
        <f aca="false">IF(BS$6&lt;Total_Lanes,900*Peak_Time_Mor*($BL55/(Total_Lanes-BS$6)-1+SQRT(($BL55/(Total_Lanes-BS$6)-1)^2+8*($BL55/(Total_Lanes-BS$6))/(Peak_Time_Mor*$N41*(Total_Lanes-BS$6)))),"-")</f>
        <v>8.80881491805509</v>
      </c>
      <c r="BT55" s="483" t="n">
        <f aca="false">IF(BT$6&lt;Total_Lanes,900*Peak_Time_Mor*($BL55/(Total_Lanes-BT$6)-1+SQRT(($BL55/(Total_Lanes-BT$6)-1)^2+8*($BL55/(Total_Lanes-BT$6))/(Peak_Time_Mor*$N41*(Total_Lanes-BT$6)))),"-")</f>
        <v>342.321140909135</v>
      </c>
      <c r="BU55" s="483" t="n">
        <f aca="false">IF(BU$6&lt;Total_Lanes,900*Peak_Time_Mor*($BL55/(Total_Lanes-BU$6)-1+SQRT(($BL55/(Total_Lanes-BU$6)-1)^2+8*($BL55/(Total_Lanes-BU$6))/(Peak_Time_Mor*$N41*(Total_Lanes-BU$6)))),"-")</f>
        <v>1638.24882192488</v>
      </c>
      <c r="BV55" s="483" t="n">
        <f aca="false">IF(BV$6&lt;Total_Lanes,900*Peak_Time_Mor*($BL55/(Total_Lanes-BV$6)-1+SQRT(($BL55/(Total_Lanes-BV$6)-1)^2+8*($BL55/(Total_Lanes-BV$6))/(Peak_Time_Mor*$N41*(Total_Lanes-BV$6)))),"-")</f>
        <v>4252.9269063552</v>
      </c>
      <c r="BW55" s="551" t="n">
        <f aca="false">IF(BW$6&lt;Total_Lanes,900*Peak_Time_Mor*($BL55/(Total_Lanes-BW$6)-1+SQRT(($BL55/(Total_Lanes-BW$6)-1)^2+8*($BL55/(Total_Lanes-BW$6))/(Peak_Time_Mor*$N41*(Total_Lanes-BW$6)))),"-")</f>
        <v>12102.2371800389</v>
      </c>
      <c r="BX55" s="483" t="str">
        <f aca="false">IF(BX$6&lt;Total_Lanes,900*Peak_Time_Mor*($BL55/(Total_Lanes-BX$6)-1+SQRT(($BL55/(Total_Lanes-BX$6)-1)^2+8*($BL55/(Total_Lanes-BX$6))/(Peak_Time_Mor*$N41*(Total_Lanes-BX$6)))),"-")</f>
        <v>-</v>
      </c>
      <c r="BY55" s="483" t="str">
        <f aca="false">IF(BY$6&lt;Total_Lanes,900*Peak_Time_Mor*($BL55/(Total_Lanes-BY$6)-1+SQRT(($BL55/(Total_Lanes-BY$6)-1)^2+8*($BL55/(Total_Lanes-BY$6))/(Peak_Time_Mor*$N41*(Total_Lanes-BY$6)))),"-")</f>
        <v>-</v>
      </c>
      <c r="BZ55" s="483" t="str">
        <f aca="false">IF(BZ$6&lt;Total_Lanes,900*Peak_Time_Mor*($BL55/(Total_Lanes-BZ$6)-1+SQRT(($BL55/(Total_Lanes-BZ$6)-1)^2+8*($BL55/(Total_Lanes-BZ$6))/(Peak_Time_Mor*$N41*(Total_Lanes-BZ$6)))),"-")</f>
        <v>-</v>
      </c>
      <c r="CA55" s="483" t="str">
        <f aca="false">IF(CA$6&lt;Total_Lanes,900*Peak_Time_Mor*($BL55/(Total_Lanes-CA$6)-1+SQRT(($BL55/(Total_Lanes-CA$6)-1)^2+8*($BL55/(Total_Lanes-CA$6))/(Peak_Time_Mor*$N41*(Total_Lanes-CA$6)))),"-")</f>
        <v>-</v>
      </c>
      <c r="CB55" s="483" t="str">
        <f aca="false">IF(CB$6&lt;Total_Lanes,900*Peak_Time_Mor*($BL55/(Total_Lanes-CB$6)-1+SQRT(($BL55/(Total_Lanes-CB$6)-1)^2+8*($BL55/(Total_Lanes-CB$6))/(Peak_Time_Mor*$N41*(Total_Lanes-CB$6)))),"-")</f>
        <v>-</v>
      </c>
      <c r="CC55" s="483" t="str">
        <f aca="false">IF(CC$6&lt;Total_Lanes,900*Peak_Time_Mor*($BL55/(Total_Lanes-CC$6)-1+SQRT(($BL55/(Total_Lanes-CC$6)-1)^2+8*($BL55/(Total_Lanes-CC$6))/(Peak_Time_Mor*$N41*(Total_Lanes-CC$6)))),"-")</f>
        <v>-</v>
      </c>
      <c r="CD55" s="483" t="str">
        <f aca="false">IF(CD$6&lt;Total_Lanes,900*Peak_Time_Mor*($BL55/(Total_Lanes-CD$6)-1+SQRT(($BL55/(Total_Lanes-CD$6)-1)^2+8*($BL55/(Total_Lanes-CD$6))/(Peak_Time_Mor*$N41*(Total_Lanes-CD$6)))),"-")</f>
        <v>-</v>
      </c>
      <c r="CE55" s="483" t="str">
        <f aca="false">IF(CE$6&lt;Total_Lanes,900*Peak_Time_Mor*($BL55/(Total_Lanes-CE$6)-1+SQRT(($BL55/(Total_Lanes-CE$6)-1)^2+8*($BL55/(Total_Lanes-CE$6))/(Peak_Time_Mor*$N41*(Total_Lanes-CE$6)))),"-")</f>
        <v>-</v>
      </c>
      <c r="CF55" s="483" t="str">
        <f aca="false">IF(CF$6&lt;Total_Lanes,900*Peak_Time_Mor*($BL55/(Total_Lanes-CF$6)-1+SQRT(($BL55/(Total_Lanes-CF$6)-1)^2+8*($BL55/(Total_Lanes-CF$6))/(Peak_Time_Mor*$N41*(Total_Lanes-CF$6)))),"-")</f>
        <v>-</v>
      </c>
      <c r="CG55" s="484" t="str">
        <f aca="false">IF(CG$6&lt;Total_Lanes,900*Peak_Time_Mor*($BL55/(Total_Lanes-CG$6)-1+SQRT(($BL55/(Total_Lanes-CG$6)-1)^2+8*($BL55/(Total_Lanes-CG$6))/(Peak_Time_Mor*$N41*(Total_Lanes-CG$6)))),"-")</f>
        <v>-</v>
      </c>
      <c r="CH55" s="555" t="n">
        <f aca="false">3600/N41</f>
        <v>6.59625</v>
      </c>
      <c r="CJ55" s="440" t="n">
        <v>1</v>
      </c>
      <c r="CK55" s="442" t="n">
        <f aca="false">$X55</f>
        <v>0.06</v>
      </c>
      <c r="CL55" s="467" t="n">
        <f aca="false">$AC55</f>
        <v>2531.04535286885</v>
      </c>
      <c r="CM55" s="467" t="n">
        <f aca="false">CL55*CK55</f>
        <v>151.862721172131</v>
      </c>
      <c r="CN55" s="479" t="n">
        <f aca="false">CM55/O41</f>
        <v>0.101241814114754</v>
      </c>
      <c r="CO55" s="483" t="n">
        <f aca="false">IF(CO$53&lt;Total_Lanes,900*Peak_Time_Mor*($CN55/CO$53-1+SQRT(($CN55/CO$53-1)^2+8*($CN55/CO$53)/(Peak_Time_Mor*$O41*CO$53))),"-")</f>
        <v>0.270328613823923</v>
      </c>
      <c r="CP55" s="483" t="n">
        <f aca="false">IF(CP$53&lt;Total_Lanes,900*Peak_Time_Mor*($CN55/CP$53-1+SQRT(($CN55/CP$53-1)^2+8*($CN55/CP$53)/(Peak_Time_Mor*$O41*CP$53))),"-")</f>
        <v>0.0639828196694614</v>
      </c>
      <c r="CQ55" s="483" t="n">
        <f aca="false">IF(CQ$53&lt;Total_Lanes,900*Peak_Time_Mor*($CN55/CQ$53-1+SQRT(($CN55/CQ$53-1)^2+8*($CN55/CQ$53)/(Peak_Time_Mor*$O41*CQ$53))),"-")</f>
        <v>0.0279405164341107</v>
      </c>
      <c r="CR55" s="483" t="n">
        <f aca="false">IF(CR$53&lt;Total_Lanes,900*Peak_Time_Mor*($CN55/CR$53-1+SQRT(($CN55/CR$53-1)^2+8*($CN55/CR$53)/(Peak_Time_Mor*$O41*CR$53))),"-")</f>
        <v>0.0155805556144806</v>
      </c>
      <c r="CS55" s="483" t="n">
        <f aca="false">IF(CS$53&lt;Total_Lanes,900*Peak_Time_Mor*($CN55/CS$53-1+SQRT(($CN55/CS$53-1)^2+8*($CN55/CS$53)/(Peak_Time_Mor*$O41*CS$53))),"-")</f>
        <v>0.009920051624146</v>
      </c>
      <c r="CT55" s="483" t="n">
        <f aca="false">IF(CT$53&lt;Total_Lanes,900*Peak_Time_Mor*($CN55/CT$53-1+SQRT(($CN55/CT$53-1)^2+8*($CN55/CT$53)/(Peak_Time_Mor*$O41*CT$53))),"-")</f>
        <v>0.00686528347431104</v>
      </c>
      <c r="CU55" s="483" t="n">
        <f aca="false">IF(CU$53&lt;Total_Lanes,900*Peak_Time_Mor*($CN55/CU$53-1+SQRT(($CN55/CU$53-1)^2+8*($CN55/CU$53)/(Peak_Time_Mor*$O41*CU$53))),"-")</f>
        <v>0.00503154755719937</v>
      </c>
      <c r="CV55" s="483" t="n">
        <f aca="false">IF(CV$53&lt;Total_Lanes,900*Peak_Time_Mor*($CN55/CV$53-1+SQRT(($CN55/CV$53-1)^2+8*($CN55/CV$53)/(Peak_Time_Mor*$O41*CV$53))),"-")</f>
        <v>0.00384522613070537</v>
      </c>
      <c r="CW55" s="483" t="n">
        <f aca="false">IF(CW$53&lt;Total_Lanes,900*Peak_Time_Mor*($CN55/CW$53-1+SQRT(($CN55/CW$53-1)^2+8*($CN55/CW$53)/(Peak_Time_Mor*$O41*CW$53))),"-")</f>
        <v>0.00303388332636434</v>
      </c>
      <c r="CX55" s="483" t="n">
        <f aca="false">IF(CX$53&lt;Total_Lanes,900*Peak_Time_Mor*($CN55/CX$53-1+SQRT(($CN55/CX$53-1)^2+8*($CN55/CX$53)/(Peak_Time_Mor*$O41*CX$53))),"-")</f>
        <v>0.00245465321948579</v>
      </c>
      <c r="CY55" s="483" t="n">
        <f aca="false">IF(CY$53&lt;Total_Lanes,900*Peak_Time_Mor*($CN55/CY$53-1+SQRT(($CN55/CY$53-1)^2+8*($CN55/CY$53)/(Peak_Time_Mor*$O41*CY$53))),"-")</f>
        <v>0.00202675480558412</v>
      </c>
      <c r="CZ55" s="483" t="str">
        <f aca="false">IF(CZ$53&lt;Total_Lanes,900*Peak_Time_Mor*($CN55/CZ$53-1+SQRT(($CN55/CZ$53-1)^2+8*($CN55/CZ$53)/(Peak_Time_Mor*$O41*CZ$53))),"-")</f>
        <v>-</v>
      </c>
      <c r="DA55" s="483" t="str">
        <f aca="false">IF(DA$53&lt;Total_Lanes,900*Peak_Time_Mor*($CN55/DA$53-1+SQRT(($CN55/DA$53-1)^2+8*($CN55/DA$53)/(Peak_Time_Mor*$O41*DA$53))),"-")</f>
        <v>-</v>
      </c>
      <c r="DB55" s="483" t="str">
        <f aca="false">IF(DB$53&lt;Total_Lanes,900*Peak_Time_Mor*($CN55/DB$53-1+SQRT(($CN55/DB$53-1)^2+8*($CN55/DB$53)/(Peak_Time_Mor*$O41*DB$53))),"-")</f>
        <v>-</v>
      </c>
      <c r="DC55" s="483" t="str">
        <f aca="false">IF(DC$53&lt;Total_Lanes,900*Peak_Time_Mor*($CN55/DC$53-1+SQRT(($CN55/DC$53-1)^2+8*($CN55/DC$53)/(Peak_Time_Mor*$O41*DC$53))),"-")</f>
        <v>-</v>
      </c>
      <c r="DD55" s="483" t="str">
        <f aca="false">IF(DD$53&lt;Total_Lanes,900*Peak_Time_Mor*($CN55/DD$53-1+SQRT(($CN55/DD$53-1)^2+8*($CN55/DD$53)/(Peak_Time_Mor*$O41*DD$53))),"-")</f>
        <v>-</v>
      </c>
      <c r="DE55" s="483" t="str">
        <f aca="false">IF(DE$53&lt;Total_Lanes,900*Peak_Time_Mor*($CN55/DE$53-1+SQRT(($CN55/DE$53-1)^2+8*($CN55/DE$53)/(Peak_Time_Mor*$O41*DE$53))),"-")</f>
        <v>-</v>
      </c>
      <c r="DF55" s="483" t="str">
        <f aca="false">IF(DF$53&lt;Total_Lanes,900*Peak_Time_Mor*($CN55/DF$53-1+SQRT(($CN55/DF$53-1)^2+8*($CN55/DF$53)/(Peak_Time_Mor*$O41*DF$53))),"-")</f>
        <v>-</v>
      </c>
      <c r="DG55" s="483" t="str">
        <f aca="false">IF(DG$53&lt;Total_Lanes,900*Peak_Time_Mor*($CN55/DG$53-1+SQRT(($CN55/DG$53-1)^2+8*($CN55/DG$53)/(Peak_Time_Mor*$O41*DG$53))),"-")</f>
        <v>-</v>
      </c>
      <c r="DH55" s="483" t="str">
        <f aca="false">IF(DH$53&lt;Total_Lanes,900*Peak_Time_Mor*($CN55/DH$53-1+SQRT(($CN55/DH$53-1)^2+8*($CN55/DH$53)/(Peak_Time_Mor*$O41*DH$53))),"-")</f>
        <v>-</v>
      </c>
      <c r="DI55" s="483" t="str">
        <f aca="false">IF(DI$53&lt;Total_Lanes,900*Peak_Time_Mor*($CN55/DI$53-1+SQRT(($CN55/DI$53-1)^2+8*($CN55/DI$53)/(Peak_Time_Mor*$O41*DI$53))),"-")</f>
        <v>-</v>
      </c>
      <c r="DJ55" s="555" t="n">
        <f aca="false">3600/$O41</f>
        <v>2.4</v>
      </c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  <c r="IF55" s="18"/>
      <c r="IG55" s="18"/>
      <c r="IH55" s="18"/>
      <c r="II55" s="18"/>
      <c r="IJ55" s="18"/>
      <c r="IK55" s="18"/>
      <c r="IL55" s="18"/>
      <c r="IM55" s="18"/>
      <c r="IN55" s="18"/>
      <c r="IO55" s="18"/>
      <c r="IP55" s="18"/>
      <c r="IQ55" s="18"/>
      <c r="IR55" s="18"/>
      <c r="IS55" s="18"/>
      <c r="IT55" s="18"/>
      <c r="IU55" s="18"/>
      <c r="IV55" s="18"/>
      <c r="IW55" s="18"/>
    </row>
    <row r="56" customFormat="false" ht="13.2" hidden="false" customHeight="false" outlineLevel="0" collapsed="false">
      <c r="A56" s="18"/>
      <c r="B56" s="18"/>
      <c r="C56" s="18"/>
      <c r="D56" s="18"/>
      <c r="E56" s="18"/>
      <c r="F56" s="18"/>
      <c r="G56" s="18"/>
      <c r="H56" s="537" t="n">
        <v>16</v>
      </c>
      <c r="I56" s="538" t="n">
        <f aca="false">'Input-Detail'!BH29</f>
        <v>0.83</v>
      </c>
      <c r="J56" s="539" t="n">
        <f aca="false">1-I56</f>
        <v>0.17</v>
      </c>
      <c r="K56" s="540" t="n">
        <f aca="false">3600/(Trans_Time_Cash*I56+Trans_Time_Ticket*J56)</f>
        <v>547.528517110266</v>
      </c>
      <c r="L56" s="538" t="n">
        <f aca="false">'Input-Detail'!BJ29</f>
        <v>0.966</v>
      </c>
      <c r="M56" s="539" t="n">
        <f aca="false">1-L56</f>
        <v>0.034</v>
      </c>
      <c r="N56" s="540" t="n">
        <f aca="false">3600/(Trans_Time_Cash*L56+Trans_Time_Ticket*M56)</f>
        <v>520.60737527115</v>
      </c>
      <c r="O56" s="540" t="n">
        <f aca="false">3600/Headway_ETC</f>
        <v>1500</v>
      </c>
      <c r="P56" s="18"/>
      <c r="Q56" s="18"/>
      <c r="R56" s="18"/>
      <c r="S56" s="18"/>
      <c r="T56" s="18"/>
      <c r="U56" s="18"/>
      <c r="V56" s="440" t="n">
        <v>2</v>
      </c>
      <c r="W56" s="441" t="n">
        <f aca="false">W9</f>
        <v>20114555.7</v>
      </c>
      <c r="X56" s="442" t="n">
        <f aca="false">X9</f>
        <v>0.15</v>
      </c>
      <c r="Y56" s="441" t="n">
        <f aca="false">Y9</f>
        <v>8673.6356857923</v>
      </c>
      <c r="Z56" s="449" t="n">
        <f aca="false">W56/Y56</f>
        <v>2319.04548780488</v>
      </c>
      <c r="AA56" s="554" t="n">
        <f aca="false">AA9</f>
        <v>2</v>
      </c>
      <c r="AB56" s="474" t="n">
        <f aca="false">1-AB9</f>
        <v>0.3</v>
      </c>
      <c r="AC56" s="445" t="n">
        <f aca="false">Y56*AB56</f>
        <v>2602.09070573769</v>
      </c>
      <c r="AD56" s="467" t="n">
        <f aca="false">Peak_Time_Mor*$BH56*(CH56+BK56)/3600</f>
        <v>9.96819152476494</v>
      </c>
      <c r="AE56" s="453" t="n">
        <f aca="false">IF(AE$53&lt;Total_Lanes,($BI56*($CH56+BM56)+$CM56*CO56)*Peak_Time_Mor/3600,"-")</f>
        <v>8.74768568604734</v>
      </c>
      <c r="AF56" s="453" t="n">
        <f aca="false">IF(AF$53&lt;Total_Lanes,($BI56*($CH56+BN56)+$CM56*CP56)*Peak_Time_Mor/3600,"-")</f>
        <v>8.7272388493295</v>
      </c>
      <c r="AG56" s="453" t="n">
        <f aca="false">IF(AG$53&lt;Total_Lanes,($BI56*($CH56+BO56)+$CM56*CQ56)*Peak_Time_Mor/3600,"-")</f>
        <v>8.89203216507784</v>
      </c>
      <c r="AH56" s="453" t="n">
        <f aca="false">IF(AH$53&lt;Total_Lanes,($BI56*($CH56+BP56)+$CM56*CR56)*Peak_Time_Mor/3600,"-")</f>
        <v>9.19025211117409</v>
      </c>
      <c r="AI56" s="453" t="n">
        <f aca="false">IF(AI$53&lt;Total_Lanes,($BI56*($CH56+BQ56)+$CM56*CS56)*Peak_Time_Mor/3600,"-")</f>
        <v>9.74516692566846</v>
      </c>
      <c r="AJ56" s="453" t="n">
        <f aca="false">IF(AJ$53&lt;Total_Lanes,($BI56*($CH56+BR56)+$CM56*CT56)*Peak_Time_Mor/3600,"-")</f>
        <v>10.9781113161646</v>
      </c>
      <c r="AK56" s="453" t="n">
        <f aca="false">IF(AK$53&lt;Total_Lanes,($BI56*($CH56+BS56)+$CM56*CU56)*Peak_Time_Mor/3600,"-")</f>
        <v>15.1513138178723</v>
      </c>
      <c r="AL56" s="453" t="n">
        <f aca="false">IF(AL$53&lt;Total_Lanes,($BI56*($CH56+BT56)+$CM56*CV56)*Peak_Time_Mor/3600,"-")</f>
        <v>146.717304090831</v>
      </c>
      <c r="AM56" s="453" t="n">
        <f aca="false">IF(AM$53&lt;Total_Lanes,($BI56*($CH56+BU56)+$CM56*CW56)*Peak_Time_Mor/3600,"-")</f>
        <v>1589.76565589641</v>
      </c>
      <c r="AN56" s="453" t="n">
        <f aca="false">IF(AN$53&lt;Total_Lanes,($BI56*($CH56+BV56)+$CM56*CX56)*Peak_Time_Mor/3600,"-")</f>
        <v>4584.93657195435</v>
      </c>
      <c r="AO56" s="453" t="n">
        <f aca="false">IF(AO$53&lt;Total_Lanes,($BI56*($CH56+BW56)+$CM56*CY56)*Peak_Time_Mor/3600,"-")</f>
        <v>13580.093288918</v>
      </c>
      <c r="AP56" s="453" t="str">
        <f aca="false">IF(AP$53&lt;Total_Lanes,($BI56*($CH56+BX56)+$CM56*CZ56)*Peak_Time_Mor/3600,"-")</f>
        <v>-</v>
      </c>
      <c r="AQ56" s="453" t="str">
        <f aca="false">IF(AQ$53&lt;Total_Lanes,($BI56*($CH56+BY56)+$CM56*DA56)*Peak_Time_Mor/3600,"-")</f>
        <v>-</v>
      </c>
      <c r="AR56" s="453" t="str">
        <f aca="false">IF(AR$53&lt;Total_Lanes,($BI56*($CH56+BZ56)+$CM56*DB56)*Peak_Time_Mor/3600,"-")</f>
        <v>-</v>
      </c>
      <c r="AS56" s="453" t="str">
        <f aca="false">IF(AS$53&lt;Total_Lanes,($BI56*($CH56+CA56)+$CM56*DC56)*Peak_Time_Mor/3600,"-")</f>
        <v>-</v>
      </c>
      <c r="AT56" s="453" t="str">
        <f aca="false">IF(AT$53&lt;Total_Lanes,($BI56*($CH56+CB56)+$CM56*DD56)*Peak_Time_Mor/3600,"-")</f>
        <v>-</v>
      </c>
      <c r="AU56" s="453" t="str">
        <f aca="false">IF(AU$53&lt;Total_Lanes,($BI56*($CH56+CC56)+$CM56*DE56)*Peak_Time_Mor/3600,"-")</f>
        <v>-</v>
      </c>
      <c r="AV56" s="453" t="str">
        <f aca="false">IF(AV$53&lt;Total_Lanes,($BI56*($CH56+CD56)+$CM56*DF56)*Peak_Time_Mor/3600,"-")</f>
        <v>-</v>
      </c>
      <c r="AW56" s="453" t="str">
        <f aca="false">IF(AW$53&lt;Total_Lanes,($BI56*($CH56+CE56)+$CM56*DG56)*Peak_Time_Mor/3600,"-")</f>
        <v>-</v>
      </c>
      <c r="AX56" s="453" t="str">
        <f aca="false">IF(AX$53&lt;Total_Lanes,($BI56*($CH56+CF56)+$CM56*DH56)*Peak_Time_Mor/3600,"-")</f>
        <v>-</v>
      </c>
      <c r="AY56" s="454" t="str">
        <f aca="false">IF(AY$53&lt;Total_Lanes,($BI56*($CH56+CG56)+$CM56*DI56)*Peak_Time_Mor/3600,"-")</f>
        <v>-</v>
      </c>
      <c r="AZ56" s="475" t="n">
        <f aca="false">SUMIF(AE56:AY56,BA56,$AE$53:$AY$53)</f>
        <v>2</v>
      </c>
      <c r="BA56" s="476" t="n">
        <f aca="false">MIN(AE56:AY56)</f>
        <v>8.7272388493295</v>
      </c>
      <c r="BB56" s="475" t="n">
        <f aca="false">IF((SUMIF($BM54:$CG54,$AZ56,$BM56:$CG56)+$CH56)&lt;(SUMIF($CO54:$DI54,$AZ56,$CO56:$DI56)+$DJ56),AZ56+1,AZ56)</f>
        <v>2</v>
      </c>
      <c r="BC56" s="476" t="n">
        <f aca="false">SUMIF($AE$53:$AY$53,$BB56,$AE56:$AY56)</f>
        <v>8.7272388493295</v>
      </c>
      <c r="BF56" s="440" t="n">
        <v>2</v>
      </c>
      <c r="BG56" s="442" t="n">
        <f aca="false">$X56</f>
        <v>0.15</v>
      </c>
      <c r="BH56" s="451" t="n">
        <f aca="false">$AC56</f>
        <v>2602.09070573769</v>
      </c>
      <c r="BI56" s="452" t="n">
        <f aca="false">BH56*(1-BG56)</f>
        <v>2211.77709987704</v>
      </c>
      <c r="BJ56" s="460" t="n">
        <f aca="false">Peak_Arrival_Manual_Mor/K42</f>
        <v>4.03956511991431</v>
      </c>
      <c r="BK56" s="549" t="n">
        <f aca="false">900*Peak_Time_Mor*($BJ56/Total_Lanes-1+SQRT(($BJ56/Total_Lanes-1)^2+8*($BJ56/Total_Lanes)/(Peak_Time_Mor*$K42*Total_Lanes)))</f>
        <v>0.278010869399203</v>
      </c>
      <c r="BL56" s="460" t="n">
        <f aca="false">Peak_Arrival_Manual_Mor/N42</f>
        <v>4.06567637734341</v>
      </c>
      <c r="BM56" s="550" t="n">
        <f aca="false">IF(BM$6&lt;Total_Lanes,900*Peak_Time_Mor*($BL56/(Total_Lanes-BM$6)-1+SQRT(($BL56/(Total_Lanes-BM$6)-1)^2+8*($BL56/(Total_Lanes-BM$6))/(Peak_Time_Mor*$N42*(Total_Lanes-BM$6)))),"-")</f>
        <v>0.352665098051941</v>
      </c>
      <c r="BN56" s="483" t="n">
        <f aca="false">IF(BN$6&lt;Total_Lanes,900*Peak_Time_Mor*($BL56/(Total_Lanes-BN$6)-1+SQRT(($BL56/(Total_Lanes-BN$6)-1)^2+8*($BL56/(Total_Lanes-BN$6))/(Peak_Time_Mor*$N42*(Total_Lanes-BN$6)))),"-")</f>
        <v>0.453276698774263</v>
      </c>
      <c r="BO56" s="483" t="n">
        <f aca="false">IF(BO$6&lt;Total_Lanes,900*Peak_Time_Mor*($BL56/(Total_Lanes-BO$6)-1+SQRT(($BL56/(Total_Lanes-BO$6)-1)^2+8*($BL56/(Total_Lanes-BO$6))/(Peak_Time_Mor*$N42*(Total_Lanes-BO$6)))),"-")</f>
        <v>0.605652300834314</v>
      </c>
      <c r="BP56" s="483" t="n">
        <f aca="false">IF(BP$6&lt;Total_Lanes,900*Peak_Time_Mor*($BL56/(Total_Lanes-BP$6)-1+SQRT(($BL56/(Total_Lanes-BP$6)-1)^2+8*($BL56/(Total_Lanes-BP$6))/(Peak_Time_Mor*$N42*(Total_Lanes-BP$6)))),"-")</f>
        <v>0.854391964285828</v>
      </c>
      <c r="BQ56" s="483" t="n">
        <f aca="false">IF(BQ$6&lt;Total_Lanes,900*Peak_Time_Mor*($BL56/(Total_Lanes-BQ$6)-1+SQRT(($BL56/(Total_Lanes-BQ$6)-1)^2+8*($BL56/(Total_Lanes-BQ$6))/(Peak_Time_Mor*$N42*(Total_Lanes-BQ$6)))),"-")</f>
        <v>1.30871246414735</v>
      </c>
      <c r="BR56" s="483" t="n">
        <f aca="false">IF(BR$6&lt;Total_Lanes,900*Peak_Time_Mor*($BL56/(Total_Lanes-BR$6)-1+SQRT(($BL56/(Total_Lanes-BR$6)-1)^2+8*($BL56/(Total_Lanes-BR$6))/(Peak_Time_Mor*$N42*(Total_Lanes-BR$6)))),"-")</f>
        <v>2.31356388473277</v>
      </c>
      <c r="BS56" s="483" t="n">
        <f aca="false">IF(BS$6&lt;Total_Lanes,900*Peak_Time_Mor*($BL56/(Total_Lanes-BS$6)-1+SQRT(($BL56/(Total_Lanes-BS$6)-1)^2+8*($BL56/(Total_Lanes-BS$6))/(Peak_Time_Mor*$N42*(Total_Lanes-BS$6)))),"-")</f>
        <v>5.71068547425245</v>
      </c>
      <c r="BT56" s="483" t="n">
        <f aca="false">IF(BT$6&lt;Total_Lanes,900*Peak_Time_Mor*($BL56/(Total_Lanes-BT$6)-1+SQRT(($BL56/(Total_Lanes-BT$6)-1)^2+8*($BL56/(Total_Lanes-BT$6))/(Peak_Time_Mor*$N42*(Total_Lanes-BT$6)))),"-")</f>
        <v>112.782963422559</v>
      </c>
      <c r="BU56" s="483" t="n">
        <f aca="false">IF(BU$6&lt;Total_Lanes,900*Peak_Time_Mor*($BL56/(Total_Lanes-BU$6)-1+SQRT(($BL56/(Total_Lanes-BU$6)-1)^2+8*($BL56/(Total_Lanes-BU$6))/(Peak_Time_Mor*$N42*(Total_Lanes-BU$6)))),"-")</f>
        <v>1287.1724944377</v>
      </c>
      <c r="BV56" s="483" t="n">
        <f aca="false">IF(BV$6&lt;Total_Lanes,900*Peak_Time_Mor*($BL56/(Total_Lanes-BV$6)-1+SQRT(($BL56/(Total_Lanes-BV$6)-1)^2+8*($BL56/(Total_Lanes-BV$6))/(Peak_Time_Mor*$N42*(Total_Lanes-BV$6)))),"-")</f>
        <v>3724.71841415924</v>
      </c>
      <c r="BW56" s="551" t="n">
        <f aca="false">IF(BW$6&lt;Total_Lanes,900*Peak_Time_Mor*($BL56/(Total_Lanes-BW$6)-1+SQRT(($BL56/(Total_Lanes-BW$6)-1)^2+8*($BL56/(Total_Lanes-BW$6))/(Peak_Time_Mor*$N42*(Total_Lanes-BW$6)))),"-")</f>
        <v>11045.2040683358</v>
      </c>
      <c r="BX56" s="483" t="str">
        <f aca="false">IF(BX$6&lt;Total_Lanes,900*Peak_Time_Mor*($BL56/(Total_Lanes-BX$6)-1+SQRT(($BL56/(Total_Lanes-BX$6)-1)^2+8*($BL56/(Total_Lanes-BX$6))/(Peak_Time_Mor*$N42*(Total_Lanes-BX$6)))),"-")</f>
        <v>-</v>
      </c>
      <c r="BY56" s="483" t="str">
        <f aca="false">IF(BY$6&lt;Total_Lanes,900*Peak_Time_Mor*($BL56/(Total_Lanes-BY$6)-1+SQRT(($BL56/(Total_Lanes-BY$6)-1)^2+8*($BL56/(Total_Lanes-BY$6))/(Peak_Time_Mor*$N42*(Total_Lanes-BY$6)))),"-")</f>
        <v>-</v>
      </c>
      <c r="BZ56" s="483" t="str">
        <f aca="false">IF(BZ$6&lt;Total_Lanes,900*Peak_Time_Mor*($BL56/(Total_Lanes-BZ$6)-1+SQRT(($BL56/(Total_Lanes-BZ$6)-1)^2+8*($BL56/(Total_Lanes-BZ$6))/(Peak_Time_Mor*$N42*(Total_Lanes-BZ$6)))),"-")</f>
        <v>-</v>
      </c>
      <c r="CA56" s="483" t="str">
        <f aca="false">IF(CA$6&lt;Total_Lanes,900*Peak_Time_Mor*($BL56/(Total_Lanes-CA$6)-1+SQRT(($BL56/(Total_Lanes-CA$6)-1)^2+8*($BL56/(Total_Lanes-CA$6))/(Peak_Time_Mor*$N42*(Total_Lanes-CA$6)))),"-")</f>
        <v>-</v>
      </c>
      <c r="CB56" s="483" t="str">
        <f aca="false">IF(CB$6&lt;Total_Lanes,900*Peak_Time_Mor*($BL56/(Total_Lanes-CB$6)-1+SQRT(($BL56/(Total_Lanes-CB$6)-1)^2+8*($BL56/(Total_Lanes-CB$6))/(Peak_Time_Mor*$N42*(Total_Lanes-CB$6)))),"-")</f>
        <v>-</v>
      </c>
      <c r="CC56" s="483" t="str">
        <f aca="false">IF(CC$6&lt;Total_Lanes,900*Peak_Time_Mor*($BL56/(Total_Lanes-CC$6)-1+SQRT(($BL56/(Total_Lanes-CC$6)-1)^2+8*($BL56/(Total_Lanes-CC$6))/(Peak_Time_Mor*$N42*(Total_Lanes-CC$6)))),"-")</f>
        <v>-</v>
      </c>
      <c r="CD56" s="483" t="str">
        <f aca="false">IF(CD$6&lt;Total_Lanes,900*Peak_Time_Mor*($BL56/(Total_Lanes-CD$6)-1+SQRT(($BL56/(Total_Lanes-CD$6)-1)^2+8*($BL56/(Total_Lanes-CD$6))/(Peak_Time_Mor*$N42*(Total_Lanes-CD$6)))),"-")</f>
        <v>-</v>
      </c>
      <c r="CE56" s="483" t="str">
        <f aca="false">IF(CE$6&lt;Total_Lanes,900*Peak_Time_Mor*($BL56/(Total_Lanes-CE$6)-1+SQRT(($BL56/(Total_Lanes-CE$6)-1)^2+8*($BL56/(Total_Lanes-CE$6))/(Peak_Time_Mor*$N42*(Total_Lanes-CE$6)))),"-")</f>
        <v>-</v>
      </c>
      <c r="CF56" s="483" t="str">
        <f aca="false">IF(CF$6&lt;Total_Lanes,900*Peak_Time_Mor*($BL56/(Total_Lanes-CF$6)-1+SQRT(($BL56/(Total_Lanes-CF$6)-1)^2+8*($BL56/(Total_Lanes-CF$6))/(Peak_Time_Mor*$N42*(Total_Lanes-CF$6)))),"-")</f>
        <v>-</v>
      </c>
      <c r="CG56" s="484" t="str">
        <f aca="false">IF(CG$6&lt;Total_Lanes,900*Peak_Time_Mor*($BL56/(Total_Lanes-CG$6)-1+SQRT(($BL56/(Total_Lanes-CG$6)-1)^2+8*($BL56/(Total_Lanes-CG$6))/(Peak_Time_Mor*$N42*(Total_Lanes-CG$6)))),"-")</f>
        <v>-</v>
      </c>
      <c r="CH56" s="555" t="n">
        <f aca="false">3600/N42</f>
        <v>6.6175</v>
      </c>
      <c r="CJ56" s="440" t="n">
        <v>2</v>
      </c>
      <c r="CK56" s="442" t="n">
        <f aca="false">$X56</f>
        <v>0.15</v>
      </c>
      <c r="CL56" s="467" t="n">
        <f aca="false">$AC56</f>
        <v>2602.09070573769</v>
      </c>
      <c r="CM56" s="467" t="n">
        <f aca="false">CL56*CK56</f>
        <v>390.313605860653</v>
      </c>
      <c r="CN56" s="479" t="n">
        <f aca="false">CM56/O42</f>
        <v>0.260209070573769</v>
      </c>
      <c r="CO56" s="483" t="n">
        <f aca="false">IF(CO$53&lt;Total_Lanes,900*Peak_Time_Mor*($CN56/CO$53-1+SQRT(($CN56/CO$53-1)^2+8*($CN56/CO$53)/(Peak_Time_Mor*$O42*CO$53))),"-")</f>
        <v>0.843892407812574</v>
      </c>
      <c r="CP56" s="483" t="n">
        <f aca="false">IF(CP$53&lt;Total_Lanes,900*Peak_Time_Mor*($CN56/CP$53-1+SQRT(($CN56/CP$53-1)^2+8*($CN56/CP$53)/(Peak_Time_Mor*$O42*CP$53))),"-")</f>
        <v>0.179465811717172</v>
      </c>
      <c r="CQ56" s="483" t="n">
        <f aca="false">IF(CQ$53&lt;Total_Lanes,900*Peak_Time_Mor*($CN56/CQ$53-1+SQRT(($CN56/CQ$53-1)^2+8*($CN56/CQ$53)/(Peak_Time_Mor*$O42*CQ$53))),"-")</f>
        <v>0.0759774929322887</v>
      </c>
      <c r="CR56" s="483" t="n">
        <f aca="false">IF(CR$53&lt;Total_Lanes,900*Peak_Time_Mor*($CN56/CR$53-1+SQRT(($CN56/CR$53-1)^2+8*($CN56/CR$53)/(Peak_Time_Mor*$O42*CR$53))),"-")</f>
        <v>0.041746586606406</v>
      </c>
      <c r="CS56" s="483" t="n">
        <f aca="false">IF(CS$53&lt;Total_Lanes,900*Peak_Time_Mor*($CN56/CS$53-1+SQRT(($CN56/CS$53-1)^2+8*($CN56/CS$53)/(Peak_Time_Mor*$O42*CS$53))),"-")</f>
        <v>0.0263512444550917</v>
      </c>
      <c r="CT56" s="483" t="n">
        <f aca="false">IF(CT$53&lt;Total_Lanes,900*Peak_Time_Mor*($CN56/CT$53-1+SQRT(($CN56/CT$53-1)^2+8*($CN56/CT$53)/(Peak_Time_Mor*$O42*CT$53))),"-")</f>
        <v>0.0181336012867517</v>
      </c>
      <c r="CU56" s="483" t="n">
        <f aca="false">IF(CU$53&lt;Total_Lanes,900*Peak_Time_Mor*($CN56/CU$53-1+SQRT(($CN56/CU$53-1)^2+8*($CN56/CU$53)/(Peak_Time_Mor*$O42*CU$53))),"-")</f>
        <v>0.0132369384625353</v>
      </c>
      <c r="CV56" s="483" t="n">
        <f aca="false">IF(CV$53&lt;Total_Lanes,900*Peak_Time_Mor*($CN56/CV$53-1+SQRT(($CN56/CV$53-1)^2+8*($CN56/CV$53)/(Peak_Time_Mor*$O42*CV$53))),"-")</f>
        <v>0.0100858661206793</v>
      </c>
      <c r="CW56" s="483" t="n">
        <f aca="false">IF(CW$53&lt;Total_Lanes,900*Peak_Time_Mor*($CN56/CW$53-1+SQRT(($CN56/CW$53-1)^2+8*($CN56/CW$53)/(Peak_Time_Mor*$O42*CW$53))),"-")</f>
        <v>0.00793942652181912</v>
      </c>
      <c r="CX56" s="483" t="n">
        <f aca="false">IF(CX$53&lt;Total_Lanes,900*Peak_Time_Mor*($CN56/CX$53-1+SQRT(($CN56/CX$53-1)^2+8*($CN56/CX$53)/(Peak_Time_Mor*$O42*CX$53))),"-")</f>
        <v>0.00641184838483522</v>
      </c>
      <c r="CY56" s="483" t="n">
        <f aca="false">IF(CY$53&lt;Total_Lanes,900*Peak_Time_Mor*($CN56/CY$53-1+SQRT(($CN56/CY$53-1)^2+8*($CN56/CY$53)/(Peak_Time_Mor*$O42*CY$53))),"-")</f>
        <v>0.0052862111667995</v>
      </c>
      <c r="CZ56" s="483" t="str">
        <f aca="false">IF(CZ$53&lt;Total_Lanes,900*Peak_Time_Mor*($CN56/CZ$53-1+SQRT(($CN56/CZ$53-1)^2+8*($CN56/CZ$53)/(Peak_Time_Mor*$O42*CZ$53))),"-")</f>
        <v>-</v>
      </c>
      <c r="DA56" s="483" t="str">
        <f aca="false">IF(DA$53&lt;Total_Lanes,900*Peak_Time_Mor*($CN56/DA$53-1+SQRT(($CN56/DA$53-1)^2+8*($CN56/DA$53)/(Peak_Time_Mor*$O42*DA$53))),"-")</f>
        <v>-</v>
      </c>
      <c r="DB56" s="483" t="str">
        <f aca="false">IF(DB$53&lt;Total_Lanes,900*Peak_Time_Mor*($CN56/DB$53-1+SQRT(($CN56/DB$53-1)^2+8*($CN56/DB$53)/(Peak_Time_Mor*$O42*DB$53))),"-")</f>
        <v>-</v>
      </c>
      <c r="DC56" s="483" t="str">
        <f aca="false">IF(DC$53&lt;Total_Lanes,900*Peak_Time_Mor*($CN56/DC$53-1+SQRT(($CN56/DC$53-1)^2+8*($CN56/DC$53)/(Peak_Time_Mor*$O42*DC$53))),"-")</f>
        <v>-</v>
      </c>
      <c r="DD56" s="483" t="str">
        <f aca="false">IF(DD$53&lt;Total_Lanes,900*Peak_Time_Mor*($CN56/DD$53-1+SQRT(($CN56/DD$53-1)^2+8*($CN56/DD$53)/(Peak_Time_Mor*$O42*DD$53))),"-")</f>
        <v>-</v>
      </c>
      <c r="DE56" s="483" t="str">
        <f aca="false">IF(DE$53&lt;Total_Lanes,900*Peak_Time_Mor*($CN56/DE$53-1+SQRT(($CN56/DE$53-1)^2+8*($CN56/DE$53)/(Peak_Time_Mor*$O42*DE$53))),"-")</f>
        <v>-</v>
      </c>
      <c r="DF56" s="483" t="str">
        <f aca="false">IF(DF$53&lt;Total_Lanes,900*Peak_Time_Mor*($CN56/DF$53-1+SQRT(($CN56/DF$53-1)^2+8*($CN56/DF$53)/(Peak_Time_Mor*$O42*DF$53))),"-")</f>
        <v>-</v>
      </c>
      <c r="DG56" s="483" t="str">
        <f aca="false">IF(DG$53&lt;Total_Lanes,900*Peak_Time_Mor*($CN56/DG$53-1+SQRT(($CN56/DG$53-1)^2+8*($CN56/DG$53)/(Peak_Time_Mor*$O42*DG$53))),"-")</f>
        <v>-</v>
      </c>
      <c r="DH56" s="483" t="str">
        <f aca="false">IF(DH$53&lt;Total_Lanes,900*Peak_Time_Mor*($CN56/DH$53-1+SQRT(($CN56/DH$53-1)^2+8*($CN56/DH$53)/(Peak_Time_Mor*$O42*DH$53))),"-")</f>
        <v>-</v>
      </c>
      <c r="DI56" s="484" t="str">
        <f aca="false">IF(DI$53&lt;Total_Lanes,900*Peak_Time_Mor*($CN56/DI$53-1+SQRT(($CN56/DI$53-1)^2+8*($CN56/DI$53)/(Peak_Time_Mor*$O42*DI$53))),"-")</f>
        <v>-</v>
      </c>
      <c r="DJ56" s="555" t="n">
        <f aca="false">3600/$O42</f>
        <v>2.4</v>
      </c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  <c r="HM56" s="18"/>
      <c r="HN56" s="18"/>
      <c r="HO56" s="18"/>
      <c r="HP56" s="18"/>
      <c r="HQ56" s="18"/>
      <c r="HR56" s="18"/>
      <c r="HS56" s="18"/>
      <c r="HT56" s="18"/>
      <c r="HU56" s="18"/>
      <c r="HV56" s="18"/>
      <c r="HW56" s="18"/>
      <c r="HX56" s="18"/>
      <c r="HY56" s="18"/>
      <c r="HZ56" s="18"/>
      <c r="IA56" s="18"/>
      <c r="IB56" s="18"/>
      <c r="IC56" s="18"/>
      <c r="ID56" s="18"/>
      <c r="IE56" s="18"/>
      <c r="IF56" s="18"/>
      <c r="IG56" s="18"/>
      <c r="IH56" s="18"/>
      <c r="II56" s="18"/>
      <c r="IJ56" s="18"/>
      <c r="IK56" s="18"/>
      <c r="IL56" s="18"/>
      <c r="IM56" s="18"/>
      <c r="IN56" s="18"/>
      <c r="IO56" s="18"/>
      <c r="IP56" s="18"/>
      <c r="IQ56" s="18"/>
      <c r="IR56" s="18"/>
      <c r="IS56" s="18"/>
      <c r="IT56" s="18"/>
      <c r="IU56" s="18"/>
      <c r="IV56" s="18"/>
      <c r="IW56" s="18"/>
    </row>
    <row r="57" customFormat="false" ht="13.2" hidden="false" customHeight="false" outlineLevel="0" collapsed="false">
      <c r="A57" s="18"/>
      <c r="B57" s="18"/>
      <c r="C57" s="18"/>
      <c r="D57" s="18"/>
      <c r="E57" s="18"/>
      <c r="F57" s="18"/>
      <c r="G57" s="18"/>
      <c r="H57" s="537" t="n">
        <v>17</v>
      </c>
      <c r="I57" s="538" t="n">
        <f aca="false">'Input-Detail'!BH30</f>
        <v>0.83</v>
      </c>
      <c r="J57" s="539" t="n">
        <f aca="false">1-I57</f>
        <v>0.17</v>
      </c>
      <c r="K57" s="540" t="n">
        <f aca="false">3600/(Trans_Time_Cash*I57+Trans_Time_Ticket*J57)</f>
        <v>547.528517110266</v>
      </c>
      <c r="L57" s="538" t="n">
        <f aca="false">'Input-Detail'!BJ30</f>
        <v>0.9745</v>
      </c>
      <c r="M57" s="539" t="n">
        <f aca="false">1-L57</f>
        <v>0.0255000000000001</v>
      </c>
      <c r="N57" s="540" t="n">
        <f aca="false">3600/(Trans_Time_Cash*L57+Trans_Time_Ticket*M57)</f>
        <v>519.012434672914</v>
      </c>
      <c r="O57" s="540" t="n">
        <f aca="false">3600/Headway_ETC</f>
        <v>1500</v>
      </c>
      <c r="P57" s="18"/>
      <c r="Q57" s="18"/>
      <c r="R57" s="18"/>
      <c r="S57" s="18"/>
      <c r="T57" s="18"/>
      <c r="U57" s="18"/>
      <c r="V57" s="440" t="n">
        <v>3</v>
      </c>
      <c r="W57" s="441" t="n">
        <f aca="false">W10</f>
        <v>20663747.05</v>
      </c>
      <c r="X57" s="442" t="n">
        <f aca="false">X10</f>
        <v>0.2</v>
      </c>
      <c r="Y57" s="441" t="n">
        <f aca="false">Y10</f>
        <v>8910.45352868845</v>
      </c>
      <c r="Z57" s="449" t="n">
        <f aca="false">W57/Y57</f>
        <v>2319.04548780488</v>
      </c>
      <c r="AA57" s="554" t="n">
        <f aca="false">AA10</f>
        <v>2</v>
      </c>
      <c r="AB57" s="474" t="n">
        <f aca="false">1-AB10</f>
        <v>0.3</v>
      </c>
      <c r="AC57" s="445" t="n">
        <f aca="false">Y57*AB57</f>
        <v>2673.13605860654</v>
      </c>
      <c r="AD57" s="467" t="n">
        <f aca="false">Peak_Time_Mor*$BH57*(CH57+BK57)/3600</f>
        <v>10.2516393468659</v>
      </c>
      <c r="AE57" s="453" t="n">
        <f aca="false">IF(AE$53&lt;Total_Lanes,($BI57*($CH57+BM57)+$CM57*CO57)*Peak_Time_Mor/3600,"-")</f>
        <v>8.68244688681259</v>
      </c>
      <c r="AF57" s="453" t="n">
        <f aca="false">IF(AF$53&lt;Total_Lanes,($BI57*($CH57+BN57)+$CM57*CP57)*Peak_Time_Mor/3600,"-")</f>
        <v>8.47799682998386</v>
      </c>
      <c r="AG57" s="453" t="n">
        <f aca="false">IF(AG$53&lt;Total_Lanes,($BI57*($CH57+BO57)+$CM57*CQ57)*Peak_Time_Mor/3600,"-")</f>
        <v>8.60257502636225</v>
      </c>
      <c r="AH57" s="453" t="n">
        <f aca="false">IF(AH$53&lt;Total_Lanes,($BI57*($CH57+BP57)+$CM57*CR57)*Peak_Time_Mor/3600,"-")</f>
        <v>8.86274277968863</v>
      </c>
      <c r="AI57" s="453" t="n">
        <f aca="false">IF(AI$53&lt;Total_Lanes,($BI57*($CH57+BQ57)+$CM57*CS57)*Peak_Time_Mor/3600,"-")</f>
        <v>9.35088054852571</v>
      </c>
      <c r="AJ57" s="453" t="n">
        <f aca="false">IF(AJ$53&lt;Total_Lanes,($BI57*($CH57+BR57)+$CM57*CT57)*Peak_Time_Mor/3600,"-")</f>
        <v>10.4113718045452</v>
      </c>
      <c r="AK57" s="453" t="n">
        <f aca="false">IF(AK$53&lt;Total_Lanes,($BI57*($CH57+BS57)+$CM57*CU57)*Peak_Time_Mor/3600,"-")</f>
        <v>13.7436426376961</v>
      </c>
      <c r="AL57" s="453" t="n">
        <f aca="false">IF(AL$53&lt;Total_Lanes,($BI57*($CH57+BT57)+$CM57*CV57)*Peak_Time_Mor/3600,"-")</f>
        <v>73.7856705459989</v>
      </c>
      <c r="AM57" s="453" t="n">
        <f aca="false">IF(AM$53&lt;Total_Lanes,($BI57*($CH57+BU57)+$CM57*CW57)*Peak_Time_Mor/3600,"-")</f>
        <v>1364.08039490597</v>
      </c>
      <c r="AN57" s="453" t="n">
        <f aca="false">IF(AN$53&lt;Total_Lanes,($BI57*($CH57+BV57)+$CM57*CX57)*Peak_Time_Mor/3600,"-")</f>
        <v>4172.32092903677</v>
      </c>
      <c r="AO57" s="453" t="n">
        <f aca="false">IF(AO$53&lt;Total_Lanes,($BI57*($CH57+BW57)+$CM57*CY57)*Peak_Time_Mor/3600,"-")</f>
        <v>12608.3544539265</v>
      </c>
      <c r="AP57" s="453" t="str">
        <f aca="false">IF(AP$53&lt;Total_Lanes,($BI57*($CH57+BX57)+$CM57*CZ57)*Peak_Time_Mor/3600,"-")</f>
        <v>-</v>
      </c>
      <c r="AQ57" s="453" t="str">
        <f aca="false">IF(AQ$53&lt;Total_Lanes,($BI57*($CH57+BY57)+$CM57*DA57)*Peak_Time_Mor/3600,"-")</f>
        <v>-</v>
      </c>
      <c r="AR57" s="453" t="str">
        <f aca="false">IF(AR$53&lt;Total_Lanes,($BI57*($CH57+BZ57)+$CM57*DB57)*Peak_Time_Mor/3600,"-")</f>
        <v>-</v>
      </c>
      <c r="AS57" s="453" t="str">
        <f aca="false">IF(AS$53&lt;Total_Lanes,($BI57*($CH57+CA57)+$CM57*DC57)*Peak_Time_Mor/3600,"-")</f>
        <v>-</v>
      </c>
      <c r="AT57" s="453" t="str">
        <f aca="false">IF(AT$53&lt;Total_Lanes,($BI57*($CH57+CB57)+$CM57*DD57)*Peak_Time_Mor/3600,"-")</f>
        <v>-</v>
      </c>
      <c r="AU57" s="453" t="str">
        <f aca="false">IF(AU$53&lt;Total_Lanes,($BI57*($CH57+CC57)+$CM57*DE57)*Peak_Time_Mor/3600,"-")</f>
        <v>-</v>
      </c>
      <c r="AV57" s="453" t="str">
        <f aca="false">IF(AV$53&lt;Total_Lanes,($BI57*($CH57+CD57)+$CM57*DF57)*Peak_Time_Mor/3600,"-")</f>
        <v>-</v>
      </c>
      <c r="AW57" s="453" t="str">
        <f aca="false">IF(AW$53&lt;Total_Lanes,($BI57*($CH57+CE57)+$CM57*DG57)*Peak_Time_Mor/3600,"-")</f>
        <v>-</v>
      </c>
      <c r="AX57" s="453" t="str">
        <f aca="false">IF(AX$53&lt;Total_Lanes,($BI57*($CH57+CF57)+$CM57*DH57)*Peak_Time_Mor/3600,"-")</f>
        <v>-</v>
      </c>
      <c r="AY57" s="454" t="str">
        <f aca="false">IF(AY$53&lt;Total_Lanes,($BI57*($CH57+CG57)+$CM57*DI57)*Peak_Time_Mor/3600,"-")</f>
        <v>-</v>
      </c>
      <c r="AZ57" s="475" t="n">
        <f aca="false">SUMIF(AE57:AY57,BA57,$AE$53:$AY$53)</f>
        <v>2</v>
      </c>
      <c r="BA57" s="476" t="n">
        <f aca="false">MIN(AE57:AY57)</f>
        <v>8.47799682998386</v>
      </c>
      <c r="BB57" s="475" t="n">
        <f aca="false">IF((SUMIF($BM55:$CG55,$AZ57,$BM57:$CG57)+$CH57)&lt;(SUMIF($CO55:$DI55,$AZ57,$CO57:$DI57)+$DJ57),AZ57+1,AZ57)</f>
        <v>2</v>
      </c>
      <c r="BC57" s="476" t="n">
        <f aca="false">SUMIF($AE$53:$AY$53,$BB57,$AE57:$AY57)</f>
        <v>8.47799682998386</v>
      </c>
      <c r="BF57" s="440" t="n">
        <v>3</v>
      </c>
      <c r="BG57" s="442" t="n">
        <f aca="false">$X57</f>
        <v>0.2</v>
      </c>
      <c r="BH57" s="451" t="n">
        <f aca="false">$AC57</f>
        <v>2673.13605860654</v>
      </c>
      <c r="BI57" s="452" t="n">
        <f aca="false">BH57*(1-BG57)</f>
        <v>2138.50884688523</v>
      </c>
      <c r="BJ57" s="460" t="n">
        <f aca="false">Peak_Arrival_Manual_Mor/K43</f>
        <v>3.90574879674177</v>
      </c>
      <c r="BK57" s="549" t="n">
        <f aca="false">900*Peak_Time_Mor*($BJ57/Total_Lanes-1+SQRT(($BJ57/Total_Lanes-1)^2+8*($BJ57/Total_Lanes)/(Peak_Time_Mor*$K43*Total_Lanes)))</f>
        <v>0.264359463862407</v>
      </c>
      <c r="BL57" s="460" t="n">
        <f aca="false">Peak_Arrival_Manual_Mor/N43</f>
        <v>3.9436182242387</v>
      </c>
      <c r="BM57" s="550" t="n">
        <f aca="false">IF(BM$6&lt;Total_Lanes,900*Peak_Time_Mor*($BL57/(Total_Lanes-BM$6)-1+SQRT(($BL57/(Total_Lanes-BM$6)-1)^2+8*($BL57/(Total_Lanes-BM$6))/(Peak_Time_Mor*$N43*(Total_Lanes-BM$6)))),"-")</f>
        <v>0.33724304955729</v>
      </c>
      <c r="BN57" s="483" t="n">
        <f aca="false">IF(BN$6&lt;Total_Lanes,900*Peak_Time_Mor*($BL57/(Total_Lanes-BN$6)-1+SQRT(($BL57/(Total_Lanes-BN$6)-1)^2+8*($BL57/(Total_Lanes-BN$6))/(Peak_Time_Mor*$N43*(Total_Lanes-BN$6)))),"-")</f>
        <v>0.432197105857868</v>
      </c>
      <c r="BO57" s="483" t="n">
        <f aca="false">IF(BO$6&lt;Total_Lanes,900*Peak_Time_Mor*($BL57/(Total_Lanes-BO$6)-1+SQRT(($BL57/(Total_Lanes-BO$6)-1)^2+8*($BL57/(Total_Lanes-BO$6))/(Peak_Time_Mor*$N43*(Total_Lanes-BO$6)))),"-")</f>
        <v>0.575142329505751</v>
      </c>
      <c r="BP57" s="483" t="n">
        <f aca="false">IF(BP$6&lt;Total_Lanes,900*Peak_Time_Mor*($BL57/(Total_Lanes-BP$6)-1+SQRT(($BL57/(Total_Lanes-BP$6)-1)^2+8*($BL57/(Total_Lanes-BP$6))/(Peak_Time_Mor*$N43*(Total_Lanes-BP$6)))),"-")</f>
        <v>0.806418621584482</v>
      </c>
      <c r="BQ57" s="483" t="n">
        <f aca="false">IF(BQ$6&lt;Total_Lanes,900*Peak_Time_Mor*($BL57/(Total_Lanes-BQ$6)-1+SQRT(($BL57/(Total_Lanes-BQ$6)-1)^2+8*($BL57/(Total_Lanes-BQ$6))/(Peak_Time_Mor*$N43*(Total_Lanes-BQ$6)))),"-")</f>
        <v>1.22275044617931</v>
      </c>
      <c r="BR57" s="483" t="n">
        <f aca="false">IF(BR$6&lt;Total_Lanes,900*Peak_Time_Mor*($BL57/(Total_Lanes-BR$6)-1+SQRT(($BL57/(Total_Lanes-BR$6)-1)^2+8*($BL57/(Total_Lanes-BR$6))/(Peak_Time_Mor*$N43*(Total_Lanes-BR$6)))),"-")</f>
        <v>2.11826950433843</v>
      </c>
      <c r="BS57" s="483" t="n">
        <f aca="false">IF(BS$6&lt;Total_Lanes,900*Peak_Time_Mor*($BL57/(Total_Lanes-BS$6)-1+SQRT(($BL57/(Total_Lanes-BS$6)-1)^2+8*($BL57/(Total_Lanes-BS$6))/(Peak_Time_Mor*$N43*(Total_Lanes-BS$6)))),"-")</f>
        <v>4.92478551108266</v>
      </c>
      <c r="BT57" s="483" t="n">
        <f aca="false">IF(BT$6&lt;Total_Lanes,900*Peak_Time_Mor*($BL57/(Total_Lanes-BT$6)-1+SQRT(($BL57/(Total_Lanes-BT$6)-1)^2+8*($BL57/(Total_Lanes-BT$6))/(Peak_Time_Mor*$N43*(Total_Lanes-BT$6)))),"-")</f>
        <v>55.4637418135128</v>
      </c>
      <c r="BU57" s="483" t="n">
        <f aca="false">IF(BU$6&lt;Total_Lanes,900*Peak_Time_Mor*($BL57/(Total_Lanes-BU$6)-1+SQRT(($BL57/(Total_Lanes-BU$6)-1)^2+8*($BL57/(Total_Lanes-BU$6))/(Peak_Time_Mor*$N43*(Total_Lanes-BU$6)))),"-")</f>
        <v>1141.51587917731</v>
      </c>
      <c r="BV57" s="483" t="n">
        <f aca="false">IF(BV$6&lt;Total_Lanes,900*Peak_Time_Mor*($BL57/(Total_Lanes-BV$6)-1+SQRT(($BL57/(Total_Lanes-BV$6)-1)^2+8*($BL57/(Total_Lanes-BV$6))/(Peak_Time_Mor*$N43*(Total_Lanes-BV$6)))),"-")</f>
        <v>3505.234928229</v>
      </c>
      <c r="BW57" s="551" t="n">
        <f aca="false">IF(BW$6&lt;Total_Lanes,900*Peak_Time_Mor*($BL57/(Total_Lanes-BW$6)-1+SQRT(($BL57/(Total_Lanes-BW$6)-1)^2+8*($BL57/(Total_Lanes-BW$6))/(Peak_Time_Mor*$N43*(Total_Lanes-BW$6)))),"-")</f>
        <v>10605.9122076672</v>
      </c>
      <c r="BX57" s="483" t="str">
        <f aca="false">IF(BX$6&lt;Total_Lanes,900*Peak_Time_Mor*($BL57/(Total_Lanes-BX$6)-1+SQRT(($BL57/(Total_Lanes-BX$6)-1)^2+8*($BL57/(Total_Lanes-BX$6))/(Peak_Time_Mor*$N43*(Total_Lanes-BX$6)))),"-")</f>
        <v>-</v>
      </c>
      <c r="BY57" s="483" t="str">
        <f aca="false">IF(BY$6&lt;Total_Lanes,900*Peak_Time_Mor*($BL57/(Total_Lanes-BY$6)-1+SQRT(($BL57/(Total_Lanes-BY$6)-1)^2+8*($BL57/(Total_Lanes-BY$6))/(Peak_Time_Mor*$N43*(Total_Lanes-BY$6)))),"-")</f>
        <v>-</v>
      </c>
      <c r="BZ57" s="483" t="str">
        <f aca="false">IF(BZ$6&lt;Total_Lanes,900*Peak_Time_Mor*($BL57/(Total_Lanes-BZ$6)-1+SQRT(($BL57/(Total_Lanes-BZ$6)-1)^2+8*($BL57/(Total_Lanes-BZ$6))/(Peak_Time_Mor*$N43*(Total_Lanes-BZ$6)))),"-")</f>
        <v>-</v>
      </c>
      <c r="CA57" s="483" t="str">
        <f aca="false">IF(CA$6&lt;Total_Lanes,900*Peak_Time_Mor*($BL57/(Total_Lanes-CA$6)-1+SQRT(($BL57/(Total_Lanes-CA$6)-1)^2+8*($BL57/(Total_Lanes-CA$6))/(Peak_Time_Mor*$N43*(Total_Lanes-CA$6)))),"-")</f>
        <v>-</v>
      </c>
      <c r="CB57" s="483" t="str">
        <f aca="false">IF(CB$6&lt;Total_Lanes,900*Peak_Time_Mor*($BL57/(Total_Lanes-CB$6)-1+SQRT(($BL57/(Total_Lanes-CB$6)-1)^2+8*($BL57/(Total_Lanes-CB$6))/(Peak_Time_Mor*$N43*(Total_Lanes-CB$6)))),"-")</f>
        <v>-</v>
      </c>
      <c r="CC57" s="483" t="str">
        <f aca="false">IF(CC$6&lt;Total_Lanes,900*Peak_Time_Mor*($BL57/(Total_Lanes-CC$6)-1+SQRT(($BL57/(Total_Lanes-CC$6)-1)^2+8*($BL57/(Total_Lanes-CC$6))/(Peak_Time_Mor*$N43*(Total_Lanes-CC$6)))),"-")</f>
        <v>-</v>
      </c>
      <c r="CD57" s="483" t="str">
        <f aca="false">IF(CD$6&lt;Total_Lanes,900*Peak_Time_Mor*($BL57/(Total_Lanes-CD$6)-1+SQRT(($BL57/(Total_Lanes-CD$6)-1)^2+8*($BL57/(Total_Lanes-CD$6))/(Peak_Time_Mor*$N43*(Total_Lanes-CD$6)))),"-")</f>
        <v>-</v>
      </c>
      <c r="CE57" s="483" t="str">
        <f aca="false">IF(CE$6&lt;Total_Lanes,900*Peak_Time_Mor*($BL57/(Total_Lanes-CE$6)-1+SQRT(($BL57/(Total_Lanes-CE$6)-1)^2+8*($BL57/(Total_Lanes-CE$6))/(Peak_Time_Mor*$N43*(Total_Lanes-CE$6)))),"-")</f>
        <v>-</v>
      </c>
      <c r="CF57" s="483" t="str">
        <f aca="false">IF(CF$6&lt;Total_Lanes,900*Peak_Time_Mor*($BL57/(Total_Lanes-CF$6)-1+SQRT(($BL57/(Total_Lanes-CF$6)-1)^2+8*($BL57/(Total_Lanes-CF$6))/(Peak_Time_Mor*$N43*(Total_Lanes-CF$6)))),"-")</f>
        <v>-</v>
      </c>
      <c r="CG57" s="484" t="str">
        <f aca="false">IF(CG$6&lt;Total_Lanes,900*Peak_Time_Mor*($BL57/(Total_Lanes-CG$6)-1+SQRT(($BL57/(Total_Lanes-CG$6)-1)^2+8*($BL57/(Total_Lanes-CG$6))/(Peak_Time_Mor*$N43*(Total_Lanes-CG$6)))),"-")</f>
        <v>-</v>
      </c>
      <c r="CH57" s="555" t="n">
        <f aca="false">3600/N43</f>
        <v>6.63875</v>
      </c>
      <c r="CJ57" s="440" t="n">
        <v>3</v>
      </c>
      <c r="CK57" s="442" t="n">
        <f aca="false">$X57</f>
        <v>0.2</v>
      </c>
      <c r="CL57" s="467" t="n">
        <f aca="false">$AC57</f>
        <v>2673.13605860654</v>
      </c>
      <c r="CM57" s="467" t="n">
        <f aca="false">CL57*CK57</f>
        <v>534.627211721307</v>
      </c>
      <c r="CN57" s="479" t="n">
        <f aca="false">CM57/O43</f>
        <v>0.356418141147538</v>
      </c>
      <c r="CO57" s="483" t="n">
        <f aca="false">IF(CO$53&lt;Total_Lanes,900*Peak_Time_Mor*($CN57/CO$53-1+SQRT(($CN57/CO$53-1)^2+8*($CN57/CO$53)/(Peak_Time_Mor*$O43*CO$53))),"-")</f>
        <v>1.32836774560727</v>
      </c>
      <c r="CP57" s="483" t="n">
        <f aca="false">IF(CP$53&lt;Total_Lanes,900*Peak_Time_Mor*($CN57/CP$53-1+SQRT(($CN57/CP$53-1)^2+8*($CN57/CP$53)/(Peak_Time_Mor*$O43*CP$53))),"-")</f>
        <v>0.260202528390763</v>
      </c>
      <c r="CQ57" s="483" t="n">
        <f aca="false">IF(CQ$53&lt;Total_Lanes,900*Peak_Time_Mor*($CN57/CQ$53-1+SQRT(($CN57/CQ$53-1)^2+8*($CN57/CQ$53)/(Peak_Time_Mor*$O43*CQ$53))),"-")</f>
        <v>0.107855490821085</v>
      </c>
      <c r="CR57" s="483" t="n">
        <f aca="false">IF(CR$53&lt;Total_Lanes,900*Peak_Time_Mor*($CN57/CR$53-1+SQRT(($CN57/CR$53-1)^2+8*($CN57/CR$53)/(Peak_Time_Mor*$O43*CR$53))),"-")</f>
        <v>0.0586914375865666</v>
      </c>
      <c r="CS57" s="483" t="n">
        <f aca="false">IF(CS$53&lt;Total_Lanes,900*Peak_Time_Mor*($CN57/CS$53-1+SQRT(($CN57/CS$53-1)^2+8*($CN57/CS$53)/(Peak_Time_Mor*$O43*CS$53))),"-")</f>
        <v>0.0368419956332522</v>
      </c>
      <c r="CT57" s="483" t="n">
        <f aca="false">IF(CT$53&lt;Total_Lanes,900*Peak_Time_Mor*($CN57/CT$53-1+SQRT(($CN57/CT$53-1)^2+8*($CN57/CT$53)/(Peak_Time_Mor*$O43*CT$53))),"-")</f>
        <v>0.0252616505687753</v>
      </c>
      <c r="CU57" s="483" t="n">
        <f aca="false">IF(CU$53&lt;Total_Lanes,900*Peak_Time_Mor*($CN57/CU$53-1+SQRT(($CN57/CU$53-1)^2+8*($CN57/CU$53)/(Peak_Time_Mor*$O43*CU$53))),"-")</f>
        <v>0.0183936692998765</v>
      </c>
      <c r="CV57" s="483" t="n">
        <f aca="false">IF(CV$53&lt;Total_Lanes,900*Peak_Time_Mor*($CN57/CV$53-1+SQRT(($CN57/CV$53-1)^2+8*($CN57/CV$53)/(Peak_Time_Mor*$O43*CV$53))),"-")</f>
        <v>0.0139888614338224</v>
      </c>
      <c r="CW57" s="483" t="n">
        <f aca="false">IF(CW$53&lt;Total_Lanes,900*Peak_Time_Mor*($CN57/CW$53-1+SQRT(($CN57/CW$53-1)^2+8*($CN57/CW$53)/(Peak_Time_Mor*$O43*CW$53))),"-")</f>
        <v>0.0109959663612491</v>
      </c>
      <c r="CX57" s="483" t="n">
        <f aca="false">IF(CX$53&lt;Total_Lanes,900*Peak_Time_Mor*($CN57/CX$53-1+SQRT(($CN57/CX$53-1)^2+8*($CN57/CX$53)/(Peak_Time_Mor*$O43*CX$53))),"-")</f>
        <v>0.00887016220454395</v>
      </c>
      <c r="CY57" s="483" t="n">
        <f aca="false">IF(CY$53&lt;Total_Lanes,900*Peak_Time_Mor*($CN57/CY$53-1+SQRT(($CN57/CY$53-1)^2+8*($CN57/CY$53)/(Peak_Time_Mor*$O43*CY$53))),"-")</f>
        <v>0.00730616779156534</v>
      </c>
      <c r="CZ57" s="483" t="str">
        <f aca="false">IF(CZ$53&lt;Total_Lanes,900*Peak_Time_Mor*($CN57/CZ$53-1+SQRT(($CN57/CZ$53-1)^2+8*($CN57/CZ$53)/(Peak_Time_Mor*$O43*CZ$53))),"-")</f>
        <v>-</v>
      </c>
      <c r="DA57" s="483" t="str">
        <f aca="false">IF(DA$53&lt;Total_Lanes,900*Peak_Time_Mor*($CN57/DA$53-1+SQRT(($CN57/DA$53-1)^2+8*($CN57/DA$53)/(Peak_Time_Mor*$O43*DA$53))),"-")</f>
        <v>-</v>
      </c>
      <c r="DB57" s="483" t="str">
        <f aca="false">IF(DB$53&lt;Total_Lanes,900*Peak_Time_Mor*($CN57/DB$53-1+SQRT(($CN57/DB$53-1)^2+8*($CN57/DB$53)/(Peak_Time_Mor*$O43*DB$53))),"-")</f>
        <v>-</v>
      </c>
      <c r="DC57" s="483" t="str">
        <f aca="false">IF(DC$53&lt;Total_Lanes,900*Peak_Time_Mor*($CN57/DC$53-1+SQRT(($CN57/DC$53-1)^2+8*($CN57/DC$53)/(Peak_Time_Mor*$O43*DC$53))),"-")</f>
        <v>-</v>
      </c>
      <c r="DD57" s="483" t="str">
        <f aca="false">IF(DD$53&lt;Total_Lanes,900*Peak_Time_Mor*($CN57/DD$53-1+SQRT(($CN57/DD$53-1)^2+8*($CN57/DD$53)/(Peak_Time_Mor*$O43*DD$53))),"-")</f>
        <v>-</v>
      </c>
      <c r="DE57" s="483" t="str">
        <f aca="false">IF(DE$53&lt;Total_Lanes,900*Peak_Time_Mor*($CN57/DE$53-1+SQRT(($CN57/DE$53-1)^2+8*($CN57/DE$53)/(Peak_Time_Mor*$O43*DE$53))),"-")</f>
        <v>-</v>
      </c>
      <c r="DF57" s="483" t="str">
        <f aca="false">IF(DF$53&lt;Total_Lanes,900*Peak_Time_Mor*($CN57/DF$53-1+SQRT(($CN57/DF$53-1)^2+8*($CN57/DF$53)/(Peak_Time_Mor*$O43*DF$53))),"-")</f>
        <v>-</v>
      </c>
      <c r="DG57" s="483" t="str">
        <f aca="false">IF(DG$53&lt;Total_Lanes,900*Peak_Time_Mor*($CN57/DG$53-1+SQRT(($CN57/DG$53-1)^2+8*($CN57/DG$53)/(Peak_Time_Mor*$O43*DG$53))),"-")</f>
        <v>-</v>
      </c>
      <c r="DH57" s="483" t="str">
        <f aca="false">IF(DH$53&lt;Total_Lanes,900*Peak_Time_Mor*($CN57/DH$53-1+SQRT(($CN57/DH$53-1)^2+8*($CN57/DH$53)/(Peak_Time_Mor*$O43*DH$53))),"-")</f>
        <v>-</v>
      </c>
      <c r="DI57" s="484" t="str">
        <f aca="false">IF(DI$53&lt;Total_Lanes,900*Peak_Time_Mor*($CN57/DI$53-1+SQRT(($CN57/DI$53-1)^2+8*($CN57/DI$53)/(Peak_Time_Mor*$O43*DI$53))),"-")</f>
        <v>-</v>
      </c>
      <c r="DJ57" s="555" t="n">
        <f aca="false">3600/$O43</f>
        <v>2.4</v>
      </c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  <c r="HT57" s="18"/>
      <c r="HU57" s="18"/>
      <c r="HV57" s="18"/>
      <c r="HW57" s="18"/>
      <c r="HX57" s="18"/>
      <c r="HY57" s="18"/>
      <c r="HZ57" s="18"/>
      <c r="IA57" s="18"/>
      <c r="IB57" s="18"/>
      <c r="IC57" s="18"/>
      <c r="ID57" s="18"/>
      <c r="IE57" s="18"/>
      <c r="IF57" s="18"/>
      <c r="IG57" s="18"/>
      <c r="IH57" s="18"/>
      <c r="II57" s="18"/>
      <c r="IJ57" s="18"/>
      <c r="IK57" s="18"/>
      <c r="IL57" s="18"/>
      <c r="IM57" s="18"/>
      <c r="IN57" s="18"/>
      <c r="IO57" s="18"/>
      <c r="IP57" s="18"/>
      <c r="IQ57" s="18"/>
      <c r="IR57" s="18"/>
      <c r="IS57" s="18"/>
      <c r="IT57" s="18"/>
      <c r="IU57" s="18"/>
      <c r="IV57" s="18"/>
      <c r="IW57" s="18"/>
    </row>
    <row r="58" customFormat="false" ht="13.2" hidden="false" customHeight="false" outlineLevel="0" collapsed="false">
      <c r="A58" s="18"/>
      <c r="B58" s="18"/>
      <c r="C58" s="18"/>
      <c r="D58" s="18"/>
      <c r="E58" s="18"/>
      <c r="F58" s="18"/>
      <c r="G58" s="18"/>
      <c r="H58" s="537" t="n">
        <v>18</v>
      </c>
      <c r="I58" s="538" t="n">
        <f aca="false">'Input-Detail'!BH31</f>
        <v>0.83</v>
      </c>
      <c r="J58" s="539" t="n">
        <f aca="false">1-I58</f>
        <v>0.17</v>
      </c>
      <c r="K58" s="540" t="n">
        <f aca="false">3600/(Trans_Time_Cash*I58+Trans_Time_Ticket*J58)</f>
        <v>547.528517110266</v>
      </c>
      <c r="L58" s="538" t="n">
        <f aca="false">'Input-Detail'!BJ31</f>
        <v>0.983</v>
      </c>
      <c r="M58" s="539" t="n">
        <f aca="false">1-L58</f>
        <v>0.017</v>
      </c>
      <c r="N58" s="540" t="n">
        <f aca="false">3600/(Trans_Time_Cash*L58+Trans_Time_Ticket*M58)</f>
        <v>517.427236794826</v>
      </c>
      <c r="O58" s="540" t="n">
        <f aca="false">3600/Headway_ETC</f>
        <v>1500</v>
      </c>
      <c r="P58" s="18"/>
      <c r="Q58" s="18"/>
      <c r="R58" s="18"/>
      <c r="S58" s="18"/>
      <c r="T58" s="18"/>
      <c r="U58" s="18"/>
      <c r="V58" s="440" t="n">
        <v>4</v>
      </c>
      <c r="W58" s="441" t="n">
        <f aca="false">W11</f>
        <v>21212938.4</v>
      </c>
      <c r="X58" s="442" t="n">
        <f aca="false">X11</f>
        <v>0.25</v>
      </c>
      <c r="Y58" s="441" t="n">
        <f aca="false">Y11</f>
        <v>9147.2713715846</v>
      </c>
      <c r="Z58" s="449" t="n">
        <f aca="false">W58/Y58</f>
        <v>2319.04548780488</v>
      </c>
      <c r="AA58" s="554" t="n">
        <f aca="false">AA11</f>
        <v>2</v>
      </c>
      <c r="AB58" s="474" t="n">
        <f aca="false">1-AB11</f>
        <v>0.3</v>
      </c>
      <c r="AC58" s="445" t="n">
        <f aca="false">Y58*AB58</f>
        <v>2744.18141147538</v>
      </c>
      <c r="AD58" s="467" t="n">
        <f aca="false">Peak_Time_Mor*$BH58*(CH58+BK58)/3600</f>
        <v>10.5344458718127</v>
      </c>
      <c r="AE58" s="453" t="n">
        <f aca="false">IF(AE$53&lt;Total_Lanes,($BI58*($CH58+BM58)+$CM58*CO58)*Peak_Time_Mor/3600,"-")</f>
        <v>8.75172032944881</v>
      </c>
      <c r="AF58" s="453" t="n">
        <f aca="false">IF(AF$53&lt;Total_Lanes,($BI58*($CH58+BN58)+$CM58*CP58)*Peak_Time_Mor/3600,"-")</f>
        <v>8.21883001535714</v>
      </c>
      <c r="AG58" s="453" t="n">
        <f aca="false">IF(AG$53&lt;Total_Lanes,($BI58*($CH58+BO58)+$CM58*CQ58)*Peak_Time_Mor/3600,"-")</f>
        <v>8.2902353466245</v>
      </c>
      <c r="AH58" s="453" t="n">
        <f aca="false">IF(AH$53&lt;Total_Lanes,($BI58*($CH58+BP58)+$CM58*CR58)*Peak_Time_Mor/3600,"-")</f>
        <v>8.50877777778092</v>
      </c>
      <c r="AI58" s="453" t="n">
        <f aca="false">IF(AI$53&lt;Total_Lanes,($BI58*($CH58+BQ58)+$CM58*CS58)*Peak_Time_Mor/3600,"-")</f>
        <v>8.93010412935612</v>
      </c>
      <c r="AJ58" s="453" t="n">
        <f aca="false">IF(AJ$53&lt;Total_Lanes,($BI58*($CH58+BR58)+$CM58*CT58)*Peak_Time_Mor/3600,"-")</f>
        <v>9.8286121708505</v>
      </c>
      <c r="AK58" s="453" t="n">
        <f aca="false">IF(AK$53&lt;Total_Lanes,($BI58*($CH58+BS58)+$CM58*CU58)*Peak_Time_Mor/3600,"-")</f>
        <v>12.4634704118885</v>
      </c>
      <c r="AL58" s="453" t="n">
        <f aca="false">IF(AL$53&lt;Total_Lanes,($BI58*($CH58+BT58)+$CM58*CV58)*Peak_Time_Mor/3600,"-")</f>
        <v>39.9957746312352</v>
      </c>
      <c r="AM58" s="453" t="n">
        <f aca="false">IF(AM$53&lt;Total_Lanes,($BI58*($CH58+BU58)+$CM58*CW58)*Peak_Time_Mor/3600,"-")</f>
        <v>1127.49641772701</v>
      </c>
      <c r="AN58" s="453" t="n">
        <f aca="false">IF(AN$53&lt;Total_Lanes,($BI58*($CH58+BV58)+$CM58*CX58)*Peak_Time_Mor/3600,"-")</f>
        <v>3735.81010871828</v>
      </c>
      <c r="AO58" s="453" t="n">
        <f aca="false">IF(AO$53&lt;Total_Lanes,($BI58*($CH58+BW58)+$CM58*CY58)*Peak_Time_Mor/3600,"-")</f>
        <v>11574.5837812481</v>
      </c>
      <c r="AP58" s="453" t="str">
        <f aca="false">IF(AP$53&lt;Total_Lanes,($BI58*($CH58+BX58)+$CM58*CZ58)*Peak_Time_Mor/3600,"-")</f>
        <v>-</v>
      </c>
      <c r="AQ58" s="453" t="str">
        <f aca="false">IF(AQ$53&lt;Total_Lanes,($BI58*($CH58+BY58)+$CM58*DA58)*Peak_Time_Mor/3600,"-")</f>
        <v>-</v>
      </c>
      <c r="AR58" s="453" t="str">
        <f aca="false">IF(AR$53&lt;Total_Lanes,($BI58*($CH58+BZ58)+$CM58*DB58)*Peak_Time_Mor/3600,"-")</f>
        <v>-</v>
      </c>
      <c r="AS58" s="453" t="str">
        <f aca="false">IF(AS$53&lt;Total_Lanes,($BI58*($CH58+CA58)+$CM58*DC58)*Peak_Time_Mor/3600,"-")</f>
        <v>-</v>
      </c>
      <c r="AT58" s="453" t="str">
        <f aca="false">IF(AT$53&lt;Total_Lanes,($BI58*($CH58+CB58)+$CM58*DD58)*Peak_Time_Mor/3600,"-")</f>
        <v>-</v>
      </c>
      <c r="AU58" s="453" t="str">
        <f aca="false">IF(AU$53&lt;Total_Lanes,($BI58*($CH58+CC58)+$CM58*DE58)*Peak_Time_Mor/3600,"-")</f>
        <v>-</v>
      </c>
      <c r="AV58" s="453" t="str">
        <f aca="false">IF(AV$53&lt;Total_Lanes,($BI58*($CH58+CD58)+$CM58*DF58)*Peak_Time_Mor/3600,"-")</f>
        <v>-</v>
      </c>
      <c r="AW58" s="453" t="str">
        <f aca="false">IF(AW$53&lt;Total_Lanes,($BI58*($CH58+CE58)+$CM58*DG58)*Peak_Time_Mor/3600,"-")</f>
        <v>-</v>
      </c>
      <c r="AX58" s="453" t="str">
        <f aca="false">IF(AX$53&lt;Total_Lanes,($BI58*($CH58+CF58)+$CM58*DH58)*Peak_Time_Mor/3600,"-")</f>
        <v>-</v>
      </c>
      <c r="AY58" s="454" t="str">
        <f aca="false">IF(AY$53&lt;Total_Lanes,($BI58*($CH58+CG58)+$CM58*DI58)*Peak_Time_Mor/3600,"-")</f>
        <v>-</v>
      </c>
      <c r="AZ58" s="475" t="n">
        <f aca="false">SUMIF(AE58:AY58,BA58,$AE$53:$AY$53)</f>
        <v>2</v>
      </c>
      <c r="BA58" s="476" t="n">
        <f aca="false">MIN(AE58:AY58)</f>
        <v>8.21883001535714</v>
      </c>
      <c r="BB58" s="475" t="n">
        <f aca="false">IF((SUMIF($BM56:$CG56,$AZ58,$BM58:$CG58)+$CH58)&lt;(SUMIF($CO56:$DI56,$AZ58,$CO58:$DI58)+$DJ58),AZ58+1,AZ58)</f>
        <v>2</v>
      </c>
      <c r="BC58" s="476" t="n">
        <f aca="false">SUMIF($AE$53:$AY$53,$BB58,$AE58:$AY58)</f>
        <v>8.21883001535714</v>
      </c>
      <c r="BF58" s="440" t="n">
        <v>4</v>
      </c>
      <c r="BG58" s="442" t="n">
        <f aca="false">$X58</f>
        <v>0.25</v>
      </c>
      <c r="BH58" s="451" t="n">
        <f aca="false">$AC58</f>
        <v>2744.18141147538</v>
      </c>
      <c r="BI58" s="452" t="n">
        <f aca="false">BH58*(1-BG58)</f>
        <v>2058.13605860653</v>
      </c>
      <c r="BJ58" s="460" t="n">
        <f aca="false">Peak_Arrival_Manual_Mor/K44</f>
        <v>3.75895682926055</v>
      </c>
      <c r="BK58" s="549" t="n">
        <f aca="false">900*Peak_Time_Mor*($BJ58/Total_Lanes-1+SQRT(($BJ58/Total_Lanes-1)^2+8*($BJ58/Total_Lanes)/(Peak_Time_Mor*$K44*Total_Lanes)))</f>
        <v>0.249893963266845</v>
      </c>
      <c r="BL58" s="460" t="n">
        <f aca="false">Peak_Arrival_Manual_Mor/N44</f>
        <v>3.80755170842209</v>
      </c>
      <c r="BM58" s="550" t="n">
        <f aca="false">IF(BM$6&lt;Total_Lanes,900*Peak_Time_Mor*($BL58/(Total_Lanes-BM$6)-1+SQRT(($BL58/(Total_Lanes-BM$6)-1)^2+8*($BL58/(Total_Lanes-BM$6))/(Peak_Time_Mor*$N44*(Total_Lanes-BM$6)))),"-")</f>
        <v>0.320473026829204</v>
      </c>
      <c r="BN58" s="483" t="n">
        <f aca="false">IF(BN$6&lt;Total_Lanes,900*Peak_Time_Mor*($BL58/(Total_Lanes-BN$6)-1+SQRT(($BL58/(Total_Lanes-BN$6)-1)^2+8*($BL58/(Total_Lanes-BN$6))/(Peak_Time_Mor*$N44*(Total_Lanes-BN$6)))),"-")</f>
        <v>0.409428335159423</v>
      </c>
      <c r="BO58" s="483" t="n">
        <f aca="false">IF(BO$6&lt;Total_Lanes,900*Peak_Time_Mor*($BL58/(Total_Lanes-BO$6)-1+SQRT(($BL58/(Total_Lanes-BO$6)-1)^2+8*($BL58/(Total_Lanes-BO$6))/(Peak_Time_Mor*$N44*(Total_Lanes-BO$6)))),"-")</f>
        <v>0.542490240999949</v>
      </c>
      <c r="BP58" s="483" t="n">
        <f aca="false">IF(BP$6&lt;Total_Lanes,900*Peak_Time_Mor*($BL58/(Total_Lanes-BP$6)-1+SQRT(($BL58/(Total_Lanes-BP$6)-1)^2+8*($BL58/(Total_Lanes-BP$6))/(Peak_Time_Mor*$N44*(Total_Lanes-BP$6)))),"-")</f>
        <v>0.755767817968756</v>
      </c>
      <c r="BQ58" s="483" t="n">
        <f aca="false">IF(BQ$6&lt;Total_Lanes,900*Peak_Time_Mor*($BL58/(Total_Lanes-BQ$6)-1+SQRT(($BL58/(Total_Lanes-BQ$6)-1)^2+8*($BL58/(Total_Lanes-BQ$6))/(Peak_Time_Mor*$N44*(Total_Lanes-BQ$6)))),"-")</f>
        <v>1.13396141522186</v>
      </c>
      <c r="BR58" s="483" t="n">
        <f aca="false">IF(BR$6&lt;Total_Lanes,900*Peak_Time_Mor*($BL58/(Total_Lanes-BR$6)-1+SQRT(($BL58/(Total_Lanes-BR$6)-1)^2+8*($BL58/(Total_Lanes-BR$6))/(Peak_Time_Mor*$N44*(Total_Lanes-BR$6)))),"-")</f>
        <v>1.92488330041483</v>
      </c>
      <c r="BS58" s="483" t="n">
        <f aca="false">IF(BS$6&lt;Total_Lanes,900*Peak_Time_Mor*($BL58/(Total_Lanes-BS$6)-1+SQRT(($BL58/(Total_Lanes-BS$6)-1)^2+8*($BL58/(Total_Lanes-BS$6))/(Peak_Time_Mor*$N44*(Total_Lanes-BS$6)))),"-")</f>
        <v>4.23228479396836</v>
      </c>
      <c r="BT58" s="483" t="n">
        <f aca="false">IF(BT$6&lt;Total_Lanes,900*Peak_Time_Mor*($BL58/(Total_Lanes-BT$6)-1+SQRT(($BL58/(Total_Lanes-BT$6)-1)^2+8*($BL58/(Total_Lanes-BT$6))/(Peak_Time_Mor*$N44*(Total_Lanes-BT$6)))),"-")</f>
        <v>28.3133508446902</v>
      </c>
      <c r="BU58" s="483" t="n">
        <f aca="false">IF(BU$6&lt;Total_Lanes,900*Peak_Time_Mor*($BL58/(Total_Lanes-BU$6)-1+SQRT(($BL58/(Total_Lanes-BU$6)-1)^2+8*($BL58/(Total_Lanes-BU$6))/(Peak_Time_Mor*$N44*(Total_Lanes-BU$6)))),"-")</f>
        <v>979.418519328864</v>
      </c>
      <c r="BV58" s="483" t="n">
        <f aca="false">IF(BV$6&lt;Total_Lanes,900*Peak_Time_Mor*($BL58/(Total_Lanes-BV$6)-1+SQRT(($BL58/(Total_Lanes-BV$6)-1)^2+8*($BL58/(Total_Lanes-BV$6))/(Peak_Time_Mor*$N44*(Total_Lanes-BV$6)))),"-")</f>
        <v>3260.59255900427</v>
      </c>
      <c r="BW58" s="551" t="n">
        <f aca="false">IF(BW$6&lt;Total_Lanes,900*Peak_Time_Mor*($BL58/(Total_Lanes-BW$6)-1+SQRT(($BL58/(Total_Lanes-BW$6)-1)^2+8*($BL58/(Total_Lanes-BW$6))/(Peak_Time_Mor*$N44*(Total_Lanes-BW$6)))),"-")</f>
        <v>10116.2102667973</v>
      </c>
      <c r="BX58" s="483" t="str">
        <f aca="false">IF(BX$6&lt;Total_Lanes,900*Peak_Time_Mor*($BL58/(Total_Lanes-BX$6)-1+SQRT(($BL58/(Total_Lanes-BX$6)-1)^2+8*($BL58/(Total_Lanes-BX$6))/(Peak_Time_Mor*$N44*(Total_Lanes-BX$6)))),"-")</f>
        <v>-</v>
      </c>
      <c r="BY58" s="483" t="str">
        <f aca="false">IF(BY$6&lt;Total_Lanes,900*Peak_Time_Mor*($BL58/(Total_Lanes-BY$6)-1+SQRT(($BL58/(Total_Lanes-BY$6)-1)^2+8*($BL58/(Total_Lanes-BY$6))/(Peak_Time_Mor*$N44*(Total_Lanes-BY$6)))),"-")</f>
        <v>-</v>
      </c>
      <c r="BZ58" s="483" t="str">
        <f aca="false">IF(BZ$6&lt;Total_Lanes,900*Peak_Time_Mor*($BL58/(Total_Lanes-BZ$6)-1+SQRT(($BL58/(Total_Lanes-BZ$6)-1)^2+8*($BL58/(Total_Lanes-BZ$6))/(Peak_Time_Mor*$N44*(Total_Lanes-BZ$6)))),"-")</f>
        <v>-</v>
      </c>
      <c r="CA58" s="483" t="str">
        <f aca="false">IF(CA$6&lt;Total_Lanes,900*Peak_Time_Mor*($BL58/(Total_Lanes-CA$6)-1+SQRT(($BL58/(Total_Lanes-CA$6)-1)^2+8*($BL58/(Total_Lanes-CA$6))/(Peak_Time_Mor*$N44*(Total_Lanes-CA$6)))),"-")</f>
        <v>-</v>
      </c>
      <c r="CB58" s="483" t="str">
        <f aca="false">IF(CB$6&lt;Total_Lanes,900*Peak_Time_Mor*($BL58/(Total_Lanes-CB$6)-1+SQRT(($BL58/(Total_Lanes-CB$6)-1)^2+8*($BL58/(Total_Lanes-CB$6))/(Peak_Time_Mor*$N44*(Total_Lanes-CB$6)))),"-")</f>
        <v>-</v>
      </c>
      <c r="CC58" s="483" t="str">
        <f aca="false">IF(CC$6&lt;Total_Lanes,900*Peak_Time_Mor*($BL58/(Total_Lanes-CC$6)-1+SQRT(($BL58/(Total_Lanes-CC$6)-1)^2+8*($BL58/(Total_Lanes-CC$6))/(Peak_Time_Mor*$N44*(Total_Lanes-CC$6)))),"-")</f>
        <v>-</v>
      </c>
      <c r="CD58" s="483" t="str">
        <f aca="false">IF(CD$6&lt;Total_Lanes,900*Peak_Time_Mor*($BL58/(Total_Lanes-CD$6)-1+SQRT(($BL58/(Total_Lanes-CD$6)-1)^2+8*($BL58/(Total_Lanes-CD$6))/(Peak_Time_Mor*$N44*(Total_Lanes-CD$6)))),"-")</f>
        <v>-</v>
      </c>
      <c r="CE58" s="483" t="str">
        <f aca="false">IF(CE$6&lt;Total_Lanes,900*Peak_Time_Mor*($BL58/(Total_Lanes-CE$6)-1+SQRT(($BL58/(Total_Lanes-CE$6)-1)^2+8*($BL58/(Total_Lanes-CE$6))/(Peak_Time_Mor*$N44*(Total_Lanes-CE$6)))),"-")</f>
        <v>-</v>
      </c>
      <c r="CF58" s="483" t="str">
        <f aca="false">IF(CF$6&lt;Total_Lanes,900*Peak_Time_Mor*($BL58/(Total_Lanes-CF$6)-1+SQRT(($BL58/(Total_Lanes-CF$6)-1)^2+8*($BL58/(Total_Lanes-CF$6))/(Peak_Time_Mor*$N44*(Total_Lanes-CF$6)))),"-")</f>
        <v>-</v>
      </c>
      <c r="CG58" s="484" t="str">
        <f aca="false">IF(CG$6&lt;Total_Lanes,900*Peak_Time_Mor*($BL58/(Total_Lanes-CG$6)-1+SQRT(($BL58/(Total_Lanes-CG$6)-1)^2+8*($BL58/(Total_Lanes-CG$6))/(Peak_Time_Mor*$N44*(Total_Lanes-CG$6)))),"-")</f>
        <v>-</v>
      </c>
      <c r="CH58" s="555" t="n">
        <f aca="false">3600/N44</f>
        <v>6.66</v>
      </c>
      <c r="CJ58" s="440" t="n">
        <v>4</v>
      </c>
      <c r="CK58" s="442" t="n">
        <f aca="false">$X58</f>
        <v>0.25</v>
      </c>
      <c r="CL58" s="467" t="n">
        <f aca="false">$AC58</f>
        <v>2744.18141147538</v>
      </c>
      <c r="CM58" s="467" t="n">
        <f aca="false">CL58*CK58</f>
        <v>686.045352868845</v>
      </c>
      <c r="CN58" s="479" t="n">
        <f aca="false">CM58/O44</f>
        <v>0.45736356857923</v>
      </c>
      <c r="CO58" s="483" t="n">
        <f aca="false">IF(CO$53&lt;Total_Lanes,900*Peak_Time_Mor*($CN58/CO$53-1+SQRT(($CN58/CO$53-1)^2+8*($CN58/CO$53)/(Peak_Time_Mor*$O44*CO$53))),"-")</f>
        <v>2.02076050010853</v>
      </c>
      <c r="CP58" s="483" t="n">
        <f aca="false">IF(CP$53&lt;Total_Lanes,900*Peak_Time_Mor*($CN58/CP$53-1+SQRT(($CN58/CP$53-1)^2+8*($CN58/CP$53)/(Peak_Time_Mor*$O44*CP$53))),"-")</f>
        <v>0.355732542019172</v>
      </c>
      <c r="CQ58" s="483" t="n">
        <f aca="false">IF(CQ$53&lt;Total_Lanes,900*Peak_Time_Mor*($CN58/CQ$53-1+SQRT(($CN58/CQ$53-1)^2+8*($CN58/CQ$53)/(Peak_Time_Mor*$O44*CQ$53))),"-")</f>
        <v>0.14389536602446</v>
      </c>
      <c r="CR58" s="483" t="n">
        <f aca="false">IF(CR$53&lt;Total_Lanes,900*Peak_Time_Mor*($CN58/CR$53-1+SQRT(($CN58/CR$53-1)^2+8*($CN58/CR$53)/(Peak_Time_Mor*$O44*CR$53))),"-")</f>
        <v>0.0774596772181946</v>
      </c>
      <c r="CS58" s="483" t="n">
        <f aca="false">IF(CS$53&lt;Total_Lanes,900*Peak_Time_Mor*($CN58/CS$53-1+SQRT(($CN58/CS$53-1)^2+8*($CN58/CS$53)/(Peak_Time_Mor*$O44*CS$53))),"-")</f>
        <v>0.048326841142865</v>
      </c>
      <c r="CT58" s="483" t="n">
        <f aca="false">IF(CT$53&lt;Total_Lanes,900*Peak_Time_Mor*($CN58/CT$53-1+SQRT(($CN58/CT$53-1)^2+8*($CN58/CT$53)/(Peak_Time_Mor*$O44*CT$53))),"-")</f>
        <v>0.0330066050639122</v>
      </c>
      <c r="CU58" s="483" t="n">
        <f aca="false">IF(CU$53&lt;Total_Lanes,900*Peak_Time_Mor*($CN58/CU$53-1+SQRT(($CN58/CU$53-1)^2+8*($CN58/CU$53)/(Peak_Time_Mor*$O44*CU$53))),"-")</f>
        <v>0.0239672876621189</v>
      </c>
      <c r="CV58" s="483" t="n">
        <f aca="false">IF(CV$53&lt;Total_Lanes,900*Peak_Time_Mor*($CN58/CV$53-1+SQRT(($CN58/CV$53-1)^2+8*($CN58/CV$53)/(Peak_Time_Mor*$O44*CV$53))),"-")</f>
        <v>0.0181910312737177</v>
      </c>
      <c r="CW58" s="483" t="n">
        <f aca="false">IF(CW$53&lt;Total_Lanes,900*Peak_Time_Mor*($CN58/CW$53-1+SQRT(($CN58/CW$53-1)^2+8*($CN58/CW$53)/(Peak_Time_Mor*$O44*CW$53))),"-")</f>
        <v>0.0142769869332815</v>
      </c>
      <c r="CX58" s="483" t="n">
        <f aca="false">IF(CX$53&lt;Total_Lanes,900*Peak_Time_Mor*($CN58/CX$53-1+SQRT(($CN58/CX$53-1)^2+8*($CN58/CX$53)/(Peak_Time_Mor*$O44*CX$53))),"-")</f>
        <v>0.0115027843414328</v>
      </c>
      <c r="CY58" s="483" t="n">
        <f aca="false">IF(CY$53&lt;Total_Lanes,900*Peak_Time_Mor*($CN58/CY$53-1+SQRT(($CN58/CY$53-1)^2+8*($CN58/CY$53)/(Peak_Time_Mor*$O44*CY$53))),"-")</f>
        <v>0.00946519799538415</v>
      </c>
      <c r="CZ58" s="483" t="str">
        <f aca="false">IF(CZ$53&lt;Total_Lanes,900*Peak_Time_Mor*($CN58/CZ$53-1+SQRT(($CN58/CZ$53-1)^2+8*($CN58/CZ$53)/(Peak_Time_Mor*$O44*CZ$53))),"-")</f>
        <v>-</v>
      </c>
      <c r="DA58" s="483" t="str">
        <f aca="false">IF(DA$53&lt;Total_Lanes,900*Peak_Time_Mor*($CN58/DA$53-1+SQRT(($CN58/DA$53-1)^2+8*($CN58/DA$53)/(Peak_Time_Mor*$O44*DA$53))),"-")</f>
        <v>-</v>
      </c>
      <c r="DB58" s="483" t="str">
        <f aca="false">IF(DB$53&lt;Total_Lanes,900*Peak_Time_Mor*($CN58/DB$53-1+SQRT(($CN58/DB$53-1)^2+8*($CN58/DB$53)/(Peak_Time_Mor*$O44*DB$53))),"-")</f>
        <v>-</v>
      </c>
      <c r="DC58" s="483" t="str">
        <f aca="false">IF(DC$53&lt;Total_Lanes,900*Peak_Time_Mor*($CN58/DC$53-1+SQRT(($CN58/DC$53-1)^2+8*($CN58/DC$53)/(Peak_Time_Mor*$O44*DC$53))),"-")</f>
        <v>-</v>
      </c>
      <c r="DD58" s="483" t="str">
        <f aca="false">IF(DD$53&lt;Total_Lanes,900*Peak_Time_Mor*($CN58/DD$53-1+SQRT(($CN58/DD$53-1)^2+8*($CN58/DD$53)/(Peak_Time_Mor*$O44*DD$53))),"-")</f>
        <v>-</v>
      </c>
      <c r="DE58" s="483" t="str">
        <f aca="false">IF(DE$53&lt;Total_Lanes,900*Peak_Time_Mor*($CN58/DE$53-1+SQRT(($CN58/DE$53-1)^2+8*($CN58/DE$53)/(Peak_Time_Mor*$O44*DE$53))),"-")</f>
        <v>-</v>
      </c>
      <c r="DF58" s="483" t="str">
        <f aca="false">IF(DF$53&lt;Total_Lanes,900*Peak_Time_Mor*($CN58/DF$53-1+SQRT(($CN58/DF$53-1)^2+8*($CN58/DF$53)/(Peak_Time_Mor*$O44*DF$53))),"-")</f>
        <v>-</v>
      </c>
      <c r="DG58" s="483" t="str">
        <f aca="false">IF(DG$53&lt;Total_Lanes,900*Peak_Time_Mor*($CN58/DG$53-1+SQRT(($CN58/DG$53-1)^2+8*($CN58/DG$53)/(Peak_Time_Mor*$O44*DG$53))),"-")</f>
        <v>-</v>
      </c>
      <c r="DH58" s="483" t="str">
        <f aca="false">IF(DH$53&lt;Total_Lanes,900*Peak_Time_Mor*($CN58/DH$53-1+SQRT(($CN58/DH$53-1)^2+8*($CN58/DH$53)/(Peak_Time_Mor*$O44*DH$53))),"-")</f>
        <v>-</v>
      </c>
      <c r="DI58" s="484" t="str">
        <f aca="false">IF(DI$53&lt;Total_Lanes,900*Peak_Time_Mor*($CN58/DI$53-1+SQRT(($CN58/DI$53-1)^2+8*($CN58/DI$53)/(Peak_Time_Mor*$O44*DI$53))),"-")</f>
        <v>-</v>
      </c>
      <c r="DJ58" s="555" t="n">
        <f aca="false">3600/$O44</f>
        <v>2.4</v>
      </c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  <c r="HT58" s="18"/>
      <c r="HU58" s="18"/>
      <c r="HV58" s="18"/>
      <c r="HW58" s="18"/>
      <c r="HX58" s="18"/>
      <c r="HY58" s="18"/>
      <c r="HZ58" s="18"/>
      <c r="IA58" s="18"/>
      <c r="IB58" s="18"/>
      <c r="IC58" s="18"/>
      <c r="ID58" s="18"/>
      <c r="IE58" s="18"/>
      <c r="IF58" s="18"/>
      <c r="IG58" s="18"/>
      <c r="IH58" s="18"/>
      <c r="II58" s="18"/>
      <c r="IJ58" s="18"/>
      <c r="IK58" s="18"/>
      <c r="IL58" s="18"/>
      <c r="IM58" s="18"/>
      <c r="IN58" s="18"/>
      <c r="IO58" s="18"/>
      <c r="IP58" s="18"/>
      <c r="IQ58" s="18"/>
      <c r="IR58" s="18"/>
      <c r="IS58" s="18"/>
      <c r="IT58" s="18"/>
      <c r="IU58" s="18"/>
      <c r="IV58" s="18"/>
      <c r="IW58" s="18"/>
    </row>
    <row r="59" customFormat="false" ht="13.2" hidden="false" customHeight="false" outlineLevel="0" collapsed="false">
      <c r="A59" s="18"/>
      <c r="B59" s="18"/>
      <c r="C59" s="18"/>
      <c r="D59" s="18"/>
      <c r="E59" s="18"/>
      <c r="F59" s="18"/>
      <c r="G59" s="18"/>
      <c r="H59" s="537" t="n">
        <v>19</v>
      </c>
      <c r="I59" s="538" t="n">
        <f aca="false">'Input-Detail'!BH32</f>
        <v>0.83</v>
      </c>
      <c r="J59" s="539" t="n">
        <f aca="false">1-I59</f>
        <v>0.17</v>
      </c>
      <c r="K59" s="540" t="n">
        <f aca="false">3600/(Trans_Time_Cash*I59+Trans_Time_Ticket*J59)</f>
        <v>547.528517110266</v>
      </c>
      <c r="L59" s="538" t="n">
        <f aca="false">'Input-Detail'!BJ32</f>
        <v>0.9915</v>
      </c>
      <c r="M59" s="539" t="n">
        <f aca="false">1-L59</f>
        <v>0.00849999999999995</v>
      </c>
      <c r="N59" s="540" t="n">
        <f aca="false">3600/(Trans_Time_Cash*L59+Trans_Time_Ticket*M59)</f>
        <v>515.851692638366</v>
      </c>
      <c r="O59" s="540" t="n">
        <f aca="false">3600/Headway_ETC</f>
        <v>1500</v>
      </c>
      <c r="P59" s="18"/>
      <c r="Q59" s="18"/>
      <c r="R59" s="18"/>
      <c r="S59" s="18"/>
      <c r="T59" s="18"/>
      <c r="U59" s="18"/>
      <c r="V59" s="440" t="n">
        <v>5</v>
      </c>
      <c r="W59" s="441" t="n">
        <f aca="false">W12</f>
        <v>21762129.75</v>
      </c>
      <c r="X59" s="442" t="n">
        <f aca="false">X12</f>
        <v>0.3</v>
      </c>
      <c r="Y59" s="441" t="n">
        <f aca="false">Y12</f>
        <v>9384.08921448075</v>
      </c>
      <c r="Z59" s="449" t="n">
        <f aca="false">W59/Y59</f>
        <v>2319.04548780488</v>
      </c>
      <c r="AA59" s="554" t="n">
        <f aca="false">AA12</f>
        <v>2</v>
      </c>
      <c r="AB59" s="474" t="n">
        <f aca="false">1-AB12</f>
        <v>0.3</v>
      </c>
      <c r="AC59" s="445" t="n">
        <f aca="false">Y59*AB59</f>
        <v>2815.22676434422</v>
      </c>
      <c r="AD59" s="467" t="n">
        <f aca="false">Peak_Time_Mor*$BH59*(CH59+BK59)/3600</f>
        <v>10.8166862069217</v>
      </c>
      <c r="AE59" s="453" t="n">
        <f aca="false">IF(AE$53&lt;Total_Lanes,($BI59*($CH59+BM59)+$CM59*CO59)*Peak_Time_Mor/3600,"-")</f>
        <v>9.09408312396764</v>
      </c>
      <c r="AF59" s="453" t="n">
        <f aca="false">IF(AF$53&lt;Total_Lanes,($BI59*($CH59+BN59)+$CM59*CP59)*Peak_Time_Mor/3600,"-")</f>
        <v>7.95699663974275</v>
      </c>
      <c r="AG59" s="453" t="n">
        <f aca="false">IF(AG$53&lt;Total_Lanes,($BI59*($CH59+BO59)+$CM59*CQ59)*Peak_Time_Mor/3600,"-")</f>
        <v>7.95766061646826</v>
      </c>
      <c r="AH59" s="453" t="n">
        <f aca="false">IF(AH$53&lt;Total_Lanes,($BI59*($CH59+BP59)+$CM59*CR59)*Peak_Time_Mor/3600,"-")</f>
        <v>8.13059231379249</v>
      </c>
      <c r="AI59" s="453" t="n">
        <f aca="false">IF(AI$53&lt;Total_Lanes,($BI59*($CH59+BQ59)+$CM59*CS59)*Peak_Time_Mor/3600,"-")</f>
        <v>8.48592530304054</v>
      </c>
      <c r="AJ59" s="453" t="n">
        <f aca="false">IF(AJ$53&lt;Total_Lanes,($BI59*($CH59+BR59)+$CM59*CT59)*Peak_Time_Mor/3600,"-")</f>
        <v>9.23507903703299</v>
      </c>
      <c r="AK59" s="453" t="n">
        <f aca="false">IF(AK$53&lt;Total_Lanes,($BI59*($CH59+BS59)+$CM59*CU59)*Peak_Time_Mor/3600,"-")</f>
        <v>11.2989032226635</v>
      </c>
      <c r="AL59" s="453" t="n">
        <f aca="false">IF(AL$53&lt;Total_Lanes,($BI59*($CH59+BT59)+$CM59*CV59)*Peak_Time_Mor/3600,"-")</f>
        <v>25.8299783436704</v>
      </c>
      <c r="AM59" s="453" t="n">
        <f aca="false">IF(AM$53&lt;Total_Lanes,($BI59*($CH59+BU59)+$CM59*CW59)*Peak_Time_Mor/3600,"-")</f>
        <v>884.291864900368</v>
      </c>
      <c r="AN59" s="453" t="n">
        <f aca="false">IF(AN$53&lt;Total_Lanes,($BI59*($CH59+BV59)+$CM59*CX59)*Peak_Time_Mor/3600,"-")</f>
        <v>3281.44568105828</v>
      </c>
      <c r="AO59" s="453" t="n">
        <f aca="false">IF(AO$53&lt;Total_Lanes,($BI59*($CH59+BW59)+$CM59*CY59)*Peak_Time_Mor/3600,"-")</f>
        <v>10490.8418984694</v>
      </c>
      <c r="AP59" s="453" t="str">
        <f aca="false">IF(AP$53&lt;Total_Lanes,($BI59*($CH59+BX59)+$CM59*CZ59)*Peak_Time_Mor/3600,"-")</f>
        <v>-</v>
      </c>
      <c r="AQ59" s="453" t="str">
        <f aca="false">IF(AQ$53&lt;Total_Lanes,($BI59*($CH59+BY59)+$CM59*DA59)*Peak_Time_Mor/3600,"-")</f>
        <v>-</v>
      </c>
      <c r="AR59" s="453" t="str">
        <f aca="false">IF(AR$53&lt;Total_Lanes,($BI59*($CH59+BZ59)+$CM59*DB59)*Peak_Time_Mor/3600,"-")</f>
        <v>-</v>
      </c>
      <c r="AS59" s="453" t="str">
        <f aca="false">IF(AS$53&lt;Total_Lanes,($BI59*($CH59+CA59)+$CM59*DC59)*Peak_Time_Mor/3600,"-")</f>
        <v>-</v>
      </c>
      <c r="AT59" s="453" t="str">
        <f aca="false">IF(AT$53&lt;Total_Lanes,($BI59*($CH59+CB59)+$CM59*DD59)*Peak_Time_Mor/3600,"-")</f>
        <v>-</v>
      </c>
      <c r="AU59" s="453" t="str">
        <f aca="false">IF(AU$53&lt;Total_Lanes,($BI59*($CH59+CC59)+$CM59*DE59)*Peak_Time_Mor/3600,"-")</f>
        <v>-</v>
      </c>
      <c r="AV59" s="453" t="str">
        <f aca="false">IF(AV$53&lt;Total_Lanes,($BI59*($CH59+CD59)+$CM59*DF59)*Peak_Time_Mor/3600,"-")</f>
        <v>-</v>
      </c>
      <c r="AW59" s="453" t="str">
        <f aca="false">IF(AW$53&lt;Total_Lanes,($BI59*($CH59+CE59)+$CM59*DG59)*Peak_Time_Mor/3600,"-")</f>
        <v>-</v>
      </c>
      <c r="AX59" s="453" t="str">
        <f aca="false">IF(AX$53&lt;Total_Lanes,($BI59*($CH59+CF59)+$CM59*DH59)*Peak_Time_Mor/3600,"-")</f>
        <v>-</v>
      </c>
      <c r="AY59" s="454" t="str">
        <f aca="false">IF(AY$53&lt;Total_Lanes,($BI59*($CH59+CG59)+$CM59*DI59)*Peak_Time_Mor/3600,"-")</f>
        <v>-</v>
      </c>
      <c r="AZ59" s="475" t="n">
        <f aca="false">SUMIF(AE59:AY59,BA59,$AE$53:$AY$53)</f>
        <v>2</v>
      </c>
      <c r="BA59" s="476" t="n">
        <f aca="false">MIN(AE59:AY59)</f>
        <v>7.95699663974275</v>
      </c>
      <c r="BB59" s="475" t="n">
        <f aca="false">IF((SUMIF($BM57:$CG57,$AZ59,$BM59:$CG59)+$CH59)&lt;(SUMIF($CO57:$DI57,$AZ59,$CO59:$DI59)+$DJ59),AZ59+1,AZ59)</f>
        <v>2</v>
      </c>
      <c r="BC59" s="476" t="n">
        <f aca="false">SUMIF($AE$53:$AY$53,$BB59,$AE59:$AY59)</f>
        <v>7.95699663974275</v>
      </c>
      <c r="BF59" s="440" t="n">
        <v>5</v>
      </c>
      <c r="BG59" s="442" t="n">
        <f aca="false">$X59</f>
        <v>0.3</v>
      </c>
      <c r="BH59" s="451" t="n">
        <f aca="false">$AC59</f>
        <v>2815.22676434422</v>
      </c>
      <c r="BI59" s="452" t="n">
        <f aca="false">BH59*(1-BG59)</f>
        <v>1970.65873504096</v>
      </c>
      <c r="BJ59" s="460" t="n">
        <f aca="false">Peak_Arrival_Manual_Mor/K45</f>
        <v>3.59918921747064</v>
      </c>
      <c r="BK59" s="549" t="n">
        <f aca="false">900*Peak_Time_Mor*($BJ59/Total_Lanes-1+SQRT(($BJ59/Total_Lanes-1)^2+8*($BJ59/Total_Lanes)/(Peak_Time_Mor*$K45*Total_Lanes)))</f>
        <v>0.23472402349729</v>
      </c>
      <c r="BL59" s="460" t="n">
        <f aca="false">Peak_Arrival_Manual_Mor/N45</f>
        <v>3.65735102041455</v>
      </c>
      <c r="BM59" s="550" t="n">
        <f aca="false">IF(BM$6&lt;Total_Lanes,900*Peak_Time_Mor*($BL59/(Total_Lanes-BM$6)-1+SQRT(($BL59/(Total_Lanes-BM$6)-1)^2+8*($BL59/(Total_Lanes-BM$6))/(Peak_Time_Mor*$N45*(Total_Lanes-BM$6)))),"-")</f>
        <v>0.302499212754315</v>
      </c>
      <c r="BN59" s="483" t="n">
        <f aca="false">IF(BN$6&lt;Total_Lanes,900*Peak_Time_Mor*($BL59/(Total_Lanes-BN$6)-1+SQRT(($BL59/(Total_Lanes-BN$6)-1)^2+8*($BL59/(Total_Lanes-BN$6))/(Peak_Time_Mor*$N45*(Total_Lanes-BN$6)))),"-")</f>
        <v>0.385194814575796</v>
      </c>
      <c r="BO59" s="483" t="n">
        <f aca="false">IF(BO$6&lt;Total_Lanes,900*Peak_Time_Mor*($BL59/(Total_Lanes-BO$6)-1+SQRT(($BL59/(Total_Lanes-BO$6)-1)^2+8*($BL59/(Total_Lanes-BO$6))/(Peak_Time_Mor*$N45*(Total_Lanes-BO$6)))),"-")</f>
        <v>0.508068159535347</v>
      </c>
      <c r="BP59" s="483" t="n">
        <f aca="false">IF(BP$6&lt;Total_Lanes,900*Peak_Time_Mor*($BL59/(Total_Lanes-BP$6)-1+SQRT(($BL59/(Total_Lanes-BP$6)-1)^2+8*($BL59/(Total_Lanes-BP$6))/(Peak_Time_Mor*$N45*(Total_Lanes-BP$6)))),"-")</f>
        <v>0.703110242343263</v>
      </c>
      <c r="BQ59" s="483" t="n">
        <f aca="false">IF(BQ$6&lt;Total_Lanes,900*Peak_Time_Mor*($BL59/(Total_Lanes-BQ$6)-1+SQRT(($BL59/(Total_Lanes-BQ$6)-1)^2+8*($BL59/(Total_Lanes-BQ$6))/(Peak_Time_Mor*$N45*(Total_Lanes-BQ$6)))),"-")</f>
        <v>1.04369106200366</v>
      </c>
      <c r="BR59" s="483" t="n">
        <f aca="false">IF(BR$6&lt;Total_Lanes,900*Peak_Time_Mor*($BL59/(Total_Lanes-BR$6)-1+SQRT(($BL59/(Total_Lanes-BR$6)-1)^2+8*($BL59/(Total_Lanes-BR$6))/(Peak_Time_Mor*$N45*(Total_Lanes-BR$6)))),"-")</f>
        <v>1.73631991315625</v>
      </c>
      <c r="BS59" s="483" t="n">
        <f aca="false">IF(BS$6&lt;Total_Lanes,900*Peak_Time_Mor*($BL59/(Total_Lanes-BS$6)-1+SQRT(($BL59/(Total_Lanes-BS$6)-1)^2+8*($BL59/(Total_Lanes-BS$6))/(Peak_Time_Mor*$N45*(Total_Lanes-BS$6)))),"-")</f>
        <v>3.62631725829601</v>
      </c>
      <c r="BT59" s="483" t="n">
        <f aca="false">IF(BT$6&lt;Total_Lanes,900*Peak_Time_Mor*($BL59/(Total_Lanes-BT$6)-1+SQRT(($BL59/(Total_Lanes-BT$6)-1)^2+8*($BL59/(Total_Lanes-BT$6))/(Peak_Time_Mor*$N45*(Total_Lanes-BT$6)))),"-")</f>
        <v>16.9021223361858</v>
      </c>
      <c r="BU59" s="483" t="n">
        <f aca="false">IF(BU$6&lt;Total_Lanes,900*Peak_Time_Mor*($BL59/(Total_Lanes-BU$6)-1+SQRT(($BL59/(Total_Lanes-BU$6)-1)^2+8*($BL59/(Total_Lanes-BU$6))/(Peak_Time_Mor*$N45*(Total_Lanes-BU$6)))),"-")</f>
        <v>801.023452253174</v>
      </c>
      <c r="BV59" s="483" t="n">
        <f aca="false">IF(BV$6&lt;Total_Lanes,900*Peak_Time_Mor*($BL59/(Total_Lanes-BV$6)-1+SQRT(($BL59/(Total_Lanes-BV$6)-1)^2+8*($BL59/(Total_Lanes-BV$6))/(Peak_Time_Mor*$N45*(Total_Lanes-BV$6)))),"-")</f>
        <v>2990.58561679887</v>
      </c>
      <c r="BW59" s="551" t="n">
        <f aca="false">IF(BW$6&lt;Total_Lanes,900*Peak_Time_Mor*($BL59/(Total_Lanes-BW$6)-1+SQRT(($BL59/(Total_Lanes-BW$6)-1)^2+8*($BL59/(Total_Lanes-BW$6))/(Peak_Time_Mor*$N45*(Total_Lanes-BW$6)))),"-")</f>
        <v>9575.65035347457</v>
      </c>
      <c r="BX59" s="483" t="str">
        <f aca="false">IF(BX$6&lt;Total_Lanes,900*Peak_Time_Mor*($BL59/(Total_Lanes-BX$6)-1+SQRT(($BL59/(Total_Lanes-BX$6)-1)^2+8*($BL59/(Total_Lanes-BX$6))/(Peak_Time_Mor*$N45*(Total_Lanes-BX$6)))),"-")</f>
        <v>-</v>
      </c>
      <c r="BY59" s="483" t="str">
        <f aca="false">IF(BY$6&lt;Total_Lanes,900*Peak_Time_Mor*($BL59/(Total_Lanes-BY$6)-1+SQRT(($BL59/(Total_Lanes-BY$6)-1)^2+8*($BL59/(Total_Lanes-BY$6))/(Peak_Time_Mor*$N45*(Total_Lanes-BY$6)))),"-")</f>
        <v>-</v>
      </c>
      <c r="BZ59" s="483" t="str">
        <f aca="false">IF(BZ$6&lt;Total_Lanes,900*Peak_Time_Mor*($BL59/(Total_Lanes-BZ$6)-1+SQRT(($BL59/(Total_Lanes-BZ$6)-1)^2+8*($BL59/(Total_Lanes-BZ$6))/(Peak_Time_Mor*$N45*(Total_Lanes-BZ$6)))),"-")</f>
        <v>-</v>
      </c>
      <c r="CA59" s="483" t="str">
        <f aca="false">IF(CA$6&lt;Total_Lanes,900*Peak_Time_Mor*($BL59/(Total_Lanes-CA$6)-1+SQRT(($BL59/(Total_Lanes-CA$6)-1)^2+8*($BL59/(Total_Lanes-CA$6))/(Peak_Time_Mor*$N45*(Total_Lanes-CA$6)))),"-")</f>
        <v>-</v>
      </c>
      <c r="CB59" s="483" t="str">
        <f aca="false">IF(CB$6&lt;Total_Lanes,900*Peak_Time_Mor*($BL59/(Total_Lanes-CB$6)-1+SQRT(($BL59/(Total_Lanes-CB$6)-1)^2+8*($BL59/(Total_Lanes-CB$6))/(Peak_Time_Mor*$N45*(Total_Lanes-CB$6)))),"-")</f>
        <v>-</v>
      </c>
      <c r="CC59" s="483" t="str">
        <f aca="false">IF(CC$6&lt;Total_Lanes,900*Peak_Time_Mor*($BL59/(Total_Lanes-CC$6)-1+SQRT(($BL59/(Total_Lanes-CC$6)-1)^2+8*($BL59/(Total_Lanes-CC$6))/(Peak_Time_Mor*$N45*(Total_Lanes-CC$6)))),"-")</f>
        <v>-</v>
      </c>
      <c r="CD59" s="483" t="str">
        <f aca="false">IF(CD$6&lt;Total_Lanes,900*Peak_Time_Mor*($BL59/(Total_Lanes-CD$6)-1+SQRT(($BL59/(Total_Lanes-CD$6)-1)^2+8*($BL59/(Total_Lanes-CD$6))/(Peak_Time_Mor*$N45*(Total_Lanes-CD$6)))),"-")</f>
        <v>-</v>
      </c>
      <c r="CE59" s="483" t="str">
        <f aca="false">IF(CE$6&lt;Total_Lanes,900*Peak_Time_Mor*($BL59/(Total_Lanes-CE$6)-1+SQRT(($BL59/(Total_Lanes-CE$6)-1)^2+8*($BL59/(Total_Lanes-CE$6))/(Peak_Time_Mor*$N45*(Total_Lanes-CE$6)))),"-")</f>
        <v>-</v>
      </c>
      <c r="CF59" s="483" t="str">
        <f aca="false">IF(CF$6&lt;Total_Lanes,900*Peak_Time_Mor*($BL59/(Total_Lanes-CF$6)-1+SQRT(($BL59/(Total_Lanes-CF$6)-1)^2+8*($BL59/(Total_Lanes-CF$6))/(Peak_Time_Mor*$N45*(Total_Lanes-CF$6)))),"-")</f>
        <v>-</v>
      </c>
      <c r="CG59" s="484" t="str">
        <f aca="false">IF(CG$6&lt;Total_Lanes,900*Peak_Time_Mor*($BL59/(Total_Lanes-CG$6)-1+SQRT(($BL59/(Total_Lanes-CG$6)-1)^2+8*($BL59/(Total_Lanes-CG$6))/(Peak_Time_Mor*$N45*(Total_Lanes-CG$6)))),"-")</f>
        <v>-</v>
      </c>
      <c r="CH59" s="555" t="n">
        <f aca="false">3600/N45</f>
        <v>6.68125</v>
      </c>
      <c r="CJ59" s="440" t="n">
        <v>5</v>
      </c>
      <c r="CK59" s="442" t="n">
        <f aca="false">$X59</f>
        <v>0.3</v>
      </c>
      <c r="CL59" s="467" t="n">
        <f aca="false">$AC59</f>
        <v>2815.22676434422</v>
      </c>
      <c r="CM59" s="467" t="n">
        <f aca="false">CL59*CK59</f>
        <v>844.568029303267</v>
      </c>
      <c r="CN59" s="479" t="n">
        <f aca="false">CM59/O45</f>
        <v>0.563045352868845</v>
      </c>
      <c r="CO59" s="483" t="n">
        <f aca="false">IF(CO$53&lt;Total_Lanes,900*Peak_Time_Mor*($CN59/CO$53-1+SQRT(($CN59/CO$53-1)^2+8*($CN59/CO$53)/(Peak_Time_Mor*$O45*CO$53))),"-")</f>
        <v>3.08650474946646</v>
      </c>
      <c r="CP59" s="483" t="n">
        <f aca="false">IF(CP$53&lt;Total_Lanes,900*Peak_Time_Mor*($CN59/CP$53-1+SQRT(($CN59/CP$53-1)^2+8*($CN59/CP$53)/(Peak_Time_Mor*$O45*CP$53))),"-")</f>
        <v>0.470113404998074</v>
      </c>
      <c r="CQ59" s="483" t="n">
        <f aca="false">IF(CQ$53&lt;Total_Lanes,900*Peak_Time_Mor*($CN59/CQ$53-1+SQRT(($CN59/CQ$53-1)^2+8*($CN59/CQ$53)/(Peak_Time_Mor*$O45*CQ$53))),"-")</f>
        <v>0.184824045133136</v>
      </c>
      <c r="CR59" s="483" t="n">
        <f aca="false">IF(CR$53&lt;Total_Lanes,900*Peak_Time_Mor*($CN59/CR$53-1+SQRT(($CN59/CR$53-1)^2+8*($CN59/CR$53)/(Peak_Time_Mor*$O45*CR$53))),"-")</f>
        <v>0.0982894777961763</v>
      </c>
      <c r="CS59" s="483" t="n">
        <f aca="false">IF(CS$53&lt;Total_Lanes,900*Peak_Time_Mor*($CN59/CS$53-1+SQRT(($CN59/CS$53-1)^2+8*($CN59/CS$53)/(Peak_Time_Mor*$O45*CS$53))),"-")</f>
        <v>0.060910385160251</v>
      </c>
      <c r="CT59" s="483" t="n">
        <f aca="false">IF(CT$53&lt;Total_Lanes,900*Peak_Time_Mor*($CN59/CT$53-1+SQRT(($CN59/CT$53-1)^2+8*($CN59/CT$53)/(Peak_Time_Mor*$O45*CT$53))),"-")</f>
        <v>0.0414230568364316</v>
      </c>
      <c r="CU59" s="483" t="n">
        <f aca="false">IF(CU$53&lt;Total_Lanes,900*Peak_Time_Mor*($CN59/CU$53-1+SQRT(($CN59/CU$53-1)^2+8*($CN59/CU$53)/(Peak_Time_Mor*$O45*CU$53))),"-")</f>
        <v>0.0299897051891929</v>
      </c>
      <c r="CV59" s="483" t="n">
        <f aca="false">IF(CV$53&lt;Total_Lanes,900*Peak_Time_Mor*($CN59/CV$53-1+SQRT(($CN59/CV$53-1)^2+8*($CN59/CV$53)/(Peak_Time_Mor*$O45*CV$53))),"-")</f>
        <v>0.0227125843192955</v>
      </c>
      <c r="CW59" s="483" t="n">
        <f aca="false">IF(CW$53&lt;Total_Lanes,900*Peak_Time_Mor*($CN59/CW$53-1+SQRT(($CN59/CW$53-1)^2+8*($CN59/CW$53)/(Peak_Time_Mor*$O45*CW$53))),"-")</f>
        <v>0.0177960700230129</v>
      </c>
      <c r="CX59" s="483" t="n">
        <f aca="false">IF(CX$53&lt;Total_Lanes,900*Peak_Time_Mor*($CN59/CX$53-1+SQRT(($CN59/CX$53-1)^2+8*($CN59/CX$53)/(Peak_Time_Mor*$O45*CX$53))),"-")</f>
        <v>0.0143192714367801</v>
      </c>
      <c r="CY59" s="483" t="n">
        <f aca="false">IF(CY$53&lt;Total_Lanes,900*Peak_Time_Mor*($CN59/CY$53-1+SQRT(($CN59/CY$53-1)^2+8*($CN59/CY$53)/(Peak_Time_Mor*$O45*CY$53))),"-")</f>
        <v>0.0117702758751559</v>
      </c>
      <c r="CZ59" s="483" t="str">
        <f aca="false">IF(CZ$53&lt;Total_Lanes,900*Peak_Time_Mor*($CN59/CZ$53-1+SQRT(($CN59/CZ$53-1)^2+8*($CN59/CZ$53)/(Peak_Time_Mor*$O45*CZ$53))),"-")</f>
        <v>-</v>
      </c>
      <c r="DA59" s="483" t="str">
        <f aca="false">IF(DA$53&lt;Total_Lanes,900*Peak_Time_Mor*($CN59/DA$53-1+SQRT(($CN59/DA$53-1)^2+8*($CN59/DA$53)/(Peak_Time_Mor*$O45*DA$53))),"-")</f>
        <v>-</v>
      </c>
      <c r="DB59" s="483" t="str">
        <f aca="false">IF(DB$53&lt;Total_Lanes,900*Peak_Time_Mor*($CN59/DB$53-1+SQRT(($CN59/DB$53-1)^2+8*($CN59/DB$53)/(Peak_Time_Mor*$O45*DB$53))),"-")</f>
        <v>-</v>
      </c>
      <c r="DC59" s="483" t="str">
        <f aca="false">IF(DC$53&lt;Total_Lanes,900*Peak_Time_Mor*($CN59/DC$53-1+SQRT(($CN59/DC$53-1)^2+8*($CN59/DC$53)/(Peak_Time_Mor*$O45*DC$53))),"-")</f>
        <v>-</v>
      </c>
      <c r="DD59" s="483" t="str">
        <f aca="false">IF(DD$53&lt;Total_Lanes,900*Peak_Time_Mor*($CN59/DD$53-1+SQRT(($CN59/DD$53-1)^2+8*($CN59/DD$53)/(Peak_Time_Mor*$O45*DD$53))),"-")</f>
        <v>-</v>
      </c>
      <c r="DE59" s="483" t="str">
        <f aca="false">IF(DE$53&lt;Total_Lanes,900*Peak_Time_Mor*($CN59/DE$53-1+SQRT(($CN59/DE$53-1)^2+8*($CN59/DE$53)/(Peak_Time_Mor*$O45*DE$53))),"-")</f>
        <v>-</v>
      </c>
      <c r="DF59" s="483" t="str">
        <f aca="false">IF(DF$53&lt;Total_Lanes,900*Peak_Time_Mor*($CN59/DF$53-1+SQRT(($CN59/DF$53-1)^2+8*($CN59/DF$53)/(Peak_Time_Mor*$O45*DF$53))),"-")</f>
        <v>-</v>
      </c>
      <c r="DG59" s="483" t="str">
        <f aca="false">IF(DG$53&lt;Total_Lanes,900*Peak_Time_Mor*($CN59/DG$53-1+SQRT(($CN59/DG$53-1)^2+8*($CN59/DG$53)/(Peak_Time_Mor*$O45*DG$53))),"-")</f>
        <v>-</v>
      </c>
      <c r="DH59" s="483" t="str">
        <f aca="false">IF(DH$53&lt;Total_Lanes,900*Peak_Time_Mor*($CN59/DH$53-1+SQRT(($CN59/DH$53-1)^2+8*($CN59/DH$53)/(Peak_Time_Mor*$O45*DH$53))),"-")</f>
        <v>-</v>
      </c>
      <c r="DI59" s="484" t="str">
        <f aca="false">IF(DI$53&lt;Total_Lanes,900*Peak_Time_Mor*($CN59/DI$53-1+SQRT(($CN59/DI$53-1)^2+8*($CN59/DI$53)/(Peak_Time_Mor*$O45*DI$53))),"-")</f>
        <v>-</v>
      </c>
      <c r="DJ59" s="555" t="n">
        <f aca="false">3600/$O45</f>
        <v>2.4</v>
      </c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  <c r="FR59" s="18"/>
      <c r="FS59" s="18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18"/>
      <c r="GH59" s="18"/>
      <c r="GI59" s="18"/>
      <c r="GJ59" s="18"/>
      <c r="GK59" s="18"/>
      <c r="GL59" s="18"/>
      <c r="GM59" s="18"/>
      <c r="GN59" s="18"/>
      <c r="GO59" s="18"/>
      <c r="GP59" s="18"/>
      <c r="GQ59" s="18"/>
      <c r="GR59" s="18"/>
      <c r="GS59" s="18"/>
      <c r="GT59" s="18"/>
      <c r="GU59" s="18"/>
      <c r="GV59" s="18"/>
      <c r="GW59" s="18"/>
      <c r="GX59" s="18"/>
      <c r="GY59" s="18"/>
      <c r="GZ59" s="18"/>
      <c r="HA59" s="18"/>
      <c r="HB59" s="18"/>
      <c r="HC59" s="18"/>
      <c r="HD59" s="18"/>
      <c r="HE59" s="18"/>
      <c r="HF59" s="18"/>
      <c r="HG59" s="18"/>
      <c r="HH59" s="18"/>
      <c r="HI59" s="18"/>
      <c r="HJ59" s="18"/>
      <c r="HK59" s="18"/>
      <c r="HL59" s="18"/>
      <c r="HM59" s="18"/>
      <c r="HN59" s="18"/>
      <c r="HO59" s="18"/>
      <c r="HP59" s="18"/>
      <c r="HQ59" s="18"/>
      <c r="HR59" s="18"/>
      <c r="HS59" s="18"/>
      <c r="HT59" s="18"/>
      <c r="HU59" s="18"/>
      <c r="HV59" s="18"/>
      <c r="HW59" s="18"/>
      <c r="HX59" s="18"/>
      <c r="HY59" s="18"/>
      <c r="HZ59" s="18"/>
      <c r="IA59" s="18"/>
      <c r="IB59" s="18"/>
      <c r="IC59" s="18"/>
      <c r="ID59" s="18"/>
      <c r="IE59" s="18"/>
      <c r="IF59" s="18"/>
      <c r="IG59" s="18"/>
      <c r="IH59" s="18"/>
      <c r="II59" s="18"/>
      <c r="IJ59" s="18"/>
      <c r="IK59" s="18"/>
      <c r="IL59" s="18"/>
      <c r="IM59" s="18"/>
      <c r="IN59" s="18"/>
      <c r="IO59" s="18"/>
      <c r="IP59" s="18"/>
      <c r="IQ59" s="18"/>
      <c r="IR59" s="18"/>
      <c r="IS59" s="18"/>
      <c r="IT59" s="18"/>
      <c r="IU59" s="18"/>
      <c r="IV59" s="18"/>
      <c r="IW59" s="18"/>
    </row>
    <row r="60" customFormat="false" ht="13.2" hidden="false" customHeight="false" outlineLevel="0" collapsed="false">
      <c r="A60" s="18"/>
      <c r="B60" s="18"/>
      <c r="C60" s="18"/>
      <c r="D60" s="18"/>
      <c r="E60" s="18"/>
      <c r="F60" s="18"/>
      <c r="G60" s="18"/>
      <c r="H60" s="556" t="n">
        <v>20</v>
      </c>
      <c r="I60" s="557" t="n">
        <f aca="false">'Input-Detail'!BH33</f>
        <v>0.83</v>
      </c>
      <c r="J60" s="558" t="n">
        <f aca="false">1-I60</f>
        <v>0.17</v>
      </c>
      <c r="K60" s="559" t="n">
        <f aca="false">3600/(Trans_Time_Cash*I60+Trans_Time_Ticket*J60)</f>
        <v>547.528517110266</v>
      </c>
      <c r="L60" s="557" t="n">
        <f aca="false">'Input-Detail'!BJ33</f>
        <v>1</v>
      </c>
      <c r="M60" s="558" t="n">
        <f aca="false">1-L60</f>
        <v>0</v>
      </c>
      <c r="N60" s="559" t="n">
        <f aca="false">3600/(Trans_Time_Cash*L60+Trans_Time_Ticket*M60)</f>
        <v>514.285714285714</v>
      </c>
      <c r="O60" s="559" t="n">
        <f aca="false">3600/Headway_ETC</f>
        <v>1500</v>
      </c>
      <c r="P60" s="18"/>
      <c r="Q60" s="18"/>
      <c r="R60" s="18"/>
      <c r="S60" s="18"/>
      <c r="T60" s="18"/>
      <c r="U60" s="18"/>
      <c r="V60" s="440" t="n">
        <v>6</v>
      </c>
      <c r="W60" s="441" t="n">
        <f aca="false">W13</f>
        <v>22311321.1</v>
      </c>
      <c r="X60" s="442" t="n">
        <f aca="false">X13</f>
        <v>0.35</v>
      </c>
      <c r="Y60" s="441" t="n">
        <f aca="false">Y13</f>
        <v>9620.9070573769</v>
      </c>
      <c r="Z60" s="449" t="n">
        <f aca="false">W60/Y60</f>
        <v>2319.04548780488</v>
      </c>
      <c r="AA60" s="554" t="n">
        <f aca="false">AA13</f>
        <v>2</v>
      </c>
      <c r="AB60" s="474" t="n">
        <f aca="false">1-AB13</f>
        <v>0.3</v>
      </c>
      <c r="AC60" s="445" t="n">
        <f aca="false">Y60*AB60</f>
        <v>2886.27211721307</v>
      </c>
      <c r="AD60" s="467" t="n">
        <f aca="false">Peak_Time_Mor*$BH60*(CH60+BK60)/3600</f>
        <v>11.0984504614089</v>
      </c>
      <c r="AE60" s="453" t="n">
        <f aca="false">IF(AE$53&lt;Total_Lanes,($BI60*($CH60+BM60)+$CM60*CO60)*Peak_Time_Mor/3600,"-")</f>
        <v>10.047593586592</v>
      </c>
      <c r="AF60" s="453" t="n">
        <f aca="false">IF(AF$53&lt;Total_Lanes,($BI60*($CH60+BN60)+$CM60*CP60)*Peak_Time_Mor/3600,"-")</f>
        <v>7.70252683075162</v>
      </c>
      <c r="AG60" s="453" t="n">
        <f aca="false">IF(AG$53&lt;Total_Lanes,($BI60*($CH60+BO60)+$CM60*CQ60)*Peak_Time_Mor/3600,"-")</f>
        <v>7.60793392282983</v>
      </c>
      <c r="AH60" s="453" t="n">
        <f aca="false">IF(AH$53&lt;Total_Lanes,($BI60*($CH60+BP60)+$CM60*CR60)*Peak_Time_Mor/3600,"-")</f>
        <v>7.73045773228018</v>
      </c>
      <c r="AI60" s="453" t="n">
        <f aca="false">IF(AI$53&lt;Total_Lanes,($BI60*($CH60+BQ60)+$CM60*CS60)*Peak_Time_Mor/3600,"-")</f>
        <v>8.02110944545332</v>
      </c>
      <c r="AJ60" s="453" t="n">
        <f aca="false">IF(AJ$53&lt;Total_Lanes,($BI60*($CH60+BR60)+$CM60*CT60)*Peak_Time_Mor/3600,"-")</f>
        <v>8.63458013866725</v>
      </c>
      <c r="AK60" s="453" t="n">
        <f aca="false">IF(AK$53&lt;Total_Lanes,($BI60*($CH60+BS60)+$CM60*CU60)*Peak_Time_Mor/3600,"-")</f>
        <v>10.2351066064507</v>
      </c>
      <c r="AL60" s="453" t="n">
        <f aca="false">IF(AL$53&lt;Total_Lanes,($BI60*($CH60+BT60)+$CM60*CV60)*Peak_Time_Mor/3600,"-")</f>
        <v>18.7407730577665</v>
      </c>
      <c r="AM60" s="453" t="n">
        <f aca="false">IF(AM$53&lt;Total_Lanes,($BI60*($CH60+BU60)+$CM60*CW60)*Peak_Time_Mor/3600,"-")</f>
        <v>639.546820106947</v>
      </c>
      <c r="AN60" s="453" t="n">
        <f aca="false">IF(AN$53&lt;Total_Lanes,($BI60*($CH60+BV60)+$CM60*CX60)*Peak_Time_Mor/3600,"-")</f>
        <v>2815.92112172057</v>
      </c>
      <c r="AO60" s="453" t="n">
        <f aca="false">IF(AO$53&lt;Total_Lanes,($BI60*($CH60+BW60)+$CM60*CY60)*Peak_Time_Mor/3600,"-")</f>
        <v>9370.47949118059</v>
      </c>
      <c r="AP60" s="453" t="str">
        <f aca="false">IF(AP$53&lt;Total_Lanes,($BI60*($CH60+BX60)+$CM60*CZ60)*Peak_Time_Mor/3600,"-")</f>
        <v>-</v>
      </c>
      <c r="AQ60" s="453" t="str">
        <f aca="false">IF(AQ$53&lt;Total_Lanes,($BI60*($CH60+BY60)+$CM60*DA60)*Peak_Time_Mor/3600,"-")</f>
        <v>-</v>
      </c>
      <c r="AR60" s="453" t="str">
        <f aca="false">IF(AR$53&lt;Total_Lanes,($BI60*($CH60+BZ60)+$CM60*DB60)*Peak_Time_Mor/3600,"-")</f>
        <v>-</v>
      </c>
      <c r="AS60" s="453" t="str">
        <f aca="false">IF(AS$53&lt;Total_Lanes,($BI60*($CH60+CA60)+$CM60*DC60)*Peak_Time_Mor/3600,"-")</f>
        <v>-</v>
      </c>
      <c r="AT60" s="453" t="str">
        <f aca="false">IF(AT$53&lt;Total_Lanes,($BI60*($CH60+CB60)+$CM60*DD60)*Peak_Time_Mor/3600,"-")</f>
        <v>-</v>
      </c>
      <c r="AU60" s="453" t="str">
        <f aca="false">IF(AU$53&lt;Total_Lanes,($BI60*($CH60+CC60)+$CM60*DE60)*Peak_Time_Mor/3600,"-")</f>
        <v>-</v>
      </c>
      <c r="AV60" s="453" t="str">
        <f aca="false">IF(AV$53&lt;Total_Lanes,($BI60*($CH60+CD60)+$CM60*DF60)*Peak_Time_Mor/3600,"-")</f>
        <v>-</v>
      </c>
      <c r="AW60" s="453" t="str">
        <f aca="false">IF(AW$53&lt;Total_Lanes,($BI60*($CH60+CE60)+$CM60*DG60)*Peak_Time_Mor/3600,"-")</f>
        <v>-</v>
      </c>
      <c r="AX60" s="453" t="str">
        <f aca="false">IF(AX$53&lt;Total_Lanes,($BI60*($CH60+CF60)+$CM60*DH60)*Peak_Time_Mor/3600,"-")</f>
        <v>-</v>
      </c>
      <c r="AY60" s="454" t="str">
        <f aca="false">IF(AY$53&lt;Total_Lanes,($BI60*($CH60+CG60)+$CM60*DI60)*Peak_Time_Mor/3600,"-")</f>
        <v>-</v>
      </c>
      <c r="AZ60" s="475" t="n">
        <f aca="false">SUMIF(AE60:AY60,BA60,$AE$53:$AY$53)</f>
        <v>3</v>
      </c>
      <c r="BA60" s="476" t="n">
        <f aca="false">MIN(AE60:AY60)</f>
        <v>7.60793392282983</v>
      </c>
      <c r="BB60" s="475" t="n">
        <f aca="false">IF((SUMIF($BM58:$CG58,$AZ60,$BM60:$CG60)+$CH60)&lt;(SUMIF($CO58:$DI58,$AZ60,$CO60:$DI60)+$DJ60),AZ60+1,AZ60)</f>
        <v>3</v>
      </c>
      <c r="BC60" s="476" t="n">
        <f aca="false">SUMIF($AE$53:$AY$53,$BB60,$AE60:$AY60)</f>
        <v>7.60793392282983</v>
      </c>
      <c r="BF60" s="440" t="n">
        <v>6</v>
      </c>
      <c r="BG60" s="442" t="n">
        <f aca="false">$X60</f>
        <v>0.35</v>
      </c>
      <c r="BH60" s="451" t="n">
        <f aca="false">$AC60</f>
        <v>2886.27211721307</v>
      </c>
      <c r="BI60" s="452" t="n">
        <f aca="false">BH60*(1-BG60)</f>
        <v>1876.0768761885</v>
      </c>
      <c r="BJ60" s="460" t="n">
        <f aca="false">Peak_Arrival_Manual_Mor/K46</f>
        <v>3.42644596137204</v>
      </c>
      <c r="BK60" s="549" t="n">
        <f aca="false">900*Peak_Time_Mor*($BJ60/Total_Lanes-1+SQRT(($BJ60/Total_Lanes-1)^2+8*($BJ60/Total_Lanes)/(Peak_Time_Mor*$K46*Total_Lanes)))</f>
        <v>0.218957859567892</v>
      </c>
      <c r="BL60" s="460" t="n">
        <f aca="false">Peak_Arrival_Manual_Mor/N46</f>
        <v>3.49289035073705</v>
      </c>
      <c r="BM60" s="550" t="n">
        <f aca="false">IF(BM$6&lt;Total_Lanes,900*Peak_Time_Mor*($BL60/(Total_Lanes-BM$6)-1+SQRT(($BL60/(Total_Lanes-BM$6)-1)^2+8*($BL60/(Total_Lanes-BM$6))/(Peak_Time_Mor*$N46*(Total_Lanes-BM$6)))),"-")</f>
        <v>0.28346942675872</v>
      </c>
      <c r="BN60" s="483" t="n">
        <f aca="false">IF(BN$6&lt;Total_Lanes,900*Peak_Time_Mor*($BL60/(Total_Lanes-BN$6)-1+SQRT(($BL60/(Total_Lanes-BN$6)-1)^2+8*($BL60/(Total_Lanes-BN$6))/(Peak_Time_Mor*$N46*(Total_Lanes-BN$6)))),"-")</f>
        <v>0.359721971749538</v>
      </c>
      <c r="BO60" s="483" t="n">
        <f aca="false">IF(BO$6&lt;Total_Lanes,900*Peak_Time_Mor*($BL60/(Total_Lanes-BO$6)-1+SQRT(($BL60/(Total_Lanes-BO$6)-1)^2+8*($BL60/(Total_Lanes-BO$6))/(Peak_Time_Mor*$N46*(Total_Lanes-BO$6)))),"-")</f>
        <v>0.472239650904416</v>
      </c>
      <c r="BP60" s="483" t="n">
        <f aca="false">IF(BP$6&lt;Total_Lanes,900*Peak_Time_Mor*($BL60/(Total_Lanes-BP$6)-1+SQRT(($BL60/(Total_Lanes-BP$6)-1)^2+8*($BL60/(Total_Lanes-BP$6))/(Peak_Time_Mor*$N46*(Total_Lanes-BP$6)))),"-")</f>
        <v>0.649074730113552</v>
      </c>
      <c r="BQ60" s="483" t="n">
        <f aca="false">IF(BQ$6&lt;Total_Lanes,900*Peak_Time_Mor*($BL60/(Total_Lanes-BQ$6)-1+SQRT(($BL60/(Total_Lanes-BQ$6)-1)^2+8*($BL60/(Total_Lanes-BQ$6))/(Peak_Time_Mor*$N46*(Total_Lanes-BQ$6)))),"-")</f>
        <v>0.95311423359703</v>
      </c>
      <c r="BR60" s="483" t="n">
        <f aca="false">IF(BR$6&lt;Total_Lanes,900*Peak_Time_Mor*($BL60/(Total_Lanes-BR$6)-1+SQRT(($BL60/(Total_Lanes-BR$6)-1)^2+8*($BL60/(Total_Lanes-BR$6))/(Peak_Time_Mor*$N46*(Total_Lanes-BR$6)))),"-")</f>
        <v>1.55470706026353</v>
      </c>
      <c r="BS60" s="483" t="n">
        <f aca="false">IF(BS$6&lt;Total_Lanes,900*Peak_Time_Mor*($BL60/(Total_Lanes-BS$6)-1+SQRT(($BL60/(Total_Lanes-BS$6)-1)^2+8*($BL60/(Total_Lanes-BS$6))/(Peak_Time_Mor*$N46*(Total_Lanes-BS$6)))),"-")</f>
        <v>3.09791015210519</v>
      </c>
      <c r="BT60" s="483" t="n">
        <f aca="false">IF(BT$6&lt;Total_Lanes,900*Peak_Time_Mor*($BL60/(Total_Lanes-BT$6)-1+SQRT(($BL60/(Total_Lanes-BT$6)-1)^2+8*($BL60/(Total_Lanes-BT$6))/(Peak_Time_Mor*$N46*(Total_Lanes-BT$6)))),"-")</f>
        <v>11.2634664692892</v>
      </c>
      <c r="BU60" s="483" t="n">
        <f aca="false">IF(BU$6&lt;Total_Lanes,900*Peak_Time_Mor*($BL60/(Total_Lanes-BU$6)-1+SQRT(($BL60/(Total_Lanes-BU$6)-1)^2+8*($BL60/(Total_Lanes-BU$6))/(Peak_Time_Mor*$N46*(Total_Lanes-BU$6)))),"-")</f>
        <v>606.898415093435</v>
      </c>
      <c r="BV60" s="483" t="n">
        <f aca="false">IF(BV$6&lt;Total_Lanes,900*Peak_Time_Mor*($BL60/(Total_Lanes-BV$6)-1+SQRT(($BL60/(Total_Lanes-BV$6)-1)^2+8*($BL60/(Total_Lanes-BV$6))/(Peak_Time_Mor*$N46*(Total_Lanes-BV$6)))),"-")</f>
        <v>2695.02074843413</v>
      </c>
      <c r="BW60" s="551" t="n">
        <f aca="false">IF(BW$6&lt;Total_Lanes,900*Peak_Time_Mor*($BL60/(Total_Lanes-BW$6)-1+SQRT(($BL60/(Total_Lanes-BW$6)-1)^2+8*($BL60/(Total_Lanes-BW$6))/(Peak_Time_Mor*$N46*(Total_Lanes-BW$6)))),"-")</f>
        <v>8983.78660206027</v>
      </c>
      <c r="BX60" s="483" t="str">
        <f aca="false">IF(BX$6&lt;Total_Lanes,900*Peak_Time_Mor*($BL60/(Total_Lanes-BX$6)-1+SQRT(($BL60/(Total_Lanes-BX$6)-1)^2+8*($BL60/(Total_Lanes-BX$6))/(Peak_Time_Mor*$N46*(Total_Lanes-BX$6)))),"-")</f>
        <v>-</v>
      </c>
      <c r="BY60" s="483" t="str">
        <f aca="false">IF(BY$6&lt;Total_Lanes,900*Peak_Time_Mor*($BL60/(Total_Lanes-BY$6)-1+SQRT(($BL60/(Total_Lanes-BY$6)-1)^2+8*($BL60/(Total_Lanes-BY$6))/(Peak_Time_Mor*$N46*(Total_Lanes-BY$6)))),"-")</f>
        <v>-</v>
      </c>
      <c r="BZ60" s="483" t="str">
        <f aca="false">IF(BZ$6&lt;Total_Lanes,900*Peak_Time_Mor*($BL60/(Total_Lanes-BZ$6)-1+SQRT(($BL60/(Total_Lanes-BZ$6)-1)^2+8*($BL60/(Total_Lanes-BZ$6))/(Peak_Time_Mor*$N46*(Total_Lanes-BZ$6)))),"-")</f>
        <v>-</v>
      </c>
      <c r="CA60" s="483" t="str">
        <f aca="false">IF(CA$6&lt;Total_Lanes,900*Peak_Time_Mor*($BL60/(Total_Lanes-CA$6)-1+SQRT(($BL60/(Total_Lanes-CA$6)-1)^2+8*($BL60/(Total_Lanes-CA$6))/(Peak_Time_Mor*$N46*(Total_Lanes-CA$6)))),"-")</f>
        <v>-</v>
      </c>
      <c r="CB60" s="483" t="str">
        <f aca="false">IF(CB$6&lt;Total_Lanes,900*Peak_Time_Mor*($BL60/(Total_Lanes-CB$6)-1+SQRT(($BL60/(Total_Lanes-CB$6)-1)^2+8*($BL60/(Total_Lanes-CB$6))/(Peak_Time_Mor*$N46*(Total_Lanes-CB$6)))),"-")</f>
        <v>-</v>
      </c>
      <c r="CC60" s="483" t="str">
        <f aca="false">IF(CC$6&lt;Total_Lanes,900*Peak_Time_Mor*($BL60/(Total_Lanes-CC$6)-1+SQRT(($BL60/(Total_Lanes-CC$6)-1)^2+8*($BL60/(Total_Lanes-CC$6))/(Peak_Time_Mor*$N46*(Total_Lanes-CC$6)))),"-")</f>
        <v>-</v>
      </c>
      <c r="CD60" s="483" t="str">
        <f aca="false">IF(CD$6&lt;Total_Lanes,900*Peak_Time_Mor*($BL60/(Total_Lanes-CD$6)-1+SQRT(($BL60/(Total_Lanes-CD$6)-1)^2+8*($BL60/(Total_Lanes-CD$6))/(Peak_Time_Mor*$N46*(Total_Lanes-CD$6)))),"-")</f>
        <v>-</v>
      </c>
      <c r="CE60" s="483" t="str">
        <f aca="false">IF(CE$6&lt;Total_Lanes,900*Peak_Time_Mor*($BL60/(Total_Lanes-CE$6)-1+SQRT(($BL60/(Total_Lanes-CE$6)-1)^2+8*($BL60/(Total_Lanes-CE$6))/(Peak_Time_Mor*$N46*(Total_Lanes-CE$6)))),"-")</f>
        <v>-</v>
      </c>
      <c r="CF60" s="483" t="str">
        <f aca="false">IF(CF$6&lt;Total_Lanes,900*Peak_Time_Mor*($BL60/(Total_Lanes-CF$6)-1+SQRT(($BL60/(Total_Lanes-CF$6)-1)^2+8*($BL60/(Total_Lanes-CF$6))/(Peak_Time_Mor*$N46*(Total_Lanes-CF$6)))),"-")</f>
        <v>-</v>
      </c>
      <c r="CG60" s="484" t="str">
        <f aca="false">IF(CG$6&lt;Total_Lanes,900*Peak_Time_Mor*($BL60/(Total_Lanes-CG$6)-1+SQRT(($BL60/(Total_Lanes-CG$6)-1)^2+8*($BL60/(Total_Lanes-CG$6))/(Peak_Time_Mor*$N46*(Total_Lanes-CG$6)))),"-")</f>
        <v>-</v>
      </c>
      <c r="CH60" s="555" t="n">
        <f aca="false">3600/N46</f>
        <v>6.7025</v>
      </c>
      <c r="CJ60" s="440" t="n">
        <v>6</v>
      </c>
      <c r="CK60" s="442" t="n">
        <f aca="false">$X60</f>
        <v>0.35</v>
      </c>
      <c r="CL60" s="467" t="n">
        <f aca="false">$AC60</f>
        <v>2886.27211721307</v>
      </c>
      <c r="CM60" s="467" t="n">
        <f aca="false">CL60*CK60</f>
        <v>1010.19524102457</v>
      </c>
      <c r="CN60" s="479" t="n">
        <f aca="false">CM60/O46</f>
        <v>0.673463494016383</v>
      </c>
      <c r="CO60" s="483" t="n">
        <f aca="false">IF(CO$53&lt;Total_Lanes,900*Peak_Time_Mor*($CN60/CO$53-1+SQRT(($CN60/CO$53-1)^2+8*($CN60/CO$53)/(Peak_Time_Mor*$O46*CO$53))),"-")</f>
        <v>4.92919839091042</v>
      </c>
      <c r="CP60" s="483" t="n">
        <f aca="false">IF(CP$53&lt;Total_Lanes,900*Peak_Time_Mor*($CN60/CP$53-1+SQRT(($CN60/CP$53-1)^2+8*($CN60/CP$53)/(Peak_Time_Mor*$O46*CP$53))),"-")</f>
        <v>0.609067370995775</v>
      </c>
      <c r="CQ60" s="483" t="n">
        <f aca="false">IF(CQ$53&lt;Total_Lanes,900*Peak_Time_Mor*($CN60/CQ$53-1+SQRT(($CN60/CQ$53-1)^2+8*($CN60/CQ$53)/(Peak_Time_Mor*$O46*CQ$53))),"-")</f>
        <v>0.231557128621951</v>
      </c>
      <c r="CR60" s="483" t="n">
        <f aca="false">IF(CR$53&lt;Total_Lanes,900*Peak_Time_Mor*($CN60/CR$53-1+SQRT(($CN60/CR$53-1)^2+8*($CN60/CR$53)/(Peak_Time_Mor*$O46*CR$53))),"-")</f>
        <v>0.12146618632074</v>
      </c>
      <c r="CS60" s="483" t="n">
        <f aca="false">IF(CS$53&lt;Total_Lanes,900*Peak_Time_Mor*($CN60/CS$53-1+SQRT(($CN60/CS$53-1)^2+8*($CN60/CS$53)/(Peak_Time_Mor*$O46*CS$53))),"-")</f>
        <v>0.0747144334876548</v>
      </c>
      <c r="CT60" s="483" t="n">
        <f aca="false">IF(CT$53&lt;Total_Lanes,900*Peak_Time_Mor*($CN60/CT$53-1+SQRT(($CN60/CT$53-1)^2+8*($CN60/CT$53)/(Peak_Time_Mor*$O46*CT$53))),"-")</f>
        <v>0.0505734137971725</v>
      </c>
      <c r="CU60" s="483" t="n">
        <f aca="false">IF(CU$53&lt;Total_Lanes,900*Peak_Time_Mor*($CN60/CU$53-1+SQRT(($CN60/CU$53-1)^2+8*($CN60/CU$53)/(Peak_Time_Mor*$O46*CU$53))),"-")</f>
        <v>0.0364969330545417</v>
      </c>
      <c r="CV60" s="483" t="n">
        <f aca="false">IF(CV$53&lt;Total_Lanes,900*Peak_Time_Mor*($CN60/CV$53-1+SQRT(($CN60/CV$53-1)^2+8*($CN60/CV$53)/(Peak_Time_Mor*$O46*CV$53))),"-")</f>
        <v>0.0275761075058778</v>
      </c>
      <c r="CW60" s="483" t="n">
        <f aca="false">IF(CW$53&lt;Total_Lanes,900*Peak_Time_Mor*($CN60/CW$53-1+SQRT(($CN60/CW$53-1)^2+8*($CN60/CW$53)/(Peak_Time_Mor*$O46*CW$53))),"-")</f>
        <v>0.0215682837593878</v>
      </c>
      <c r="CX60" s="483" t="n">
        <f aca="false">IF(CX$53&lt;Total_Lanes,900*Peak_Time_Mor*($CN60/CX$53-1+SQRT(($CN60/CX$53-1)^2+8*($CN60/CX$53)/(Peak_Time_Mor*$O46*CX$53))),"-")</f>
        <v>0.0173301636890999</v>
      </c>
      <c r="CY60" s="483" t="n">
        <f aca="false">IF(CY$53&lt;Total_Lanes,900*Peak_Time_Mor*($CN60/CY$53-1+SQRT(($CN60/CY$53-1)^2+8*($CN60/CY$53)/(Peak_Time_Mor*$O46*CY$53))),"-")</f>
        <v>0.0142290564578929</v>
      </c>
      <c r="CZ60" s="483" t="str">
        <f aca="false">IF(CZ$53&lt;Total_Lanes,900*Peak_Time_Mor*($CN60/CZ$53-1+SQRT(($CN60/CZ$53-1)^2+8*($CN60/CZ$53)/(Peak_Time_Mor*$O46*CZ$53))),"-")</f>
        <v>-</v>
      </c>
      <c r="DA60" s="483" t="str">
        <f aca="false">IF(DA$53&lt;Total_Lanes,900*Peak_Time_Mor*($CN60/DA$53-1+SQRT(($CN60/DA$53-1)^2+8*($CN60/DA$53)/(Peak_Time_Mor*$O46*DA$53))),"-")</f>
        <v>-</v>
      </c>
      <c r="DB60" s="483" t="str">
        <f aca="false">IF(DB$53&lt;Total_Lanes,900*Peak_Time_Mor*($CN60/DB$53-1+SQRT(($CN60/DB$53-1)^2+8*($CN60/DB$53)/(Peak_Time_Mor*$O46*DB$53))),"-")</f>
        <v>-</v>
      </c>
      <c r="DC60" s="483" t="str">
        <f aca="false">IF(DC$53&lt;Total_Lanes,900*Peak_Time_Mor*($CN60/DC$53-1+SQRT(($CN60/DC$53-1)^2+8*($CN60/DC$53)/(Peak_Time_Mor*$O46*DC$53))),"-")</f>
        <v>-</v>
      </c>
      <c r="DD60" s="483" t="str">
        <f aca="false">IF(DD$53&lt;Total_Lanes,900*Peak_Time_Mor*($CN60/DD$53-1+SQRT(($CN60/DD$53-1)^2+8*($CN60/DD$53)/(Peak_Time_Mor*$O46*DD$53))),"-")</f>
        <v>-</v>
      </c>
      <c r="DE60" s="483" t="str">
        <f aca="false">IF(DE$53&lt;Total_Lanes,900*Peak_Time_Mor*($CN60/DE$53-1+SQRT(($CN60/DE$53-1)^2+8*($CN60/DE$53)/(Peak_Time_Mor*$O46*DE$53))),"-")</f>
        <v>-</v>
      </c>
      <c r="DF60" s="483" t="str">
        <f aca="false">IF(DF$53&lt;Total_Lanes,900*Peak_Time_Mor*($CN60/DF$53-1+SQRT(($CN60/DF$53-1)^2+8*($CN60/DF$53)/(Peak_Time_Mor*$O46*DF$53))),"-")</f>
        <v>-</v>
      </c>
      <c r="DG60" s="483" t="str">
        <f aca="false">IF(DG$53&lt;Total_Lanes,900*Peak_Time_Mor*($CN60/DG$53-1+SQRT(($CN60/DG$53-1)^2+8*($CN60/DG$53)/(Peak_Time_Mor*$O46*DG$53))),"-")</f>
        <v>-</v>
      </c>
      <c r="DH60" s="483" t="str">
        <f aca="false">IF(DH$53&lt;Total_Lanes,900*Peak_Time_Mor*($CN60/DH$53-1+SQRT(($CN60/DH$53-1)^2+8*($CN60/DH$53)/(Peak_Time_Mor*$O46*DH$53))),"-")</f>
        <v>-</v>
      </c>
      <c r="DI60" s="484" t="str">
        <f aca="false">IF(DI$53&lt;Total_Lanes,900*Peak_Time_Mor*($CN60/DI$53-1+SQRT(($CN60/DI$53-1)^2+8*($CN60/DI$53)/(Peak_Time_Mor*$O46*DI$53))),"-")</f>
        <v>-</v>
      </c>
      <c r="DJ60" s="555" t="n">
        <f aca="false">3600/$O46</f>
        <v>2.4</v>
      </c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18"/>
      <c r="HR60" s="18"/>
      <c r="HS60" s="18"/>
      <c r="HT60" s="18"/>
      <c r="HU60" s="18"/>
      <c r="HV60" s="18"/>
      <c r="HW60" s="18"/>
      <c r="HX60" s="18"/>
      <c r="HY60" s="18"/>
      <c r="HZ60" s="18"/>
      <c r="IA60" s="18"/>
      <c r="IB60" s="18"/>
      <c r="IC60" s="18"/>
      <c r="ID60" s="18"/>
      <c r="IE60" s="18"/>
      <c r="IF60" s="18"/>
      <c r="IG60" s="18"/>
      <c r="IH60" s="18"/>
      <c r="II60" s="18"/>
      <c r="IJ60" s="18"/>
      <c r="IK60" s="18"/>
      <c r="IL60" s="18"/>
      <c r="IM60" s="18"/>
      <c r="IN60" s="18"/>
      <c r="IO60" s="18"/>
      <c r="IP60" s="18"/>
      <c r="IQ60" s="18"/>
      <c r="IR60" s="18"/>
      <c r="IS60" s="18"/>
      <c r="IT60" s="18"/>
      <c r="IU60" s="18"/>
      <c r="IV60" s="18"/>
      <c r="IW60" s="18"/>
    </row>
    <row r="61" customFormat="false" ht="13.2" hidden="false" customHeight="false" outlineLevel="0" collapsed="false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440" t="n">
        <v>7</v>
      </c>
      <c r="W61" s="441" t="n">
        <f aca="false">W14</f>
        <v>22860512.45</v>
      </c>
      <c r="X61" s="442" t="n">
        <f aca="false">X14</f>
        <v>0.4</v>
      </c>
      <c r="Y61" s="441" t="n">
        <f aca="false">Y14</f>
        <v>9857.72490027305</v>
      </c>
      <c r="Z61" s="449" t="n">
        <f aca="false">W61/Y61</f>
        <v>2319.04548780488</v>
      </c>
      <c r="AA61" s="554" t="n">
        <f aca="false">AA14</f>
        <v>2</v>
      </c>
      <c r="AB61" s="474" t="n">
        <f aca="false">1-AB14</f>
        <v>0.3</v>
      </c>
      <c r="AC61" s="445" t="n">
        <f aca="false">Y61*AB61</f>
        <v>2957.31747008191</v>
      </c>
      <c r="AD61" s="467" t="n">
        <f aca="false">Peak_Time_Mor*$BH61*(CH61+BK61)/3600</f>
        <v>11.3798410453021</v>
      </c>
      <c r="AE61" s="453" t="n">
        <f aca="false">IF(AE$53&lt;Total_Lanes,($BI61*($CH61+BM61)+$CM61*CO61)*Peak_Time_Mor/3600,"-")</f>
        <v>12.7045242837385</v>
      </c>
      <c r="AF61" s="453" t="n">
        <f aca="false">IF(AF$53&lt;Total_Lanes,($BI61*($CH61+BN61)+$CM61*CP61)*Peak_Time_Mor/3600,"-")</f>
        <v>7.46979023278418</v>
      </c>
      <c r="AG61" s="453" t="n">
        <f aca="false">IF(AG$53&lt;Total_Lanes,($BI61*($CH61+BO61)+$CM61*CQ61)*Peak_Time_Mor/3600,"-")</f>
        <v>7.24471588045586</v>
      </c>
      <c r="AH61" s="453" t="n">
        <f aca="false">IF(AH$53&lt;Total_Lanes,($BI61*($CH61+BP61)+$CM61*CR61)*Peak_Time_Mor/3600,"-")</f>
        <v>7.31069505199691</v>
      </c>
      <c r="AI61" s="453" t="n">
        <f aca="false">IF(AI$53&lt;Total_Lanes,($BI61*($CH61+BQ61)+$CM61*CS61)*Peak_Time_Mor/3600,"-")</f>
        <v>7.5380994927666</v>
      </c>
      <c r="AJ61" s="453" t="n">
        <f aca="false">IF(AJ$53&lt;Total_Lanes,($BI61*($CH61+BR61)+$CM61*CT61)*Peak_Time_Mor/3600,"-")</f>
        <v>8.02970062872277</v>
      </c>
      <c r="AK61" s="453" t="n">
        <f aca="false">IF(AK$53&lt;Total_Lanes,($BI61*($CH61+BS61)+$CM61*CU61)*Peak_Time_Mor/3600,"-")</f>
        <v>9.25678002796422</v>
      </c>
      <c r="AL61" s="453" t="n">
        <f aca="false">IF(AL$53&lt;Total_Lanes,($BI61*($CH61+BT61)+$CM61*CV61)*Peak_Time_Mor/3600,"-")</f>
        <v>14.5525535086977</v>
      </c>
      <c r="AM61" s="453" t="n">
        <f aca="false">IF(AM$53&lt;Total_Lanes,($BI61*($CH61+BU61)+$CM61*CW61)*Peak_Time_Mor/3600,"-")</f>
        <v>400.146742424901</v>
      </c>
      <c r="AN61" s="453" t="n">
        <f aca="false">IF(AN$53&lt;Total_Lanes,($BI61*($CH61+BV61)+$CM61*CX61)*Peak_Time_Mor/3600,"-")</f>
        <v>2346.59689648776</v>
      </c>
      <c r="AO61" s="453" t="n">
        <f aca="false">IF(AO$53&lt;Total_Lanes,($BI61*($CH61+BW61)+$CM61*CY61)*Peak_Time_Mor/3600,"-")</f>
        <v>8228.15549643835</v>
      </c>
      <c r="AP61" s="453" t="str">
        <f aca="false">IF(AP$53&lt;Total_Lanes,($BI61*($CH61+BX61)+$CM61*CZ61)*Peak_Time_Mor/3600,"-")</f>
        <v>-</v>
      </c>
      <c r="AQ61" s="453" t="str">
        <f aca="false">IF(AQ$53&lt;Total_Lanes,($BI61*($CH61+BY61)+$CM61*DA61)*Peak_Time_Mor/3600,"-")</f>
        <v>-</v>
      </c>
      <c r="AR61" s="453" t="str">
        <f aca="false">IF(AR$53&lt;Total_Lanes,($BI61*($CH61+BZ61)+$CM61*DB61)*Peak_Time_Mor/3600,"-")</f>
        <v>-</v>
      </c>
      <c r="AS61" s="453" t="str">
        <f aca="false">IF(AS$53&lt;Total_Lanes,($BI61*($CH61+CA61)+$CM61*DC61)*Peak_Time_Mor/3600,"-")</f>
        <v>-</v>
      </c>
      <c r="AT61" s="453" t="str">
        <f aca="false">IF(AT$53&lt;Total_Lanes,($BI61*($CH61+CB61)+$CM61*DD61)*Peak_Time_Mor/3600,"-")</f>
        <v>-</v>
      </c>
      <c r="AU61" s="453" t="str">
        <f aca="false">IF(AU$53&lt;Total_Lanes,($BI61*($CH61+CC61)+$CM61*DE61)*Peak_Time_Mor/3600,"-")</f>
        <v>-</v>
      </c>
      <c r="AV61" s="453" t="str">
        <f aca="false">IF(AV$53&lt;Total_Lanes,($BI61*($CH61+CD61)+$CM61*DF61)*Peak_Time_Mor/3600,"-")</f>
        <v>-</v>
      </c>
      <c r="AW61" s="453" t="str">
        <f aca="false">IF(AW$53&lt;Total_Lanes,($BI61*($CH61+CE61)+$CM61*DG61)*Peak_Time_Mor/3600,"-")</f>
        <v>-</v>
      </c>
      <c r="AX61" s="453" t="str">
        <f aca="false">IF(AX$53&lt;Total_Lanes,($BI61*($CH61+CF61)+$CM61*DH61)*Peak_Time_Mor/3600,"-")</f>
        <v>-</v>
      </c>
      <c r="AY61" s="454" t="str">
        <f aca="false">IF(AY$53&lt;Total_Lanes,($BI61*($CH61+CG61)+$CM61*DI61)*Peak_Time_Mor/3600,"-")</f>
        <v>-</v>
      </c>
      <c r="AZ61" s="475" t="n">
        <f aca="false">SUMIF(AE61:AY61,BA61,$AE$53:$AY$53)</f>
        <v>3</v>
      </c>
      <c r="BA61" s="476" t="n">
        <f aca="false">MIN(AE61:AY61)</f>
        <v>7.24471588045586</v>
      </c>
      <c r="BB61" s="475" t="n">
        <f aca="false">IF((SUMIF($BM59:$CG59,$AZ61,$BM61:$CG61)+$CH61)&lt;(SUMIF($CO59:$DI59,$AZ61,$CO61:$DI61)+$DJ61),AZ61+1,AZ61)</f>
        <v>3</v>
      </c>
      <c r="BC61" s="476" t="n">
        <f aca="false">SUMIF($AE$53:$AY$53,$BB61,$AE61:$AY61)</f>
        <v>7.24471588045586</v>
      </c>
      <c r="BF61" s="440" t="n">
        <v>7</v>
      </c>
      <c r="BG61" s="442" t="n">
        <f aca="false">$X61</f>
        <v>0.4</v>
      </c>
      <c r="BH61" s="451" t="n">
        <f aca="false">$AC61</f>
        <v>2957.31747008191</v>
      </c>
      <c r="BI61" s="452" t="n">
        <f aca="false">BH61*(1-BG61)</f>
        <v>1774.39048204915</v>
      </c>
      <c r="BJ61" s="460" t="n">
        <f aca="false">Peak_Arrival_Manual_Mor/K47</f>
        <v>3.24072706096476</v>
      </c>
      <c r="BK61" s="549" t="n">
        <f aca="false">900*Peak_Time_Mor*($BJ61/Total_Lanes-1+SQRT(($BJ61/Total_Lanes-1)^2+8*($BJ61/Total_Lanes)/(Peak_Time_Mor*$K47*Total_Lanes)))</f>
        <v>0.202700774653031</v>
      </c>
      <c r="BL61" s="460" t="n">
        <f aca="false">Peak_Arrival_Manual_Mor/N47</f>
        <v>3.31404388991055</v>
      </c>
      <c r="BM61" s="550" t="n">
        <f aca="false">IF(BM$6&lt;Total_Lanes,900*Peak_Time_Mor*($BL61/(Total_Lanes-BM$6)-1+SQRT(($BL61/(Total_Lanes-BM$6)-1)^2+8*($BL61/(Total_Lanes-BM$6))/(Peak_Time_Mor*$N47*(Total_Lanes-BM$6)))),"-")</f>
        <v>0.263532225880891</v>
      </c>
      <c r="BN61" s="483" t="n">
        <f aca="false">IF(BN$6&lt;Total_Lanes,900*Peak_Time_Mor*($BL61/(Total_Lanes-BN$6)-1+SQRT(($BL61/(Total_Lanes-BN$6)-1)^2+8*($BL61/(Total_Lanes-BN$6))/(Peak_Time_Mor*$N47*(Total_Lanes-BN$6)))),"-")</f>
        <v>0.333231593237771</v>
      </c>
      <c r="BO61" s="483" t="n">
        <f aca="false">IF(BO$6&lt;Total_Lanes,900*Peak_Time_Mor*($BL61/(Total_Lanes-BO$6)-1+SQRT(($BL61/(Total_Lanes-BO$6)-1)^2+8*($BL61/(Total_Lanes-BO$6))/(Peak_Time_Mor*$N47*(Total_Lanes-BO$6)))),"-")</f>
        <v>0.435352134180866</v>
      </c>
      <c r="BP61" s="483" t="n">
        <f aca="false">IF(BP$6&lt;Total_Lanes,900*Peak_Time_Mor*($BL61/(Total_Lanes-BP$6)-1+SQRT(($BL61/(Total_Lanes-BP$6)-1)^2+8*($BL61/(Total_Lanes-BP$6))/(Peak_Time_Mor*$N47*(Total_Lanes-BP$6)))),"-")</f>
        <v>0.594236385488278</v>
      </c>
      <c r="BQ61" s="483" t="n">
        <f aca="false">IF(BQ$6&lt;Total_Lanes,900*Peak_Time_Mor*($BL61/(Total_Lanes-BQ$6)-1+SQRT(($BL61/(Total_Lanes-BQ$6)-1)^2+8*($BL61/(Total_Lanes-BQ$6))/(Peak_Time_Mor*$N47*(Total_Lanes-BQ$6)))),"-")</f>
        <v>0.863224765449511</v>
      </c>
      <c r="BR61" s="483" t="n">
        <f aca="false">IF(BR$6&lt;Total_Lanes,900*Peak_Time_Mor*($BL61/(Total_Lanes-BR$6)-1+SQRT(($BL61/(Total_Lanes-BR$6)-1)^2+8*($BL61/(Total_Lanes-BR$6))/(Peak_Time_Mor*$N47*(Total_Lanes-BR$6)))),"-")</f>
        <v>1.38148928264156</v>
      </c>
      <c r="BS61" s="483" t="n">
        <f aca="false">IF(BS$6&lt;Total_Lanes,900*Peak_Time_Mor*($BL61/(Total_Lanes-BS$6)-1+SQRT(($BL61/(Total_Lanes-BS$6)-1)^2+8*($BL61/(Total_Lanes-BS$6))/(Peak_Time_Mor*$N47*(Total_Lanes-BS$6)))),"-")</f>
        <v>2.637611974955</v>
      </c>
      <c r="BT61" s="483" t="n">
        <f aca="false">IF(BT$6&lt;Total_Lanes,900*Peak_Time_Mor*($BL61/(Total_Lanes-BT$6)-1+SQRT(($BL61/(Total_Lanes-BT$6)-1)^2+8*($BL61/(Total_Lanes-BT$6))/(Peak_Time_Mor*$N47*(Total_Lanes-BT$6)))),"-")</f>
        <v>8.01696712309202</v>
      </c>
      <c r="BU61" s="483" t="n">
        <f aca="false">IF(BU$6&lt;Total_Lanes,900*Peak_Time_Mor*($BL61/(Total_Lanes-BU$6)-1+SQRT(($BL61/(Total_Lanes-BU$6)-1)^2+8*($BL61/(Total_Lanes-BU$6))/(Peak_Time_Mor*$N47*(Total_Lanes-BU$6)))),"-")</f>
        <v>399.181178176222</v>
      </c>
      <c r="BV61" s="483" t="n">
        <f aca="false">IF(BV$6&lt;Total_Lanes,900*Peak_Time_Mor*($BL61/(Total_Lanes-BV$6)-1+SQRT(($BL61/(Total_Lanes-BV$6)-1)^2+8*($BL61/(Total_Lanes-BV$6))/(Peak_Time_Mor*$N47*(Total_Lanes-BV$6)))),"-")</f>
        <v>2373.72753774943</v>
      </c>
      <c r="BW61" s="551" t="n">
        <f aca="false">IF(BW$6&lt;Total_Lanes,900*Peak_Time_Mor*($BL61/(Total_Lanes-BW$6)-1+SQRT(($BL61/(Total_Lanes-BW$6)-1)^2+8*($BL61/(Total_Lanes-BW$6))/(Peak_Time_Mor*$N47*(Total_Lanes-BW$6)))),"-")</f>
        <v>8340.17627632826</v>
      </c>
      <c r="BX61" s="483" t="str">
        <f aca="false">IF(BX$6&lt;Total_Lanes,900*Peak_Time_Mor*($BL61/(Total_Lanes-BX$6)-1+SQRT(($BL61/(Total_Lanes-BX$6)-1)^2+8*($BL61/(Total_Lanes-BX$6))/(Peak_Time_Mor*$N47*(Total_Lanes-BX$6)))),"-")</f>
        <v>-</v>
      </c>
      <c r="BY61" s="483" t="str">
        <f aca="false">IF(BY$6&lt;Total_Lanes,900*Peak_Time_Mor*($BL61/(Total_Lanes-BY$6)-1+SQRT(($BL61/(Total_Lanes-BY$6)-1)^2+8*($BL61/(Total_Lanes-BY$6))/(Peak_Time_Mor*$N47*(Total_Lanes-BY$6)))),"-")</f>
        <v>-</v>
      </c>
      <c r="BZ61" s="483" t="str">
        <f aca="false">IF(BZ$6&lt;Total_Lanes,900*Peak_Time_Mor*($BL61/(Total_Lanes-BZ$6)-1+SQRT(($BL61/(Total_Lanes-BZ$6)-1)^2+8*($BL61/(Total_Lanes-BZ$6))/(Peak_Time_Mor*$N47*(Total_Lanes-BZ$6)))),"-")</f>
        <v>-</v>
      </c>
      <c r="CA61" s="483" t="str">
        <f aca="false">IF(CA$6&lt;Total_Lanes,900*Peak_Time_Mor*($BL61/(Total_Lanes-CA$6)-1+SQRT(($BL61/(Total_Lanes-CA$6)-1)^2+8*($BL61/(Total_Lanes-CA$6))/(Peak_Time_Mor*$N47*(Total_Lanes-CA$6)))),"-")</f>
        <v>-</v>
      </c>
      <c r="CB61" s="483" t="str">
        <f aca="false">IF(CB$6&lt;Total_Lanes,900*Peak_Time_Mor*($BL61/(Total_Lanes-CB$6)-1+SQRT(($BL61/(Total_Lanes-CB$6)-1)^2+8*($BL61/(Total_Lanes-CB$6))/(Peak_Time_Mor*$N47*(Total_Lanes-CB$6)))),"-")</f>
        <v>-</v>
      </c>
      <c r="CC61" s="483" t="str">
        <f aca="false">IF(CC$6&lt;Total_Lanes,900*Peak_Time_Mor*($BL61/(Total_Lanes-CC$6)-1+SQRT(($BL61/(Total_Lanes-CC$6)-1)^2+8*($BL61/(Total_Lanes-CC$6))/(Peak_Time_Mor*$N47*(Total_Lanes-CC$6)))),"-")</f>
        <v>-</v>
      </c>
      <c r="CD61" s="483" t="str">
        <f aca="false">IF(CD$6&lt;Total_Lanes,900*Peak_Time_Mor*($BL61/(Total_Lanes-CD$6)-1+SQRT(($BL61/(Total_Lanes-CD$6)-1)^2+8*($BL61/(Total_Lanes-CD$6))/(Peak_Time_Mor*$N47*(Total_Lanes-CD$6)))),"-")</f>
        <v>-</v>
      </c>
      <c r="CE61" s="483" t="str">
        <f aca="false">IF(CE$6&lt;Total_Lanes,900*Peak_Time_Mor*($BL61/(Total_Lanes-CE$6)-1+SQRT(($BL61/(Total_Lanes-CE$6)-1)^2+8*($BL61/(Total_Lanes-CE$6))/(Peak_Time_Mor*$N47*(Total_Lanes-CE$6)))),"-")</f>
        <v>-</v>
      </c>
      <c r="CF61" s="483" t="str">
        <f aca="false">IF(CF$6&lt;Total_Lanes,900*Peak_Time_Mor*($BL61/(Total_Lanes-CF$6)-1+SQRT(($BL61/(Total_Lanes-CF$6)-1)^2+8*($BL61/(Total_Lanes-CF$6))/(Peak_Time_Mor*$N47*(Total_Lanes-CF$6)))),"-")</f>
        <v>-</v>
      </c>
      <c r="CG61" s="484" t="str">
        <f aca="false">IF(CG$6&lt;Total_Lanes,900*Peak_Time_Mor*($BL61/(Total_Lanes-CG$6)-1+SQRT(($BL61/(Total_Lanes-CG$6)-1)^2+8*($BL61/(Total_Lanes-CG$6))/(Peak_Time_Mor*$N47*(Total_Lanes-CG$6)))),"-")</f>
        <v>-</v>
      </c>
      <c r="CH61" s="555" t="n">
        <f aca="false">3600/N47</f>
        <v>6.72375</v>
      </c>
      <c r="CJ61" s="440" t="n">
        <v>7</v>
      </c>
      <c r="CK61" s="442" t="n">
        <f aca="false">$X61</f>
        <v>0.4</v>
      </c>
      <c r="CL61" s="467" t="n">
        <f aca="false">$AC61</f>
        <v>2957.31747008191</v>
      </c>
      <c r="CM61" s="467" t="n">
        <f aca="false">CL61*CK61</f>
        <v>1182.92698803277</v>
      </c>
      <c r="CN61" s="479" t="n">
        <f aca="false">CM61/O47</f>
        <v>0.788617992021844</v>
      </c>
      <c r="CO61" s="483" t="n">
        <f aca="false">IF(CO$53&lt;Total_Lanes,900*Peak_Time_Mor*($CN61/CO$53-1+SQRT(($CN61/CO$53-1)^2+8*($CN61/CO$53)/(Peak_Time_Mor*$O47*CO$53))),"-")</f>
        <v>8.8509068942175</v>
      </c>
      <c r="CP61" s="483" t="n">
        <f aca="false">IF(CP$53&lt;Total_Lanes,900*Peak_Time_Mor*($CN61/CP$53-1+SQRT(($CN61/CP$53-1)^2+8*($CN61/CP$53)/(Peak_Time_Mor*$O47*CP$53))),"-")</f>
        <v>0.780928541930259</v>
      </c>
      <c r="CQ61" s="483" t="n">
        <f aca="false">IF(CQ$53&lt;Total_Lanes,900*Peak_Time_Mor*($CN61/CQ$53-1+SQRT(($CN61/CQ$53-1)^2+8*($CN61/CQ$53)/(Peak_Time_Mor*$O47*CQ$53))),"-")</f>
        <v>0.285263504278865</v>
      </c>
      <c r="CR61" s="483" t="n">
        <f aca="false">IF(CR$53&lt;Total_Lanes,900*Peak_Time_Mor*($CN61/CR$53-1+SQRT(($CN61/CR$53-1)^2+8*($CN61/CR$53)/(Peak_Time_Mor*$O47*CR$53))),"-")</f>
        <v>0.147334286208678</v>
      </c>
      <c r="CS61" s="483" t="n">
        <f aca="false">IF(CS$53&lt;Total_Lanes,900*Peak_Time_Mor*($CN61/CS$53-1+SQRT(($CN61/CS$53-1)^2+8*($CN61/CS$53)/(Peak_Time_Mor*$O47*CS$53))),"-")</f>
        <v>0.0898815199034564</v>
      </c>
      <c r="CT61" s="483" t="n">
        <f aca="false">IF(CT$53&lt;Total_Lanes,900*Peak_Time_Mor*($CN61/CT$53-1+SQRT(($CN61/CT$53-1)^2+8*($CN61/CT$53)/(Peak_Time_Mor*$O47*CT$53))),"-")</f>
        <v>0.0605292588429451</v>
      </c>
      <c r="CU61" s="483" t="n">
        <f aca="false">IF(CU$53&lt;Total_Lanes,900*Peak_Time_Mor*($CN61/CU$53-1+SQRT(($CN61/CU$53-1)^2+8*($CN61/CU$53)/(Peak_Time_Mor*$O47*CU$53))),"-")</f>
        <v>0.043529705112455</v>
      </c>
      <c r="CV61" s="483" t="n">
        <f aca="false">IF(CV$53&lt;Total_Lanes,900*Peak_Time_Mor*($CN61/CV$53-1+SQRT(($CN61/CV$53-1)^2+8*($CN61/CV$53)/(Peak_Time_Mor*$O47*CV$53))),"-")</f>
        <v>0.0328068885527832</v>
      </c>
      <c r="CW61" s="483" t="n">
        <f aca="false">IF(CW$53&lt;Total_Lanes,900*Peak_Time_Mor*($CN61/CW$53-1+SQRT(($CN61/CW$53-1)^2+8*($CN61/CW$53)/(Peak_Time_Mor*$O47*CW$53))),"-")</f>
        <v>0.0256103651339989</v>
      </c>
      <c r="CX61" s="483" t="n">
        <f aca="false">IF(CX$53&lt;Total_Lanes,900*Peak_Time_Mor*($CN61/CX$53-1+SQRT(($CN61/CX$53-1)^2+8*($CN61/CX$53)/(Peak_Time_Mor*$O47*CX$53))),"-")</f>
        <v>0.0205470954510734</v>
      </c>
      <c r="CY61" s="483" t="n">
        <f aca="false">IF(CY$53&lt;Total_Lanes,900*Peak_Time_Mor*($CN61/CY$53-1+SQRT(($CN61/CY$53-1)^2+8*($CN61/CY$53)/(Peak_Time_Mor*$O47*CY$53))),"-")</f>
        <v>0.0168499464303418</v>
      </c>
      <c r="CZ61" s="483" t="str">
        <f aca="false">IF(CZ$53&lt;Total_Lanes,900*Peak_Time_Mor*($CN61/CZ$53-1+SQRT(($CN61/CZ$53-1)^2+8*($CN61/CZ$53)/(Peak_Time_Mor*$O47*CZ$53))),"-")</f>
        <v>-</v>
      </c>
      <c r="DA61" s="483" t="str">
        <f aca="false">IF(DA$53&lt;Total_Lanes,900*Peak_Time_Mor*($CN61/DA$53-1+SQRT(($CN61/DA$53-1)^2+8*($CN61/DA$53)/(Peak_Time_Mor*$O47*DA$53))),"-")</f>
        <v>-</v>
      </c>
      <c r="DB61" s="483" t="str">
        <f aca="false">IF(DB$53&lt;Total_Lanes,900*Peak_Time_Mor*($CN61/DB$53-1+SQRT(($CN61/DB$53-1)^2+8*($CN61/DB$53)/(Peak_Time_Mor*$O47*DB$53))),"-")</f>
        <v>-</v>
      </c>
      <c r="DC61" s="483" t="str">
        <f aca="false">IF(DC$53&lt;Total_Lanes,900*Peak_Time_Mor*($CN61/DC$53-1+SQRT(($CN61/DC$53-1)^2+8*($CN61/DC$53)/(Peak_Time_Mor*$O47*DC$53))),"-")</f>
        <v>-</v>
      </c>
      <c r="DD61" s="483" t="str">
        <f aca="false">IF(DD$53&lt;Total_Lanes,900*Peak_Time_Mor*($CN61/DD$53-1+SQRT(($CN61/DD$53-1)^2+8*($CN61/DD$53)/(Peak_Time_Mor*$O47*DD$53))),"-")</f>
        <v>-</v>
      </c>
      <c r="DE61" s="483" t="str">
        <f aca="false">IF(DE$53&lt;Total_Lanes,900*Peak_Time_Mor*($CN61/DE$53-1+SQRT(($CN61/DE$53-1)^2+8*($CN61/DE$53)/(Peak_Time_Mor*$O47*DE$53))),"-")</f>
        <v>-</v>
      </c>
      <c r="DF61" s="483" t="str">
        <f aca="false">IF(DF$53&lt;Total_Lanes,900*Peak_Time_Mor*($CN61/DF$53-1+SQRT(($CN61/DF$53-1)^2+8*($CN61/DF$53)/(Peak_Time_Mor*$O47*DF$53))),"-")</f>
        <v>-</v>
      </c>
      <c r="DG61" s="483" t="str">
        <f aca="false">IF(DG$53&lt;Total_Lanes,900*Peak_Time_Mor*($CN61/DG$53-1+SQRT(($CN61/DG$53-1)^2+8*($CN61/DG$53)/(Peak_Time_Mor*$O47*DG$53))),"-")</f>
        <v>-</v>
      </c>
      <c r="DH61" s="483" t="str">
        <f aca="false">IF(DH$53&lt;Total_Lanes,900*Peak_Time_Mor*($CN61/DH$53-1+SQRT(($CN61/DH$53-1)^2+8*($CN61/DH$53)/(Peak_Time_Mor*$O47*DH$53))),"-")</f>
        <v>-</v>
      </c>
      <c r="DI61" s="484" t="str">
        <f aca="false">IF(DI$53&lt;Total_Lanes,900*Peak_Time_Mor*($CN61/DI$53-1+SQRT(($CN61/DI$53-1)^2+8*($CN61/DI$53)/(Peak_Time_Mor*$O47*DI$53))),"-")</f>
        <v>-</v>
      </c>
      <c r="DJ61" s="555" t="n">
        <f aca="false">3600/$O47</f>
        <v>2.4</v>
      </c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8"/>
      <c r="HQ61" s="18"/>
      <c r="HR61" s="18"/>
      <c r="HS61" s="18"/>
      <c r="HT61" s="18"/>
      <c r="HU61" s="18"/>
      <c r="HV61" s="18"/>
      <c r="HW61" s="18"/>
      <c r="HX61" s="18"/>
      <c r="HY61" s="18"/>
      <c r="HZ61" s="18"/>
      <c r="IA61" s="18"/>
      <c r="IB61" s="18"/>
      <c r="IC61" s="18"/>
      <c r="ID61" s="18"/>
      <c r="IE61" s="18"/>
      <c r="IF61" s="18"/>
      <c r="IG61" s="18"/>
      <c r="IH61" s="18"/>
      <c r="II61" s="18"/>
      <c r="IJ61" s="18"/>
      <c r="IK61" s="18"/>
      <c r="IL61" s="18"/>
      <c r="IM61" s="18"/>
      <c r="IN61" s="18"/>
      <c r="IO61" s="18"/>
      <c r="IP61" s="18"/>
      <c r="IQ61" s="18"/>
      <c r="IR61" s="18"/>
      <c r="IS61" s="18"/>
      <c r="IT61" s="18"/>
      <c r="IU61" s="18"/>
      <c r="IV61" s="18"/>
      <c r="IW61" s="18"/>
    </row>
    <row r="62" customFormat="false" ht="13.2" hidden="false" customHeight="fals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440" t="n">
        <v>8</v>
      </c>
      <c r="W62" s="441" t="n">
        <f aca="false">W15</f>
        <v>23409703.8</v>
      </c>
      <c r="X62" s="442" t="n">
        <f aca="false">X15</f>
        <v>0.45</v>
      </c>
      <c r="Y62" s="441" t="n">
        <f aca="false">Y15</f>
        <v>10094.5427431692</v>
      </c>
      <c r="Z62" s="449" t="n">
        <f aca="false">W62/Y62</f>
        <v>2319.04548780488</v>
      </c>
      <c r="AA62" s="554" t="n">
        <f aca="false">AA15</f>
        <v>2</v>
      </c>
      <c r="AB62" s="474" t="n">
        <f aca="false">1-AB15</f>
        <v>0.3</v>
      </c>
      <c r="AC62" s="445" t="n">
        <f aca="false">Y62*AB62</f>
        <v>3028.36282295076</v>
      </c>
      <c r="AD62" s="467" t="n">
        <f aca="false">Peak_Time_Mor*$BH62*(CH62+BK62)/3600</f>
        <v>11.6609700016325</v>
      </c>
      <c r="AE62" s="453" t="n">
        <f aca="false">IF(AE$53&lt;Total_Lanes,($BI62*($CH62+BM62)+$CM62*CO62)*Peak_Time_Mor/3600,"-")</f>
        <v>23.3640086541277</v>
      </c>
      <c r="AF62" s="453" t="n">
        <f aca="false">IF(AF$53&lt;Total_Lanes,($BI62*($CH62+BN62)+$CM62*CP62)*Peak_Time_Mor/3600,"-")</f>
        <v>7.28028450425305</v>
      </c>
      <c r="AG62" s="453" t="n">
        <f aca="false">IF(AG$53&lt;Total_Lanes,($BI62*($CH62+BO62)+$CM62*CQ62)*Peak_Time_Mor/3600,"-")</f>
        <v>6.87246289375356</v>
      </c>
      <c r="AH62" s="453" t="n">
        <f aca="false">IF(AH$53&lt;Total_Lanes,($BI62*($CH62+BP62)+$CM62*CR62)*Peak_Time_Mor/3600,"-")</f>
        <v>6.87371218942608</v>
      </c>
      <c r="AI62" s="453" t="n">
        <f aca="false">IF(AI$53&lt;Total_Lanes,($BI62*($CH62+BQ62)+$CM62*CS62)*Peak_Time_Mor/3600,"-")</f>
        <v>7.03904424133202</v>
      </c>
      <c r="AJ62" s="453" t="n">
        <f aca="false">IF(AJ$53&lt;Total_Lanes,($BI62*($CH62+BR62)+$CM62*CT62)*Peak_Time_Mor/3600,"-")</f>
        <v>7.42204400557268</v>
      </c>
      <c r="AK62" s="453" t="n">
        <f aca="false">IF(AK$53&lt;Total_Lanes,($BI62*($CH62+BS62)+$CM62*CU62)*Peak_Time_Mor/3600,"-")</f>
        <v>8.34948040897853</v>
      </c>
      <c r="AL62" s="453" t="n">
        <f aca="false">IF(AL$53&lt;Total_Lanes,($BI62*($CH62+BT62)+$CM62*CV62)*Peak_Time_Mor/3600,"-")</f>
        <v>11.7668712601962</v>
      </c>
      <c r="AM62" s="453" t="n">
        <f aca="false">IF(AM$53&lt;Total_Lanes,($BI62*($CH62+BU62)+$CM62*CW62)*Peak_Time_Mor/3600,"-")</f>
        <v>181.430040505505</v>
      </c>
      <c r="AN62" s="453" t="n">
        <f aca="false">IF(AN$53&lt;Total_Lanes,($BI62*($CH62+BV62)+$CM62*CX62)*Peak_Time_Mor/3600,"-")</f>
        <v>1881.52318901076</v>
      </c>
      <c r="AO62" s="453" t="n">
        <f aca="false">IF(AO$53&lt;Total_Lanes,($BI62*($CH62+BW62)+$CM62*CY62)*Peak_Time_Mor/3600,"-")</f>
        <v>7079.85552984769</v>
      </c>
      <c r="AP62" s="453" t="str">
        <f aca="false">IF(AP$53&lt;Total_Lanes,($BI62*($CH62+BX62)+$CM62*CZ62)*Peak_Time_Mor/3600,"-")</f>
        <v>-</v>
      </c>
      <c r="AQ62" s="453" t="str">
        <f aca="false">IF(AQ$53&lt;Total_Lanes,($BI62*($CH62+BY62)+$CM62*DA62)*Peak_Time_Mor/3600,"-")</f>
        <v>-</v>
      </c>
      <c r="AR62" s="453" t="str">
        <f aca="false">IF(AR$53&lt;Total_Lanes,($BI62*($CH62+BZ62)+$CM62*DB62)*Peak_Time_Mor/3600,"-")</f>
        <v>-</v>
      </c>
      <c r="AS62" s="453" t="str">
        <f aca="false">IF(AS$53&lt;Total_Lanes,($BI62*($CH62+CA62)+$CM62*DC62)*Peak_Time_Mor/3600,"-")</f>
        <v>-</v>
      </c>
      <c r="AT62" s="453" t="str">
        <f aca="false">IF(AT$53&lt;Total_Lanes,($BI62*($CH62+CB62)+$CM62*DD62)*Peak_Time_Mor/3600,"-")</f>
        <v>-</v>
      </c>
      <c r="AU62" s="453" t="str">
        <f aca="false">IF(AU$53&lt;Total_Lanes,($BI62*($CH62+CC62)+$CM62*DE62)*Peak_Time_Mor/3600,"-")</f>
        <v>-</v>
      </c>
      <c r="AV62" s="453" t="str">
        <f aca="false">IF(AV$53&lt;Total_Lanes,($BI62*($CH62+CD62)+$CM62*DF62)*Peak_Time_Mor/3600,"-")</f>
        <v>-</v>
      </c>
      <c r="AW62" s="453" t="str">
        <f aca="false">IF(AW$53&lt;Total_Lanes,($BI62*($CH62+CE62)+$CM62*DG62)*Peak_Time_Mor/3600,"-")</f>
        <v>-</v>
      </c>
      <c r="AX62" s="453" t="str">
        <f aca="false">IF(AX$53&lt;Total_Lanes,($BI62*($CH62+CF62)+$CM62*DH62)*Peak_Time_Mor/3600,"-")</f>
        <v>-</v>
      </c>
      <c r="AY62" s="454" t="str">
        <f aca="false">IF(AY$53&lt;Total_Lanes,($BI62*($CH62+CG62)+$CM62*DI62)*Peak_Time_Mor/3600,"-")</f>
        <v>-</v>
      </c>
      <c r="AZ62" s="475" t="n">
        <f aca="false">SUMIF(AE62:AY62,BA62,$AE$53:$AY$53)</f>
        <v>3</v>
      </c>
      <c r="BA62" s="476" t="n">
        <f aca="false">MIN(AE62:AY62)</f>
        <v>6.87246289375356</v>
      </c>
      <c r="BB62" s="475" t="n">
        <f aca="false">IF((SUMIF($BM60:$CG60,$AZ62,$BM62:$CG62)+$CH62)&lt;(SUMIF($CO60:$DI60,$AZ62,$CO62:$DI62)+$DJ62),AZ62+1,AZ62)</f>
        <v>3</v>
      </c>
      <c r="BC62" s="476" t="n">
        <f aca="false">SUMIF($AE$53:$AY$53,$BB62,$AE62:$AY62)</f>
        <v>6.87246289375356</v>
      </c>
      <c r="BF62" s="440" t="n">
        <v>8</v>
      </c>
      <c r="BG62" s="442" t="n">
        <f aca="false">$X62</f>
        <v>0.45</v>
      </c>
      <c r="BH62" s="451" t="n">
        <f aca="false">$AC62</f>
        <v>3028.36282295076</v>
      </c>
      <c r="BI62" s="452" t="n">
        <f aca="false">BH62*(1-BG62)</f>
        <v>1665.59955262292</v>
      </c>
      <c r="BJ62" s="460" t="n">
        <f aca="false">Peak_Arrival_Manual_Mor/K48</f>
        <v>3.0420325162488</v>
      </c>
      <c r="BK62" s="549" t="n">
        <f aca="false">900*Peak_Time_Mor*($BJ62/Total_Lanes-1+SQRT(($BJ62/Total_Lanes-1)^2+8*($BJ62/Total_Lanes)/(Peak_Time_Mor*$K48*Total_Lanes)))</f>
        <v>0.186053915952722</v>
      </c>
      <c r="BL62" s="460" t="n">
        <f aca="false">Peak_Arrival_Manual_Mor/N48</f>
        <v>3.12068582845599</v>
      </c>
      <c r="BM62" s="550" t="n">
        <f aca="false">IF(BM$6&lt;Total_Lanes,900*Peak_Time_Mor*($BL62/(Total_Lanes-BM$6)-1+SQRT(($BL62/(Total_Lanes-BM$6)-1)^2+8*($BL62/(Total_Lanes-BM$6))/(Peak_Time_Mor*$N48*(Total_Lanes-BM$6)))),"-")</f>
        <v>0.242834285714699</v>
      </c>
      <c r="BN62" s="483" t="n">
        <f aca="false">IF(BN$6&lt;Total_Lanes,900*Peak_Time_Mor*($BL62/(Total_Lanes-BN$6)-1+SQRT(($BL62/(Total_Lanes-BN$6)-1)^2+8*($BL62/(Total_Lanes-BN$6))/(Peak_Time_Mor*$N48*(Total_Lanes-BN$6)))),"-")</f>
        <v>0.305937851427318</v>
      </c>
      <c r="BO62" s="483" t="n">
        <f aca="false">IF(BO$6&lt;Total_Lanes,900*Peak_Time_Mor*($BL62/(Total_Lanes-BO$6)-1+SQRT(($BL62/(Total_Lanes-BO$6)-1)^2+8*($BL62/(Total_Lanes-BO$6))/(Peak_Time_Mor*$N48*(Total_Lanes-BO$6)))),"-")</f>
        <v>0.397730945141217</v>
      </c>
      <c r="BP62" s="483" t="n">
        <f aca="false">IF(BP$6&lt;Total_Lanes,900*Peak_Time_Mor*($BL62/(Total_Lanes-BP$6)-1+SQRT(($BL62/(Total_Lanes-BP$6)-1)^2+8*($BL62/(Total_Lanes-BP$6))/(Peak_Time_Mor*$N48*(Total_Lanes-BP$6)))),"-")</f>
        <v>0.539109039339891</v>
      </c>
      <c r="BQ62" s="483" t="n">
        <f aca="false">IF(BQ$6&lt;Total_Lanes,900*Peak_Time_Mor*($BL62/(Total_Lanes-BQ$6)-1+SQRT(($BL62/(Total_Lanes-BQ$6)-1)^2+8*($BL62/(Total_Lanes-BQ$6))/(Peak_Time_Mor*$N48*(Total_Lanes-BQ$6)))),"-")</f>
        <v>0.774837040279763</v>
      </c>
      <c r="BR62" s="483" t="n">
        <f aca="false">IF(BR$6&lt;Total_Lanes,900*Peak_Time_Mor*($BL62/(Total_Lanes-BR$6)-1+SQRT(($BL62/(Total_Lanes-BR$6)-1)^2+8*($BL62/(Total_Lanes-BR$6))/(Peak_Time_Mor*$N48*(Total_Lanes-BR$6)))),"-")</f>
        <v>1.21754698359789</v>
      </c>
      <c r="BS62" s="483" t="n">
        <f aca="false">IF(BS$6&lt;Total_Lanes,900*Peak_Time_Mor*($BL62/(Total_Lanes-BS$6)-1+SQRT(($BL62/(Total_Lanes-BS$6)-1)^2+8*($BL62/(Total_Lanes-BS$6))/(Peak_Time_Mor*$N48*(Total_Lanes-BS$6)))),"-")</f>
        <v>2.23637903103162</v>
      </c>
      <c r="BT62" s="483" t="n">
        <f aca="false">IF(BT$6&lt;Total_Lanes,900*Peak_Time_Mor*($BL62/(Total_Lanes-BT$6)-1+SQRT(($BL62/(Total_Lanes-BT$6)-1)^2+8*($BL62/(Total_Lanes-BT$6))/(Peak_Time_Mor*$N48*(Total_Lanes-BT$6)))),"-")</f>
        <v>5.9399174234456</v>
      </c>
      <c r="BU62" s="483" t="n">
        <f aca="false">IF(BU$6&lt;Total_Lanes,900*Peak_Time_Mor*($BL62/(Total_Lanes-BU$6)-1+SQRT(($BL62/(Total_Lanes-BU$6)-1)^2+8*($BL62/(Total_Lanes-BU$6))/(Peak_Time_Mor*$N48*(Total_Lanes-BU$6)))),"-")</f>
        <v>189.300484038211</v>
      </c>
      <c r="BV62" s="483" t="n">
        <f aca="false">IF(BV$6&lt;Total_Lanes,900*Peak_Time_Mor*($BL62/(Total_Lanes-BV$6)-1+SQRT(($BL62/(Total_Lanes-BV$6)-1)^2+8*($BL62/(Total_Lanes-BV$6))/(Peak_Time_Mor*$N48*(Total_Lanes-BV$6)))),"-")</f>
        <v>2026.58230958084</v>
      </c>
      <c r="BW62" s="551" t="n">
        <f aca="false">IF(BW$6&lt;Total_Lanes,900*Peak_Time_Mor*($BL62/(Total_Lanes-BW$6)-1+SQRT(($BL62/(Total_Lanes-BW$6)-1)^2+8*($BL62/(Total_Lanes-BW$6))/(Peak_Time_Mor*$N48*(Total_Lanes-BW$6)))),"-")</f>
        <v>7644.38168648938</v>
      </c>
      <c r="BX62" s="483" t="str">
        <f aca="false">IF(BX$6&lt;Total_Lanes,900*Peak_Time_Mor*($BL62/(Total_Lanes-BX$6)-1+SQRT(($BL62/(Total_Lanes-BX$6)-1)^2+8*($BL62/(Total_Lanes-BX$6))/(Peak_Time_Mor*$N48*(Total_Lanes-BX$6)))),"-")</f>
        <v>-</v>
      </c>
      <c r="BY62" s="483" t="str">
        <f aca="false">IF(BY$6&lt;Total_Lanes,900*Peak_Time_Mor*($BL62/(Total_Lanes-BY$6)-1+SQRT(($BL62/(Total_Lanes-BY$6)-1)^2+8*($BL62/(Total_Lanes-BY$6))/(Peak_Time_Mor*$N48*(Total_Lanes-BY$6)))),"-")</f>
        <v>-</v>
      </c>
      <c r="BZ62" s="483" t="str">
        <f aca="false">IF(BZ$6&lt;Total_Lanes,900*Peak_Time_Mor*($BL62/(Total_Lanes-BZ$6)-1+SQRT(($BL62/(Total_Lanes-BZ$6)-1)^2+8*($BL62/(Total_Lanes-BZ$6))/(Peak_Time_Mor*$N48*(Total_Lanes-BZ$6)))),"-")</f>
        <v>-</v>
      </c>
      <c r="CA62" s="483" t="str">
        <f aca="false">IF(CA$6&lt;Total_Lanes,900*Peak_Time_Mor*($BL62/(Total_Lanes-CA$6)-1+SQRT(($BL62/(Total_Lanes-CA$6)-1)^2+8*($BL62/(Total_Lanes-CA$6))/(Peak_Time_Mor*$N48*(Total_Lanes-CA$6)))),"-")</f>
        <v>-</v>
      </c>
      <c r="CB62" s="483" t="str">
        <f aca="false">IF(CB$6&lt;Total_Lanes,900*Peak_Time_Mor*($BL62/(Total_Lanes-CB$6)-1+SQRT(($BL62/(Total_Lanes-CB$6)-1)^2+8*($BL62/(Total_Lanes-CB$6))/(Peak_Time_Mor*$N48*(Total_Lanes-CB$6)))),"-")</f>
        <v>-</v>
      </c>
      <c r="CC62" s="483" t="str">
        <f aca="false">IF(CC$6&lt;Total_Lanes,900*Peak_Time_Mor*($BL62/(Total_Lanes-CC$6)-1+SQRT(($BL62/(Total_Lanes-CC$6)-1)^2+8*($BL62/(Total_Lanes-CC$6))/(Peak_Time_Mor*$N48*(Total_Lanes-CC$6)))),"-")</f>
        <v>-</v>
      </c>
      <c r="CD62" s="483" t="str">
        <f aca="false">IF(CD$6&lt;Total_Lanes,900*Peak_Time_Mor*($BL62/(Total_Lanes-CD$6)-1+SQRT(($BL62/(Total_Lanes-CD$6)-1)^2+8*($BL62/(Total_Lanes-CD$6))/(Peak_Time_Mor*$N48*(Total_Lanes-CD$6)))),"-")</f>
        <v>-</v>
      </c>
      <c r="CE62" s="483" t="str">
        <f aca="false">IF(CE$6&lt;Total_Lanes,900*Peak_Time_Mor*($BL62/(Total_Lanes-CE$6)-1+SQRT(($BL62/(Total_Lanes-CE$6)-1)^2+8*($BL62/(Total_Lanes-CE$6))/(Peak_Time_Mor*$N48*(Total_Lanes-CE$6)))),"-")</f>
        <v>-</v>
      </c>
      <c r="CF62" s="483" t="str">
        <f aca="false">IF(CF$6&lt;Total_Lanes,900*Peak_Time_Mor*($BL62/(Total_Lanes-CF$6)-1+SQRT(($BL62/(Total_Lanes-CF$6)-1)^2+8*($BL62/(Total_Lanes-CF$6))/(Peak_Time_Mor*$N48*(Total_Lanes-CF$6)))),"-")</f>
        <v>-</v>
      </c>
      <c r="CG62" s="484" t="str">
        <f aca="false">IF(CG$6&lt;Total_Lanes,900*Peak_Time_Mor*($BL62/(Total_Lanes-CG$6)-1+SQRT(($BL62/(Total_Lanes-CG$6)-1)^2+8*($BL62/(Total_Lanes-CG$6))/(Peak_Time_Mor*$N48*(Total_Lanes-CG$6)))),"-")</f>
        <v>-</v>
      </c>
      <c r="CH62" s="555" t="n">
        <f aca="false">3600/N48</f>
        <v>6.745</v>
      </c>
      <c r="CJ62" s="440" t="n">
        <v>8</v>
      </c>
      <c r="CK62" s="442" t="n">
        <f aca="false">$X62</f>
        <v>0.45</v>
      </c>
      <c r="CL62" s="467" t="n">
        <f aca="false">$AC62</f>
        <v>3028.36282295076</v>
      </c>
      <c r="CM62" s="467" t="n">
        <f aca="false">CL62*CK62</f>
        <v>1362.76327032784</v>
      </c>
      <c r="CN62" s="479" t="n">
        <f aca="false">CM62/O48</f>
        <v>0.908508846885228</v>
      </c>
      <c r="CO62" s="483" t="n">
        <f aca="false">IF(CO$53&lt;Total_Lanes,900*Peak_Time_Mor*($CN62/CO$53-1+SQRT(($CN62/CO$53-1)^2+8*($CN62/CO$53)/(Peak_Time_Mor*$O48*CO$53))),"-")</f>
        <v>22.319563918114</v>
      </c>
      <c r="CP62" s="483" t="n">
        <f aca="false">IF(CP$53&lt;Total_Lanes,900*Peak_Time_Mor*($CN62/CP$53-1+SQRT(($CN62/CP$53-1)^2+8*($CN62/CP$53)/(Peak_Time_Mor*$O48*CP$53))),"-")</f>
        <v>0.998319522083135</v>
      </c>
      <c r="CQ62" s="483" t="n">
        <f aca="false">IF(CQ$53&lt;Total_Lanes,900*Peak_Time_Mor*($CN62/CQ$53-1+SQRT(($CN62/CQ$53-1)^2+8*($CN62/CQ$53)/(Peak_Time_Mor*$O48*CQ$53))),"-")</f>
        <v>0.34745854421907</v>
      </c>
      <c r="CR62" s="483" t="n">
        <f aca="false">IF(CR$53&lt;Total_Lanes,900*Peak_Time_Mor*($CN62/CR$53-1+SQRT(($CN62/CR$53-1)^2+8*($CN62/CR$53)/(Peak_Time_Mor*$O48*CR$53))),"-")</f>
        <v>0.176313222565838</v>
      </c>
      <c r="CS62" s="483" t="n">
        <f aca="false">IF(CS$53&lt;Total_Lanes,900*Peak_Time_Mor*($CN62/CS$53-1+SQRT(($CN62/CS$53-1)^2+8*($CN62/CS$53)/(Peak_Time_Mor*$O48*CS$53))),"-")</f>
        <v>0.106579350554026</v>
      </c>
      <c r="CT62" s="483" t="n">
        <f aca="false">IF(CT$53&lt;Total_Lanes,900*Peak_Time_Mor*($CN62/CT$53-1+SQRT(($CN62/CT$53-1)^2+8*($CN62/CT$53)/(Peak_Time_Mor*$O48*CT$53))),"-")</f>
        <v>0.0713730099196175</v>
      </c>
      <c r="CU62" s="483" t="n">
        <f aca="false">IF(CU$53&lt;Total_Lanes,900*Peak_Time_Mor*($CN62/CU$53-1+SQRT(($CN62/CU$53-1)^2+8*($CN62/CU$53)/(Peak_Time_Mor*$O48*CU$53))),"-")</f>
        <v>0.051134222396132</v>
      </c>
      <c r="CV62" s="483" t="n">
        <f aca="false">IF(CV$53&lt;Total_Lanes,900*Peak_Time_Mor*($CN62/CV$53-1+SQRT(($CN62/CV$53-1)^2+8*($CN62/CV$53)/(Peak_Time_Mor*$O48*CV$53))),"-")</f>
        <v>0.0384332950145172</v>
      </c>
      <c r="CW62" s="483" t="n">
        <f aca="false">IF(CW$53&lt;Total_Lanes,900*Peak_Time_Mor*($CN62/CW$53-1+SQRT(($CN62/CW$53-1)^2+8*($CN62/CW$53)/(Peak_Time_Mor*$O48*CW$53))),"-")</f>
        <v>0.0299409317890742</v>
      </c>
      <c r="CX62" s="483" t="n">
        <f aca="false">IF(CX$53&lt;Total_Lanes,900*Peak_Time_Mor*($CN62/CX$53-1+SQRT(($CN62/CX$53-1)^2+8*($CN62/CX$53)/(Peak_Time_Mor*$O48*CX$53))),"-")</f>
        <v>0.0239829222573373</v>
      </c>
      <c r="CY62" s="483" t="n">
        <f aca="false">IF(CY$53&lt;Total_Lanes,900*Peak_Time_Mor*($CN62/CY$53-1+SQRT(($CN62/CY$53-1)^2+8*($CN62/CY$53)/(Peak_Time_Mor*$O48*CY$53))),"-")</f>
        <v>0.0196421847037387</v>
      </c>
      <c r="CZ62" s="483" t="str">
        <f aca="false">IF(CZ$53&lt;Total_Lanes,900*Peak_Time_Mor*($CN62/CZ$53-1+SQRT(($CN62/CZ$53-1)^2+8*($CN62/CZ$53)/(Peak_Time_Mor*$O48*CZ$53))),"-")</f>
        <v>-</v>
      </c>
      <c r="DA62" s="483" t="str">
        <f aca="false">IF(DA$53&lt;Total_Lanes,900*Peak_Time_Mor*($CN62/DA$53-1+SQRT(($CN62/DA$53-1)^2+8*($CN62/DA$53)/(Peak_Time_Mor*$O48*DA$53))),"-")</f>
        <v>-</v>
      </c>
      <c r="DB62" s="483" t="str">
        <f aca="false">IF(DB$53&lt;Total_Lanes,900*Peak_Time_Mor*($CN62/DB$53-1+SQRT(($CN62/DB$53-1)^2+8*($CN62/DB$53)/(Peak_Time_Mor*$O48*DB$53))),"-")</f>
        <v>-</v>
      </c>
      <c r="DC62" s="483" t="str">
        <f aca="false">IF(DC$53&lt;Total_Lanes,900*Peak_Time_Mor*($CN62/DC$53-1+SQRT(($CN62/DC$53-1)^2+8*($CN62/DC$53)/(Peak_Time_Mor*$O48*DC$53))),"-")</f>
        <v>-</v>
      </c>
      <c r="DD62" s="483" t="str">
        <f aca="false">IF(DD$53&lt;Total_Lanes,900*Peak_Time_Mor*($CN62/DD$53-1+SQRT(($CN62/DD$53-1)^2+8*($CN62/DD$53)/(Peak_Time_Mor*$O48*DD$53))),"-")</f>
        <v>-</v>
      </c>
      <c r="DE62" s="483" t="str">
        <f aca="false">IF(DE$53&lt;Total_Lanes,900*Peak_Time_Mor*($CN62/DE$53-1+SQRT(($CN62/DE$53-1)^2+8*($CN62/DE$53)/(Peak_Time_Mor*$O48*DE$53))),"-")</f>
        <v>-</v>
      </c>
      <c r="DF62" s="483" t="str">
        <f aca="false">IF(DF$53&lt;Total_Lanes,900*Peak_Time_Mor*($CN62/DF$53-1+SQRT(($CN62/DF$53-1)^2+8*($CN62/DF$53)/(Peak_Time_Mor*$O48*DF$53))),"-")</f>
        <v>-</v>
      </c>
      <c r="DG62" s="483" t="str">
        <f aca="false">IF(DG$53&lt;Total_Lanes,900*Peak_Time_Mor*($CN62/DG$53-1+SQRT(($CN62/DG$53-1)^2+8*($CN62/DG$53)/(Peak_Time_Mor*$O48*DG$53))),"-")</f>
        <v>-</v>
      </c>
      <c r="DH62" s="483" t="str">
        <f aca="false">IF(DH$53&lt;Total_Lanes,900*Peak_Time_Mor*($CN62/DH$53-1+SQRT(($CN62/DH$53-1)^2+8*($CN62/DH$53)/(Peak_Time_Mor*$O48*DH$53))),"-")</f>
        <v>-</v>
      </c>
      <c r="DI62" s="484" t="str">
        <f aca="false">IF(DI$53&lt;Total_Lanes,900*Peak_Time_Mor*($CN62/DI$53-1+SQRT(($CN62/DI$53-1)^2+8*($CN62/DI$53)/(Peak_Time_Mor*$O48*DI$53))),"-")</f>
        <v>-</v>
      </c>
      <c r="DJ62" s="555" t="n">
        <f aca="false">3600/$O48</f>
        <v>2.4</v>
      </c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8"/>
      <c r="HQ62" s="18"/>
      <c r="HR62" s="18"/>
      <c r="HS62" s="18"/>
      <c r="HT62" s="18"/>
      <c r="HU62" s="18"/>
      <c r="HV62" s="18"/>
      <c r="HW62" s="18"/>
      <c r="HX62" s="18"/>
      <c r="HY62" s="18"/>
      <c r="HZ62" s="18"/>
      <c r="IA62" s="18"/>
      <c r="IB62" s="18"/>
      <c r="IC62" s="18"/>
      <c r="ID62" s="18"/>
      <c r="IE62" s="18"/>
      <c r="IF62" s="18"/>
      <c r="IG62" s="18"/>
      <c r="IH62" s="18"/>
      <c r="II62" s="18"/>
      <c r="IJ62" s="18"/>
      <c r="IK62" s="18"/>
      <c r="IL62" s="18"/>
      <c r="IM62" s="18"/>
      <c r="IN62" s="18"/>
      <c r="IO62" s="18"/>
      <c r="IP62" s="18"/>
      <c r="IQ62" s="18"/>
      <c r="IR62" s="18"/>
      <c r="IS62" s="18"/>
      <c r="IT62" s="18"/>
      <c r="IU62" s="18"/>
      <c r="IV62" s="18"/>
      <c r="IW62" s="18"/>
    </row>
    <row r="63" customFormat="false" ht="13.2" hidden="false" customHeight="false" outlineLevel="0" collapsed="false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440" t="n">
        <v>9</v>
      </c>
      <c r="W63" s="441" t="n">
        <f aca="false">W16</f>
        <v>23958895.15</v>
      </c>
      <c r="X63" s="442" t="n">
        <f aca="false">X16</f>
        <v>0.5</v>
      </c>
      <c r="Y63" s="441" t="n">
        <f aca="false">Y16</f>
        <v>10331.3605860653</v>
      </c>
      <c r="Z63" s="449" t="n">
        <f aca="false">W63/Y63</f>
        <v>2319.04548780488</v>
      </c>
      <c r="AA63" s="554" t="n">
        <f aca="false">AA16</f>
        <v>2</v>
      </c>
      <c r="AB63" s="474" t="n">
        <f aca="false">1-AB16</f>
        <v>0.3</v>
      </c>
      <c r="AC63" s="445" t="n">
        <f aca="false">Y63*AB63</f>
        <v>3099.4081758196</v>
      </c>
      <c r="AD63" s="467" t="n">
        <f aca="false">Peak_Time_Mor*$BH63*(CH63+BK63)/3600</f>
        <v>11.9419564467564</v>
      </c>
      <c r="AE63" s="453" t="n">
        <f aca="false">IF(AE$53&lt;Total_Lanes,($BI63*($CH63+BM63)+$CM63*CO63)*Peak_Time_Mor/3600,"-")</f>
        <v>153.56159559937</v>
      </c>
      <c r="AF63" s="453" t="n">
        <f aca="false">IF(AF$53&lt;Total_Lanes,($BI63*($CH63+BN63)+$CM63*CP63)*Peak_Time_Mor/3600,"-")</f>
        <v>7.16790035855934</v>
      </c>
      <c r="AG63" s="453" t="n">
        <f aca="false">IF(AG$53&lt;Total_Lanes,($BI63*($CH63+BO63)+$CM63*CQ63)*Peak_Time_Mor/3600,"-")</f>
        <v>6.49676146216946</v>
      </c>
      <c r="AH63" s="453" t="n">
        <f aca="false">IF(AH$53&lt;Total_Lanes,($BI63*($CH63+BP63)+$CM63*CR63)*Peak_Time_Mor/3600,"-")</f>
        <v>6.42206860309142</v>
      </c>
      <c r="AI63" s="453" t="n">
        <f aca="false">IF(AI$53&lt;Total_Lanes,($BI63*($CH63+BQ63)+$CM63*CS63)*Peak_Time_Mor/3600,"-")</f>
        <v>6.52584912827136</v>
      </c>
      <c r="AJ63" s="453" t="n">
        <f aca="false">IF(AJ$53&lt;Total_Lanes,($BI63*($CH63+BR63)+$CM63*CT63)*Peak_Time_Mor/3600,"-")</f>
        <v>6.81246848476682</v>
      </c>
      <c r="AK63" s="453" t="n">
        <f aca="false">IF(AK$53&lt;Total_Lanes,($BI63*($CH63+BS63)+$CM63*CU63)*Peak_Time_Mor/3600,"-")</f>
        <v>7.50023133431571</v>
      </c>
      <c r="AL63" s="453" t="n">
        <f aca="false">IF(AL$53&lt;Total_Lanes,($BI63*($CH63+BT63)+$CM63*CV63)*Peak_Time_Mor/3600,"-")</f>
        <v>9.74704674034056</v>
      </c>
      <c r="AM63" s="453" t="n">
        <f aca="false">IF(AM$53&lt;Total_Lanes,($BI63*($CH63+BU63)+$CM63*CW63)*Peak_Time_Mor/3600,"-")</f>
        <v>49.5084408992458</v>
      </c>
      <c r="AN63" s="453" t="n">
        <f aca="false">IF(AN$53&lt;Total_Lanes,($BI63*($CH63+BV63)+$CM63*CX63)*Peak_Time_Mor/3600,"-")</f>
        <v>1429.48420398099</v>
      </c>
      <c r="AO63" s="453" t="n">
        <f aca="false">IF(AO$53&lt;Total_Lanes,($BI63*($CH63+BW63)+$CM63*CY63)*Peak_Time_Mor/3600,"-")</f>
        <v>5942.91077495704</v>
      </c>
      <c r="AP63" s="453" t="str">
        <f aca="false">IF(AP$53&lt;Total_Lanes,($BI63*($CH63+BX63)+$CM63*CZ63)*Peak_Time_Mor/3600,"-")</f>
        <v>-</v>
      </c>
      <c r="AQ63" s="453" t="str">
        <f aca="false">IF(AQ$53&lt;Total_Lanes,($BI63*($CH63+BY63)+$CM63*DA63)*Peak_Time_Mor/3600,"-")</f>
        <v>-</v>
      </c>
      <c r="AR63" s="453" t="str">
        <f aca="false">IF(AR$53&lt;Total_Lanes,($BI63*($CH63+BZ63)+$CM63*DB63)*Peak_Time_Mor/3600,"-")</f>
        <v>-</v>
      </c>
      <c r="AS63" s="453" t="str">
        <f aca="false">IF(AS$53&lt;Total_Lanes,($BI63*($CH63+CA63)+$CM63*DC63)*Peak_Time_Mor/3600,"-")</f>
        <v>-</v>
      </c>
      <c r="AT63" s="453" t="str">
        <f aca="false">IF(AT$53&lt;Total_Lanes,($BI63*($CH63+CB63)+$CM63*DD63)*Peak_Time_Mor/3600,"-")</f>
        <v>-</v>
      </c>
      <c r="AU63" s="453" t="str">
        <f aca="false">IF(AU$53&lt;Total_Lanes,($BI63*($CH63+CC63)+$CM63*DE63)*Peak_Time_Mor/3600,"-")</f>
        <v>-</v>
      </c>
      <c r="AV63" s="453" t="str">
        <f aca="false">IF(AV$53&lt;Total_Lanes,($BI63*($CH63+CD63)+$CM63*DF63)*Peak_Time_Mor/3600,"-")</f>
        <v>-</v>
      </c>
      <c r="AW63" s="453" t="str">
        <f aca="false">IF(AW$53&lt;Total_Lanes,($BI63*($CH63+CE63)+$CM63*DG63)*Peak_Time_Mor/3600,"-")</f>
        <v>-</v>
      </c>
      <c r="AX63" s="453" t="str">
        <f aca="false">IF(AX$53&lt;Total_Lanes,($BI63*($CH63+CF63)+$CM63*DH63)*Peak_Time_Mor/3600,"-")</f>
        <v>-</v>
      </c>
      <c r="AY63" s="454" t="str">
        <f aca="false">IF(AY$53&lt;Total_Lanes,($BI63*($CH63+CG63)+$CM63*DI63)*Peak_Time_Mor/3600,"-")</f>
        <v>-</v>
      </c>
      <c r="AZ63" s="475" t="n">
        <f aca="false">SUMIF(AE63:AY63,BA63,$AE$53:$AY$53)</f>
        <v>4</v>
      </c>
      <c r="BA63" s="476" t="n">
        <f aca="false">MIN(AE63:AY63)</f>
        <v>6.42206860309142</v>
      </c>
      <c r="BB63" s="475" t="n">
        <f aca="false">IF((SUMIF($BM61:$CG61,$AZ63,$BM63:$CG63)+$CH63)&lt;(SUMIF($CO61:$DI61,$AZ63,$CO63:$DI63)+$DJ63),AZ63+1,AZ63)</f>
        <v>4</v>
      </c>
      <c r="BC63" s="476" t="n">
        <f aca="false">SUMIF($AE$53:$AY$53,$BB63,$AE63:$AY63)</f>
        <v>6.42206860309142</v>
      </c>
      <c r="BF63" s="440" t="n">
        <v>9</v>
      </c>
      <c r="BG63" s="442" t="n">
        <f aca="false">$X63</f>
        <v>0.5</v>
      </c>
      <c r="BH63" s="451" t="n">
        <f aca="false">$AC63</f>
        <v>3099.4081758196</v>
      </c>
      <c r="BI63" s="452" t="n">
        <f aca="false">BH63*(1-BG63)</f>
        <v>1549.7040879098</v>
      </c>
      <c r="BJ63" s="460" t="n">
        <f aca="false">Peak_Arrival_Manual_Mor/K49</f>
        <v>2.83036232722415</v>
      </c>
      <c r="BK63" s="549" t="n">
        <f aca="false">900*Peak_Time_Mor*($BJ63/Total_Lanes-1+SQRT(($BJ63/Total_Lanes-1)^2+8*($BJ63/Total_Lanes)/(Peak_Time_Mor*$K49*Total_Lanes)))</f>
        <v>0.169113264464915</v>
      </c>
      <c r="BL63" s="460" t="n">
        <f aca="false">Peak_Arrival_Manual_Mor/N49</f>
        <v>2.91269035689436</v>
      </c>
      <c r="BM63" s="550" t="n">
        <f aca="false">IF(BM$6&lt;Total_Lanes,900*Peak_Time_Mor*($BL63/(Total_Lanes-BM$6)-1+SQRT(($BL63/(Total_Lanes-BM$6)-1)^2+8*($BL63/(Total_Lanes-BM$6))/(Peak_Time_Mor*$N49*(Total_Lanes-BM$6)))),"-")</f>
        <v>0.221518119019937</v>
      </c>
      <c r="BN63" s="483" t="n">
        <f aca="false">IF(BN$6&lt;Total_Lanes,900*Peak_Time_Mor*($BL63/(Total_Lanes-BN$6)-1+SQRT(($BL63/(Total_Lanes-BN$6)-1)^2+8*($BL63/(Total_Lanes-BN$6))/(Peak_Time_Mor*$N49*(Total_Lanes-BN$6)))),"-")</f>
        <v>0.278044062716498</v>
      </c>
      <c r="BO63" s="483" t="n">
        <f aca="false">IF(BO$6&lt;Total_Lanes,900*Peak_Time_Mor*($BL63/(Total_Lanes-BO$6)-1+SQRT(($BL63/(Total_Lanes-BO$6)-1)^2+8*($BL63/(Total_Lanes-BO$6))/(Peak_Time_Mor*$N49*(Total_Lanes-BO$6)))),"-")</f>
        <v>0.359675046111563</v>
      </c>
      <c r="BP63" s="483" t="n">
        <f aca="false">IF(BP$6&lt;Total_Lanes,900*Peak_Time_Mor*($BL63/(Total_Lanes-BP$6)-1+SQRT(($BL63/(Total_Lanes-BP$6)-1)^2+8*($BL63/(Total_Lanes-BP$6))/(Peak_Time_Mor*$N49*(Total_Lanes-BP$6)))),"-")</f>
        <v>0.484141558164164</v>
      </c>
      <c r="BQ63" s="483" t="n">
        <f aca="false">IF(BQ$6&lt;Total_Lanes,900*Peak_Time_Mor*($BL63/(Total_Lanes-BQ$6)-1+SQRT(($BL63/(Total_Lanes-BQ$6)-1)^2+8*($BL63/(Total_Lanes-BQ$6))/(Peak_Time_Mor*$N49*(Total_Lanes-BQ$6)))),"-")</f>
        <v>0.688596060261459</v>
      </c>
      <c r="BR63" s="483" t="n">
        <f aca="false">IF(BR$6&lt;Total_Lanes,900*Peak_Time_Mor*($BL63/(Total_Lanes-BR$6)-1+SQRT(($BL63/(Total_Lanes-BR$6)-1)^2+8*($BL63/(Total_Lanes-BR$6))/(Peak_Time_Mor*$N49*(Total_Lanes-BR$6)))),"-")</f>
        <v>1.06331439717267</v>
      </c>
      <c r="BS63" s="483" t="n">
        <f aca="false">IF(BS$6&lt;Total_Lanes,900*Peak_Time_Mor*($BL63/(Total_Lanes-BS$6)-1+SQRT(($BL63/(Total_Lanes-BS$6)-1)^2+8*($BL63/(Total_Lanes-BS$6))/(Peak_Time_Mor*$N49*(Total_Lanes-BS$6)))),"-")</f>
        <v>1.88599616082878</v>
      </c>
      <c r="BT63" s="483" t="n">
        <f aca="false">IF(BT$6&lt;Total_Lanes,900*Peak_Time_Mor*($BL63/(Total_Lanes-BT$6)-1+SQRT(($BL63/(Total_Lanes-BT$6)-1)^2+8*($BL63/(Total_Lanes-BT$6))/(Peak_Time_Mor*$N49*(Total_Lanes-BT$6)))),"-")</f>
        <v>4.51057519513369</v>
      </c>
      <c r="BU63" s="483" t="n">
        <f aca="false">IF(BU$6&lt;Total_Lanes,900*Peak_Time_Mor*($BL63/(Total_Lanes-BU$6)-1+SQRT(($BL63/(Total_Lanes-BU$6)-1)^2+8*($BL63/(Total_Lanes-BU$6))/(Peak_Time_Mor*$N49*(Total_Lanes-BU$6)))),"-")</f>
        <v>50.7038208458228</v>
      </c>
      <c r="BV63" s="483" t="n">
        <f aca="false">IF(BV$6&lt;Total_Lanes,900*Peak_Time_Mor*($BL63/(Total_Lanes-BV$6)-1+SQRT(($BL63/(Total_Lanes-BV$6)-1)^2+8*($BL63/(Total_Lanes-BV$6))/(Peak_Time_Mor*$N49*(Total_Lanes-BV$6)))),"-")</f>
        <v>1653.56925213106</v>
      </c>
      <c r="BW63" s="551" t="n">
        <f aca="false">IF(BW$6&lt;Total_Lanes,900*Peak_Time_Mor*($BL63/(Total_Lanes-BW$6)-1+SQRT(($BL63/(Total_Lanes-BW$6)-1)^2+8*($BL63/(Total_Lanes-BW$6))/(Peak_Time_Mor*$N49*(Total_Lanes-BW$6)))),"-")</f>
        <v>6895.97371847025</v>
      </c>
      <c r="BX63" s="483" t="str">
        <f aca="false">IF(BX$6&lt;Total_Lanes,900*Peak_Time_Mor*($BL63/(Total_Lanes-BX$6)-1+SQRT(($BL63/(Total_Lanes-BX$6)-1)^2+8*($BL63/(Total_Lanes-BX$6))/(Peak_Time_Mor*$N49*(Total_Lanes-BX$6)))),"-")</f>
        <v>-</v>
      </c>
      <c r="BY63" s="483" t="str">
        <f aca="false">IF(BY$6&lt;Total_Lanes,900*Peak_Time_Mor*($BL63/(Total_Lanes-BY$6)-1+SQRT(($BL63/(Total_Lanes-BY$6)-1)^2+8*($BL63/(Total_Lanes-BY$6))/(Peak_Time_Mor*$N49*(Total_Lanes-BY$6)))),"-")</f>
        <v>-</v>
      </c>
      <c r="BZ63" s="483" t="str">
        <f aca="false">IF(BZ$6&lt;Total_Lanes,900*Peak_Time_Mor*($BL63/(Total_Lanes-BZ$6)-1+SQRT(($BL63/(Total_Lanes-BZ$6)-1)^2+8*($BL63/(Total_Lanes-BZ$6))/(Peak_Time_Mor*$N49*(Total_Lanes-BZ$6)))),"-")</f>
        <v>-</v>
      </c>
      <c r="CA63" s="483" t="str">
        <f aca="false">IF(CA$6&lt;Total_Lanes,900*Peak_Time_Mor*($BL63/(Total_Lanes-CA$6)-1+SQRT(($BL63/(Total_Lanes-CA$6)-1)^2+8*($BL63/(Total_Lanes-CA$6))/(Peak_Time_Mor*$N49*(Total_Lanes-CA$6)))),"-")</f>
        <v>-</v>
      </c>
      <c r="CB63" s="483" t="str">
        <f aca="false">IF(CB$6&lt;Total_Lanes,900*Peak_Time_Mor*($BL63/(Total_Lanes-CB$6)-1+SQRT(($BL63/(Total_Lanes-CB$6)-1)^2+8*($BL63/(Total_Lanes-CB$6))/(Peak_Time_Mor*$N49*(Total_Lanes-CB$6)))),"-")</f>
        <v>-</v>
      </c>
      <c r="CC63" s="483" t="str">
        <f aca="false">IF(CC$6&lt;Total_Lanes,900*Peak_Time_Mor*($BL63/(Total_Lanes-CC$6)-1+SQRT(($BL63/(Total_Lanes-CC$6)-1)^2+8*($BL63/(Total_Lanes-CC$6))/(Peak_Time_Mor*$N49*(Total_Lanes-CC$6)))),"-")</f>
        <v>-</v>
      </c>
      <c r="CD63" s="483" t="str">
        <f aca="false">IF(CD$6&lt;Total_Lanes,900*Peak_Time_Mor*($BL63/(Total_Lanes-CD$6)-1+SQRT(($BL63/(Total_Lanes-CD$6)-1)^2+8*($BL63/(Total_Lanes-CD$6))/(Peak_Time_Mor*$N49*(Total_Lanes-CD$6)))),"-")</f>
        <v>-</v>
      </c>
      <c r="CE63" s="483" t="str">
        <f aca="false">IF(CE$6&lt;Total_Lanes,900*Peak_Time_Mor*($BL63/(Total_Lanes-CE$6)-1+SQRT(($BL63/(Total_Lanes-CE$6)-1)^2+8*($BL63/(Total_Lanes-CE$6))/(Peak_Time_Mor*$N49*(Total_Lanes-CE$6)))),"-")</f>
        <v>-</v>
      </c>
      <c r="CF63" s="483" t="str">
        <f aca="false">IF(CF$6&lt;Total_Lanes,900*Peak_Time_Mor*($BL63/(Total_Lanes-CF$6)-1+SQRT(($BL63/(Total_Lanes-CF$6)-1)^2+8*($BL63/(Total_Lanes-CF$6))/(Peak_Time_Mor*$N49*(Total_Lanes-CF$6)))),"-")</f>
        <v>-</v>
      </c>
      <c r="CG63" s="484" t="str">
        <f aca="false">IF(CG$6&lt;Total_Lanes,900*Peak_Time_Mor*($BL63/(Total_Lanes-CG$6)-1+SQRT(($BL63/(Total_Lanes-CG$6)-1)^2+8*($BL63/(Total_Lanes-CG$6))/(Peak_Time_Mor*$N49*(Total_Lanes-CG$6)))),"-")</f>
        <v>-</v>
      </c>
      <c r="CH63" s="555" t="n">
        <f aca="false">3600/N49</f>
        <v>6.76625</v>
      </c>
      <c r="CJ63" s="440" t="n">
        <v>9</v>
      </c>
      <c r="CK63" s="442" t="n">
        <f aca="false">$X63</f>
        <v>0.5</v>
      </c>
      <c r="CL63" s="467" t="n">
        <f aca="false">$AC63</f>
        <v>3099.4081758196</v>
      </c>
      <c r="CM63" s="467" t="n">
        <f aca="false">CL63*CK63</f>
        <v>1549.7040879098</v>
      </c>
      <c r="CN63" s="479" t="n">
        <f aca="false">CM63/O49</f>
        <v>1.03313605860653</v>
      </c>
      <c r="CO63" s="483" t="n">
        <f aca="false">IF(CO$53&lt;Total_Lanes,900*Peak_Time_Mor*($CN63/CO$53-1+SQRT(($CN63/CO$53-1)^2+8*($CN63/CO$53)/(Peak_Time_Mor*$O49*CO$53))),"-")</f>
        <v>171.37587835731</v>
      </c>
      <c r="CP63" s="483" t="n">
        <f aca="false">IF(CP$53&lt;Total_Lanes,900*Peak_Time_Mor*($CN63/CP$53-1+SQRT(($CN63/CP$53-1)^2+8*($CN63/CP$53)/(Peak_Time_Mor*$O49*CP$53))),"-")</f>
        <v>1.28130870626695</v>
      </c>
      <c r="CQ63" s="483" t="n">
        <f aca="false">IF(CQ$53&lt;Total_Lanes,900*Peak_Time_Mor*($CN63/CQ$53-1+SQRT(($CN63/CQ$53-1)^2+8*($CN63/CQ$53)/(Peak_Time_Mor*$O49*CQ$53))),"-")</f>
        <v>0.420141795383189</v>
      </c>
      <c r="CR63" s="483" t="n">
        <f aca="false">IF(CR$53&lt;Total_Lanes,900*Peak_Time_Mor*($CN63/CR$53-1+SQRT(($CN63/CR$53-1)^2+8*($CN63/CR$53)/(Peak_Time_Mor*$O49*CR$53))),"-")</f>
        <v>0.20891862611494</v>
      </c>
      <c r="CS63" s="483" t="n">
        <f aca="false">IF(CS$53&lt;Total_Lanes,900*Peak_Time_Mor*($CN63/CS$53-1+SQRT(($CN63/CS$53-1)^2+8*($CN63/CS$53)/(Peak_Time_Mor*$O49*CS$53))),"-")</f>
        <v>0.125006456441801</v>
      </c>
      <c r="CT63" s="483" t="n">
        <f aca="false">IF(CT$53&lt;Total_Lanes,900*Peak_Time_Mor*($CN63/CT$53-1+SQRT(($CN63/CT$53-1)^2+8*($CN63/CT$53)/(Peak_Time_Mor*$O49*CT$53))),"-")</f>
        <v>0.0831999610342749</v>
      </c>
      <c r="CU63" s="483" t="n">
        <f aca="false">IF(CU$53&lt;Total_Lanes,900*Peak_Time_Mor*($CN63/CU$53-1+SQRT(($CN63/CU$53-1)^2+8*($CN63/CU$53)/(Peak_Time_Mor*$O49*CU$53))),"-")</f>
        <v>0.0593630470795858</v>
      </c>
      <c r="CV63" s="483" t="n">
        <f aca="false">IF(CV$53&lt;Total_Lanes,900*Peak_Time_Mor*($CN63/CV$53-1+SQRT(($CN63/CV$53-1)^2+8*($CN63/CV$53)/(Peak_Time_Mor*$O49*CV$53))),"-")</f>
        <v>0.0444872215334069</v>
      </c>
      <c r="CW63" s="483" t="n">
        <f aca="false">IF(CW$53&lt;Total_Lanes,900*Peak_Time_Mor*($CN63/CW$53-1+SQRT(($CN63/CW$53-1)^2+8*($CN63/CW$53)/(Peak_Time_Mor*$O49*CW$53))),"-")</f>
        <v>0.0345807285552668</v>
      </c>
      <c r="CX63" s="483" t="n">
        <f aca="false">IF(CX$53&lt;Total_Lanes,900*Peak_Time_Mor*($CN63/CX$53-1+SQRT(($CN63/CX$53-1)^2+8*($CN63/CX$53)/(Peak_Time_Mor*$O49*CX$53))),"-")</f>
        <v>0.0276518671104675</v>
      </c>
      <c r="CY63" s="483" t="n">
        <f aca="false">IF(CY$53&lt;Total_Lanes,900*Peak_Time_Mor*($CN63/CY$53-1+SQRT(($CN63/CY$53-1)^2+8*($CN63/CY$53)/(Peak_Time_Mor*$O49*CY$53))),"-")</f>
        <v>0.0226159343766463</v>
      </c>
      <c r="CZ63" s="483" t="str">
        <f aca="false">IF(CZ$53&lt;Total_Lanes,900*Peak_Time_Mor*($CN63/CZ$53-1+SQRT(($CN63/CZ$53-1)^2+8*($CN63/CZ$53)/(Peak_Time_Mor*$O49*CZ$53))),"-")</f>
        <v>-</v>
      </c>
      <c r="DA63" s="483" t="str">
        <f aca="false">IF(DA$53&lt;Total_Lanes,900*Peak_Time_Mor*($CN63/DA$53-1+SQRT(($CN63/DA$53-1)^2+8*($CN63/DA$53)/(Peak_Time_Mor*$O49*DA$53))),"-")</f>
        <v>-</v>
      </c>
      <c r="DB63" s="483" t="str">
        <f aca="false">IF(DB$53&lt;Total_Lanes,900*Peak_Time_Mor*($CN63/DB$53-1+SQRT(($CN63/DB$53-1)^2+8*($CN63/DB$53)/(Peak_Time_Mor*$O49*DB$53))),"-")</f>
        <v>-</v>
      </c>
      <c r="DC63" s="483" t="str">
        <f aca="false">IF(DC$53&lt;Total_Lanes,900*Peak_Time_Mor*($CN63/DC$53-1+SQRT(($CN63/DC$53-1)^2+8*($CN63/DC$53)/(Peak_Time_Mor*$O49*DC$53))),"-")</f>
        <v>-</v>
      </c>
      <c r="DD63" s="483" t="str">
        <f aca="false">IF(DD$53&lt;Total_Lanes,900*Peak_Time_Mor*($CN63/DD$53-1+SQRT(($CN63/DD$53-1)^2+8*($CN63/DD$53)/(Peak_Time_Mor*$O49*DD$53))),"-")</f>
        <v>-</v>
      </c>
      <c r="DE63" s="483" t="str">
        <f aca="false">IF(DE$53&lt;Total_Lanes,900*Peak_Time_Mor*($CN63/DE$53-1+SQRT(($CN63/DE$53-1)^2+8*($CN63/DE$53)/(Peak_Time_Mor*$O49*DE$53))),"-")</f>
        <v>-</v>
      </c>
      <c r="DF63" s="483" t="str">
        <f aca="false">IF(DF$53&lt;Total_Lanes,900*Peak_Time_Mor*($CN63/DF$53-1+SQRT(($CN63/DF$53-1)^2+8*($CN63/DF$53)/(Peak_Time_Mor*$O49*DF$53))),"-")</f>
        <v>-</v>
      </c>
      <c r="DG63" s="483" t="str">
        <f aca="false">IF(DG$53&lt;Total_Lanes,900*Peak_Time_Mor*($CN63/DG$53-1+SQRT(($CN63/DG$53-1)^2+8*($CN63/DG$53)/(Peak_Time_Mor*$O49*DG$53))),"-")</f>
        <v>-</v>
      </c>
      <c r="DH63" s="483" t="str">
        <f aca="false">IF(DH$53&lt;Total_Lanes,900*Peak_Time_Mor*($CN63/DH$53-1+SQRT(($CN63/DH$53-1)^2+8*($CN63/DH$53)/(Peak_Time_Mor*$O49*DH$53))),"-")</f>
        <v>-</v>
      </c>
      <c r="DI63" s="484" t="str">
        <f aca="false">IF(DI$53&lt;Total_Lanes,900*Peak_Time_Mor*($CN63/DI$53-1+SQRT(($CN63/DI$53-1)^2+8*($CN63/DI$53)/(Peak_Time_Mor*$O49*DI$53))),"-")</f>
        <v>-</v>
      </c>
      <c r="DJ63" s="555" t="n">
        <f aca="false">3600/$O49</f>
        <v>2.4</v>
      </c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18"/>
      <c r="HR63" s="18"/>
      <c r="HS63" s="18"/>
      <c r="HT63" s="18"/>
      <c r="HU63" s="18"/>
      <c r="HV63" s="18"/>
      <c r="HW63" s="18"/>
      <c r="HX63" s="18"/>
      <c r="HY63" s="18"/>
      <c r="HZ63" s="18"/>
      <c r="IA63" s="18"/>
      <c r="IB63" s="18"/>
      <c r="IC63" s="18"/>
      <c r="ID63" s="18"/>
      <c r="IE63" s="18"/>
      <c r="IF63" s="18"/>
      <c r="IG63" s="18"/>
      <c r="IH63" s="18"/>
      <c r="II63" s="18"/>
      <c r="IJ63" s="18"/>
      <c r="IK63" s="18"/>
      <c r="IL63" s="18"/>
      <c r="IM63" s="18"/>
      <c r="IN63" s="18"/>
      <c r="IO63" s="18"/>
      <c r="IP63" s="18"/>
      <c r="IQ63" s="18"/>
      <c r="IR63" s="18"/>
      <c r="IS63" s="18"/>
      <c r="IT63" s="18"/>
      <c r="IU63" s="18"/>
      <c r="IV63" s="18"/>
      <c r="IW63" s="18"/>
    </row>
    <row r="64" customFormat="false" ht="13.2" hidden="false" customHeight="fals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440" t="n">
        <v>10</v>
      </c>
      <c r="W64" s="441" t="n">
        <f aca="false">W17</f>
        <v>24508086.5</v>
      </c>
      <c r="X64" s="442" t="n">
        <f aca="false">X17</f>
        <v>0.55</v>
      </c>
      <c r="Y64" s="441" t="n">
        <f aca="false">Y17</f>
        <v>10568.1784289615</v>
      </c>
      <c r="Z64" s="449" t="n">
        <f aca="false">W64/Y64</f>
        <v>2319.04548780488</v>
      </c>
      <c r="AA64" s="554" t="n">
        <f aca="false">AA17</f>
        <v>2</v>
      </c>
      <c r="AB64" s="474" t="n">
        <f aca="false">1-AB17</f>
        <v>0.3</v>
      </c>
      <c r="AC64" s="445" t="n">
        <f aca="false">Y64*AB64</f>
        <v>3170.45352868845</v>
      </c>
      <c r="AD64" s="467" t="n">
        <f aca="false">Peak_Time_Mor*$BH64*(CH64+BK64)/3600</f>
        <v>12.2229241780765</v>
      </c>
      <c r="AE64" s="453" t="n">
        <f aca="false">IF(AE$53&lt;Total_Lanes,($BI64*($CH64+BM64)+$CM64*CO64)*Peak_Time_Mor/3600,"-")</f>
        <v>588.426704935729</v>
      </c>
      <c r="AF64" s="453" t="n">
        <f aca="false">IF(AF$53&lt;Total_Lanes,($BI64*($CH64+BN64)+$CM64*CP64)*Peak_Time_Mor/3600,"-")</f>
        <v>7.18964940706079</v>
      </c>
      <c r="AG64" s="453" t="n">
        <f aca="false">IF(AG$53&lt;Total_Lanes,($BI64*($CH64+BO64)+$CM64*CQ64)*Peak_Time_Mor/3600,"-")</f>
        <v>6.12484551303146</v>
      </c>
      <c r="AH64" s="453" t="n">
        <f aca="false">IF(AH$53&lt;Total_Lanes,($BI64*($CH64+BP64)+$CM64*CR64)*Peak_Time_Mor/3600,"-")</f>
        <v>5.95857322044775</v>
      </c>
      <c r="AI64" s="453" t="n">
        <f aca="false">IF(AI$53&lt;Total_Lanes,($BI64*($CH64+BQ64)+$CM64*CS64)*Peak_Time_Mor/3600,"-")</f>
        <v>6.0002445837577</v>
      </c>
      <c r="AJ64" s="453" t="n">
        <f aca="false">IF(AJ$53&lt;Total_Lanes,($BI64*($CH64+BR64)+$CM64*CT64)*Peak_Time_Mor/3600,"-")</f>
        <v>6.20130227261894</v>
      </c>
      <c r="AK64" s="453" t="n">
        <f aca="false">IF(AK$53&lt;Total_Lanes,($BI64*($CH64+BS64)+$CM64*CU64)*Peak_Time_Mor/3600,"-")</f>
        <v>6.69772098646688</v>
      </c>
      <c r="AL64" s="453" t="n">
        <f aca="false">IF(AL$53&lt;Total_Lanes,($BI64*($CH64+BT64)+$CM64*CV64)*Peak_Time_Mor/3600,"-")</f>
        <v>8.18274722719246</v>
      </c>
      <c r="AM64" s="453" t="n">
        <f aca="false">IF(AM$53&lt;Total_Lanes,($BI64*($CH64+BU64)+$CM64*CW64)*Peak_Time_Mor/3600,"-")</f>
        <v>20.2314192650827</v>
      </c>
      <c r="AN64" s="453" t="n">
        <f aca="false">IF(AN$53&lt;Total_Lanes,($BI64*($CH64+BV64)+$CM64*CX64)*Peak_Time_Mor/3600,"-")</f>
        <v>1000.11696008827</v>
      </c>
      <c r="AO64" s="453" t="n">
        <f aca="false">IF(AO$53&lt;Total_Lanes,($BI64*($CH64+BW64)+$CM64*CY64)*Peak_Time_Mor/3600,"-")</f>
        <v>4836.01786118726</v>
      </c>
      <c r="AP64" s="453" t="str">
        <f aca="false">IF(AP$53&lt;Total_Lanes,($BI64*($CH64+BX64)+$CM64*CZ64)*Peak_Time_Mor/3600,"-")</f>
        <v>-</v>
      </c>
      <c r="AQ64" s="453" t="str">
        <f aca="false">IF(AQ$53&lt;Total_Lanes,($BI64*($CH64+BY64)+$CM64*DA64)*Peak_Time_Mor/3600,"-")</f>
        <v>-</v>
      </c>
      <c r="AR64" s="453" t="str">
        <f aca="false">IF(AR$53&lt;Total_Lanes,($BI64*($CH64+BZ64)+$CM64*DB64)*Peak_Time_Mor/3600,"-")</f>
        <v>-</v>
      </c>
      <c r="AS64" s="453" t="str">
        <f aca="false">IF(AS$53&lt;Total_Lanes,($BI64*($CH64+CA64)+$CM64*DC64)*Peak_Time_Mor/3600,"-")</f>
        <v>-</v>
      </c>
      <c r="AT64" s="453" t="str">
        <f aca="false">IF(AT$53&lt;Total_Lanes,($BI64*($CH64+CB64)+$CM64*DD64)*Peak_Time_Mor/3600,"-")</f>
        <v>-</v>
      </c>
      <c r="AU64" s="453" t="str">
        <f aca="false">IF(AU$53&lt;Total_Lanes,($BI64*($CH64+CC64)+$CM64*DE64)*Peak_Time_Mor/3600,"-")</f>
        <v>-</v>
      </c>
      <c r="AV64" s="453" t="str">
        <f aca="false">IF(AV$53&lt;Total_Lanes,($BI64*($CH64+CD64)+$CM64*DF64)*Peak_Time_Mor/3600,"-")</f>
        <v>-</v>
      </c>
      <c r="AW64" s="453" t="str">
        <f aca="false">IF(AW$53&lt;Total_Lanes,($BI64*($CH64+CE64)+$CM64*DG64)*Peak_Time_Mor/3600,"-")</f>
        <v>-</v>
      </c>
      <c r="AX64" s="453" t="str">
        <f aca="false">IF(AX$53&lt;Total_Lanes,($BI64*($CH64+CF64)+$CM64*DH64)*Peak_Time_Mor/3600,"-")</f>
        <v>-</v>
      </c>
      <c r="AY64" s="454" t="str">
        <f aca="false">IF(AY$53&lt;Total_Lanes,($BI64*($CH64+CG64)+$CM64*DI64)*Peak_Time_Mor/3600,"-")</f>
        <v>-</v>
      </c>
      <c r="AZ64" s="475" t="n">
        <f aca="false">SUMIF(AE64:AY64,BA64,$AE$53:$AY$53)</f>
        <v>4</v>
      </c>
      <c r="BA64" s="476" t="n">
        <f aca="false">MIN(AE64:AY64)</f>
        <v>5.95857322044775</v>
      </c>
      <c r="BB64" s="475" t="n">
        <f aca="false">IF((SUMIF($BM62:$CG62,$AZ64,$BM64:$CG64)+$CH64)&lt;(SUMIF($CO62:$DI62,$AZ64,$CO64:$DI64)+$DJ64),AZ64+1,AZ64)</f>
        <v>4</v>
      </c>
      <c r="BC64" s="476" t="n">
        <f aca="false">SUMIF($AE$53:$AY$53,$BB64,$AE64:$AY64)</f>
        <v>5.95857322044775</v>
      </c>
      <c r="BF64" s="440" t="n">
        <v>10</v>
      </c>
      <c r="BG64" s="442" t="n">
        <f aca="false">$X64</f>
        <v>0.55</v>
      </c>
      <c r="BH64" s="451" t="n">
        <f aca="false">$AC64</f>
        <v>3170.45352868845</v>
      </c>
      <c r="BI64" s="452" t="n">
        <f aca="false">BH64*(1-BG64)</f>
        <v>1426.7040879098</v>
      </c>
      <c r="BJ64" s="460" t="n">
        <f aca="false">Peak_Arrival_Manual_Mor/K50</f>
        <v>2.60571649389082</v>
      </c>
      <c r="BK64" s="549" t="n">
        <f aca="false">900*Peak_Time_Mor*($BJ64/Total_Lanes-1+SQRT(($BJ64/Total_Lanes-1)^2+8*($BJ64/Total_Lanes)/(Peak_Time_Mor*$K50*Total_Lanes)))</f>
        <v>0.151968855624318</v>
      </c>
      <c r="BL64" s="460" t="n">
        <f aca="false">Peak_Arrival_Manual_Mor/N50</f>
        <v>2.68993166574661</v>
      </c>
      <c r="BM64" s="550" t="n">
        <f aca="false">IF(BM$6&lt;Total_Lanes,900*Peak_Time_Mor*($BL64/(Total_Lanes-BM$6)-1+SQRT(($BL64/(Total_Lanes-BM$6)-1)^2+8*($BL64/(Total_Lanes-BM$6))/(Peak_Time_Mor*$N50*(Total_Lanes-BM$6)))),"-")</f>
        <v>0.199720165970763</v>
      </c>
      <c r="BN64" s="483" t="n">
        <f aca="false">IF(BN$6&lt;Total_Lanes,900*Peak_Time_Mor*($BL64/(Total_Lanes-BN$6)-1+SQRT(($BL64/(Total_Lanes-BN$6)-1)^2+8*($BL64/(Total_Lanes-BN$6))/(Peak_Time_Mor*$N50*(Total_Lanes-BN$6)))),"-")</f>
        <v>0.249740191773307</v>
      </c>
      <c r="BO64" s="483" t="n">
        <f aca="false">IF(BO$6&lt;Total_Lanes,900*Peak_Time_Mor*($BL64/(Total_Lanes-BO$6)-1+SQRT(($BL64/(Total_Lanes-BO$6)-1)^2+8*($BL64/(Total_Lanes-BO$6))/(Peak_Time_Mor*$N50*(Total_Lanes-BO$6)))),"-")</f>
        <v>0.321454278834454</v>
      </c>
      <c r="BP64" s="483" t="n">
        <f aca="false">IF(BP$6&lt;Total_Lanes,900*Peak_Time_Mor*($BL64/(Total_Lanes-BP$6)-1+SQRT(($BL64/(Total_Lanes-BP$6)-1)^2+8*($BL64/(Total_Lanes-BP$6))/(Peak_Time_Mor*$N50*(Total_Lanes-BP$6)))),"-")</f>
        <v>0.429717360514403</v>
      </c>
      <c r="BQ64" s="483" t="n">
        <f aca="false">IF(BQ$6&lt;Total_Lanes,900*Peak_Time_Mor*($BL64/(Total_Lanes-BQ$6)-1+SQRT(($BL64/(Total_Lanes-BQ$6)-1)^2+8*($BL64/(Total_Lanes-BQ$6))/(Peak_Time_Mor*$N50*(Total_Lanes-BQ$6)))),"-")</f>
        <v>0.604993036021573</v>
      </c>
      <c r="BR64" s="483" t="n">
        <f aca="false">IF(BR$6&lt;Total_Lanes,900*Peak_Time_Mor*($BL64/(Total_Lanes-BR$6)-1+SQRT(($BL64/(Total_Lanes-BR$6)-1)^2+8*($BL64/(Total_Lanes-BR$6))/(Peak_Time_Mor*$N50*(Total_Lanes-BR$6)))),"-")</f>
        <v>0.918886752466075</v>
      </c>
      <c r="BS64" s="483" t="n">
        <f aca="false">IF(BS$6&lt;Total_Lanes,900*Peak_Time_Mor*($BL64/(Total_Lanes-BS$6)-1+SQRT(($BL64/(Total_Lanes-BS$6)-1)^2+8*($BL64/(Total_Lanes-BS$6))/(Peak_Time_Mor*$N50*(Total_Lanes-BS$6)))),"-")</f>
        <v>1.57922532380077</v>
      </c>
      <c r="BT64" s="483" t="n">
        <f aca="false">IF(BT$6&lt;Total_Lanes,900*Peak_Time_Mor*($BL64/(Total_Lanes-BT$6)-1+SQRT(($BL64/(Total_Lanes-BT$6)-1)^2+8*($BL64/(Total_Lanes-BT$6))/(Peak_Time_Mor*$N50*(Total_Lanes-BT$6)))),"-")</f>
        <v>3.47391710513191</v>
      </c>
      <c r="BU64" s="483" t="n">
        <f aca="false">IF(BU$6&lt;Total_Lanes,900*Peak_Time_Mor*($BL64/(Total_Lanes-BU$6)-1+SQRT(($BL64/(Total_Lanes-BU$6)-1)^2+8*($BL64/(Total_Lanes-BU$6))/(Peak_Time_Mor*$N50*(Total_Lanes-BU$6)))),"-")</f>
        <v>18.6891104695347</v>
      </c>
      <c r="BV64" s="483" t="n">
        <f aca="false">IF(BV$6&lt;Total_Lanes,900*Peak_Time_Mor*($BL64/(Total_Lanes-BV$6)-1+SQRT(($BL64/(Total_Lanes-BV$6)-1)^2+8*($BL64/(Total_Lanes-BV$6))/(Peak_Time_Mor*$N50*(Total_Lanes-BV$6)))),"-")</f>
        <v>1254.97062755113</v>
      </c>
      <c r="BW64" s="551" t="n">
        <f aca="false">IF(BW$6&lt;Total_Lanes,900*Peak_Time_Mor*($BL64/(Total_Lanes-BW$6)-1+SQRT(($BL64/(Total_Lanes-BW$6)-1)^2+8*($BL64/(Total_Lanes-BW$6))/(Peak_Time_Mor*$N50*(Total_Lanes-BW$6)))),"-")</f>
        <v>6094.53881277833</v>
      </c>
      <c r="BX64" s="483" t="str">
        <f aca="false">IF(BX$6&lt;Total_Lanes,900*Peak_Time_Mor*($BL64/(Total_Lanes-BX$6)-1+SQRT(($BL64/(Total_Lanes-BX$6)-1)^2+8*($BL64/(Total_Lanes-BX$6))/(Peak_Time_Mor*$N50*(Total_Lanes-BX$6)))),"-")</f>
        <v>-</v>
      </c>
      <c r="BY64" s="483" t="str">
        <f aca="false">IF(BY$6&lt;Total_Lanes,900*Peak_Time_Mor*($BL64/(Total_Lanes-BY$6)-1+SQRT(($BL64/(Total_Lanes-BY$6)-1)^2+8*($BL64/(Total_Lanes-BY$6))/(Peak_Time_Mor*$N50*(Total_Lanes-BY$6)))),"-")</f>
        <v>-</v>
      </c>
      <c r="BZ64" s="483" t="str">
        <f aca="false">IF(BZ$6&lt;Total_Lanes,900*Peak_Time_Mor*($BL64/(Total_Lanes-BZ$6)-1+SQRT(($BL64/(Total_Lanes-BZ$6)-1)^2+8*($BL64/(Total_Lanes-BZ$6))/(Peak_Time_Mor*$N50*(Total_Lanes-BZ$6)))),"-")</f>
        <v>-</v>
      </c>
      <c r="CA64" s="483" t="str">
        <f aca="false">IF(CA$6&lt;Total_Lanes,900*Peak_Time_Mor*($BL64/(Total_Lanes-CA$6)-1+SQRT(($BL64/(Total_Lanes-CA$6)-1)^2+8*($BL64/(Total_Lanes-CA$6))/(Peak_Time_Mor*$N50*(Total_Lanes-CA$6)))),"-")</f>
        <v>-</v>
      </c>
      <c r="CB64" s="483" t="str">
        <f aca="false">IF(CB$6&lt;Total_Lanes,900*Peak_Time_Mor*($BL64/(Total_Lanes-CB$6)-1+SQRT(($BL64/(Total_Lanes-CB$6)-1)^2+8*($BL64/(Total_Lanes-CB$6))/(Peak_Time_Mor*$N50*(Total_Lanes-CB$6)))),"-")</f>
        <v>-</v>
      </c>
      <c r="CC64" s="483" t="str">
        <f aca="false">IF(CC$6&lt;Total_Lanes,900*Peak_Time_Mor*($BL64/(Total_Lanes-CC$6)-1+SQRT(($BL64/(Total_Lanes-CC$6)-1)^2+8*($BL64/(Total_Lanes-CC$6))/(Peak_Time_Mor*$N50*(Total_Lanes-CC$6)))),"-")</f>
        <v>-</v>
      </c>
      <c r="CD64" s="483" t="str">
        <f aca="false">IF(CD$6&lt;Total_Lanes,900*Peak_Time_Mor*($BL64/(Total_Lanes-CD$6)-1+SQRT(($BL64/(Total_Lanes-CD$6)-1)^2+8*($BL64/(Total_Lanes-CD$6))/(Peak_Time_Mor*$N50*(Total_Lanes-CD$6)))),"-")</f>
        <v>-</v>
      </c>
      <c r="CE64" s="483" t="str">
        <f aca="false">IF(CE$6&lt;Total_Lanes,900*Peak_Time_Mor*($BL64/(Total_Lanes-CE$6)-1+SQRT(($BL64/(Total_Lanes-CE$6)-1)^2+8*($BL64/(Total_Lanes-CE$6))/(Peak_Time_Mor*$N50*(Total_Lanes-CE$6)))),"-")</f>
        <v>-</v>
      </c>
      <c r="CF64" s="483" t="str">
        <f aca="false">IF(CF$6&lt;Total_Lanes,900*Peak_Time_Mor*($BL64/(Total_Lanes-CF$6)-1+SQRT(($BL64/(Total_Lanes-CF$6)-1)^2+8*($BL64/(Total_Lanes-CF$6))/(Peak_Time_Mor*$N50*(Total_Lanes-CF$6)))),"-")</f>
        <v>-</v>
      </c>
      <c r="CG64" s="484" t="str">
        <f aca="false">IF(CG$6&lt;Total_Lanes,900*Peak_Time_Mor*($BL64/(Total_Lanes-CG$6)-1+SQRT(($BL64/(Total_Lanes-CG$6)-1)^2+8*($BL64/(Total_Lanes-CG$6))/(Peak_Time_Mor*$N50*(Total_Lanes-CG$6)))),"-")</f>
        <v>-</v>
      </c>
      <c r="CH64" s="555" t="n">
        <f aca="false">3600/N50</f>
        <v>6.7875</v>
      </c>
      <c r="CJ64" s="440" t="n">
        <v>10</v>
      </c>
      <c r="CK64" s="442" t="n">
        <f aca="false">$X64</f>
        <v>0.55</v>
      </c>
      <c r="CL64" s="467" t="n">
        <f aca="false">$AC64</f>
        <v>3170.45352868845</v>
      </c>
      <c r="CM64" s="467" t="n">
        <f aca="false">CL64*CK64</f>
        <v>1743.74944077865</v>
      </c>
      <c r="CN64" s="479" t="n">
        <f aca="false">CM64/O50</f>
        <v>1.16249962718576</v>
      </c>
      <c r="CO64" s="483" t="n">
        <f aca="false">IF(CO$53&lt;Total_Lanes,900*Peak_Time_Mor*($CN64/CO$53-1+SQRT(($CN64/CO$53-1)^2+8*($CN64/CO$53)/(Peak_Time_Mor*$O50*CO$53))),"-")</f>
        <v>601.691589843258</v>
      </c>
      <c r="CP64" s="483" t="n">
        <f aca="false">IF(CP$53&lt;Total_Lanes,900*Peak_Time_Mor*($CN64/CP$53-1+SQRT(($CN64/CP$53-1)^2+8*($CN64/CP$53)/(Peak_Time_Mor*$O50*CP$53))),"-")</f>
        <v>1.66383398649737</v>
      </c>
      <c r="CQ64" s="483" t="n">
        <f aca="false">IF(CQ$53&lt;Total_Lanes,900*Peak_Time_Mor*($CN64/CQ$53-1+SQRT(($CN64/CQ$53-1)^2+8*($CN64/CQ$53)/(Peak_Time_Mor*$O50*CQ$53))),"-")</f>
        <v>0.506006065117726</v>
      </c>
      <c r="CR64" s="483" t="n">
        <f aca="false">IF(CR$53&lt;Total_Lanes,900*Peak_Time_Mor*($CN64/CR$53-1+SQRT(($CN64/CR$53-1)^2+8*($CN64/CR$53)/(Peak_Time_Mor*$O50*CR$53))),"-")</f>
        <v>0.245791210138013</v>
      </c>
      <c r="CS64" s="483" t="n">
        <f aca="false">IF(CS$53&lt;Total_Lanes,900*Peak_Time_Mor*($CN64/CS$53-1+SQRT(($CN64/CS$53-1)^2+8*($CN64/CS$53)/(Peak_Time_Mor*$O50*CS$53))),"-")</f>
        <v>0.145399453899708</v>
      </c>
      <c r="CT64" s="483" t="n">
        <f aca="false">IF(CT$53&lt;Total_Lanes,900*Peak_Time_Mor*($CN64/CT$53-1+SQRT(($CN64/CT$53-1)^2+8*($CN64/CT$53)/(Peak_Time_Mor*$O50*CT$53))),"-")</f>
        <v>0.0961208095825672</v>
      </c>
      <c r="CU64" s="483" t="n">
        <f aca="false">IF(CU$53&lt;Total_Lanes,900*Peak_Time_Mor*($CN64/CU$53-1+SQRT(($CN64/CU$53-1)^2+8*($CN64/CU$53)/(Peak_Time_Mor*$O50*CU$53))),"-")</f>
        <v>0.0682761817559108</v>
      </c>
      <c r="CV64" s="483" t="n">
        <f aca="false">IF(CV$53&lt;Total_Lanes,900*Peak_Time_Mor*($CN64/CV$53-1+SQRT(($CN64/CV$53-1)^2+8*($CN64/CV$53)/(Peak_Time_Mor*$O50*CV$53))),"-")</f>
        <v>0.0510046198308523</v>
      </c>
      <c r="CW64" s="483" t="n">
        <f aca="false">IF(CW$53&lt;Total_Lanes,900*Peak_Time_Mor*($CN64/CW$53-1+SQRT(($CN64/CW$53-1)^2+8*($CN64/CW$53)/(Peak_Time_Mor*$O50*CW$53))),"-")</f>
        <v>0.0395529154390895</v>
      </c>
      <c r="CX64" s="483" t="n">
        <f aca="false">IF(CX$53&lt;Total_Lanes,900*Peak_Time_Mor*($CN64/CX$53-1+SQRT(($CN64/CX$53-1)^2+8*($CN64/CX$53)/(Peak_Time_Mor*$O50*CX$53))),"-")</f>
        <v>0.0315696894252371</v>
      </c>
      <c r="CY64" s="483" t="n">
        <f aca="false">IF(CY$53&lt;Total_Lanes,900*Peak_Time_Mor*($CN64/CY$53-1+SQRT(($CN64/CY$53-1)^2+8*($CN64/CY$53)/(Peak_Time_Mor*$O50*CY$53))),"-")</f>
        <v>0.0257823879601826</v>
      </c>
      <c r="CZ64" s="483" t="str">
        <f aca="false">IF(CZ$53&lt;Total_Lanes,900*Peak_Time_Mor*($CN64/CZ$53-1+SQRT(($CN64/CZ$53-1)^2+8*($CN64/CZ$53)/(Peak_Time_Mor*$O50*CZ$53))),"-")</f>
        <v>-</v>
      </c>
      <c r="DA64" s="483" t="str">
        <f aca="false">IF(DA$53&lt;Total_Lanes,900*Peak_Time_Mor*($CN64/DA$53-1+SQRT(($CN64/DA$53-1)^2+8*($CN64/DA$53)/(Peak_Time_Mor*$O50*DA$53))),"-")</f>
        <v>-</v>
      </c>
      <c r="DB64" s="483" t="str">
        <f aca="false">IF(DB$53&lt;Total_Lanes,900*Peak_Time_Mor*($CN64/DB$53-1+SQRT(($CN64/DB$53-1)^2+8*($CN64/DB$53)/(Peak_Time_Mor*$O50*DB$53))),"-")</f>
        <v>-</v>
      </c>
      <c r="DC64" s="483" t="str">
        <f aca="false">IF(DC$53&lt;Total_Lanes,900*Peak_Time_Mor*($CN64/DC$53-1+SQRT(($CN64/DC$53-1)^2+8*($CN64/DC$53)/(Peak_Time_Mor*$O50*DC$53))),"-")</f>
        <v>-</v>
      </c>
      <c r="DD64" s="483" t="str">
        <f aca="false">IF(DD$53&lt;Total_Lanes,900*Peak_Time_Mor*($CN64/DD$53-1+SQRT(($CN64/DD$53-1)^2+8*($CN64/DD$53)/(Peak_Time_Mor*$O50*DD$53))),"-")</f>
        <v>-</v>
      </c>
      <c r="DE64" s="483" t="str">
        <f aca="false">IF(DE$53&lt;Total_Lanes,900*Peak_Time_Mor*($CN64/DE$53-1+SQRT(($CN64/DE$53-1)^2+8*($CN64/DE$53)/(Peak_Time_Mor*$O50*DE$53))),"-")</f>
        <v>-</v>
      </c>
      <c r="DF64" s="483" t="str">
        <f aca="false">IF(DF$53&lt;Total_Lanes,900*Peak_Time_Mor*($CN64/DF$53-1+SQRT(($CN64/DF$53-1)^2+8*($CN64/DF$53)/(Peak_Time_Mor*$O50*DF$53))),"-")</f>
        <v>-</v>
      </c>
      <c r="DG64" s="483" t="str">
        <f aca="false">IF(DG$53&lt;Total_Lanes,900*Peak_Time_Mor*($CN64/DG$53-1+SQRT(($CN64/DG$53-1)^2+8*($CN64/DG$53)/(Peak_Time_Mor*$O50*DG$53))),"-")</f>
        <v>-</v>
      </c>
      <c r="DH64" s="483" t="str">
        <f aca="false">IF(DH$53&lt;Total_Lanes,900*Peak_Time_Mor*($CN64/DH$53-1+SQRT(($CN64/DH$53-1)^2+8*($CN64/DH$53)/(Peak_Time_Mor*$O50*DH$53))),"-")</f>
        <v>-</v>
      </c>
      <c r="DI64" s="484" t="str">
        <f aca="false">IF(DI$53&lt;Total_Lanes,900*Peak_Time_Mor*($CN64/DI$53-1+SQRT(($CN64/DI$53-1)^2+8*($CN64/DI$53)/(Peak_Time_Mor*$O50*DI$53))),"-")</f>
        <v>-</v>
      </c>
      <c r="DJ64" s="555" t="n">
        <f aca="false">3600/$O50</f>
        <v>2.4</v>
      </c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8"/>
      <c r="IG64" s="18"/>
      <c r="IH64" s="18"/>
      <c r="II64" s="18"/>
      <c r="IJ64" s="18"/>
      <c r="IK64" s="18"/>
      <c r="IL64" s="18"/>
      <c r="IM64" s="18"/>
      <c r="IN64" s="18"/>
      <c r="IO64" s="18"/>
      <c r="IP64" s="18"/>
      <c r="IQ64" s="18"/>
      <c r="IR64" s="18"/>
      <c r="IS64" s="18"/>
      <c r="IT64" s="18"/>
      <c r="IU64" s="18"/>
      <c r="IV64" s="18"/>
      <c r="IW64" s="18"/>
    </row>
    <row r="65" customFormat="false" ht="13.2" hidden="false" customHeight="false" outlineLevel="0" collapsed="false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440" t="n">
        <v>11</v>
      </c>
      <c r="W65" s="441" t="n">
        <f aca="false">W18</f>
        <v>25057277.85</v>
      </c>
      <c r="X65" s="442" t="n">
        <f aca="false">X18</f>
        <v>0.6</v>
      </c>
      <c r="Y65" s="441" t="n">
        <f aca="false">Y18</f>
        <v>10804.9962718576</v>
      </c>
      <c r="Z65" s="449" t="n">
        <f aca="false">W65/Y65</f>
        <v>2319.04548780488</v>
      </c>
      <c r="AA65" s="554" t="n">
        <f aca="false">AA18</f>
        <v>2</v>
      </c>
      <c r="AB65" s="474" t="n">
        <f aca="false">1-AB18</f>
        <v>0.3</v>
      </c>
      <c r="AC65" s="445" t="n">
        <f aca="false">Y65*AB65</f>
        <v>3241.49888155729</v>
      </c>
      <c r="AD65" s="467" t="n">
        <f aca="false">Peak_Time_Mor*$BH65*(CH65+BK65)/3600</f>
        <v>12.5039994926655</v>
      </c>
      <c r="AE65" s="453" t="n">
        <f aca="false">IF(AE$53&lt;Total_Lanes,($BI65*($CH65+BM65)+$CM65*CO65)*Peak_Time_Mor/3600,"-")</f>
        <v>1169.97206325933</v>
      </c>
      <c r="AF65" s="453" t="n">
        <f aca="false">IF(AF$53&lt;Total_Lanes,($BI65*($CH65+BN65)+$CM65*CP65)*Peak_Time_Mor/3600,"-")</f>
        <v>7.44980687753477</v>
      </c>
      <c r="AG65" s="453" t="n">
        <f aca="false">IF(AG$53&lt;Total_Lanes,($BI65*($CH65+BO65)+$CM65*CQ65)*Peak_Time_Mor/3600,"-")</f>
        <v>5.76641451595312</v>
      </c>
      <c r="AH65" s="453" t="n">
        <f aca="false">IF(AH$53&lt;Total_Lanes,($BI65*($CH65+BP65)+$CM65*CR65)*Peak_Time_Mor/3600,"-")</f>
        <v>5.48642530185114</v>
      </c>
      <c r="AI65" s="453" t="n">
        <f aca="false">IF(AI$53&lt;Total_Lanes,($BI65*($CH65+BQ65)+$CM65*CS65)*Peak_Time_Mor/3600,"-")</f>
        <v>5.4638688364854</v>
      </c>
      <c r="AJ65" s="453" t="n">
        <f aca="false">IF(AJ$53&lt;Total_Lanes,($BI65*($CH65+BR65)+$CM65*CT65)*Peak_Time_Mor/3600,"-")</f>
        <v>5.58853077995214</v>
      </c>
      <c r="AK65" s="453" t="n">
        <f aca="false">IF(AK$53&lt;Total_Lanes,($BI65*($CH65+BS65)+$CM65*CU65)*Peak_Time_Mor/3600,"-")</f>
        <v>5.93228151695752</v>
      </c>
      <c r="AL65" s="453" t="n">
        <f aca="false">IF(AL$53&lt;Total_Lanes,($BI65*($CH65+BT65)+$CM65*CV65)*Peak_Time_Mor/3600,"-")</f>
        <v>6.90628279544968</v>
      </c>
      <c r="AM65" s="453" t="n">
        <f aca="false">IF(AM$53&lt;Total_Lanes,($BI65*($CH65+BU65)+$CM65*CW65)*Peak_Time_Mor/3600,"-")</f>
        <v>12.1629923156468</v>
      </c>
      <c r="AN65" s="453" t="n">
        <f aca="false">IF(AN$53&lt;Total_Lanes,($BI65*($CH65+BV65)+$CM65*CX65)*Peak_Time_Mor/3600,"-")</f>
        <v>604.382119148105</v>
      </c>
      <c r="AO65" s="453" t="n">
        <f aca="false">IF(AO$53&lt;Total_Lanes,($BI65*($CH65+BW65)+$CM65*CY65)*Peak_Time_Mor/3600,"-")</f>
        <v>3779.26107370313</v>
      </c>
      <c r="AP65" s="453" t="str">
        <f aca="false">IF(AP$53&lt;Total_Lanes,($BI65*($CH65+BX65)+$CM65*CZ65)*Peak_Time_Mor/3600,"-")</f>
        <v>-</v>
      </c>
      <c r="AQ65" s="453" t="str">
        <f aca="false">IF(AQ$53&lt;Total_Lanes,($BI65*($CH65+BY65)+$CM65*DA65)*Peak_Time_Mor/3600,"-")</f>
        <v>-</v>
      </c>
      <c r="AR65" s="453" t="str">
        <f aca="false">IF(AR$53&lt;Total_Lanes,($BI65*($CH65+BZ65)+$CM65*DB65)*Peak_Time_Mor/3600,"-")</f>
        <v>-</v>
      </c>
      <c r="AS65" s="453" t="str">
        <f aca="false">IF(AS$53&lt;Total_Lanes,($BI65*($CH65+CA65)+$CM65*DC65)*Peak_Time_Mor/3600,"-")</f>
        <v>-</v>
      </c>
      <c r="AT65" s="453" t="str">
        <f aca="false">IF(AT$53&lt;Total_Lanes,($BI65*($CH65+CB65)+$CM65*DD65)*Peak_Time_Mor/3600,"-")</f>
        <v>-</v>
      </c>
      <c r="AU65" s="453" t="str">
        <f aca="false">IF(AU$53&lt;Total_Lanes,($BI65*($CH65+CC65)+$CM65*DE65)*Peak_Time_Mor/3600,"-")</f>
        <v>-</v>
      </c>
      <c r="AV65" s="453" t="str">
        <f aca="false">IF(AV$53&lt;Total_Lanes,($BI65*($CH65+CD65)+$CM65*DF65)*Peak_Time_Mor/3600,"-")</f>
        <v>-</v>
      </c>
      <c r="AW65" s="453" t="str">
        <f aca="false">IF(AW$53&lt;Total_Lanes,($BI65*($CH65+CE65)+$CM65*DG65)*Peak_Time_Mor/3600,"-")</f>
        <v>-</v>
      </c>
      <c r="AX65" s="453" t="str">
        <f aca="false">IF(AX$53&lt;Total_Lanes,($BI65*($CH65+CF65)+$CM65*DH65)*Peak_Time_Mor/3600,"-")</f>
        <v>-</v>
      </c>
      <c r="AY65" s="454" t="str">
        <f aca="false">IF(AY$53&lt;Total_Lanes,($BI65*($CH65+CG65)+$CM65*DI65)*Peak_Time_Mor/3600,"-")</f>
        <v>-</v>
      </c>
      <c r="AZ65" s="475" t="n">
        <f aca="false">SUMIF(AE65:AY65,BA65,$AE$53:$AY$53)</f>
        <v>5</v>
      </c>
      <c r="BA65" s="476" t="n">
        <f aca="false">MIN(AE65:AY65)</f>
        <v>5.4638688364854</v>
      </c>
      <c r="BB65" s="475" t="n">
        <f aca="false">IF((SUMIF($BM63:$CG63,$AZ65,$BM65:$CG65)+$CH65)&lt;(SUMIF($CO63:$DI63,$AZ65,$CO65:$DI65)+$DJ65),AZ65+1,AZ65)</f>
        <v>5</v>
      </c>
      <c r="BC65" s="476" t="n">
        <f aca="false">SUMIF($AE$53:$AY$53,$BB65,$AE65:$AY65)</f>
        <v>5.4638688364854</v>
      </c>
      <c r="BF65" s="440" t="n">
        <v>11</v>
      </c>
      <c r="BG65" s="442" t="n">
        <f aca="false">$X65</f>
        <v>0.6</v>
      </c>
      <c r="BH65" s="451" t="n">
        <f aca="false">$AC65</f>
        <v>3241.49888155729</v>
      </c>
      <c r="BI65" s="452" t="n">
        <f aca="false">BH65*(1-BG65)</f>
        <v>1296.59955262292</v>
      </c>
      <c r="BJ65" s="460" t="n">
        <f aca="false">Peak_Arrival_Manual_Mor/K51</f>
        <v>2.3680950162488</v>
      </c>
      <c r="BK65" s="549" t="n">
        <f aca="false">900*Peak_Time_Mor*($BJ65/Total_Lanes-1+SQRT(($BJ65/Total_Lanes-1)^2+8*($BJ65/Total_Lanes)/(Peak_Time_Mor*$K51*Total_Lanes)))</f>
        <v>0.134704219544557</v>
      </c>
      <c r="BL65" s="460" t="n">
        <f aca="false">Peak_Arrival_Manual_Mor/N51</f>
        <v>2.45228394553369</v>
      </c>
      <c r="BM65" s="550" t="n">
        <f aca="false">IF(BM$6&lt;Total_Lanes,900*Peak_Time_Mor*($BL65/(Total_Lanes-BM$6)-1+SQRT(($BL65/(Total_Lanes-BM$6)-1)^2+8*($BL65/(Total_Lanes-BM$6))/(Peak_Time_Mor*$N51*(Total_Lanes-BM$6)))),"-")</f>
        <v>0.177569268169364</v>
      </c>
      <c r="BN65" s="483" t="n">
        <f aca="false">IF(BN$6&lt;Total_Lanes,900*Peak_Time_Mor*($BL65/(Total_Lanes-BN$6)-1+SQRT(($BL65/(Total_Lanes-BN$6)-1)^2+8*($BL65/(Total_Lanes-BN$6))/(Peak_Time_Mor*$N51*(Total_Lanes-BN$6)))),"-")</f>
        <v>0.221201076316846</v>
      </c>
      <c r="BO65" s="483" t="n">
        <f aca="false">IF(BO$6&lt;Total_Lanes,900*Peak_Time_Mor*($BL65/(Total_Lanes-BO$6)-1+SQRT(($BL65/(Total_Lanes-BO$6)-1)^2+8*($BL65/(Total_Lanes-BO$6))/(Peak_Time_Mor*$N51*(Total_Lanes-BO$6)))),"-")</f>
        <v>0.283307988590686</v>
      </c>
      <c r="BP65" s="483" t="n">
        <f aca="false">IF(BP$6&lt;Total_Lanes,900*Peak_Time_Mor*($BL65/(Total_Lanes-BP$6)-1+SQRT(($BL65/(Total_Lanes-BP$6)-1)^2+8*($BL65/(Total_Lanes-BP$6))/(Peak_Time_Mor*$N51*(Total_Lanes-BP$6)))),"-")</f>
        <v>0.37615643778679</v>
      </c>
      <c r="BQ65" s="483" t="n">
        <f aca="false">IF(BQ$6&lt;Total_Lanes,900*Peak_Time_Mor*($BL65/(Total_Lanes-BQ$6)-1+SQRT(($BL65/(Total_Lanes-BQ$6)-1)^2+8*($BL65/(Total_Lanes-BQ$6))/(Peak_Time_Mor*$N51*(Total_Lanes-BQ$6)))),"-")</f>
        <v>0.524383962372133</v>
      </c>
      <c r="BR65" s="483" t="n">
        <f aca="false">IF(BR$6&lt;Total_Lanes,900*Peak_Time_Mor*($BL65/(Total_Lanes-BR$6)-1+SQRT(($BL65/(Total_Lanes-BR$6)-1)^2+8*($BL65/(Total_Lanes-BR$6))/(Peak_Time_Mor*$N51*(Total_Lanes-BR$6)))),"-")</f>
        <v>0.784111981807767</v>
      </c>
      <c r="BS65" s="483" t="n">
        <f aca="false">IF(BS$6&lt;Total_Lanes,900*Peak_Time_Mor*($BL65/(Total_Lanes-BS$6)-1+SQRT(($BL65/(Total_Lanes-BS$6)-1)^2+8*($BL65/(Total_Lanes-BS$6))/(Peak_Time_Mor*$N51*(Total_Lanes-BS$6)))),"-")</f>
        <v>1.30980643979153</v>
      </c>
      <c r="BT65" s="483" t="n">
        <f aca="false">IF(BT$6&lt;Total_Lanes,900*Peak_Time_Mor*($BL65/(Total_Lanes-BT$6)-1+SQRT(($BL65/(Total_Lanes-BT$6)-1)^2+8*($BL65/(Total_Lanes-BT$6))/(Peak_Time_Mor*$N51*(Total_Lanes-BT$6)))),"-")</f>
        <v>2.69183483844292</v>
      </c>
      <c r="BU65" s="483" t="n">
        <f aca="false">IF(BU$6&lt;Total_Lanes,900*Peak_Time_Mor*($BL65/(Total_Lanes-BU$6)-1+SQRT(($BL65/(Total_Lanes-BU$6)-1)^2+8*($BL65/(Total_Lanes-BU$6))/(Peak_Time_Mor*$N51*(Total_Lanes-BU$6)))),"-")</f>
        <v>10.0091583659418</v>
      </c>
      <c r="BV65" s="483" t="n">
        <f aca="false">IF(BV$6&lt;Total_Lanes,900*Peak_Time_Mor*($BL65/(Total_Lanes-BV$6)-1+SQRT(($BL65/(Total_Lanes-BV$6)-1)^2+8*($BL65/(Total_Lanes-BV$6))/(Peak_Time_Mor*$N51*(Total_Lanes-BV$6)))),"-")</f>
        <v>832.169078248782</v>
      </c>
      <c r="BW65" s="551" t="n">
        <f aca="false">IF(BW$6&lt;Total_Lanes,900*Peak_Time_Mor*($BL65/(Total_Lanes-BW$6)-1+SQRT(($BL65/(Total_Lanes-BW$6)-1)^2+8*($BL65/(Total_Lanes-BW$6))/(Peak_Time_Mor*$N51*(Total_Lanes-BW$6)))),"-")</f>
        <v>5239.69408699937</v>
      </c>
      <c r="BX65" s="483" t="str">
        <f aca="false">IF(BX$6&lt;Total_Lanes,900*Peak_Time_Mor*($BL65/(Total_Lanes-BX$6)-1+SQRT(($BL65/(Total_Lanes-BX$6)-1)^2+8*($BL65/(Total_Lanes-BX$6))/(Peak_Time_Mor*$N51*(Total_Lanes-BX$6)))),"-")</f>
        <v>-</v>
      </c>
      <c r="BY65" s="483" t="str">
        <f aca="false">IF(BY$6&lt;Total_Lanes,900*Peak_Time_Mor*($BL65/(Total_Lanes-BY$6)-1+SQRT(($BL65/(Total_Lanes-BY$6)-1)^2+8*($BL65/(Total_Lanes-BY$6))/(Peak_Time_Mor*$N51*(Total_Lanes-BY$6)))),"-")</f>
        <v>-</v>
      </c>
      <c r="BZ65" s="483" t="str">
        <f aca="false">IF(BZ$6&lt;Total_Lanes,900*Peak_Time_Mor*($BL65/(Total_Lanes-BZ$6)-1+SQRT(($BL65/(Total_Lanes-BZ$6)-1)^2+8*($BL65/(Total_Lanes-BZ$6))/(Peak_Time_Mor*$N51*(Total_Lanes-BZ$6)))),"-")</f>
        <v>-</v>
      </c>
      <c r="CA65" s="483" t="str">
        <f aca="false">IF(CA$6&lt;Total_Lanes,900*Peak_Time_Mor*($BL65/(Total_Lanes-CA$6)-1+SQRT(($BL65/(Total_Lanes-CA$6)-1)^2+8*($BL65/(Total_Lanes-CA$6))/(Peak_Time_Mor*$N51*(Total_Lanes-CA$6)))),"-")</f>
        <v>-</v>
      </c>
      <c r="CB65" s="483" t="str">
        <f aca="false">IF(CB$6&lt;Total_Lanes,900*Peak_Time_Mor*($BL65/(Total_Lanes-CB$6)-1+SQRT(($BL65/(Total_Lanes-CB$6)-1)^2+8*($BL65/(Total_Lanes-CB$6))/(Peak_Time_Mor*$N51*(Total_Lanes-CB$6)))),"-")</f>
        <v>-</v>
      </c>
      <c r="CC65" s="483" t="str">
        <f aca="false">IF(CC$6&lt;Total_Lanes,900*Peak_Time_Mor*($BL65/(Total_Lanes-CC$6)-1+SQRT(($BL65/(Total_Lanes-CC$6)-1)^2+8*($BL65/(Total_Lanes-CC$6))/(Peak_Time_Mor*$N51*(Total_Lanes-CC$6)))),"-")</f>
        <v>-</v>
      </c>
      <c r="CD65" s="483" t="str">
        <f aca="false">IF(CD$6&lt;Total_Lanes,900*Peak_Time_Mor*($BL65/(Total_Lanes-CD$6)-1+SQRT(($BL65/(Total_Lanes-CD$6)-1)^2+8*($BL65/(Total_Lanes-CD$6))/(Peak_Time_Mor*$N51*(Total_Lanes-CD$6)))),"-")</f>
        <v>-</v>
      </c>
      <c r="CE65" s="483" t="str">
        <f aca="false">IF(CE$6&lt;Total_Lanes,900*Peak_Time_Mor*($BL65/(Total_Lanes-CE$6)-1+SQRT(($BL65/(Total_Lanes-CE$6)-1)^2+8*($BL65/(Total_Lanes-CE$6))/(Peak_Time_Mor*$N51*(Total_Lanes-CE$6)))),"-")</f>
        <v>-</v>
      </c>
      <c r="CF65" s="483" t="str">
        <f aca="false">IF(CF$6&lt;Total_Lanes,900*Peak_Time_Mor*($BL65/(Total_Lanes-CF$6)-1+SQRT(($BL65/(Total_Lanes-CF$6)-1)^2+8*($BL65/(Total_Lanes-CF$6))/(Peak_Time_Mor*$N51*(Total_Lanes-CF$6)))),"-")</f>
        <v>-</v>
      </c>
      <c r="CG65" s="484" t="str">
        <f aca="false">IF(CG$6&lt;Total_Lanes,900*Peak_Time_Mor*($BL65/(Total_Lanes-CG$6)-1+SQRT(($BL65/(Total_Lanes-CG$6)-1)^2+8*($BL65/(Total_Lanes-CG$6))/(Peak_Time_Mor*$N51*(Total_Lanes-CG$6)))),"-")</f>
        <v>-</v>
      </c>
      <c r="CH65" s="555" t="n">
        <f aca="false">3600/N51</f>
        <v>6.80875</v>
      </c>
      <c r="CJ65" s="440" t="n">
        <v>11</v>
      </c>
      <c r="CK65" s="442" t="n">
        <f aca="false">$X65</f>
        <v>0.6</v>
      </c>
      <c r="CL65" s="467" t="n">
        <f aca="false">$AC65</f>
        <v>3241.49888155729</v>
      </c>
      <c r="CM65" s="467" t="n">
        <f aca="false">CL65*CK65</f>
        <v>1944.89932893438</v>
      </c>
      <c r="CN65" s="479" t="n">
        <f aca="false">CM65/O51</f>
        <v>1.29659955262292</v>
      </c>
      <c r="CO65" s="483" t="n">
        <f aca="false">IF(CO$53&lt;Total_Lanes,900*Peak_Time_Mor*($CN65/CO$53-1+SQRT(($CN65/CO$53-1)^2+8*($CN65/CO$53)/(Peak_Time_Mor*$O51*CO$53))),"-")</f>
        <v>1078.14899426085</v>
      </c>
      <c r="CP65" s="483" t="n">
        <f aca="false">IF(CP$53&lt;Total_Lanes,900*Peak_Time_Mor*($CN65/CP$53-1+SQRT(($CN65/CP$53-1)^2+8*($CN65/CP$53)/(Peak_Time_Mor*$O51*CP$53))),"-")</f>
        <v>2.20814563260825</v>
      </c>
      <c r="CQ65" s="483" t="n">
        <f aca="false">IF(CQ$53&lt;Total_Lanes,900*Peak_Time_Mor*($CN65/CQ$53-1+SQRT(($CN65/CQ$53-1)^2+8*($CN65/CQ$53)/(Peak_Time_Mor*$O51*CQ$53))),"-")</f>
        <v>0.608765140652223</v>
      </c>
      <c r="CR65" s="483" t="n">
        <f aca="false">IF(CR$53&lt;Total_Lanes,900*Peak_Time_Mor*($CN65/CR$53-1+SQRT(($CN65/CR$53-1)^2+8*($CN65/CR$53)/(Peak_Time_Mor*$O51*CR$53))),"-")</f>
        <v>0.287736780066039</v>
      </c>
      <c r="CS65" s="483" t="n">
        <f aca="false">IF(CS$53&lt;Total_Lanes,900*Peak_Time_Mor*($CN65/CS$53-1+SQRT(($CN65/CS$53-1)^2+8*($CN65/CS$53)/(Peak_Time_Mor*$O51*CS$53))),"-")</f>
        <v>0.168042471852337</v>
      </c>
      <c r="CT65" s="483" t="n">
        <f aca="false">IF(CT$53&lt;Total_Lanes,900*Peak_Time_Mor*($CN65/CT$53-1+SQRT(($CN65/CT$53-1)^2+8*($CN65/CT$53)/(Peak_Time_Mor*$O51*CT$53))),"-")</f>
        <v>0.110264810102967</v>
      </c>
      <c r="CU65" s="483" t="n">
        <f aca="false">IF(CU$53&lt;Total_Lanes,900*Peak_Time_Mor*($CN65/CU$53-1+SQRT(($CN65/CU$53-1)^2+8*($CN65/CU$53)/(Peak_Time_Mor*$O51*CU$53))),"-")</f>
        <v>0.0779423800968626</v>
      </c>
      <c r="CV65" s="483" t="n">
        <f aca="false">IF(CV$53&lt;Total_Lanes,900*Peak_Time_Mor*($CN65/CV$53-1+SQRT(($CN65/CV$53-1)^2+8*($CN65/CV$53)/(Peak_Time_Mor*$O51*CV$53))),"-")</f>
        <v>0.0580261296558193</v>
      </c>
      <c r="CW65" s="483" t="n">
        <f aca="false">IF(CW$53&lt;Total_Lanes,900*Peak_Time_Mor*($CN65/CW$53-1+SQRT(($CN65/CW$53-1)^2+8*($CN65/CW$53)/(Peak_Time_Mor*$O51*CW$53))),"-")</f>
        <v>0.0448834052910074</v>
      </c>
      <c r="CX65" s="483" t="n">
        <f aca="false">IF(CX$53&lt;Total_Lanes,900*Peak_Time_Mor*($CN65/CX$53-1+SQRT(($CN65/CX$53-1)^2+8*($CN65/CX$53)/(Peak_Time_Mor*$O51*CX$53))),"-")</f>
        <v>0.0357538807466584</v>
      </c>
      <c r="CY65" s="483" t="n">
        <f aca="false">IF(CY$53&lt;Total_Lanes,900*Peak_Time_Mor*($CN65/CY$53-1+SQRT(($CN65/CY$53-1)^2+8*($CN65/CY$53)/(Peak_Time_Mor*$O51*CY$53))),"-")</f>
        <v>0.0291538880944575</v>
      </c>
      <c r="CZ65" s="483" t="str">
        <f aca="false">IF(CZ$53&lt;Total_Lanes,900*Peak_Time_Mor*($CN65/CZ$53-1+SQRT(($CN65/CZ$53-1)^2+8*($CN65/CZ$53)/(Peak_Time_Mor*$O51*CZ$53))),"-")</f>
        <v>-</v>
      </c>
      <c r="DA65" s="483" t="str">
        <f aca="false">IF(DA$53&lt;Total_Lanes,900*Peak_Time_Mor*($CN65/DA$53-1+SQRT(($CN65/DA$53-1)^2+8*($CN65/DA$53)/(Peak_Time_Mor*$O51*DA$53))),"-")</f>
        <v>-</v>
      </c>
      <c r="DB65" s="483" t="str">
        <f aca="false">IF(DB$53&lt;Total_Lanes,900*Peak_Time_Mor*($CN65/DB$53-1+SQRT(($CN65/DB$53-1)^2+8*($CN65/DB$53)/(Peak_Time_Mor*$O51*DB$53))),"-")</f>
        <v>-</v>
      </c>
      <c r="DC65" s="483" t="str">
        <f aca="false">IF(DC$53&lt;Total_Lanes,900*Peak_Time_Mor*($CN65/DC$53-1+SQRT(($CN65/DC$53-1)^2+8*($CN65/DC$53)/(Peak_Time_Mor*$O51*DC$53))),"-")</f>
        <v>-</v>
      </c>
      <c r="DD65" s="483" t="str">
        <f aca="false">IF(DD$53&lt;Total_Lanes,900*Peak_Time_Mor*($CN65/DD$53-1+SQRT(($CN65/DD$53-1)^2+8*($CN65/DD$53)/(Peak_Time_Mor*$O51*DD$53))),"-")</f>
        <v>-</v>
      </c>
      <c r="DE65" s="483" t="str">
        <f aca="false">IF(DE$53&lt;Total_Lanes,900*Peak_Time_Mor*($CN65/DE$53-1+SQRT(($CN65/DE$53-1)^2+8*($CN65/DE$53)/(Peak_Time_Mor*$O51*DE$53))),"-")</f>
        <v>-</v>
      </c>
      <c r="DF65" s="483" t="str">
        <f aca="false">IF(DF$53&lt;Total_Lanes,900*Peak_Time_Mor*($CN65/DF$53-1+SQRT(($CN65/DF$53-1)^2+8*($CN65/DF$53)/(Peak_Time_Mor*$O51*DF$53))),"-")</f>
        <v>-</v>
      </c>
      <c r="DG65" s="483" t="str">
        <f aca="false">IF(DG$53&lt;Total_Lanes,900*Peak_Time_Mor*($CN65/DG$53-1+SQRT(($CN65/DG$53-1)^2+8*($CN65/DG$53)/(Peak_Time_Mor*$O51*DG$53))),"-")</f>
        <v>-</v>
      </c>
      <c r="DH65" s="483" t="str">
        <f aca="false">IF(DH$53&lt;Total_Lanes,900*Peak_Time_Mor*($CN65/DH$53-1+SQRT(($CN65/DH$53-1)^2+8*($CN65/DH$53)/(Peak_Time_Mor*$O51*DH$53))),"-")</f>
        <v>-</v>
      </c>
      <c r="DI65" s="484" t="str">
        <f aca="false">IF(DI$53&lt;Total_Lanes,900*Peak_Time_Mor*($CN65/DI$53-1+SQRT(($CN65/DI$53-1)^2+8*($CN65/DI$53)/(Peak_Time_Mor*$O51*DI$53))),"-")</f>
        <v>-</v>
      </c>
      <c r="DJ65" s="555" t="n">
        <f aca="false">3600/$O51</f>
        <v>2.4</v>
      </c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18"/>
      <c r="IQ65" s="18"/>
      <c r="IR65" s="18"/>
      <c r="IS65" s="18"/>
      <c r="IT65" s="18"/>
      <c r="IU65" s="18"/>
      <c r="IV65" s="18"/>
      <c r="IW65" s="18"/>
    </row>
    <row r="66" customFormat="false" ht="13.2" hidden="false" customHeight="fals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440" t="n">
        <v>12</v>
      </c>
      <c r="W66" s="441" t="n">
        <f aca="false">W19</f>
        <v>25606469.2</v>
      </c>
      <c r="X66" s="442" t="n">
        <f aca="false">X19</f>
        <v>0.65</v>
      </c>
      <c r="Y66" s="441" t="n">
        <f aca="false">Y19</f>
        <v>11041.8141147538</v>
      </c>
      <c r="Z66" s="449" t="n">
        <f aca="false">W66/Y66</f>
        <v>2319.04548780488</v>
      </c>
      <c r="AA66" s="554" t="n">
        <f aca="false">AA19</f>
        <v>2</v>
      </c>
      <c r="AB66" s="474" t="n">
        <f aca="false">1-AB19</f>
        <v>0.3</v>
      </c>
      <c r="AC66" s="445" t="n">
        <f aca="false">Y66*AB66</f>
        <v>3312.54423442614</v>
      </c>
      <c r="AD66" s="467" t="n">
        <f aca="false">Peak_Time_Mor*$BH66*(CH66+BK66)/3600</f>
        <v>12.7853092453352</v>
      </c>
      <c r="AE66" s="453" t="n">
        <f aca="false">IF(AE$53&lt;Total_Lanes,($BI66*($CH66+BM66)+$CM66*CO66)*Peak_Time_Mor/3600,"-")</f>
        <v>1889.03648362414</v>
      </c>
      <c r="AF66" s="453" t="n">
        <f aca="false">IF(AF$53&lt;Total_Lanes,($BI66*($CH66+BN66)+$CM66*CP66)*Peak_Time_Mor/3600,"-")</f>
        <v>8.16207124820564</v>
      </c>
      <c r="AG66" s="453" t="n">
        <f aca="false">IF(AG$53&lt;Total_Lanes,($BI66*($CH66+BO66)+$CM66*CQ66)*Peak_Time_Mor/3600,"-")</f>
        <v>5.43496881639665</v>
      </c>
      <c r="AH66" s="453" t="n">
        <f aca="false">IF(AH$53&lt;Total_Lanes,($BI66*($CH66+BP66)+$CM66*CR66)*Peak_Time_Mor/3600,"-")</f>
        <v>5.00941426474284</v>
      </c>
      <c r="AI66" s="453" t="n">
        <f aca="false">IF(AI$53&lt;Total_Lanes,($BI66*($CH66+BQ66)+$CM66*CS66)*Peak_Time_Mor/3600,"-")</f>
        <v>4.91836432504073</v>
      </c>
      <c r="AJ66" s="453" t="n">
        <f aca="false">IF(AJ$53&lt;Total_Lanes,($BI66*($CH66+BR66)+$CM66*CT66)*Peak_Time_Mor/3600,"-")</f>
        <v>4.97395530342131</v>
      </c>
      <c r="AK66" s="453" t="n">
        <f aca="false">IF(AK$53&lt;Total_Lanes,($BI66*($CH66+BS66)+$CM66*CU66)*Peak_Time_Mor/3600,"-")</f>
        <v>5.19576507173668</v>
      </c>
      <c r="AL66" s="453" t="n">
        <f aca="false">IF(AL$53&lt;Total_Lanes,($BI66*($CH66+BT66)+$CM66*CV66)*Peak_Time_Mor/3600,"-")</f>
        <v>5.81968423741309</v>
      </c>
      <c r="AM66" s="453" t="n">
        <f aca="false">IF(AM$53&lt;Total_Lanes,($BI66*($CH66+BU66)+$CM66*CW66)*Peak_Time_Mor/3600,"-")</f>
        <v>8.46389300268938</v>
      </c>
      <c r="AN66" s="453" t="n">
        <f aca="false">IF(AN$53&lt;Total_Lanes,($BI66*($CH66+BV66)+$CM66*CX66)*Peak_Time_Mor/3600,"-")</f>
        <v>258.009362049393</v>
      </c>
      <c r="AO66" s="453" t="n">
        <f aca="false">IF(AO$53&lt;Total_Lanes,($BI66*($CH66+BW66)+$CM66*CY66)*Peak_Time_Mor/3600,"-")</f>
        <v>2794.14082547041</v>
      </c>
      <c r="AP66" s="453" t="str">
        <f aca="false">IF(AP$53&lt;Total_Lanes,($BI66*($CH66+BX66)+$CM66*CZ66)*Peak_Time_Mor/3600,"-")</f>
        <v>-</v>
      </c>
      <c r="AQ66" s="453" t="str">
        <f aca="false">IF(AQ$53&lt;Total_Lanes,($BI66*($CH66+BY66)+$CM66*DA66)*Peak_Time_Mor/3600,"-")</f>
        <v>-</v>
      </c>
      <c r="AR66" s="453" t="str">
        <f aca="false">IF(AR$53&lt;Total_Lanes,($BI66*($CH66+BZ66)+$CM66*DB66)*Peak_Time_Mor/3600,"-")</f>
        <v>-</v>
      </c>
      <c r="AS66" s="453" t="str">
        <f aca="false">IF(AS$53&lt;Total_Lanes,($BI66*($CH66+CA66)+$CM66*DC66)*Peak_Time_Mor/3600,"-")</f>
        <v>-</v>
      </c>
      <c r="AT66" s="453" t="str">
        <f aca="false">IF(AT$53&lt;Total_Lanes,($BI66*($CH66+CB66)+$CM66*DD66)*Peak_Time_Mor/3600,"-")</f>
        <v>-</v>
      </c>
      <c r="AU66" s="453" t="str">
        <f aca="false">IF(AU$53&lt;Total_Lanes,($BI66*($CH66+CC66)+$CM66*DE66)*Peak_Time_Mor/3600,"-")</f>
        <v>-</v>
      </c>
      <c r="AV66" s="453" t="str">
        <f aca="false">IF(AV$53&lt;Total_Lanes,($BI66*($CH66+CD66)+$CM66*DF66)*Peak_Time_Mor/3600,"-")</f>
        <v>-</v>
      </c>
      <c r="AW66" s="453" t="str">
        <f aca="false">IF(AW$53&lt;Total_Lanes,($BI66*($CH66+CE66)+$CM66*DG66)*Peak_Time_Mor/3600,"-")</f>
        <v>-</v>
      </c>
      <c r="AX66" s="453" t="str">
        <f aca="false">IF(AX$53&lt;Total_Lanes,($BI66*($CH66+CF66)+$CM66*DH66)*Peak_Time_Mor/3600,"-")</f>
        <v>-</v>
      </c>
      <c r="AY66" s="454" t="str">
        <f aca="false">IF(AY$53&lt;Total_Lanes,($BI66*($CH66+CG66)+$CM66*DI66)*Peak_Time_Mor/3600,"-")</f>
        <v>-</v>
      </c>
      <c r="AZ66" s="475" t="n">
        <f aca="false">SUMIF(AE66:AY66,BA66,$AE$53:$AY$53)</f>
        <v>5</v>
      </c>
      <c r="BA66" s="476" t="n">
        <f aca="false">MIN(AE66:AY66)</f>
        <v>4.91836432504073</v>
      </c>
      <c r="BB66" s="475" t="n">
        <f aca="false">IF((SUMIF($BM64:$CG64,$AZ66,$BM66:$CG66)+$CH66)&lt;(SUMIF($CO64:$DI64,$AZ66,$CO66:$DI66)+$DJ66),AZ66+1,AZ66)</f>
        <v>5</v>
      </c>
      <c r="BC66" s="476" t="n">
        <f aca="false">SUMIF($AE$53:$AY$53,$BB66,$AE66:$AY66)</f>
        <v>4.91836432504073</v>
      </c>
      <c r="BF66" s="440" t="n">
        <v>12</v>
      </c>
      <c r="BG66" s="442" t="n">
        <f aca="false">$X66</f>
        <v>0.65</v>
      </c>
      <c r="BH66" s="451" t="n">
        <f aca="false">$AC66</f>
        <v>3312.54423442614</v>
      </c>
      <c r="BI66" s="452" t="n">
        <f aca="false">BH66*(1-BG66)</f>
        <v>1159.39048204915</v>
      </c>
      <c r="BJ66" s="460" t="n">
        <f aca="false">Peak_Arrival_Manual_Mor/K52</f>
        <v>2.1174978942981</v>
      </c>
      <c r="BK66" s="549" t="n">
        <f aca="false">900*Peak_Time_Mor*($BJ66/Total_Lanes-1+SQRT(($BJ66/Total_Lanes-1)^2+8*($BJ66/Total_Lanes)/(Peak_Time_Mor*$K52*Total_Lanes)))</f>
        <v>0.117396023404437</v>
      </c>
      <c r="BL66" s="460" t="n">
        <f aca="false">Peak_Arrival_Manual_Mor/N52</f>
        <v>2.19962138677658</v>
      </c>
      <c r="BM66" s="550" t="n">
        <f aca="false">IF(BM$6&lt;Total_Lanes,900*Peak_Time_Mor*($BL66/(Total_Lanes-BM$6)-1+SQRT(($BL66/(Total_Lanes-BM$6)-1)^2+8*($BL66/(Total_Lanes-BM$6))/(Peak_Time_Mor*$N52*(Total_Lanes-BM$6)))),"-")</f>
        <v>0.155185519859291</v>
      </c>
      <c r="BN66" s="483" t="n">
        <f aca="false">IF(BN$6&lt;Total_Lanes,900*Peak_Time_Mor*($BL66/(Total_Lanes-BN$6)-1+SQRT(($BL66/(Total_Lanes-BN$6)-1)^2+8*($BL66/(Total_Lanes-BN$6))/(Peak_Time_Mor*$N52*(Total_Lanes-BN$6)))),"-")</f>
        <v>0.192585316221949</v>
      </c>
      <c r="BO66" s="483" t="n">
        <f aca="false">IF(BO$6&lt;Total_Lanes,900*Peak_Time_Mor*($BL66/(Total_Lanes-BO$6)-1+SQRT(($BL66/(Total_Lanes-BO$6)-1)^2+8*($BL66/(Total_Lanes-BO$6))/(Peak_Time_Mor*$N52*(Total_Lanes-BO$6)))),"-")</f>
        <v>0.245444807890127</v>
      </c>
      <c r="BP66" s="483" t="n">
        <f aca="false">IF(BP$6&lt;Total_Lanes,900*Peak_Time_Mor*($BL66/(Total_Lanes-BP$6)-1+SQRT(($BL66/(Total_Lanes-BP$6)-1)^2+8*($BL66/(Total_Lanes-BP$6))/(Peak_Time_Mor*$N52*(Total_Lanes-BP$6)))),"-")</f>
        <v>0.323719192893157</v>
      </c>
      <c r="BQ66" s="483" t="n">
        <f aca="false">IF(BQ$6&lt;Total_Lanes,900*Peak_Time_Mor*($BL66/(Total_Lanes-BQ$6)-1+SQRT(($BL66/(Total_Lanes-BQ$6)-1)^2+8*($BL66/(Total_Lanes-BQ$6))/(Peak_Time_Mor*$N52*(Total_Lanes-BQ$6)))),"-")</f>
        <v>0.447009215233707</v>
      </c>
      <c r="BR66" s="483" t="n">
        <f aca="false">IF(BR$6&lt;Total_Lanes,900*Peak_Time_Mor*($BL66/(Total_Lanes-BR$6)-1+SQRT(($BL66/(Total_Lanes-BR$6)-1)^2+8*($BL66/(Total_Lanes-BR$6))/(Peak_Time_Mor*$N52*(Total_Lanes-BR$6)))),"-")</f>
        <v>0.658665762649524</v>
      </c>
      <c r="BS66" s="483" t="n">
        <f aca="false">IF(BS$6&lt;Total_Lanes,900*Peak_Time_Mor*($BL66/(Total_Lanes-BS$6)-1+SQRT(($BL66/(Total_Lanes-BS$6)-1)^2+8*($BL66/(Total_Lanes-BS$6))/(Peak_Time_Mor*$N52*(Total_Lanes-BS$6)))),"-")</f>
        <v>1.07238555635287</v>
      </c>
      <c r="BT66" s="483" t="n">
        <f aca="false">IF(BT$6&lt;Total_Lanes,900*Peak_Time_Mor*($BL66/(Total_Lanes-BT$6)-1+SQRT(($BL66/(Total_Lanes-BT$6)-1)^2+8*($BL66/(Total_Lanes-BT$6))/(Peak_Time_Mor*$N52*(Total_Lanes-BT$6)))),"-")</f>
        <v>2.08346752080253</v>
      </c>
      <c r="BU66" s="483" t="n">
        <f aca="false">IF(BU$6&lt;Total_Lanes,900*Peak_Time_Mor*($BL66/(Total_Lanes-BU$6)-1+SQRT(($BL66/(Total_Lanes-BU$6)-1)^2+8*($BL66/(Total_Lanes-BU$6))/(Peak_Time_Mor*$N52*(Total_Lanes-BU$6)))),"-")</f>
        <v>6.21655794863815</v>
      </c>
      <c r="BV66" s="483" t="n">
        <f aca="false">IF(BV$6&lt;Total_Lanes,900*Peak_Time_Mor*($BL66/(Total_Lanes-BV$6)-1+SQRT(($BL66/(Total_Lanes-BV$6)-1)^2+8*($BL66/(Total_Lanes-BV$6))/(Peak_Time_Mor*$N52*(Total_Lanes-BV$6)))),"-")</f>
        <v>393.665131410537</v>
      </c>
      <c r="BW66" s="551" t="n">
        <f aca="false">IF(BW$6&lt;Total_Lanes,900*Peak_Time_Mor*($BL66/(Total_Lanes-BW$6)-1+SQRT(($BL66/(Total_Lanes-BW$6)-1)^2+8*($BL66/(Total_Lanes-BW$6))/(Peak_Time_Mor*$N52*(Total_Lanes-BW$6)))),"-")</f>
        <v>4331.12434817453</v>
      </c>
      <c r="BX66" s="483" t="str">
        <f aca="false">IF(BX$6&lt;Total_Lanes,900*Peak_Time_Mor*($BL66/(Total_Lanes-BX$6)-1+SQRT(($BL66/(Total_Lanes-BX$6)-1)^2+8*($BL66/(Total_Lanes-BX$6))/(Peak_Time_Mor*$N52*(Total_Lanes-BX$6)))),"-")</f>
        <v>-</v>
      </c>
      <c r="BY66" s="483" t="str">
        <f aca="false">IF(BY$6&lt;Total_Lanes,900*Peak_Time_Mor*($BL66/(Total_Lanes-BY$6)-1+SQRT(($BL66/(Total_Lanes-BY$6)-1)^2+8*($BL66/(Total_Lanes-BY$6))/(Peak_Time_Mor*$N52*(Total_Lanes-BY$6)))),"-")</f>
        <v>-</v>
      </c>
      <c r="BZ66" s="483" t="str">
        <f aca="false">IF(BZ$6&lt;Total_Lanes,900*Peak_Time_Mor*($BL66/(Total_Lanes-BZ$6)-1+SQRT(($BL66/(Total_Lanes-BZ$6)-1)^2+8*($BL66/(Total_Lanes-BZ$6))/(Peak_Time_Mor*$N52*(Total_Lanes-BZ$6)))),"-")</f>
        <v>-</v>
      </c>
      <c r="CA66" s="483" t="str">
        <f aca="false">IF(CA$6&lt;Total_Lanes,900*Peak_Time_Mor*($BL66/(Total_Lanes-CA$6)-1+SQRT(($BL66/(Total_Lanes-CA$6)-1)^2+8*($BL66/(Total_Lanes-CA$6))/(Peak_Time_Mor*$N52*(Total_Lanes-CA$6)))),"-")</f>
        <v>-</v>
      </c>
      <c r="CB66" s="483" t="str">
        <f aca="false">IF(CB$6&lt;Total_Lanes,900*Peak_Time_Mor*($BL66/(Total_Lanes-CB$6)-1+SQRT(($BL66/(Total_Lanes-CB$6)-1)^2+8*($BL66/(Total_Lanes-CB$6))/(Peak_Time_Mor*$N52*(Total_Lanes-CB$6)))),"-")</f>
        <v>-</v>
      </c>
      <c r="CC66" s="483" t="str">
        <f aca="false">IF(CC$6&lt;Total_Lanes,900*Peak_Time_Mor*($BL66/(Total_Lanes-CC$6)-1+SQRT(($BL66/(Total_Lanes-CC$6)-1)^2+8*($BL66/(Total_Lanes-CC$6))/(Peak_Time_Mor*$N52*(Total_Lanes-CC$6)))),"-")</f>
        <v>-</v>
      </c>
      <c r="CD66" s="483" t="str">
        <f aca="false">IF(CD$6&lt;Total_Lanes,900*Peak_Time_Mor*($BL66/(Total_Lanes-CD$6)-1+SQRT(($BL66/(Total_Lanes-CD$6)-1)^2+8*($BL66/(Total_Lanes-CD$6))/(Peak_Time_Mor*$N52*(Total_Lanes-CD$6)))),"-")</f>
        <v>-</v>
      </c>
      <c r="CE66" s="483" t="str">
        <f aca="false">IF(CE$6&lt;Total_Lanes,900*Peak_Time_Mor*($BL66/(Total_Lanes-CE$6)-1+SQRT(($BL66/(Total_Lanes-CE$6)-1)^2+8*($BL66/(Total_Lanes-CE$6))/(Peak_Time_Mor*$N52*(Total_Lanes-CE$6)))),"-")</f>
        <v>-</v>
      </c>
      <c r="CF66" s="483" t="str">
        <f aca="false">IF(CF$6&lt;Total_Lanes,900*Peak_Time_Mor*($BL66/(Total_Lanes-CF$6)-1+SQRT(($BL66/(Total_Lanes-CF$6)-1)^2+8*($BL66/(Total_Lanes-CF$6))/(Peak_Time_Mor*$N52*(Total_Lanes-CF$6)))),"-")</f>
        <v>-</v>
      </c>
      <c r="CG66" s="484" t="str">
        <f aca="false">IF(CG$6&lt;Total_Lanes,900*Peak_Time_Mor*($BL66/(Total_Lanes-CG$6)-1+SQRT(($BL66/(Total_Lanes-CG$6)-1)^2+8*($BL66/(Total_Lanes-CG$6))/(Peak_Time_Mor*$N52*(Total_Lanes-CG$6)))),"-")</f>
        <v>-</v>
      </c>
      <c r="CH66" s="555" t="n">
        <f aca="false">3600/N52</f>
        <v>6.83</v>
      </c>
      <c r="CJ66" s="440" t="n">
        <v>12</v>
      </c>
      <c r="CK66" s="442" t="n">
        <f aca="false">$X66</f>
        <v>0.65</v>
      </c>
      <c r="CL66" s="467" t="n">
        <f aca="false">$AC66</f>
        <v>3312.54423442614</v>
      </c>
      <c r="CM66" s="467" t="n">
        <f aca="false">CL66*CK66</f>
        <v>2153.15375237699</v>
      </c>
      <c r="CN66" s="479" t="n">
        <f aca="false">CM66/O52</f>
        <v>1.43543583491799</v>
      </c>
      <c r="CO66" s="483" t="n">
        <f aca="false">IF(CO$53&lt;Total_Lanes,900*Peak_Time_Mor*($CN66/CO$53-1+SQRT(($CN66/CO$53-1)^2+8*($CN66/CO$53)/(Peak_Time_Mor*$O52*CO$53))),"-")</f>
        <v>1575.44119140195</v>
      </c>
      <c r="CP66" s="483" t="n">
        <f aca="false">IF(CP$53&lt;Total_Lanes,900*Peak_Time_Mor*($CN66/CP$53-1+SQRT(($CN66/CP$53-1)^2+8*($CN66/CP$53)/(Peak_Time_Mor*$O52*CP$53))),"-")</f>
        <v>3.04196096750341</v>
      </c>
      <c r="CQ66" s="483" t="n">
        <f aca="false">IF(CQ$53&lt;Total_Lanes,900*Peak_Time_Mor*($CN66/CQ$53-1+SQRT(($CN66/CQ$53-1)^2+8*($CN66/CQ$53)/(Peak_Time_Mor*$O52*CQ$53))),"-")</f>
        <v>0.73368680765975</v>
      </c>
      <c r="CR66" s="483" t="n">
        <f aca="false">IF(CR$53&lt;Total_Lanes,900*Peak_Time_Mor*($CN66/CR$53-1+SQRT(($CN66/CR$53-1)^2+8*($CN66/CR$53)/(Peak_Time_Mor*$O52*CR$53))),"-")</f>
        <v>0.335782677965435</v>
      </c>
      <c r="CS66" s="483" t="n">
        <f aca="false">IF(CS$53&lt;Total_Lanes,900*Peak_Time_Mor*($CN66/CS$53-1+SQRT(($CN66/CS$53-1)^2+8*($CN66/CS$53)/(Peak_Time_Mor*$O52*CS$53))),"-")</f>
        <v>0.193279538299573</v>
      </c>
      <c r="CT66" s="483" t="n">
        <f aca="false">IF(CT$53&lt;Total_Lanes,900*Peak_Time_Mor*($CN66/CT$53-1+SQRT(($CN66/CT$53-1)^2+8*($CN66/CT$53)/(Peak_Time_Mor*$O52*CT$53))),"-")</f>
        <v>0.125783742752317</v>
      </c>
      <c r="CU66" s="483" t="n">
        <f aca="false">IF(CU$53&lt;Total_Lanes,900*Peak_Time_Mor*($CN66/CU$53-1+SQRT(($CN66/CU$53-1)^2+8*($CN66/CU$53)/(Peak_Time_Mor*$O52*CU$53))),"-")</f>
        <v>0.0884407485520322</v>
      </c>
      <c r="CV66" s="483" t="n">
        <f aca="false">IF(CV$53&lt;Total_Lanes,900*Peak_Time_Mor*($CN66/CV$53-1+SQRT(($CN66/CV$53-1)^2+8*($CN66/CV$53)/(Peak_Time_Mor*$O52*CV$53))),"-")</f>
        <v>0.0655978336498109</v>
      </c>
      <c r="CW66" s="483" t="n">
        <f aca="false">IF(CW$53&lt;Total_Lanes,900*Peak_Time_Mor*($CN66/CW$53-1+SQRT(($CN66/CW$53-1)^2+8*($CN66/CW$53)/(Peak_Time_Mor*$O52*CW$53))),"-")</f>
        <v>0.0506012613204598</v>
      </c>
      <c r="CX66" s="483" t="n">
        <f aca="false">IF(CX$53&lt;Total_Lanes,900*Peak_Time_Mor*($CN66/CX$53-1+SQRT(($CN66/CX$53-1)^2+8*($CN66/CX$53)/(Peak_Time_Mor*$O52*CX$53))),"-")</f>
        <v>0.0402238922380116</v>
      </c>
      <c r="CY66" s="483" t="n">
        <f aca="false">IF(CY$53&lt;Total_Lanes,900*Peak_Time_Mor*($CN66/CY$53-1+SQRT(($CN66/CY$53-1)^2+8*($CN66/CY$53)/(Peak_Time_Mor*$O52*CY$53))),"-")</f>
        <v>0.0327440664156908</v>
      </c>
      <c r="CZ66" s="483" t="str">
        <f aca="false">IF(CZ$53&lt;Total_Lanes,900*Peak_Time_Mor*($CN66/CZ$53-1+SQRT(($CN66/CZ$53-1)^2+8*($CN66/CZ$53)/(Peak_Time_Mor*$O52*CZ$53))),"-")</f>
        <v>-</v>
      </c>
      <c r="DA66" s="483" t="str">
        <f aca="false">IF(DA$53&lt;Total_Lanes,900*Peak_Time_Mor*($CN66/DA$53-1+SQRT(($CN66/DA$53-1)^2+8*($CN66/DA$53)/(Peak_Time_Mor*$O52*DA$53))),"-")</f>
        <v>-</v>
      </c>
      <c r="DB66" s="483" t="str">
        <f aca="false">IF(DB$53&lt;Total_Lanes,900*Peak_Time_Mor*($CN66/DB$53-1+SQRT(($CN66/DB$53-1)^2+8*($CN66/DB$53)/(Peak_Time_Mor*$O52*DB$53))),"-")</f>
        <v>-</v>
      </c>
      <c r="DC66" s="483" t="str">
        <f aca="false">IF(DC$53&lt;Total_Lanes,900*Peak_Time_Mor*($CN66/DC$53-1+SQRT(($CN66/DC$53-1)^2+8*($CN66/DC$53)/(Peak_Time_Mor*$O52*DC$53))),"-")</f>
        <v>-</v>
      </c>
      <c r="DD66" s="483" t="str">
        <f aca="false">IF(DD$53&lt;Total_Lanes,900*Peak_Time_Mor*($CN66/DD$53-1+SQRT(($CN66/DD$53-1)^2+8*($CN66/DD$53)/(Peak_Time_Mor*$O52*DD$53))),"-")</f>
        <v>-</v>
      </c>
      <c r="DE66" s="483" t="str">
        <f aca="false">IF(DE$53&lt;Total_Lanes,900*Peak_Time_Mor*($CN66/DE$53-1+SQRT(($CN66/DE$53-1)^2+8*($CN66/DE$53)/(Peak_Time_Mor*$O52*DE$53))),"-")</f>
        <v>-</v>
      </c>
      <c r="DF66" s="483" t="str">
        <f aca="false">IF(DF$53&lt;Total_Lanes,900*Peak_Time_Mor*($CN66/DF$53-1+SQRT(($CN66/DF$53-1)^2+8*($CN66/DF$53)/(Peak_Time_Mor*$O52*DF$53))),"-")</f>
        <v>-</v>
      </c>
      <c r="DG66" s="483" t="str">
        <f aca="false">IF(DG$53&lt;Total_Lanes,900*Peak_Time_Mor*($CN66/DG$53-1+SQRT(($CN66/DG$53-1)^2+8*($CN66/DG$53)/(Peak_Time_Mor*$O52*DG$53))),"-")</f>
        <v>-</v>
      </c>
      <c r="DH66" s="483" t="str">
        <f aca="false">IF(DH$53&lt;Total_Lanes,900*Peak_Time_Mor*($CN66/DH$53-1+SQRT(($CN66/DH$53-1)^2+8*($CN66/DH$53)/(Peak_Time_Mor*$O52*DH$53))),"-")</f>
        <v>-</v>
      </c>
      <c r="DI66" s="484" t="str">
        <f aca="false">IF(DI$53&lt;Total_Lanes,900*Peak_Time_Mor*($CN66/DI$53-1+SQRT(($CN66/DI$53-1)^2+8*($CN66/DI$53)/(Peak_Time_Mor*$O52*DI$53))),"-")</f>
        <v>-</v>
      </c>
      <c r="DJ66" s="555" t="n">
        <f aca="false">3600/$O52</f>
        <v>2.4</v>
      </c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8"/>
      <c r="HQ66" s="18"/>
      <c r="HR66" s="18"/>
      <c r="HS66" s="18"/>
      <c r="HT66" s="18"/>
      <c r="HU66" s="18"/>
      <c r="HV66" s="18"/>
      <c r="HW66" s="18"/>
      <c r="HX66" s="18"/>
      <c r="HY66" s="18"/>
      <c r="HZ66" s="18"/>
      <c r="IA66" s="18"/>
      <c r="IB66" s="18"/>
      <c r="IC66" s="18"/>
      <c r="ID66" s="18"/>
      <c r="IE66" s="18"/>
      <c r="IF66" s="18"/>
      <c r="IG66" s="18"/>
      <c r="IH66" s="18"/>
      <c r="II66" s="18"/>
      <c r="IJ66" s="18"/>
      <c r="IK66" s="18"/>
      <c r="IL66" s="18"/>
      <c r="IM66" s="18"/>
      <c r="IN66" s="18"/>
      <c r="IO66" s="18"/>
      <c r="IP66" s="18"/>
      <c r="IQ66" s="18"/>
      <c r="IR66" s="18"/>
      <c r="IS66" s="18"/>
      <c r="IT66" s="18"/>
      <c r="IU66" s="18"/>
      <c r="IV66" s="18"/>
      <c r="IW66" s="18"/>
    </row>
    <row r="67" customFormat="false" ht="13.2" hidden="false" customHeight="false" outlineLevel="0" collapsed="false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440" t="n">
        <v>13</v>
      </c>
      <c r="W67" s="441" t="n">
        <f aca="false">W20</f>
        <v>26155660.55</v>
      </c>
      <c r="X67" s="442" t="n">
        <f aca="false">X20</f>
        <v>0.7</v>
      </c>
      <c r="Y67" s="441" t="n">
        <f aca="false">Y20</f>
        <v>11278.6319576499</v>
      </c>
      <c r="Z67" s="449" t="n">
        <f aca="false">W67/Y67</f>
        <v>2319.04548780488</v>
      </c>
      <c r="AA67" s="554" t="n">
        <f aca="false">AA20</f>
        <v>2</v>
      </c>
      <c r="AB67" s="474" t="n">
        <f aca="false">1-AB20</f>
        <v>0.3</v>
      </c>
      <c r="AC67" s="445" t="n">
        <f aca="false">Y67*AB67</f>
        <v>3383.58958729498</v>
      </c>
      <c r="AD67" s="467" t="n">
        <f aca="false">Peak_Time_Mor*$BH67*(CH67+BK67)/3600</f>
        <v>13.0669791612154</v>
      </c>
      <c r="AE67" s="453" t="n">
        <f aca="false">IF(AE$53&lt;Total_Lanes,($BI67*($CH67+BM67)+$CM67*CO67)*Peak_Time_Mor/3600,"-")</f>
        <v>2755.3016442761</v>
      </c>
      <c r="AF67" s="453" t="n">
        <f aca="false">IF(AF$53&lt;Total_Lanes,($BI67*($CH67+BN67)+$CM67*CP67)*Peak_Time_Mor/3600,"-")</f>
        <v>9.84374726175941</v>
      </c>
      <c r="AG67" s="453" t="n">
        <f aca="false">IF(AG$53&lt;Total_Lanes,($BI67*($CH67+BO67)+$CM67*CQ67)*Peak_Time_Mor/3600,"-")</f>
        <v>5.15008088463971</v>
      </c>
      <c r="AH67" s="453" t="n">
        <f aca="false">IF(AH$53&lt;Total_Lanes,($BI67*($CH67+BP67)+$CM67*CR67)*Peak_Time_Mor/3600,"-")</f>
        <v>4.53220512913764</v>
      </c>
      <c r="AI67" s="453" t="n">
        <f aca="false">IF(AI$53&lt;Total_Lanes,($BI67*($CH67+BQ67)+$CM67*CS67)*Peak_Time_Mor/3600,"-")</f>
        <v>4.36548957068514</v>
      </c>
      <c r="AJ67" s="453" t="n">
        <f aca="false">IF(AJ$53&lt;Total_Lanes,($BI67*($CH67+BR67)+$CM67*CT67)*Peak_Time_Mor/3600,"-")</f>
        <v>4.35732668741094</v>
      </c>
      <c r="AK67" s="453" t="n">
        <f aca="false">IF(AK$53&lt;Total_Lanes,($BI67*($CH67+BS67)+$CM67*CU67)*Peak_Time_Mor/3600,"-")</f>
        <v>4.48138187787846</v>
      </c>
      <c r="AL67" s="453" t="n">
        <f aca="false">IF(AL$53&lt;Total_Lanes,($BI67*($CH67+BT67)+$CM67*CV67)*Peak_Time_Mor/3600,"-")</f>
        <v>4.86215738127789</v>
      </c>
      <c r="AM67" s="453" t="n">
        <f aca="false">IF(AM$53&lt;Total_Lanes,($BI67*($CH67+BU67)+$CM67*CW67)*Peak_Time_Mor/3600,"-")</f>
        <v>6.2599817028991</v>
      </c>
      <c r="AN67" s="453" t="n">
        <f aca="false">IF(AN$53&lt;Total_Lanes,($BI67*($CH67+BV67)+$CM67*CX67)*Peak_Time_Mor/3600,"-")</f>
        <v>39.9273463133355</v>
      </c>
      <c r="AO67" s="453" t="n">
        <f aca="false">IF(AO$53&lt;Total_Lanes,($BI67*($CH67+BW67)+$CM67*CY67)*Peak_Time_Mor/3600,"-")</f>
        <v>1903.6222748693</v>
      </c>
      <c r="AP67" s="453" t="str">
        <f aca="false">IF(AP$53&lt;Total_Lanes,($BI67*($CH67+BX67)+$CM67*CZ67)*Peak_Time_Mor/3600,"-")</f>
        <v>-</v>
      </c>
      <c r="AQ67" s="453" t="str">
        <f aca="false">IF(AQ$53&lt;Total_Lanes,($BI67*($CH67+BY67)+$CM67*DA67)*Peak_Time_Mor/3600,"-")</f>
        <v>-</v>
      </c>
      <c r="AR67" s="453" t="str">
        <f aca="false">IF(AR$53&lt;Total_Lanes,($BI67*($CH67+BZ67)+$CM67*DB67)*Peak_Time_Mor/3600,"-")</f>
        <v>-</v>
      </c>
      <c r="AS67" s="453" t="str">
        <f aca="false">IF(AS$53&lt;Total_Lanes,($BI67*($CH67+CA67)+$CM67*DC67)*Peak_Time_Mor/3600,"-")</f>
        <v>-</v>
      </c>
      <c r="AT67" s="453" t="str">
        <f aca="false">IF(AT$53&lt;Total_Lanes,($BI67*($CH67+CB67)+$CM67*DD67)*Peak_Time_Mor/3600,"-")</f>
        <v>-</v>
      </c>
      <c r="AU67" s="453" t="str">
        <f aca="false">IF(AU$53&lt;Total_Lanes,($BI67*($CH67+CC67)+$CM67*DE67)*Peak_Time_Mor/3600,"-")</f>
        <v>-</v>
      </c>
      <c r="AV67" s="453" t="str">
        <f aca="false">IF(AV$53&lt;Total_Lanes,($BI67*($CH67+CD67)+$CM67*DF67)*Peak_Time_Mor/3600,"-")</f>
        <v>-</v>
      </c>
      <c r="AW67" s="453" t="str">
        <f aca="false">IF(AW$53&lt;Total_Lanes,($BI67*($CH67+CE67)+$CM67*DG67)*Peak_Time_Mor/3600,"-")</f>
        <v>-</v>
      </c>
      <c r="AX67" s="453" t="str">
        <f aca="false">IF(AX$53&lt;Total_Lanes,($BI67*($CH67+CF67)+$CM67*DH67)*Peak_Time_Mor/3600,"-")</f>
        <v>-</v>
      </c>
      <c r="AY67" s="454" t="str">
        <f aca="false">IF(AY$53&lt;Total_Lanes,($BI67*($CH67+CG67)+$CM67*DI67)*Peak_Time_Mor/3600,"-")</f>
        <v>-</v>
      </c>
      <c r="AZ67" s="475" t="n">
        <f aca="false">SUMIF(AE67:AY67,BA67,$AE$53:$AY$53)</f>
        <v>6</v>
      </c>
      <c r="BA67" s="476" t="n">
        <f aca="false">MIN(AE67:AY67)</f>
        <v>4.35732668741094</v>
      </c>
      <c r="BB67" s="475" t="n">
        <f aca="false">IF((SUMIF($BM65:$CG65,$AZ67,$BM67:$CG67)+$CH67)&lt;(SUMIF($CO65:$DI65,$AZ67,$CO67:$DI67)+$DJ67),AZ67+1,AZ67)</f>
        <v>6</v>
      </c>
      <c r="BC67" s="476" t="n">
        <f aca="false">SUMIF($AE$53:$AY$53,$BB67,$AE67:$AY67)</f>
        <v>4.35732668741094</v>
      </c>
      <c r="BF67" s="440" t="n">
        <v>13</v>
      </c>
      <c r="BG67" s="442" t="n">
        <f aca="false">$X67</f>
        <v>0.7</v>
      </c>
      <c r="BH67" s="451" t="n">
        <f aca="false">$AC67</f>
        <v>3383.58958729498</v>
      </c>
      <c r="BI67" s="452" t="n">
        <f aca="false">BH67*(1-BG67)</f>
        <v>1015.0768761885</v>
      </c>
      <c r="BJ67" s="460" t="n">
        <f aca="false">Peak_Arrival_Manual_Mor/K53</f>
        <v>1.85392512803871</v>
      </c>
      <c r="BK67" s="549" t="n">
        <f aca="false">900*Peak_Time_Mor*($BJ67/Total_Lanes-1+SQRT(($BJ67/Total_Lanes-1)^2+8*($BJ67/Total_Lanes)/(Peak_Time_Mor*$K53*Total_Lanes)))</f>
        <v>0.100113894281062</v>
      </c>
      <c r="BL67" s="460" t="n">
        <f aca="false">Peak_Arrival_Manual_Mor/N53</f>
        <v>1.93181817999623</v>
      </c>
      <c r="BM67" s="550" t="n">
        <f aca="false">IF(BM$6&lt;Total_Lanes,900*Peak_Time_Mor*($BL67/(Total_Lanes-BM$6)-1+SQRT(($BL67/(Total_Lanes-BM$6)-1)^2+8*($BL67/(Total_Lanes-BM$6))/(Peak_Time_Mor*$N53*(Total_Lanes-BM$6)))),"-")</f>
        <v>0.132679474870234</v>
      </c>
      <c r="BN67" s="483" t="n">
        <f aca="false">IF(BN$6&lt;Total_Lanes,900*Peak_Time_Mor*($BL67/(Total_Lanes-BN$6)-1+SQRT(($BL67/(Total_Lanes-BN$6)-1)^2+8*($BL67/(Total_Lanes-BN$6))/(Peak_Time_Mor*$N53*(Total_Lanes-BN$6)))),"-")</f>
        <v>0.164034749999553</v>
      </c>
      <c r="BO67" s="483" t="n">
        <f aca="false">IF(BO$6&lt;Total_Lanes,900*Peak_Time_Mor*($BL67/(Total_Lanes-BO$6)-1+SQRT(($BL67/(Total_Lanes-BO$6)-1)^2+8*($BL67/(Total_Lanes-BO$6))/(Peak_Time_Mor*$N53*(Total_Lanes-BO$6)))),"-")</f>
        <v>0.208043372660427</v>
      </c>
      <c r="BP67" s="483" t="n">
        <f aca="false">IF(BP$6&lt;Total_Lanes,900*Peak_Time_Mor*($BL67/(Total_Lanes-BP$6)-1+SQRT(($BL67/(Total_Lanes-BP$6)-1)^2+8*($BL67/(Total_Lanes-BP$6))/(Peak_Time_Mor*$N53*(Total_Lanes-BP$6)))),"-")</f>
        <v>0.272611477927476</v>
      </c>
      <c r="BQ67" s="483" t="n">
        <f aca="false">IF(BQ$6&lt;Total_Lanes,900*Peak_Time_Mor*($BL67/(Total_Lanes-BQ$6)-1+SQRT(($BL67/(Total_Lanes-BQ$6)-1)^2+8*($BL67/(Total_Lanes-BQ$6))/(Peak_Time_Mor*$N53*(Total_Lanes-BQ$6)))),"-")</f>
        <v>0.373012761516689</v>
      </c>
      <c r="BR67" s="483" t="n">
        <f aca="false">IF(BR$6&lt;Total_Lanes,900*Peak_Time_Mor*($BL67/(Total_Lanes-BR$6)-1+SQRT(($BL67/(Total_Lanes-BR$6)-1)^2+8*($BL67/(Total_Lanes-BR$6))/(Peak_Time_Mor*$N53*(Total_Lanes-BR$6)))),"-")</f>
        <v>0.542110745068669</v>
      </c>
      <c r="BS67" s="483" t="n">
        <f aca="false">IF(BS$6&lt;Total_Lanes,900*Peak_Time_Mor*($BL67/(Total_Lanes-BS$6)-1+SQRT(($BL67/(Total_Lanes-BS$6)-1)^2+8*($BL67/(Total_Lanes-BS$6))/(Peak_Time_Mor*$N53*(Total_Lanes-BS$6)))),"-")</f>
        <v>0.86241331867194</v>
      </c>
      <c r="BT67" s="483" t="n">
        <f aca="false">IF(BT$6&lt;Total_Lanes,900*Peak_Time_Mor*($BL67/(Total_Lanes-BT$6)-1+SQRT(($BL67/(Total_Lanes-BT$6)-1)^2+8*($BL67/(Total_Lanes-BT$6))/(Peak_Time_Mor*$N53*(Total_Lanes-BT$6)))),"-")</f>
        <v>1.59850703446349</v>
      </c>
      <c r="BU67" s="483" t="n">
        <f aca="false">IF(BU$6&lt;Total_Lanes,900*Peak_Time_Mor*($BL67/(Total_Lanes-BU$6)-1+SQRT(($BL67/(Total_Lanes-BU$6)-1)^2+8*($BL67/(Total_Lanes-BU$6))/(Peak_Time_Mor*$N53*(Total_Lanes-BU$6)))),"-")</f>
        <v>4.11696323383738</v>
      </c>
      <c r="BV67" s="483" t="n">
        <f aca="false">IF(BV$6&lt;Total_Lanes,900*Peak_Time_Mor*($BL67/(Total_Lanes-BV$6)-1+SQRT(($BL67/(Total_Lanes-BV$6)-1)^2+8*($BL67/(Total_Lanes-BV$6))/(Peak_Time_Mor*$N53*(Total_Lanes-BV$6)))),"-")</f>
        <v>63.8455008169851</v>
      </c>
      <c r="BW67" s="551" t="n">
        <f aca="false">IF(BW$6&lt;Total_Lanes,900*Peak_Time_Mor*($BL67/(Total_Lanes-BW$6)-1+SQRT(($BL67/(Total_Lanes-BW$6)-1)^2+8*($BL67/(Total_Lanes-BW$6))/(Peak_Time_Mor*$N53*(Total_Lanes-BW$6)))),"-")</f>
        <v>3368.68962119867</v>
      </c>
      <c r="BX67" s="483" t="str">
        <f aca="false">IF(BX$6&lt;Total_Lanes,900*Peak_Time_Mor*($BL67/(Total_Lanes-BX$6)-1+SQRT(($BL67/(Total_Lanes-BX$6)-1)^2+8*($BL67/(Total_Lanes-BX$6))/(Peak_Time_Mor*$N53*(Total_Lanes-BX$6)))),"-")</f>
        <v>-</v>
      </c>
      <c r="BY67" s="483" t="str">
        <f aca="false">IF(BY$6&lt;Total_Lanes,900*Peak_Time_Mor*($BL67/(Total_Lanes-BY$6)-1+SQRT(($BL67/(Total_Lanes-BY$6)-1)^2+8*($BL67/(Total_Lanes-BY$6))/(Peak_Time_Mor*$N53*(Total_Lanes-BY$6)))),"-")</f>
        <v>-</v>
      </c>
      <c r="BZ67" s="483" t="str">
        <f aca="false">IF(BZ$6&lt;Total_Lanes,900*Peak_Time_Mor*($BL67/(Total_Lanes-BZ$6)-1+SQRT(($BL67/(Total_Lanes-BZ$6)-1)^2+8*($BL67/(Total_Lanes-BZ$6))/(Peak_Time_Mor*$N53*(Total_Lanes-BZ$6)))),"-")</f>
        <v>-</v>
      </c>
      <c r="CA67" s="483" t="str">
        <f aca="false">IF(CA$6&lt;Total_Lanes,900*Peak_Time_Mor*($BL67/(Total_Lanes-CA$6)-1+SQRT(($BL67/(Total_Lanes-CA$6)-1)^2+8*($BL67/(Total_Lanes-CA$6))/(Peak_Time_Mor*$N53*(Total_Lanes-CA$6)))),"-")</f>
        <v>-</v>
      </c>
      <c r="CB67" s="483" t="str">
        <f aca="false">IF(CB$6&lt;Total_Lanes,900*Peak_Time_Mor*($BL67/(Total_Lanes-CB$6)-1+SQRT(($BL67/(Total_Lanes-CB$6)-1)^2+8*($BL67/(Total_Lanes-CB$6))/(Peak_Time_Mor*$N53*(Total_Lanes-CB$6)))),"-")</f>
        <v>-</v>
      </c>
      <c r="CC67" s="483" t="str">
        <f aca="false">IF(CC$6&lt;Total_Lanes,900*Peak_Time_Mor*($BL67/(Total_Lanes-CC$6)-1+SQRT(($BL67/(Total_Lanes-CC$6)-1)^2+8*($BL67/(Total_Lanes-CC$6))/(Peak_Time_Mor*$N53*(Total_Lanes-CC$6)))),"-")</f>
        <v>-</v>
      </c>
      <c r="CD67" s="483" t="str">
        <f aca="false">IF(CD$6&lt;Total_Lanes,900*Peak_Time_Mor*($BL67/(Total_Lanes-CD$6)-1+SQRT(($BL67/(Total_Lanes-CD$6)-1)^2+8*($BL67/(Total_Lanes-CD$6))/(Peak_Time_Mor*$N53*(Total_Lanes-CD$6)))),"-")</f>
        <v>-</v>
      </c>
      <c r="CE67" s="483" t="str">
        <f aca="false">IF(CE$6&lt;Total_Lanes,900*Peak_Time_Mor*($BL67/(Total_Lanes-CE$6)-1+SQRT(($BL67/(Total_Lanes-CE$6)-1)^2+8*($BL67/(Total_Lanes-CE$6))/(Peak_Time_Mor*$N53*(Total_Lanes-CE$6)))),"-")</f>
        <v>-</v>
      </c>
      <c r="CF67" s="483" t="str">
        <f aca="false">IF(CF$6&lt;Total_Lanes,900*Peak_Time_Mor*($BL67/(Total_Lanes-CF$6)-1+SQRT(($BL67/(Total_Lanes-CF$6)-1)^2+8*($BL67/(Total_Lanes-CF$6))/(Peak_Time_Mor*$N53*(Total_Lanes-CF$6)))),"-")</f>
        <v>-</v>
      </c>
      <c r="CG67" s="484" t="str">
        <f aca="false">IF(CG$6&lt;Total_Lanes,900*Peak_Time_Mor*($BL67/(Total_Lanes-CG$6)-1+SQRT(($BL67/(Total_Lanes-CG$6)-1)^2+8*($BL67/(Total_Lanes-CG$6))/(Peak_Time_Mor*$N53*(Total_Lanes-CG$6)))),"-")</f>
        <v>-</v>
      </c>
      <c r="CH67" s="555" t="n">
        <f aca="false">3600/N53</f>
        <v>6.85125</v>
      </c>
      <c r="CJ67" s="440" t="n">
        <v>13</v>
      </c>
      <c r="CK67" s="442" t="n">
        <f aca="false">$X67</f>
        <v>0.7</v>
      </c>
      <c r="CL67" s="467" t="n">
        <f aca="false">$AC67</f>
        <v>3383.58958729498</v>
      </c>
      <c r="CM67" s="467" t="n">
        <f aca="false">CL67*CK67</f>
        <v>2368.51271110649</v>
      </c>
      <c r="CN67" s="479" t="n">
        <f aca="false">CM67/O53</f>
        <v>1.57900847407099</v>
      </c>
      <c r="CO67" s="483" t="n">
        <f aca="false">IF(CO$53&lt;Total_Lanes,900*Peak_Time_Mor*($CN67/CO$53-1+SQRT(($CN67/CO$53-1)^2+8*($CN67/CO$53)/(Peak_Time_Mor*$O53*CO$53))),"-")</f>
        <v>2090.95510070895</v>
      </c>
      <c r="CP67" s="483" t="n">
        <f aca="false">IF(CP$53&lt;Total_Lanes,900*Peak_Time_Mor*($CN67/CP$53-1+SQRT(($CN67/CP$53-1)^2+8*($CN67/CP$53)/(Peak_Time_Mor*$O53*CP$53))),"-")</f>
        <v>4.4744077968717</v>
      </c>
      <c r="CQ67" s="483" t="n">
        <f aca="false">IF(CQ$53&lt;Total_Lanes,900*Peak_Time_Mor*($CN67/CQ$53-1+SQRT(($CN67/CQ$53-1)^2+8*($CN67/CQ$53)/(Peak_Time_Mor*$O53*CQ$53))),"-")</f>
        <v>0.888498557624406</v>
      </c>
      <c r="CR67" s="483" t="n">
        <f aca="false">IF(CR$53&lt;Total_Lanes,900*Peak_Time_Mor*($CN67/CR$53-1+SQRT(($CN67/CR$53-1)^2+8*($CN67/CR$53)/(Peak_Time_Mor*$O53*CR$53))),"-")</f>
        <v>0.391259110701858</v>
      </c>
      <c r="CS67" s="483" t="n">
        <f aca="false">IF(CS$53&lt;Total_Lanes,900*Peak_Time_Mor*($CN67/CS$53-1+SQRT(($CN67/CS$53-1)^2+8*($CN67/CS$53)/(Peak_Time_Mor*$O53*CS$53))),"-")</f>
        <v>0.22153106801901</v>
      </c>
      <c r="CT67" s="483" t="n">
        <f aca="false">IF(CT$53&lt;Total_Lanes,900*Peak_Time_Mor*($CN67/CT$53-1+SQRT(($CN67/CT$53-1)^2+8*($CN67/CT$53)/(Peak_Time_Mor*$O53*CT$53))),"-")</f>
        <v>0.142856952430148</v>
      </c>
      <c r="CU67" s="483" t="n">
        <f aca="false">IF(CU$53&lt;Total_Lanes,900*Peak_Time_Mor*($CN67/CU$53-1+SQRT(($CN67/CU$53-1)^2+8*($CN67/CU$53)/(Peak_Time_Mor*$O53*CU$53))),"-")</f>
        <v>0.0998627170480493</v>
      </c>
      <c r="CV67" s="483" t="n">
        <f aca="false">IF(CV$53&lt;Total_Lanes,900*Peak_Time_Mor*($CN67/CV$53-1+SQRT(($CN67/CV$53-1)^2+8*($CN67/CV$53)/(Peak_Time_Mor*$O53*CV$53))),"-")</f>
        <v>0.0737721652857903</v>
      </c>
      <c r="CW67" s="483" t="n">
        <f aca="false">IF(CW$53&lt;Total_Lanes,900*Peak_Time_Mor*($CN67/CW$53-1+SQRT(($CN67/CW$53-1)^2+8*($CN67/CW$53)/(Peak_Time_Mor*$O53*CW$53))),"-")</f>
        <v>0.0567391670795114</v>
      </c>
      <c r="CX67" s="483" t="n">
        <f aca="false">IF(CX$53&lt;Total_Lanes,900*Peak_Time_Mor*($CN67/CX$53-1+SQRT(($CN67/CX$53-1)^2+8*($CN67/CX$53)/(Peak_Time_Mor*$O53*CX$53))),"-")</f>
        <v>0.0450014000441756</v>
      </c>
      <c r="CY67" s="483" t="n">
        <f aca="false">IF(CY$53&lt;Total_Lanes,900*Peak_Time_Mor*($CN67/CY$53-1+SQRT(($CN67/CY$53-1)^2+8*($CN67/CY$53)/(Peak_Time_Mor*$O53*CY$53))),"-")</f>
        <v>0.0365680037926364</v>
      </c>
      <c r="CZ67" s="483" t="str">
        <f aca="false">IF(CZ$53&lt;Total_Lanes,900*Peak_Time_Mor*($CN67/CZ$53-1+SQRT(($CN67/CZ$53-1)^2+8*($CN67/CZ$53)/(Peak_Time_Mor*$O53*CZ$53))),"-")</f>
        <v>-</v>
      </c>
      <c r="DA67" s="483" t="str">
        <f aca="false">IF(DA$53&lt;Total_Lanes,900*Peak_Time_Mor*($CN67/DA$53-1+SQRT(($CN67/DA$53-1)^2+8*($CN67/DA$53)/(Peak_Time_Mor*$O53*DA$53))),"-")</f>
        <v>-</v>
      </c>
      <c r="DB67" s="483" t="str">
        <f aca="false">IF(DB$53&lt;Total_Lanes,900*Peak_Time_Mor*($CN67/DB$53-1+SQRT(($CN67/DB$53-1)^2+8*($CN67/DB$53)/(Peak_Time_Mor*$O53*DB$53))),"-")</f>
        <v>-</v>
      </c>
      <c r="DC67" s="483" t="str">
        <f aca="false">IF(DC$53&lt;Total_Lanes,900*Peak_Time_Mor*($CN67/DC$53-1+SQRT(($CN67/DC$53-1)^2+8*($CN67/DC$53)/(Peak_Time_Mor*$O53*DC$53))),"-")</f>
        <v>-</v>
      </c>
      <c r="DD67" s="483" t="str">
        <f aca="false">IF(DD$53&lt;Total_Lanes,900*Peak_Time_Mor*($CN67/DD$53-1+SQRT(($CN67/DD$53-1)^2+8*($CN67/DD$53)/(Peak_Time_Mor*$O53*DD$53))),"-")</f>
        <v>-</v>
      </c>
      <c r="DE67" s="483" t="str">
        <f aca="false">IF(DE$53&lt;Total_Lanes,900*Peak_Time_Mor*($CN67/DE$53-1+SQRT(($CN67/DE$53-1)^2+8*($CN67/DE$53)/(Peak_Time_Mor*$O53*DE$53))),"-")</f>
        <v>-</v>
      </c>
      <c r="DF67" s="483" t="str">
        <f aca="false">IF(DF$53&lt;Total_Lanes,900*Peak_Time_Mor*($CN67/DF$53-1+SQRT(($CN67/DF$53-1)^2+8*($CN67/DF$53)/(Peak_Time_Mor*$O53*DF$53))),"-")</f>
        <v>-</v>
      </c>
      <c r="DG67" s="483" t="str">
        <f aca="false">IF(DG$53&lt;Total_Lanes,900*Peak_Time_Mor*($CN67/DG$53-1+SQRT(($CN67/DG$53-1)^2+8*($CN67/DG$53)/(Peak_Time_Mor*$O53*DG$53))),"-")</f>
        <v>-</v>
      </c>
      <c r="DH67" s="483" t="str">
        <f aca="false">IF(DH$53&lt;Total_Lanes,900*Peak_Time_Mor*($CN67/DH$53-1+SQRT(($CN67/DH$53-1)^2+8*($CN67/DH$53)/(Peak_Time_Mor*$O53*DH$53))),"-")</f>
        <v>-</v>
      </c>
      <c r="DI67" s="484" t="str">
        <f aca="false">IF(DI$53&lt;Total_Lanes,900*Peak_Time_Mor*($CN67/DI$53-1+SQRT(($CN67/DI$53-1)^2+8*($CN67/DI$53)/(Peak_Time_Mor*$O53*DI$53))),"-")</f>
        <v>-</v>
      </c>
      <c r="DJ67" s="555" t="n">
        <f aca="false">3600/$O53</f>
        <v>2.4</v>
      </c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8"/>
      <c r="HQ67" s="18"/>
      <c r="HR67" s="18"/>
      <c r="HS67" s="18"/>
      <c r="HT67" s="18"/>
      <c r="HU67" s="18"/>
      <c r="HV67" s="18"/>
      <c r="HW67" s="18"/>
      <c r="HX67" s="18"/>
      <c r="HY67" s="18"/>
      <c r="HZ67" s="18"/>
      <c r="IA67" s="18"/>
      <c r="IB67" s="18"/>
      <c r="IC67" s="18"/>
      <c r="ID67" s="18"/>
      <c r="IE67" s="18"/>
      <c r="IF67" s="18"/>
      <c r="IG67" s="18"/>
      <c r="IH67" s="18"/>
      <c r="II67" s="18"/>
      <c r="IJ67" s="18"/>
      <c r="IK67" s="18"/>
      <c r="IL67" s="18"/>
      <c r="IM67" s="18"/>
      <c r="IN67" s="18"/>
      <c r="IO67" s="18"/>
      <c r="IP67" s="18"/>
      <c r="IQ67" s="18"/>
      <c r="IR67" s="18"/>
      <c r="IS67" s="18"/>
      <c r="IT67" s="18"/>
      <c r="IU67" s="18"/>
      <c r="IV67" s="18"/>
      <c r="IW67" s="18"/>
    </row>
    <row r="68" customFormat="false" ht="13.2" hidden="false" customHeight="fals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440" t="n">
        <v>14</v>
      </c>
      <c r="W68" s="441" t="n">
        <f aca="false">W21</f>
        <v>26704851.9</v>
      </c>
      <c r="X68" s="442" t="n">
        <f aca="false">X21</f>
        <v>0.75</v>
      </c>
      <c r="Y68" s="441" t="n">
        <f aca="false">Y21</f>
        <v>11515.4498005461</v>
      </c>
      <c r="Z68" s="449" t="n">
        <f aca="false">W68/Y68</f>
        <v>2319.04548780488</v>
      </c>
      <c r="AA68" s="554" t="n">
        <f aca="false">AA21</f>
        <v>2</v>
      </c>
      <c r="AB68" s="474" t="n">
        <f aca="false">1-AB21</f>
        <v>0.3</v>
      </c>
      <c r="AC68" s="445" t="n">
        <f aca="false">Y68*AB68</f>
        <v>3454.63494016383</v>
      </c>
      <c r="AD68" s="467" t="n">
        <f aca="false">Peak_Time_Mor*$BH68*(CH68+BK68)/3600</f>
        <v>13.3491324063658</v>
      </c>
      <c r="AE68" s="453" t="n">
        <f aca="false">IF(AE$53&lt;Total_Lanes,($BI68*($CH68+BM68)+$CM68*CO68)*Peak_Time_Mor/3600,"-")</f>
        <v>3780.46154909097</v>
      </c>
      <c r="AF68" s="453" t="n">
        <f aca="false">IF(AF$53&lt;Total_Lanes,($BI68*($CH68+BN68)+$CM68*CP68)*Peak_Time_Mor/3600,"-")</f>
        <v>14.139950102615</v>
      </c>
      <c r="AG68" s="453" t="n">
        <f aca="false">IF(AG$53&lt;Total_Lanes,($BI68*($CH68+BO68)+$CM68*CQ68)*Peak_Time_Mor/3600,"-")</f>
        <v>4.94146325757322</v>
      </c>
      <c r="AH68" s="453" t="n">
        <f aca="false">IF(AH$53&lt;Total_Lanes,($BI68*($CH68+BP68)+$CM68*CR68)*Peak_Time_Mor/3600,"-")</f>
        <v>4.06075438586104</v>
      </c>
      <c r="AI68" s="453" t="n">
        <f aca="false">IF(AI$53&lt;Total_Lanes,($BI68*($CH68+BQ68)+$CM68*CS68)*Peak_Time_Mor/3600,"-")</f>
        <v>3.80725165981842</v>
      </c>
      <c r="AJ68" s="453" t="n">
        <f aca="false">IF(AJ$53&lt;Total_Lanes,($BI68*($CH68+BR68)+$CM68*CT68)*Peak_Time_Mor/3600,"-")</f>
        <v>3.738459732929</v>
      </c>
      <c r="AK68" s="453" t="n">
        <f aca="false">IF(AK$53&lt;Total_Lanes,($BI68*($CH68+BS68)+$CM68*CU68)*Peak_Time_Mor/3600,"-")</f>
        <v>3.78353560311037</v>
      </c>
      <c r="AL68" s="453" t="n">
        <f aca="false">IF(AL$53&lt;Total_Lanes,($BI68*($CH68+BT68)+$CM68*CV68)*Peak_Time_Mor/3600,"-")</f>
        <v>3.99414737656091</v>
      </c>
      <c r="AM68" s="453" t="n">
        <f aca="false">IF(AM$53&lt;Total_Lanes,($BI68*($CH68+BU68)+$CM68*CW68)*Peak_Time_Mor/3600,"-")</f>
        <v>4.72752041814946</v>
      </c>
      <c r="AN68" s="453" t="n">
        <f aca="false">IF(AN$53&lt;Total_Lanes,($BI68*($CH68+BV68)+$CM68*CX68)*Peak_Time_Mor/3600,"-")</f>
        <v>10.9207716595605</v>
      </c>
      <c r="AO68" s="453" t="n">
        <f aca="false">IF(AO$53&lt;Total_Lanes,($BI68*($CH68+BW68)+$CM68*CY68)*Peak_Time_Mor/3600,"-")</f>
        <v>1132.26924741578</v>
      </c>
      <c r="AP68" s="453" t="str">
        <f aca="false">IF(AP$53&lt;Total_Lanes,($BI68*($CH68+BX68)+$CM68*CZ68)*Peak_Time_Mor/3600,"-")</f>
        <v>-</v>
      </c>
      <c r="AQ68" s="453" t="str">
        <f aca="false">IF(AQ$53&lt;Total_Lanes,($BI68*($CH68+BY68)+$CM68*DA68)*Peak_Time_Mor/3600,"-")</f>
        <v>-</v>
      </c>
      <c r="AR68" s="453" t="str">
        <f aca="false">IF(AR$53&lt;Total_Lanes,($BI68*($CH68+BZ68)+$CM68*DB68)*Peak_Time_Mor/3600,"-")</f>
        <v>-</v>
      </c>
      <c r="AS68" s="453" t="str">
        <f aca="false">IF(AS$53&lt;Total_Lanes,($BI68*($CH68+CA68)+$CM68*DC68)*Peak_Time_Mor/3600,"-")</f>
        <v>-</v>
      </c>
      <c r="AT68" s="453" t="str">
        <f aca="false">IF(AT$53&lt;Total_Lanes,($BI68*($CH68+CB68)+$CM68*DD68)*Peak_Time_Mor/3600,"-")</f>
        <v>-</v>
      </c>
      <c r="AU68" s="453" t="str">
        <f aca="false">IF(AU$53&lt;Total_Lanes,($BI68*($CH68+CC68)+$CM68*DE68)*Peak_Time_Mor/3600,"-")</f>
        <v>-</v>
      </c>
      <c r="AV68" s="453" t="str">
        <f aca="false">IF(AV$53&lt;Total_Lanes,($BI68*($CH68+CD68)+$CM68*DF68)*Peak_Time_Mor/3600,"-")</f>
        <v>-</v>
      </c>
      <c r="AW68" s="453" t="str">
        <f aca="false">IF(AW$53&lt;Total_Lanes,($BI68*($CH68+CE68)+$CM68*DG68)*Peak_Time_Mor/3600,"-")</f>
        <v>-</v>
      </c>
      <c r="AX68" s="453" t="str">
        <f aca="false">IF(AX$53&lt;Total_Lanes,($BI68*($CH68+CF68)+$CM68*DH68)*Peak_Time_Mor/3600,"-")</f>
        <v>-</v>
      </c>
      <c r="AY68" s="454" t="str">
        <f aca="false">IF(AY$53&lt;Total_Lanes,($BI68*($CH68+CG68)+$CM68*DI68)*Peak_Time_Mor/3600,"-")</f>
        <v>-</v>
      </c>
      <c r="AZ68" s="475" t="n">
        <f aca="false">SUMIF(AE68:AY68,BA68,$AE$53:$AY$53)</f>
        <v>6</v>
      </c>
      <c r="BA68" s="476" t="n">
        <f aca="false">MIN(AE68:AY68)</f>
        <v>3.738459732929</v>
      </c>
      <c r="BB68" s="475" t="n">
        <f aca="false">IF((SUMIF($BM66:$CG66,$AZ68,$BM68:$CG68)+$CH68)&lt;(SUMIF($CO66:$DI66,$AZ68,$CO68:$DI68)+$DJ68),AZ68+1,AZ68)</f>
        <v>6</v>
      </c>
      <c r="BC68" s="476" t="n">
        <f aca="false">SUMIF($AE$53:$AY$53,$BB68,$AE68:$AY68)</f>
        <v>3.738459732929</v>
      </c>
      <c r="BF68" s="440" t="n">
        <v>14</v>
      </c>
      <c r="BG68" s="442" t="n">
        <f aca="false">$X68</f>
        <v>0.75</v>
      </c>
      <c r="BH68" s="451" t="n">
        <f aca="false">$AC68</f>
        <v>3454.63494016383</v>
      </c>
      <c r="BI68" s="452" t="n">
        <f aca="false">BH68*(1-BG68)</f>
        <v>863.658735040957</v>
      </c>
      <c r="BJ68" s="460" t="n">
        <f aca="false">Peak_Arrival_Manual_Mor/K54</f>
        <v>1.57737671747064</v>
      </c>
      <c r="BK68" s="549" t="n">
        <f aca="false">900*Peak_Time_Mor*($BJ68/Total_Lanes-1+SQRT(($BJ68/Total_Lanes-1)^2+8*($BJ68/Total_Lanes)/(Peak_Time_Mor*$K54*Total_Lanes)))</f>
        <v>0.0829203982893212</v>
      </c>
      <c r="BL68" s="460" t="n">
        <f aca="false">Peak_Arrival_Manual_Mor/N54</f>
        <v>1.6487485157136</v>
      </c>
      <c r="BM68" s="550" t="n">
        <f aca="false">IF(BM$6&lt;Total_Lanes,900*Peak_Time_Mor*($BL68/(Total_Lanes-BM$6)-1+SQRT(($BL68/(Total_Lanes-BM$6)-1)^2+8*($BL68/(Total_Lanes-BM$6))/(Peak_Time_Mor*$N54*(Total_Lanes-BM$6)))),"-")</f>
        <v>0.110151676941528</v>
      </c>
      <c r="BN68" s="483" t="n">
        <f aca="false">IF(BN$6&lt;Total_Lanes,900*Peak_Time_Mor*($BL68/(Total_Lanes-BN$6)-1+SQRT(($BL68/(Total_Lanes-BN$6)-1)^2+8*($BL68/(Total_Lanes-BN$6))/(Peak_Time_Mor*$N54*(Total_Lanes-BN$6)))),"-")</f>
        <v>0.135674430050492</v>
      </c>
      <c r="BO68" s="483" t="n">
        <f aca="false">IF(BO$6&lt;Total_Lanes,900*Peak_Time_Mor*($BL68/(Total_Lanes-BO$6)-1+SQRT(($BL68/(Total_Lanes-BO$6)-1)^2+8*($BL68/(Total_Lanes-BO$6))/(Peak_Time_Mor*$N54*(Total_Lanes-BO$6)))),"-")</f>
        <v>0.171253747624034</v>
      </c>
      <c r="BP68" s="483" t="n">
        <f aca="false">IF(BP$6&lt;Total_Lanes,900*Peak_Time_Mor*($BL68/(Total_Lanes-BP$6)-1+SQRT(($BL68/(Total_Lanes-BP$6)-1)^2+8*($BL68/(Total_Lanes-BP$6))/(Peak_Time_Mor*$N54*(Total_Lanes-BP$6)))),"-")</f>
        <v>0.222990307658533</v>
      </c>
      <c r="BQ68" s="483" t="n">
        <f aca="false">IF(BQ$6&lt;Total_Lanes,900*Peak_Time_Mor*($BL68/(Total_Lanes-BQ$6)-1+SQRT(($BL68/(Total_Lanes-BQ$6)-1)^2+8*($BL68/(Total_Lanes-BQ$6))/(Peak_Time_Mor*$N54*(Total_Lanes-BQ$6)))),"-")</f>
        <v>0.302460062303234</v>
      </c>
      <c r="BR68" s="483" t="n">
        <f aca="false">IF(BR$6&lt;Total_Lanes,900*Peak_Time_Mor*($BL68/(Total_Lanes-BR$6)-1+SQRT(($BL68/(Total_Lanes-BR$6)-1)^2+8*($BL68/(Total_Lanes-BR$6))/(Peak_Time_Mor*$N54*(Total_Lanes-BR$6)))),"-")</f>
        <v>0.43394186552721</v>
      </c>
      <c r="BS68" s="483" t="n">
        <f aca="false">IF(BS$6&lt;Total_Lanes,900*Peak_Time_Mor*($BL68/(Total_Lanes-BS$6)-1+SQRT(($BL68/(Total_Lanes-BS$6)-1)^2+8*($BL68/(Total_Lanes-BS$6))/(Peak_Time_Mor*$N54*(Total_Lanes-BS$6)))),"-")</f>
        <v>0.676037022903175</v>
      </c>
      <c r="BT68" s="483" t="n">
        <f aca="false">IF(BT$6&lt;Total_Lanes,900*Peak_Time_Mor*($BL68/(Total_Lanes-BT$6)-1+SQRT(($BL68/(Total_Lanes-BT$6)-1)^2+8*($BL68/(Total_Lanes-BT$6))/(Peak_Time_Mor*$N54*(Total_Lanes-BT$6)))),"-")</f>
        <v>1.20410135064497</v>
      </c>
      <c r="BU68" s="483" t="n">
        <f aca="false">IF(BU$6&lt;Total_Lanes,900*Peak_Time_Mor*($BL68/(Total_Lanes-BU$6)-1+SQRT(($BL68/(Total_Lanes-BU$6)-1)^2+8*($BL68/(Total_Lanes-BU$6))/(Peak_Time_Mor*$N54*(Total_Lanes-BU$6)))),"-")</f>
        <v>2.79039063811085</v>
      </c>
      <c r="BV68" s="483" t="n">
        <f aca="false">IF(BV$6&lt;Total_Lanes,900*Peak_Time_Mor*($BL68/(Total_Lanes-BV$6)-1+SQRT(($BL68/(Total_Lanes-BV$6)-1)^2+8*($BL68/(Total_Lanes-BV$6))/(Peak_Time_Mor*$N54*(Total_Lanes-BV$6)))),"-")</f>
        <v>15.7377658159085</v>
      </c>
      <c r="BW68" s="551" t="n">
        <f aca="false">IF(BW$6&lt;Total_Lanes,900*Peak_Time_Mor*($BL68/(Total_Lanes-BW$6)-1+SQRT(($BL68/(Total_Lanes-BW$6)-1)^2+8*($BL68/(Total_Lanes-BW$6))/(Peak_Time_Mor*$N54*(Total_Lanes-BW$6)))),"-")</f>
        <v>2352.83192853159</v>
      </c>
      <c r="BX68" s="483" t="str">
        <f aca="false">IF(BX$6&lt;Total_Lanes,900*Peak_Time_Mor*($BL68/(Total_Lanes-BX$6)-1+SQRT(($BL68/(Total_Lanes-BX$6)-1)^2+8*($BL68/(Total_Lanes-BX$6))/(Peak_Time_Mor*$N54*(Total_Lanes-BX$6)))),"-")</f>
        <v>-</v>
      </c>
      <c r="BY68" s="483" t="str">
        <f aca="false">IF(BY$6&lt;Total_Lanes,900*Peak_Time_Mor*($BL68/(Total_Lanes-BY$6)-1+SQRT(($BL68/(Total_Lanes-BY$6)-1)^2+8*($BL68/(Total_Lanes-BY$6))/(Peak_Time_Mor*$N54*(Total_Lanes-BY$6)))),"-")</f>
        <v>-</v>
      </c>
      <c r="BZ68" s="483" t="str">
        <f aca="false">IF(BZ$6&lt;Total_Lanes,900*Peak_Time_Mor*($BL68/(Total_Lanes-BZ$6)-1+SQRT(($BL68/(Total_Lanes-BZ$6)-1)^2+8*($BL68/(Total_Lanes-BZ$6))/(Peak_Time_Mor*$N54*(Total_Lanes-BZ$6)))),"-")</f>
        <v>-</v>
      </c>
      <c r="CA68" s="483" t="str">
        <f aca="false">IF(CA$6&lt;Total_Lanes,900*Peak_Time_Mor*($BL68/(Total_Lanes-CA$6)-1+SQRT(($BL68/(Total_Lanes-CA$6)-1)^2+8*($BL68/(Total_Lanes-CA$6))/(Peak_Time_Mor*$N54*(Total_Lanes-CA$6)))),"-")</f>
        <v>-</v>
      </c>
      <c r="CB68" s="483" t="str">
        <f aca="false">IF(CB$6&lt;Total_Lanes,900*Peak_Time_Mor*($BL68/(Total_Lanes-CB$6)-1+SQRT(($BL68/(Total_Lanes-CB$6)-1)^2+8*($BL68/(Total_Lanes-CB$6))/(Peak_Time_Mor*$N54*(Total_Lanes-CB$6)))),"-")</f>
        <v>-</v>
      </c>
      <c r="CC68" s="483" t="str">
        <f aca="false">IF(CC$6&lt;Total_Lanes,900*Peak_Time_Mor*($BL68/(Total_Lanes-CC$6)-1+SQRT(($BL68/(Total_Lanes-CC$6)-1)^2+8*($BL68/(Total_Lanes-CC$6))/(Peak_Time_Mor*$N54*(Total_Lanes-CC$6)))),"-")</f>
        <v>-</v>
      </c>
      <c r="CD68" s="483" t="str">
        <f aca="false">IF(CD$6&lt;Total_Lanes,900*Peak_Time_Mor*($BL68/(Total_Lanes-CD$6)-1+SQRT(($BL68/(Total_Lanes-CD$6)-1)^2+8*($BL68/(Total_Lanes-CD$6))/(Peak_Time_Mor*$N54*(Total_Lanes-CD$6)))),"-")</f>
        <v>-</v>
      </c>
      <c r="CE68" s="483" t="str">
        <f aca="false">IF(CE$6&lt;Total_Lanes,900*Peak_Time_Mor*($BL68/(Total_Lanes-CE$6)-1+SQRT(($BL68/(Total_Lanes-CE$6)-1)^2+8*($BL68/(Total_Lanes-CE$6))/(Peak_Time_Mor*$N54*(Total_Lanes-CE$6)))),"-")</f>
        <v>-</v>
      </c>
      <c r="CF68" s="483" t="str">
        <f aca="false">IF(CF$6&lt;Total_Lanes,900*Peak_Time_Mor*($BL68/(Total_Lanes-CF$6)-1+SQRT(($BL68/(Total_Lanes-CF$6)-1)^2+8*($BL68/(Total_Lanes-CF$6))/(Peak_Time_Mor*$N54*(Total_Lanes-CF$6)))),"-")</f>
        <v>-</v>
      </c>
      <c r="CG68" s="484" t="str">
        <f aca="false">IF(CG$6&lt;Total_Lanes,900*Peak_Time_Mor*($BL68/(Total_Lanes-CG$6)-1+SQRT(($BL68/(Total_Lanes-CG$6)-1)^2+8*($BL68/(Total_Lanes-CG$6))/(Peak_Time_Mor*$N54*(Total_Lanes-CG$6)))),"-")</f>
        <v>-</v>
      </c>
      <c r="CH68" s="555" t="n">
        <f aca="false">3600/N54</f>
        <v>6.8725</v>
      </c>
      <c r="CJ68" s="440" t="n">
        <v>14</v>
      </c>
      <c r="CK68" s="442" t="n">
        <f aca="false">$X68</f>
        <v>0.75</v>
      </c>
      <c r="CL68" s="467" t="n">
        <f aca="false">$AC68</f>
        <v>3454.63494016383</v>
      </c>
      <c r="CM68" s="467" t="n">
        <f aca="false">CL68*CK68</f>
        <v>2590.97620512287</v>
      </c>
      <c r="CN68" s="479" t="n">
        <f aca="false">CM68/O54</f>
        <v>1.72731747008191</v>
      </c>
      <c r="CO68" s="483" t="n">
        <f aca="false">IF(CO$53&lt;Total_Lanes,900*Peak_Time_Mor*($CN68/CO$53-1+SQRT(($CN68/CO$53-1)^2+8*($CN68/CO$53)/(Peak_Time_Mor*$O54*CO$53))),"-")</f>
        <v>2624.030335287</v>
      </c>
      <c r="CP68" s="483" t="n">
        <f aca="false">IF(CP$53&lt;Total_Lanes,900*Peak_Time_Mor*($CN68/CP$53-1+SQRT(($CN68/CP$53-1)^2+8*($CN68/CP$53)/(Peak_Time_Mor*$O54*CP$53))),"-")</f>
        <v>7.48723167860324</v>
      </c>
      <c r="CQ68" s="483" t="n">
        <f aca="false">IF(CQ$53&lt;Total_Lanes,900*Peak_Time_Mor*($CN68/CQ$53-1+SQRT(($CN68/CQ$53-1)^2+8*($CN68/CQ$53)/(Peak_Time_Mor*$O54*CQ$53))),"-")</f>
        <v>1.08500973743427</v>
      </c>
      <c r="CR68" s="483" t="n">
        <f aca="false">IF(CR$53&lt;Total_Lanes,900*Peak_Time_Mor*($CN68/CR$53-1+SQRT(($CN68/CR$53-1)^2+8*($CN68/CR$53)/(Peak_Time_Mor*$O54*CR$53))),"-")</f>
        <v>0.45591916614538</v>
      </c>
      <c r="CS68" s="483" t="n">
        <f aca="false">IF(CS$53&lt;Total_Lanes,900*Peak_Time_Mor*($CN68/CS$53-1+SQRT(($CN68/CS$53-1)^2+8*($CN68/CS$53)/(Peak_Time_Mor*$O54*CS$53))),"-")</f>
        <v>0.253316126561587</v>
      </c>
      <c r="CT68" s="483" t="n">
        <f aca="false">IF(CT$53&lt;Total_Lanes,900*Peak_Time_Mor*($CN68/CT$53-1+SQRT(($CN68/CT$53-1)^2+8*($CN68/CT$53)/(Peak_Time_Mor*$O54*CT$53))),"-")</f>
        <v>0.161697810737249</v>
      </c>
      <c r="CU68" s="483" t="n">
        <f aca="false">IF(CU$53&lt;Total_Lanes,900*Peak_Time_Mor*($CN68/CU$53-1+SQRT(($CN68/CU$53-1)^2+8*($CN68/CU$53)/(Peak_Time_Mor*$O54*CU$53))),"-")</f>
        <v>0.112314481473397</v>
      </c>
      <c r="CV68" s="483" t="n">
        <f aca="false">IF(CV$53&lt;Total_Lanes,900*Peak_Time_Mor*($CN68/CV$53-1+SQRT(($CN68/CV$53-1)^2+8*($CN68/CV$53)/(Peak_Time_Mor*$O54*CV$53))),"-")</f>
        <v>0.0826090071604391</v>
      </c>
      <c r="CW68" s="483" t="n">
        <f aca="false">IF(CW$53&lt;Total_Lanes,900*Peak_Time_Mor*($CN68/CW$53-1+SQRT(($CN68/CW$53-1)^2+8*($CN68/CW$53)/(Peak_Time_Mor*$O54*CW$53))),"-")</f>
        <v>0.0633339846945136</v>
      </c>
      <c r="CX68" s="483" t="n">
        <f aca="false">IF(CX$53&lt;Total_Lanes,900*Peak_Time_Mor*($CN68/CX$53-1+SQRT(($CN68/CX$53-1)^2+8*($CN68/CX$53)/(Peak_Time_Mor*$O54*CX$53))),"-")</f>
        <v>0.0501106160082809</v>
      </c>
      <c r="CY68" s="483" t="n">
        <f aca="false">IF(CY$53&lt;Total_Lanes,900*Peak_Time_Mor*($CN68/CY$53-1+SQRT(($CN68/CY$53-1)^2+8*($CN68/CY$53)/(Peak_Time_Mor*$O54*CY$53))),"-")</f>
        <v>0.040642415805614</v>
      </c>
      <c r="CZ68" s="483" t="str">
        <f aca="false">IF(CZ$53&lt;Total_Lanes,900*Peak_Time_Mor*($CN68/CZ$53-1+SQRT(($CN68/CZ$53-1)^2+8*($CN68/CZ$53)/(Peak_Time_Mor*$O54*CZ$53))),"-")</f>
        <v>-</v>
      </c>
      <c r="DA68" s="483" t="str">
        <f aca="false">IF(DA$53&lt;Total_Lanes,900*Peak_Time_Mor*($CN68/DA$53-1+SQRT(($CN68/DA$53-1)^2+8*($CN68/DA$53)/(Peak_Time_Mor*$O54*DA$53))),"-")</f>
        <v>-</v>
      </c>
      <c r="DB68" s="483" t="str">
        <f aca="false">IF(DB$53&lt;Total_Lanes,900*Peak_Time_Mor*($CN68/DB$53-1+SQRT(($CN68/DB$53-1)^2+8*($CN68/DB$53)/(Peak_Time_Mor*$O54*DB$53))),"-")</f>
        <v>-</v>
      </c>
      <c r="DC68" s="483" t="str">
        <f aca="false">IF(DC$53&lt;Total_Lanes,900*Peak_Time_Mor*($CN68/DC$53-1+SQRT(($CN68/DC$53-1)^2+8*($CN68/DC$53)/(Peak_Time_Mor*$O54*DC$53))),"-")</f>
        <v>-</v>
      </c>
      <c r="DD68" s="483" t="str">
        <f aca="false">IF(DD$53&lt;Total_Lanes,900*Peak_Time_Mor*($CN68/DD$53-1+SQRT(($CN68/DD$53-1)^2+8*($CN68/DD$53)/(Peak_Time_Mor*$O54*DD$53))),"-")</f>
        <v>-</v>
      </c>
      <c r="DE68" s="483" t="str">
        <f aca="false">IF(DE$53&lt;Total_Lanes,900*Peak_Time_Mor*($CN68/DE$53-1+SQRT(($CN68/DE$53-1)^2+8*($CN68/DE$53)/(Peak_Time_Mor*$O54*DE$53))),"-")</f>
        <v>-</v>
      </c>
      <c r="DF68" s="483" t="str">
        <f aca="false">IF(DF$53&lt;Total_Lanes,900*Peak_Time_Mor*($CN68/DF$53-1+SQRT(($CN68/DF$53-1)^2+8*($CN68/DF$53)/(Peak_Time_Mor*$O54*DF$53))),"-")</f>
        <v>-</v>
      </c>
      <c r="DG68" s="483" t="str">
        <f aca="false">IF(DG$53&lt;Total_Lanes,900*Peak_Time_Mor*($CN68/DG$53-1+SQRT(($CN68/DG$53-1)^2+8*($CN68/DG$53)/(Peak_Time_Mor*$O54*DG$53))),"-")</f>
        <v>-</v>
      </c>
      <c r="DH68" s="483" t="str">
        <f aca="false">IF(DH$53&lt;Total_Lanes,900*Peak_Time_Mor*($CN68/DH$53-1+SQRT(($CN68/DH$53-1)^2+8*($CN68/DH$53)/(Peak_Time_Mor*$O54*DH$53))),"-")</f>
        <v>-</v>
      </c>
      <c r="DI68" s="484" t="str">
        <f aca="false">IF(DI$53&lt;Total_Lanes,900*Peak_Time_Mor*($CN68/DI$53-1+SQRT(($CN68/DI$53-1)^2+8*($CN68/DI$53)/(Peak_Time_Mor*$O54*DI$53))),"-")</f>
        <v>-</v>
      </c>
      <c r="DJ68" s="555" t="n">
        <f aca="false">3600/$O54</f>
        <v>2.4</v>
      </c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  <c r="HO68" s="18"/>
      <c r="HP68" s="18"/>
      <c r="HQ68" s="18"/>
      <c r="HR68" s="18"/>
      <c r="HS68" s="18"/>
      <c r="HT68" s="18"/>
      <c r="HU68" s="18"/>
      <c r="HV68" s="18"/>
      <c r="HW68" s="18"/>
      <c r="HX68" s="18"/>
      <c r="HY68" s="18"/>
      <c r="HZ68" s="18"/>
      <c r="IA68" s="18"/>
      <c r="IB68" s="18"/>
      <c r="IC68" s="18"/>
      <c r="ID68" s="18"/>
      <c r="IE68" s="18"/>
      <c r="IF68" s="18"/>
      <c r="IG68" s="18"/>
      <c r="IH68" s="18"/>
      <c r="II68" s="18"/>
      <c r="IJ68" s="18"/>
      <c r="IK68" s="18"/>
      <c r="IL68" s="18"/>
      <c r="IM68" s="18"/>
      <c r="IN68" s="18"/>
      <c r="IO68" s="18"/>
      <c r="IP68" s="18"/>
      <c r="IQ68" s="18"/>
      <c r="IR68" s="18"/>
      <c r="IS68" s="18"/>
      <c r="IT68" s="18"/>
      <c r="IU68" s="18"/>
      <c r="IV68" s="18"/>
      <c r="IW68" s="18"/>
    </row>
    <row r="69" customFormat="false" ht="13.2" hidden="false" customHeight="false" outlineLevel="0" collapsed="false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440" t="n">
        <v>15</v>
      </c>
      <c r="W69" s="441" t="n">
        <f aca="false">W22</f>
        <v>27254043.25</v>
      </c>
      <c r="X69" s="442" t="n">
        <f aca="false">X22</f>
        <v>0.8</v>
      </c>
      <c r="Y69" s="441" t="n">
        <f aca="false">Y22</f>
        <v>11752.2676434422</v>
      </c>
      <c r="Z69" s="449" t="n">
        <f aca="false">W69/Y69</f>
        <v>2319.04548780488</v>
      </c>
      <c r="AA69" s="554" t="n">
        <f aca="false">AA22</f>
        <v>2</v>
      </c>
      <c r="AB69" s="474" t="n">
        <f aca="false">1-AB22</f>
        <v>0.3</v>
      </c>
      <c r="AC69" s="445" t="n">
        <f aca="false">Y69*AB69</f>
        <v>3525.68029303267</v>
      </c>
      <c r="AD69" s="467" t="n">
        <f aca="false">Peak_Time_Mor*$BH69*(CH69+BK69)/3600</f>
        <v>13.6318884105652</v>
      </c>
      <c r="AE69" s="453" t="n">
        <f aca="false">IF(AE$53&lt;Total_Lanes,($BI69*($CH69+BM69)+$CM69*CO69)*Peak_Time_Mor/3600,"-")</f>
        <v>4976.95906101268</v>
      </c>
      <c r="AF69" s="453" t="n">
        <f aca="false">IF(AF$53&lt;Total_Lanes,($BI69*($CH69+BN69)+$CM69*CP69)*Peak_Time_Mor/3600,"-")</f>
        <v>30.0818147791521</v>
      </c>
      <c r="AG69" s="453" t="n">
        <f aca="false">IF(AG$53&lt;Total_Lanes,($BI69*($CH69+BO69)+$CM69*CQ69)*Peak_Time_Mor/3600,"-")</f>
        <v>4.8567390315021</v>
      </c>
      <c r="AH69" s="453" t="n">
        <f aca="false">IF(AH$53&lt;Total_Lanes,($BI69*($CH69+BP69)+$CM69*CR69)*Peak_Time_Mor/3600,"-")</f>
        <v>3.60293308977853</v>
      </c>
      <c r="AI69" s="453" t="n">
        <f aca="false">IF(AI$53&lt;Total_Lanes,($BI69*($CH69+BQ69)+$CM69*CS69)*Peak_Time_Mor/3600,"-")</f>
        <v>3.2460687924387</v>
      </c>
      <c r="AJ69" s="453" t="n">
        <f aca="false">IF(AJ$53&lt;Total_Lanes,($BI69*($CH69+BR69)+$CM69*CT69)*Peak_Time_Mor/3600,"-")</f>
        <v>3.11733537299613</v>
      </c>
      <c r="AK69" s="453" t="n">
        <f aca="false">IF(AK$53&lt;Total_Lanes,($BI69*($CH69+BS69)+$CM69*CU69)*Peak_Time_Mor/3600,"-")</f>
        <v>3.097673742885</v>
      </c>
      <c r="AL69" s="453" t="n">
        <f aca="false">IF(AL$53&lt;Total_Lanes,($BI69*($CH69+BT69)+$CM69*CV69)*Peak_Time_Mor/3600,"-")</f>
        <v>3.18893624408447</v>
      </c>
      <c r="AM69" s="453" t="n">
        <f aca="false">IF(AM$53&lt;Total_Lanes,($BI69*($CH69+BU69)+$CM69*CW69)*Peak_Time_Mor/3600,"-")</f>
        <v>3.5470363379433</v>
      </c>
      <c r="AN69" s="453" t="n">
        <f aca="false">IF(AN$53&lt;Total_Lanes,($BI69*($CH69+BV69)+$CM69*CX69)*Peak_Time_Mor/3600,"-")</f>
        <v>5.57695501934941</v>
      </c>
      <c r="AO69" s="453" t="n">
        <f aca="false">IF(AO$53&lt;Total_Lanes,($BI69*($CH69+BW69)+$CM69*CY69)*Peak_Time_Mor/3600,"-")</f>
        <v>506.970060758432</v>
      </c>
      <c r="AP69" s="453" t="str">
        <f aca="false">IF(AP$53&lt;Total_Lanes,($BI69*($CH69+BX69)+$CM69*CZ69)*Peak_Time_Mor/3600,"-")</f>
        <v>-</v>
      </c>
      <c r="AQ69" s="453" t="str">
        <f aca="false">IF(AQ$53&lt;Total_Lanes,($BI69*($CH69+BY69)+$CM69*DA69)*Peak_Time_Mor/3600,"-")</f>
        <v>-</v>
      </c>
      <c r="AR69" s="453" t="str">
        <f aca="false">IF(AR$53&lt;Total_Lanes,($BI69*($CH69+BZ69)+$CM69*DB69)*Peak_Time_Mor/3600,"-")</f>
        <v>-</v>
      </c>
      <c r="AS69" s="453" t="str">
        <f aca="false">IF(AS$53&lt;Total_Lanes,($BI69*($CH69+CA69)+$CM69*DC69)*Peak_Time_Mor/3600,"-")</f>
        <v>-</v>
      </c>
      <c r="AT69" s="453" t="str">
        <f aca="false">IF(AT$53&lt;Total_Lanes,($BI69*($CH69+CB69)+$CM69*DD69)*Peak_Time_Mor/3600,"-")</f>
        <v>-</v>
      </c>
      <c r="AU69" s="453" t="str">
        <f aca="false">IF(AU$53&lt;Total_Lanes,($BI69*($CH69+CC69)+$CM69*DE69)*Peak_Time_Mor/3600,"-")</f>
        <v>-</v>
      </c>
      <c r="AV69" s="453" t="str">
        <f aca="false">IF(AV$53&lt;Total_Lanes,($BI69*($CH69+CD69)+$CM69*DF69)*Peak_Time_Mor/3600,"-")</f>
        <v>-</v>
      </c>
      <c r="AW69" s="453" t="str">
        <f aca="false">IF(AW$53&lt;Total_Lanes,($BI69*($CH69+CE69)+$CM69*DG69)*Peak_Time_Mor/3600,"-")</f>
        <v>-</v>
      </c>
      <c r="AX69" s="453" t="str">
        <f aca="false">IF(AX$53&lt;Total_Lanes,($BI69*($CH69+CF69)+$CM69*DH69)*Peak_Time_Mor/3600,"-")</f>
        <v>-</v>
      </c>
      <c r="AY69" s="454" t="str">
        <f aca="false">IF(AY$53&lt;Total_Lanes,($BI69*($CH69+CG69)+$CM69*DI69)*Peak_Time_Mor/3600,"-")</f>
        <v>-</v>
      </c>
      <c r="AZ69" s="475" t="n">
        <f aca="false">SUMIF(AE69:AY69,BA69,$AE$53:$AY$53)</f>
        <v>7</v>
      </c>
      <c r="BA69" s="476" t="n">
        <f aca="false">MIN(AE69:AY69)</f>
        <v>3.097673742885</v>
      </c>
      <c r="BB69" s="475" t="n">
        <f aca="false">IF((SUMIF($BM67:$CG67,$AZ69,$BM69:$CG69)+$CH69)&lt;(SUMIF($CO67:$DI67,$AZ69,$CO69:$DI69)+$DJ69),AZ69+1,AZ69)</f>
        <v>7</v>
      </c>
      <c r="BC69" s="476" t="n">
        <f aca="false">SUMIF($AE$53:$AY$53,$BB69,$AE69:$AY69)</f>
        <v>3.097673742885</v>
      </c>
      <c r="BF69" s="440" t="n">
        <v>15</v>
      </c>
      <c r="BG69" s="442" t="n">
        <f aca="false">$X69</f>
        <v>0.8</v>
      </c>
      <c r="BH69" s="451" t="n">
        <f aca="false">$AC69</f>
        <v>3525.68029303267</v>
      </c>
      <c r="BI69" s="452" t="n">
        <f aca="false">BH69*(1-BG69)</f>
        <v>705.136058606535</v>
      </c>
      <c r="BJ69" s="460" t="n">
        <f aca="false">Peak_Arrival_Manual_Mor/K55</f>
        <v>1.28785266259388</v>
      </c>
      <c r="BK69" s="549" t="n">
        <f aca="false">900*Peak_Time_Mor*($BJ69/Total_Lanes-1+SQRT(($BJ69/Total_Lanes-1)^2+8*($BJ69/Total_Lanes)/(Peak_Time_Mor*$K55*Total_Lanes)))</f>
        <v>0.0658711509895715</v>
      </c>
      <c r="BL69" s="460" t="n">
        <f aca="false">Peak_Arrival_Manual_Mor/N55</f>
        <v>1.35028658444967</v>
      </c>
      <c r="BM69" s="550" t="n">
        <f aca="false">IF(BM$6&lt;Total_Lanes,900*Peak_Time_Mor*($BL69/(Total_Lanes-BM$6)-1+SQRT(($BL69/(Total_Lanes-BM$6)-1)^2+8*($BL69/(Total_Lanes-BM$6))/(Peak_Time_Mor*$N55*(Total_Lanes-BM$6)))),"-")</f>
        <v>0.0876924740216944</v>
      </c>
      <c r="BN69" s="483" t="n">
        <f aca="false">IF(BN$6&lt;Total_Lanes,900*Peak_Time_Mor*($BL69/(Total_Lanes-BN$6)-1+SQRT(($BL69/(Total_Lanes-BN$6)-1)^2+8*($BL69/(Total_Lanes-BN$6))/(Peak_Time_Mor*$N55*(Total_Lanes-BN$6)))),"-")</f>
        <v>0.107613004179319</v>
      </c>
      <c r="BO69" s="483" t="n">
        <f aca="false">IF(BO$6&lt;Total_Lanes,900*Peak_Time_Mor*($BL69/(Total_Lanes-BO$6)-1+SQRT(($BL69/(Total_Lanes-BO$6)-1)^2+8*($BL69/(Total_Lanes-BO$6))/(Peak_Time_Mor*$N55*(Total_Lanes-BO$6)))),"-")</f>
        <v>0.135199354849314</v>
      </c>
      <c r="BP69" s="483" t="n">
        <f aca="false">IF(BP$6&lt;Total_Lanes,900*Peak_Time_Mor*($BL69/(Total_Lanes-BP$6)-1+SQRT(($BL69/(Total_Lanes-BP$6)-1)^2+8*($BL69/(Total_Lanes-BP$6))/(Peak_Time_Mor*$N55*(Total_Lanes-BP$6)))),"-")</f>
        <v>0.174969831463678</v>
      </c>
      <c r="BQ69" s="483" t="n">
        <f aca="false">IF(BQ$6&lt;Total_Lanes,900*Peak_Time_Mor*($BL69/(Total_Lanes-BQ$6)-1+SQRT(($BL69/(Total_Lanes-BQ$6)-1)^2+8*($BL69/(Total_Lanes-BQ$6))/(Peak_Time_Mor*$N55*(Total_Lanes-BQ$6)))),"-")</f>
        <v>0.235354142669131</v>
      </c>
      <c r="BR69" s="483" t="n">
        <f aca="false">IF(BR$6&lt;Total_Lanes,900*Peak_Time_Mor*($BL69/(Total_Lanes-BR$6)-1+SQRT(($BL69/(Total_Lanes-BR$6)-1)^2+8*($BL69/(Total_Lanes-BR$6))/(Peak_Time_Mor*$N55*(Total_Lanes-BR$6)))),"-")</f>
        <v>0.333620027963955</v>
      </c>
      <c r="BS69" s="483" t="n">
        <f aca="false">IF(BS$6&lt;Total_Lanes,900*Peak_Time_Mor*($BL69/(Total_Lanes-BS$6)-1+SQRT(($BL69/(Total_Lanes-BS$6)-1)^2+8*($BL69/(Total_Lanes-BS$6))/(Peak_Time_Mor*$N55*(Total_Lanes-BS$6)))),"-")</f>
        <v>0.50999795580533</v>
      </c>
      <c r="BT69" s="483" t="n">
        <f aca="false">IF(BT$6&lt;Total_Lanes,900*Peak_Time_Mor*($BL69/(Total_Lanes-BT$6)-1+SQRT(($BL69/(Total_Lanes-BT$6)-1)^2+8*($BL69/(Total_Lanes-BT$6))/(Peak_Time_Mor*$N55*(Total_Lanes-BT$6)))),"-")</f>
        <v>0.877935745549197</v>
      </c>
      <c r="BU69" s="483" t="n">
        <f aca="false">IF(BU$6&lt;Total_Lanes,900*Peak_Time_Mor*($BL69/(Total_Lanes-BU$6)-1+SQRT(($BL69/(Total_Lanes-BU$6)-1)^2+8*($BL69/(Total_Lanes-BU$6))/(Peak_Time_Mor*$N55*(Total_Lanes-BU$6)))),"-")</f>
        <v>1.87905586641441</v>
      </c>
      <c r="BV69" s="483" t="n">
        <f aca="false">IF(BV$6&lt;Total_Lanes,900*Peak_Time_Mor*($BL69/(Total_Lanes-BV$6)-1+SQRT(($BL69/(Total_Lanes-BV$6)-1)^2+8*($BL69/(Total_Lanes-BV$6))/(Peak_Time_Mor*$N55*(Total_Lanes-BV$6)))),"-")</f>
        <v>7.12022200582201</v>
      </c>
      <c r="BW69" s="551" t="n">
        <f aca="false">IF(BW$6&lt;Total_Lanes,900*Peak_Time_Mor*($BL69/(Total_Lanes-BW$6)-1+SQRT(($BL69/(Total_Lanes-BW$6)-1)^2+8*($BL69/(Total_Lanes-BW$6))/(Peak_Time_Mor*$N55*(Total_Lanes-BW$6)))),"-")</f>
        <v>1287.06819336896</v>
      </c>
      <c r="BX69" s="483" t="str">
        <f aca="false">IF(BX$6&lt;Total_Lanes,900*Peak_Time_Mor*($BL69/(Total_Lanes-BX$6)-1+SQRT(($BL69/(Total_Lanes-BX$6)-1)^2+8*($BL69/(Total_Lanes-BX$6))/(Peak_Time_Mor*$N55*(Total_Lanes-BX$6)))),"-")</f>
        <v>-</v>
      </c>
      <c r="BY69" s="483" t="str">
        <f aca="false">IF(BY$6&lt;Total_Lanes,900*Peak_Time_Mor*($BL69/(Total_Lanes-BY$6)-1+SQRT(($BL69/(Total_Lanes-BY$6)-1)^2+8*($BL69/(Total_Lanes-BY$6))/(Peak_Time_Mor*$N55*(Total_Lanes-BY$6)))),"-")</f>
        <v>-</v>
      </c>
      <c r="BZ69" s="483" t="str">
        <f aca="false">IF(BZ$6&lt;Total_Lanes,900*Peak_Time_Mor*($BL69/(Total_Lanes-BZ$6)-1+SQRT(($BL69/(Total_Lanes-BZ$6)-1)^2+8*($BL69/(Total_Lanes-BZ$6))/(Peak_Time_Mor*$N55*(Total_Lanes-BZ$6)))),"-")</f>
        <v>-</v>
      </c>
      <c r="CA69" s="483" t="str">
        <f aca="false">IF(CA$6&lt;Total_Lanes,900*Peak_Time_Mor*($BL69/(Total_Lanes-CA$6)-1+SQRT(($BL69/(Total_Lanes-CA$6)-1)^2+8*($BL69/(Total_Lanes-CA$6))/(Peak_Time_Mor*$N55*(Total_Lanes-CA$6)))),"-")</f>
        <v>-</v>
      </c>
      <c r="CB69" s="483" t="str">
        <f aca="false">IF(CB$6&lt;Total_Lanes,900*Peak_Time_Mor*($BL69/(Total_Lanes-CB$6)-1+SQRT(($BL69/(Total_Lanes-CB$6)-1)^2+8*($BL69/(Total_Lanes-CB$6))/(Peak_Time_Mor*$N55*(Total_Lanes-CB$6)))),"-")</f>
        <v>-</v>
      </c>
      <c r="CC69" s="483" t="str">
        <f aca="false">IF(CC$6&lt;Total_Lanes,900*Peak_Time_Mor*($BL69/(Total_Lanes-CC$6)-1+SQRT(($BL69/(Total_Lanes-CC$6)-1)^2+8*($BL69/(Total_Lanes-CC$6))/(Peak_Time_Mor*$N55*(Total_Lanes-CC$6)))),"-")</f>
        <v>-</v>
      </c>
      <c r="CD69" s="483" t="str">
        <f aca="false">IF(CD$6&lt;Total_Lanes,900*Peak_Time_Mor*($BL69/(Total_Lanes-CD$6)-1+SQRT(($BL69/(Total_Lanes-CD$6)-1)^2+8*($BL69/(Total_Lanes-CD$6))/(Peak_Time_Mor*$N55*(Total_Lanes-CD$6)))),"-")</f>
        <v>-</v>
      </c>
      <c r="CE69" s="483" t="str">
        <f aca="false">IF(CE$6&lt;Total_Lanes,900*Peak_Time_Mor*($BL69/(Total_Lanes-CE$6)-1+SQRT(($BL69/(Total_Lanes-CE$6)-1)^2+8*($BL69/(Total_Lanes-CE$6))/(Peak_Time_Mor*$N55*(Total_Lanes-CE$6)))),"-")</f>
        <v>-</v>
      </c>
      <c r="CF69" s="483" t="str">
        <f aca="false">IF(CF$6&lt;Total_Lanes,900*Peak_Time_Mor*($BL69/(Total_Lanes-CF$6)-1+SQRT(($BL69/(Total_Lanes-CF$6)-1)^2+8*($BL69/(Total_Lanes-CF$6))/(Peak_Time_Mor*$N55*(Total_Lanes-CF$6)))),"-")</f>
        <v>-</v>
      </c>
      <c r="CG69" s="484" t="str">
        <f aca="false">IF(CG$6&lt;Total_Lanes,900*Peak_Time_Mor*($BL69/(Total_Lanes-CG$6)-1+SQRT(($BL69/(Total_Lanes-CG$6)-1)^2+8*($BL69/(Total_Lanes-CG$6))/(Peak_Time_Mor*$N55*(Total_Lanes-CG$6)))),"-")</f>
        <v>-</v>
      </c>
      <c r="CH69" s="555" t="n">
        <f aca="false">3600/N55</f>
        <v>6.89375</v>
      </c>
      <c r="CJ69" s="440" t="n">
        <v>15</v>
      </c>
      <c r="CK69" s="442" t="n">
        <f aca="false">$X69</f>
        <v>0.8</v>
      </c>
      <c r="CL69" s="467" t="n">
        <f aca="false">$AC69</f>
        <v>3525.68029303267</v>
      </c>
      <c r="CM69" s="467" t="n">
        <f aca="false">CL69*CK69</f>
        <v>2820.54423442614</v>
      </c>
      <c r="CN69" s="479" t="n">
        <f aca="false">CM69/O55</f>
        <v>1.88036282295076</v>
      </c>
      <c r="CO69" s="483" t="n">
        <f aca="false">IF(CO$53&lt;Total_Lanes,900*Peak_Time_Mor*($CN69/CO$53-1+SQRT(($CN69/CO$53-1)^2+8*($CN69/CO$53)/(Peak_Time_Mor*$O55*CO$53))),"-")</f>
        <v>3174.42404685952</v>
      </c>
      <c r="CP69" s="483" t="n">
        <f aca="false">IF(CP$53&lt;Total_Lanes,900*Peak_Time_Mor*($CN69/CP$53-1+SQRT(($CN69/CP$53-1)^2+8*($CN69/CP$53)/(Peak_Time_Mor*$O55*CP$53))),"-")</f>
        <v>17.4471126842105</v>
      </c>
      <c r="CQ69" s="483" t="n">
        <f aca="false">IF(CQ$53&lt;Total_Lanes,900*Peak_Time_Mor*($CN69/CQ$53-1+SQRT(($CN69/CQ$53-1)^2+8*($CN69/CQ$53)/(Peak_Time_Mor*$O55*CQ$53))),"-")</f>
        <v>1.34221068624745</v>
      </c>
      <c r="CR69" s="483" t="n">
        <f aca="false">IF(CR$53&lt;Total_Lanes,900*Peak_Time_Mor*($CN69/CR$53-1+SQRT(($CN69/CR$53-1)^2+8*($CN69/CR$53)/(Peak_Time_Mor*$O55*CR$53))),"-")</f>
        <v>0.532120823325633</v>
      </c>
      <c r="CS69" s="483" t="n">
        <f aca="false">IF(CS$53&lt;Total_Lanes,900*Peak_Time_Mor*($CN69/CS$53-1+SQRT(($CN69/CS$53-1)^2+8*($CN69/CS$53)/(Peak_Time_Mor*$O55*CS$53))),"-")</f>
        <v>0.289282975914196</v>
      </c>
      <c r="CT69" s="483" t="n">
        <f aca="false">IF(CT$53&lt;Total_Lanes,900*Peak_Time_Mor*($CN69/CT$53-1+SQRT(($CN69/CT$53-1)^2+8*($CN69/CT$53)/(Peak_Time_Mor*$O55*CT$53))),"-")</f>
        <v>0.182562091917804</v>
      </c>
      <c r="CU69" s="483" t="n">
        <f aca="false">IF(CU$53&lt;Total_Lanes,900*Peak_Time_Mor*($CN69/CU$53-1+SQRT(($CN69/CU$53-1)^2+8*($CN69/CU$53)/(Peak_Time_Mor*$O55*CU$53))),"-")</f>
        <v>0.125920054855122</v>
      </c>
      <c r="CV69" s="483" t="n">
        <f aca="false">IF(CV$53&lt;Total_Lanes,900*Peak_Time_Mor*($CN69/CV$53-1+SQRT(($CN69/CV$53-1)^2+8*($CN69/CV$53)/(Peak_Time_Mor*$O55*CV$53))),"-")</f>
        <v>0.0921770276933076</v>
      </c>
      <c r="CW69" s="483" t="n">
        <f aca="false">IF(CW$53&lt;Total_Lanes,900*Peak_Time_Mor*($CN69/CW$53-1+SQRT(($CN69/CW$53-1)^2+8*($CN69/CW$53)/(Peak_Time_Mor*$O55*CW$53))),"-")</f>
        <v>0.0704274211727141</v>
      </c>
      <c r="CX69" s="483" t="n">
        <f aca="false">IF(CX$53&lt;Total_Lanes,900*Peak_Time_Mor*($CN69/CX$53-1+SQRT(($CN69/CX$53-1)^2+8*($CN69/CX$53)/(Peak_Time_Mor*$O55*CX$53))),"-")</f>
        <v>0.0555786529804925</v>
      </c>
      <c r="CY69" s="483" t="n">
        <f aca="false">IF(CY$53&lt;Total_Lanes,900*Peak_Time_Mor*($CN69/CY$53-1+SQRT(($CN69/CY$53-1)^2+8*($CN69/CY$53)/(Peak_Time_Mor*$O55*CY$53))),"-")</f>
        <v>0.0449858681845772</v>
      </c>
      <c r="CZ69" s="483" t="str">
        <f aca="false">IF(CZ$53&lt;Total_Lanes,900*Peak_Time_Mor*($CN69/CZ$53-1+SQRT(($CN69/CZ$53-1)^2+8*($CN69/CZ$53)/(Peak_Time_Mor*$O55*CZ$53))),"-")</f>
        <v>-</v>
      </c>
      <c r="DA69" s="483" t="str">
        <f aca="false">IF(DA$53&lt;Total_Lanes,900*Peak_Time_Mor*($CN69/DA$53-1+SQRT(($CN69/DA$53-1)^2+8*($CN69/DA$53)/(Peak_Time_Mor*$O55*DA$53))),"-")</f>
        <v>-</v>
      </c>
      <c r="DB69" s="483" t="str">
        <f aca="false">IF(DB$53&lt;Total_Lanes,900*Peak_Time_Mor*($CN69/DB$53-1+SQRT(($CN69/DB$53-1)^2+8*($CN69/DB$53)/(Peak_Time_Mor*$O55*DB$53))),"-")</f>
        <v>-</v>
      </c>
      <c r="DC69" s="483" t="str">
        <f aca="false">IF(DC$53&lt;Total_Lanes,900*Peak_Time_Mor*($CN69/DC$53-1+SQRT(($CN69/DC$53-1)^2+8*($CN69/DC$53)/(Peak_Time_Mor*$O55*DC$53))),"-")</f>
        <v>-</v>
      </c>
      <c r="DD69" s="483" t="str">
        <f aca="false">IF(DD$53&lt;Total_Lanes,900*Peak_Time_Mor*($CN69/DD$53-1+SQRT(($CN69/DD$53-1)^2+8*($CN69/DD$53)/(Peak_Time_Mor*$O55*DD$53))),"-")</f>
        <v>-</v>
      </c>
      <c r="DE69" s="483" t="str">
        <f aca="false">IF(DE$53&lt;Total_Lanes,900*Peak_Time_Mor*($CN69/DE$53-1+SQRT(($CN69/DE$53-1)^2+8*($CN69/DE$53)/(Peak_Time_Mor*$O55*DE$53))),"-")</f>
        <v>-</v>
      </c>
      <c r="DF69" s="483" t="str">
        <f aca="false">IF(DF$53&lt;Total_Lanes,900*Peak_Time_Mor*($CN69/DF$53-1+SQRT(($CN69/DF$53-1)^2+8*($CN69/DF$53)/(Peak_Time_Mor*$O55*DF$53))),"-")</f>
        <v>-</v>
      </c>
      <c r="DG69" s="483" t="str">
        <f aca="false">IF(DG$53&lt;Total_Lanes,900*Peak_Time_Mor*($CN69/DG$53-1+SQRT(($CN69/DG$53-1)^2+8*($CN69/DG$53)/(Peak_Time_Mor*$O55*DG$53))),"-")</f>
        <v>-</v>
      </c>
      <c r="DH69" s="483" t="str">
        <f aca="false">IF(DH$53&lt;Total_Lanes,900*Peak_Time_Mor*($CN69/DH$53-1+SQRT(($CN69/DH$53-1)^2+8*($CN69/DH$53)/(Peak_Time_Mor*$O55*DH$53))),"-")</f>
        <v>-</v>
      </c>
      <c r="DI69" s="484" t="str">
        <f aca="false">IF(DI$53&lt;Total_Lanes,900*Peak_Time_Mor*($CN69/DI$53-1+SQRT(($CN69/DI$53-1)^2+8*($CN69/DI$53)/(Peak_Time_Mor*$O55*DI$53))),"-")</f>
        <v>-</v>
      </c>
      <c r="DJ69" s="555" t="n">
        <f aca="false">3600/$O55</f>
        <v>2.4</v>
      </c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  <c r="GX69" s="18"/>
      <c r="GY69" s="18"/>
      <c r="GZ69" s="18"/>
      <c r="HA69" s="18"/>
      <c r="HB69" s="18"/>
      <c r="HC69" s="18"/>
      <c r="HD69" s="18"/>
      <c r="HE69" s="18"/>
      <c r="HF69" s="18"/>
      <c r="HG69" s="18"/>
      <c r="HH69" s="18"/>
      <c r="HI69" s="18"/>
      <c r="HJ69" s="18"/>
      <c r="HK69" s="18"/>
      <c r="HL69" s="18"/>
      <c r="HM69" s="18"/>
      <c r="HN69" s="18"/>
      <c r="HO69" s="18"/>
      <c r="HP69" s="18"/>
      <c r="HQ69" s="18"/>
      <c r="HR69" s="18"/>
      <c r="HS69" s="18"/>
      <c r="HT69" s="18"/>
      <c r="HU69" s="18"/>
      <c r="HV69" s="18"/>
      <c r="HW69" s="18"/>
      <c r="HX69" s="18"/>
      <c r="HY69" s="18"/>
      <c r="HZ69" s="18"/>
      <c r="IA69" s="18"/>
      <c r="IB69" s="18"/>
      <c r="IC69" s="18"/>
      <c r="ID69" s="18"/>
      <c r="IE69" s="18"/>
      <c r="IF69" s="18"/>
      <c r="IG69" s="18"/>
      <c r="IH69" s="18"/>
      <c r="II69" s="18"/>
      <c r="IJ69" s="18"/>
      <c r="IK69" s="18"/>
      <c r="IL69" s="18"/>
      <c r="IM69" s="18"/>
      <c r="IN69" s="18"/>
      <c r="IO69" s="18"/>
      <c r="IP69" s="18"/>
      <c r="IQ69" s="18"/>
      <c r="IR69" s="18"/>
      <c r="IS69" s="18"/>
      <c r="IT69" s="18"/>
      <c r="IU69" s="18"/>
      <c r="IV69" s="18"/>
      <c r="IW69" s="18"/>
    </row>
    <row r="70" customFormat="false" ht="13.2" hidden="false" customHeight="fals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440" t="n">
        <v>16</v>
      </c>
      <c r="W70" s="441" t="n">
        <f aca="false">W23</f>
        <v>27803234.6</v>
      </c>
      <c r="X70" s="442" t="n">
        <f aca="false">X23</f>
        <v>0.85</v>
      </c>
      <c r="Y70" s="441" t="n">
        <f aca="false">Y23</f>
        <v>11989.0854863384</v>
      </c>
      <c r="Z70" s="449" t="n">
        <f aca="false">W70/Y70</f>
        <v>2319.04548780488</v>
      </c>
      <c r="AA70" s="554" t="n">
        <f aca="false">AA23</f>
        <v>2</v>
      </c>
      <c r="AB70" s="474" t="n">
        <f aca="false">1-AB23</f>
        <v>0.3</v>
      </c>
      <c r="AC70" s="445" t="n">
        <f aca="false">Y70*AB70</f>
        <v>3596.72564590152</v>
      </c>
      <c r="AD70" s="467" t="n">
        <f aca="false">Peak_Time_Mor*$BH70*(CH70+BK70)/3600</f>
        <v>13.9153619291803</v>
      </c>
      <c r="AE70" s="453" t="n">
        <f aca="false">IF(AE$53&lt;Total_Lanes,($BI70*($CH70+BM70)+$CM70*CO70)*Peak_Time_Mor/3600,"-")</f>
        <v>6357.75075908839</v>
      </c>
      <c r="AF70" s="453" t="n">
        <f aca="false">IF(AF$53&lt;Total_Lanes,($BI70*($CH70+BN70)+$CM70*CP70)*Peak_Time_Mor/3600,"-")</f>
        <v>187.288861802319</v>
      </c>
      <c r="AG70" s="453" t="n">
        <f aca="false">IF(AG$53&lt;Total_Lanes,($BI70*($CH70+BO70)+$CM70*CQ70)*Peak_Time_Mor/3600,"-")</f>
        <v>4.9775438666194</v>
      </c>
      <c r="AH70" s="453" t="n">
        <f aca="false">IF(AH$53&lt;Total_Lanes,($BI70*($CH70+BP70)+$CM70*CR70)*Peak_Time_Mor/3600,"-")</f>
        <v>3.16949283727013</v>
      </c>
      <c r="AI70" s="453" t="n">
        <f aca="false">IF(AI$53&lt;Total_Lanes,($BI70*($CH70+BQ70)+$CM70*CS70)*Peak_Time_Mor/3600,"-")</f>
        <v>2.68497849513305</v>
      </c>
      <c r="AJ70" s="453" t="n">
        <f aca="false">IF(AJ$53&lt;Total_Lanes,($BI70*($CH70+BR70)+$CM70*CT70)*Peak_Time_Mor/3600,"-")</f>
        <v>2.49419850771899</v>
      </c>
      <c r="AK70" s="453" t="n">
        <f aca="false">IF(AK$53&lt;Total_Lanes,($BI70*($CH70+BS70)+$CM70*CU70)*Peak_Time_Mor/3600,"-")</f>
        <v>2.42016119816019</v>
      </c>
      <c r="AL70" s="453" t="n">
        <f aca="false">IF(AL$53&lt;Total_Lanes,($BI70*($CH70+BT70)+$CM70*CV70)*Peak_Time_Mor/3600,"-")</f>
        <v>2.42793882363707</v>
      </c>
      <c r="AM70" s="453" t="n">
        <f aca="false">IF(AM$53&lt;Total_Lanes,($BI70*($CH70+BU70)+$CM70*CW70)*Peak_Time_Mor/3600,"-")</f>
        <v>2.56961375467954</v>
      </c>
      <c r="AN70" s="453" t="n">
        <f aca="false">IF(AN$53&lt;Total_Lanes,($BI70*($CH70+BV70)+$CM70*CX70)*Peak_Time_Mor/3600,"-")</f>
        <v>3.28897194606386</v>
      </c>
      <c r="AO70" s="453" t="n">
        <f aca="false">IF(AO$53&lt;Total_Lanes,($BI70*($CH70+BW70)+$CM70*CY70)*Peak_Time_Mor/3600,"-")</f>
        <v>73.7182605195793</v>
      </c>
      <c r="AP70" s="453" t="str">
        <f aca="false">IF(AP$53&lt;Total_Lanes,($BI70*($CH70+BX70)+$CM70*CZ70)*Peak_Time_Mor/3600,"-")</f>
        <v>-</v>
      </c>
      <c r="AQ70" s="453" t="str">
        <f aca="false">IF(AQ$53&lt;Total_Lanes,($BI70*($CH70+BY70)+$CM70*DA70)*Peak_Time_Mor/3600,"-")</f>
        <v>-</v>
      </c>
      <c r="AR70" s="453" t="str">
        <f aca="false">IF(AR$53&lt;Total_Lanes,($BI70*($CH70+BZ70)+$CM70*DB70)*Peak_Time_Mor/3600,"-")</f>
        <v>-</v>
      </c>
      <c r="AS70" s="453" t="str">
        <f aca="false">IF(AS$53&lt;Total_Lanes,($BI70*($CH70+CA70)+$CM70*DC70)*Peak_Time_Mor/3600,"-")</f>
        <v>-</v>
      </c>
      <c r="AT70" s="453" t="str">
        <f aca="false">IF(AT$53&lt;Total_Lanes,($BI70*($CH70+CB70)+$CM70*DD70)*Peak_Time_Mor/3600,"-")</f>
        <v>-</v>
      </c>
      <c r="AU70" s="453" t="str">
        <f aca="false">IF(AU$53&lt;Total_Lanes,($BI70*($CH70+CC70)+$CM70*DE70)*Peak_Time_Mor/3600,"-")</f>
        <v>-</v>
      </c>
      <c r="AV70" s="453" t="str">
        <f aca="false">IF(AV$53&lt;Total_Lanes,($BI70*($CH70+CD70)+$CM70*DF70)*Peak_Time_Mor/3600,"-")</f>
        <v>-</v>
      </c>
      <c r="AW70" s="453" t="str">
        <f aca="false">IF(AW$53&lt;Total_Lanes,($BI70*($CH70+CE70)+$CM70*DG70)*Peak_Time_Mor/3600,"-")</f>
        <v>-</v>
      </c>
      <c r="AX70" s="453" t="str">
        <f aca="false">IF(AX$53&lt;Total_Lanes,($BI70*($CH70+CF70)+$CM70*DH70)*Peak_Time_Mor/3600,"-")</f>
        <v>-</v>
      </c>
      <c r="AY70" s="454" t="str">
        <f aca="false">IF(AY$53&lt;Total_Lanes,($BI70*($CH70+CG70)+$CM70*DI70)*Peak_Time_Mor/3600,"-")</f>
        <v>-</v>
      </c>
      <c r="AZ70" s="475" t="n">
        <f aca="false">SUMIF(AE70:AY70,BA70,$AE$53:$AY$53)</f>
        <v>7</v>
      </c>
      <c r="BA70" s="476" t="n">
        <f aca="false">MIN(AE70:AY70)</f>
        <v>2.42016119816019</v>
      </c>
      <c r="BB70" s="475" t="n">
        <f aca="false">IF((SUMIF($BM68:$CG68,$AZ70,$BM70:$CG70)+$CH70)&lt;(SUMIF($CO68:$DI68,$AZ70,$CO70:$DI70)+$DJ70),AZ70+1,AZ70)</f>
        <v>7</v>
      </c>
      <c r="BC70" s="476" t="n">
        <f aca="false">SUMIF($AE$53:$AY$53,$BB70,$AE70:$AY70)</f>
        <v>2.42016119816019</v>
      </c>
      <c r="BF70" s="440" t="n">
        <v>16</v>
      </c>
      <c r="BG70" s="442" t="n">
        <f aca="false">$X70</f>
        <v>0.85</v>
      </c>
      <c r="BH70" s="451" t="n">
        <f aca="false">$AC70</f>
        <v>3596.72564590152</v>
      </c>
      <c r="BI70" s="452" t="n">
        <f aca="false">BH70*(1-BG70)</f>
        <v>539.508846885228</v>
      </c>
      <c r="BJ70" s="460" t="n">
        <f aca="false">Peak_Arrival_Manual_Mor/K56</f>
        <v>0.985352963408437</v>
      </c>
      <c r="BK70" s="549" t="n">
        <f aca="false">900*Peak_Time_Mor*($BJ70/Total_Lanes-1+SQRT(($BJ70/Total_Lanes-1)^2+8*($BJ70/Total_Lanes)/(Peak_Time_Mor*$K56*Total_Lanes)))</f>
        <v>0.0490150343594786</v>
      </c>
      <c r="BL70" s="460" t="n">
        <f aca="false">Peak_Arrival_Manual_Mor/N56</f>
        <v>1.03630657672538</v>
      </c>
      <c r="BM70" s="550" t="n">
        <f aca="false">IF(BM$6&lt;Total_Lanes,900*Peak_Time_Mor*($BL70/(Total_Lanes-BM$6)-1+SQRT(($BL70/(Total_Lanes-BM$6)-1)^2+8*($BL70/(Total_Lanes-BM$6))/(Peak_Time_Mor*$N56*(Total_Lanes-BM$6)))),"-")</f>
        <v>0.0653820735338373</v>
      </c>
      <c r="BN70" s="483" t="n">
        <f aca="false">IF(BN$6&lt;Total_Lanes,900*Peak_Time_Mor*($BL70/(Total_Lanes-BN$6)-1+SQRT(($BL70/(Total_Lanes-BN$6)-1)^2+8*($BL70/(Total_Lanes-BN$6))/(Peak_Time_Mor*$N56*(Total_Lanes-BN$6)))),"-")</f>
        <v>0.0799434129806542</v>
      </c>
      <c r="BO70" s="483" t="n">
        <f aca="false">IF(BO$6&lt;Total_Lanes,900*Peak_Time_Mor*($BL70/(Total_Lanes-BO$6)-1+SQRT(($BL70/(Total_Lanes-BO$6)-1)^2+8*($BL70/(Total_Lanes-BO$6))/(Peak_Time_Mor*$N56*(Total_Lanes-BO$6)))),"-")</f>
        <v>0.0999792250301113</v>
      </c>
      <c r="BP70" s="483" t="n">
        <f aca="false">IF(BP$6&lt;Total_Lanes,900*Peak_Time_Mor*($BL70/(Total_Lanes-BP$6)-1+SQRT(($BL70/(Total_Lanes-BP$6)-1)^2+8*($BL70/(Total_Lanes-BP$6))/(Peak_Time_Mor*$N56*(Total_Lanes-BP$6)))),"-")</f>
        <v>0.128627249393865</v>
      </c>
      <c r="BQ70" s="483" t="n">
        <f aca="false">IF(BQ$6&lt;Total_Lanes,900*Peak_Time_Mor*($BL70/(Total_Lanes-BQ$6)-1+SQRT(($BL70/(Total_Lanes-BQ$6)-1)^2+8*($BL70/(Total_Lanes-BQ$6))/(Peak_Time_Mor*$N56*(Total_Lanes-BQ$6)))),"-")</f>
        <v>0.171649595485723</v>
      </c>
      <c r="BR70" s="483" t="n">
        <f aca="false">IF(BR$6&lt;Total_Lanes,900*Peak_Time_Mor*($BL70/(Total_Lanes-BR$6)-1+SQRT(($BL70/(Total_Lanes-BR$6)-1)^2+8*($BL70/(Total_Lanes-BR$6))/(Peak_Time_Mor*$N56*(Total_Lanes-BR$6)))),"-")</f>
        <v>0.240596416843486</v>
      </c>
      <c r="BS70" s="483" t="n">
        <f aca="false">IF(BS$6&lt;Total_Lanes,900*Peak_Time_Mor*($BL70/(Total_Lanes-BS$6)-1+SQRT(($BL70/(Total_Lanes-BS$6)-1)^2+8*($BL70/(Total_Lanes-BS$6))/(Peak_Time_Mor*$N56*(Total_Lanes-BS$6)))),"-")</f>
        <v>0.36153917574222</v>
      </c>
      <c r="BT70" s="483" t="n">
        <f aca="false">IF(BT$6&lt;Total_Lanes,900*Peak_Time_Mor*($BL70/(Total_Lanes-BT$6)-1+SQRT(($BL70/(Total_Lanes-BT$6)-1)^2+8*($BL70/(Total_Lanes-BT$6))/(Peak_Time_Mor*$N56*(Total_Lanes-BT$6)))),"-")</f>
        <v>0.604350355183825</v>
      </c>
      <c r="BU70" s="483" t="n">
        <f aca="false">IF(BU$6&lt;Total_Lanes,900*Peak_Time_Mor*($BL70/(Total_Lanes-BU$6)-1+SQRT(($BL70/(Total_Lanes-BU$6)-1)^2+8*($BL70/(Total_Lanes-BU$6))/(Peak_Time_Mor*$N56*(Total_Lanes-BU$6)))),"-")</f>
        <v>1.21579816214974</v>
      </c>
      <c r="BV70" s="483" t="n">
        <f aca="false">IF(BV$6&lt;Total_Lanes,900*Peak_Time_Mor*($BL70/(Total_Lanes-BV$6)-1+SQRT(($BL70/(Total_Lanes-BV$6)-1)^2+8*($BL70/(Total_Lanes-BV$6))/(Peak_Time_Mor*$N56*(Total_Lanes-BV$6)))),"-")</f>
        <v>3.71008334898644</v>
      </c>
      <c r="BW70" s="551" t="n">
        <f aca="false">IF(BW$6&lt;Total_Lanes,900*Peak_Time_Mor*($BL70/(Total_Lanes-BW$6)-1+SQRT(($BL70/(Total_Lanes-BW$6)-1)^2+8*($BL70/(Total_Lanes-BW$6))/(Peak_Time_Mor*$N56*(Total_Lanes-BW$6)))),"-")</f>
        <v>238.755063752696</v>
      </c>
      <c r="BX70" s="483" t="str">
        <f aca="false">IF(BX$6&lt;Total_Lanes,900*Peak_Time_Mor*($BL70/(Total_Lanes-BX$6)-1+SQRT(($BL70/(Total_Lanes-BX$6)-1)^2+8*($BL70/(Total_Lanes-BX$6))/(Peak_Time_Mor*$N56*(Total_Lanes-BX$6)))),"-")</f>
        <v>-</v>
      </c>
      <c r="BY70" s="483" t="str">
        <f aca="false">IF(BY$6&lt;Total_Lanes,900*Peak_Time_Mor*($BL70/(Total_Lanes-BY$6)-1+SQRT(($BL70/(Total_Lanes-BY$6)-1)^2+8*($BL70/(Total_Lanes-BY$6))/(Peak_Time_Mor*$N56*(Total_Lanes-BY$6)))),"-")</f>
        <v>-</v>
      </c>
      <c r="BZ70" s="483" t="str">
        <f aca="false">IF(BZ$6&lt;Total_Lanes,900*Peak_Time_Mor*($BL70/(Total_Lanes-BZ$6)-1+SQRT(($BL70/(Total_Lanes-BZ$6)-1)^2+8*($BL70/(Total_Lanes-BZ$6))/(Peak_Time_Mor*$N56*(Total_Lanes-BZ$6)))),"-")</f>
        <v>-</v>
      </c>
      <c r="CA70" s="483" t="str">
        <f aca="false">IF(CA$6&lt;Total_Lanes,900*Peak_Time_Mor*($BL70/(Total_Lanes-CA$6)-1+SQRT(($BL70/(Total_Lanes-CA$6)-1)^2+8*($BL70/(Total_Lanes-CA$6))/(Peak_Time_Mor*$N56*(Total_Lanes-CA$6)))),"-")</f>
        <v>-</v>
      </c>
      <c r="CB70" s="483" t="str">
        <f aca="false">IF(CB$6&lt;Total_Lanes,900*Peak_Time_Mor*($BL70/(Total_Lanes-CB$6)-1+SQRT(($BL70/(Total_Lanes-CB$6)-1)^2+8*($BL70/(Total_Lanes-CB$6))/(Peak_Time_Mor*$N56*(Total_Lanes-CB$6)))),"-")</f>
        <v>-</v>
      </c>
      <c r="CC70" s="483" t="str">
        <f aca="false">IF(CC$6&lt;Total_Lanes,900*Peak_Time_Mor*($BL70/(Total_Lanes-CC$6)-1+SQRT(($BL70/(Total_Lanes-CC$6)-1)^2+8*($BL70/(Total_Lanes-CC$6))/(Peak_Time_Mor*$N56*(Total_Lanes-CC$6)))),"-")</f>
        <v>-</v>
      </c>
      <c r="CD70" s="483" t="str">
        <f aca="false">IF(CD$6&lt;Total_Lanes,900*Peak_Time_Mor*($BL70/(Total_Lanes-CD$6)-1+SQRT(($BL70/(Total_Lanes-CD$6)-1)^2+8*($BL70/(Total_Lanes-CD$6))/(Peak_Time_Mor*$N56*(Total_Lanes-CD$6)))),"-")</f>
        <v>-</v>
      </c>
      <c r="CE70" s="483" t="str">
        <f aca="false">IF(CE$6&lt;Total_Lanes,900*Peak_Time_Mor*($BL70/(Total_Lanes-CE$6)-1+SQRT(($BL70/(Total_Lanes-CE$6)-1)^2+8*($BL70/(Total_Lanes-CE$6))/(Peak_Time_Mor*$N56*(Total_Lanes-CE$6)))),"-")</f>
        <v>-</v>
      </c>
      <c r="CF70" s="483" t="str">
        <f aca="false">IF(CF$6&lt;Total_Lanes,900*Peak_Time_Mor*($BL70/(Total_Lanes-CF$6)-1+SQRT(($BL70/(Total_Lanes-CF$6)-1)^2+8*($BL70/(Total_Lanes-CF$6))/(Peak_Time_Mor*$N56*(Total_Lanes-CF$6)))),"-")</f>
        <v>-</v>
      </c>
      <c r="CG70" s="484" t="str">
        <f aca="false">IF(CG$6&lt;Total_Lanes,900*Peak_Time_Mor*($BL70/(Total_Lanes-CG$6)-1+SQRT(($BL70/(Total_Lanes-CG$6)-1)^2+8*($BL70/(Total_Lanes-CG$6))/(Peak_Time_Mor*$N56*(Total_Lanes-CG$6)))),"-")</f>
        <v>-</v>
      </c>
      <c r="CH70" s="555" t="n">
        <f aca="false">3600/N56</f>
        <v>6.915</v>
      </c>
      <c r="CJ70" s="440" t="n">
        <v>16</v>
      </c>
      <c r="CK70" s="442" t="n">
        <f aca="false">$X70</f>
        <v>0.85</v>
      </c>
      <c r="CL70" s="467" t="n">
        <f aca="false">$AC70</f>
        <v>3596.72564590152</v>
      </c>
      <c r="CM70" s="467" t="n">
        <f aca="false">CL70*CK70</f>
        <v>3057.21679901629</v>
      </c>
      <c r="CN70" s="479" t="n">
        <f aca="false">CM70/O56</f>
        <v>2.03814453267753</v>
      </c>
      <c r="CO70" s="483" t="n">
        <f aca="false">IF(CO$53&lt;Total_Lanes,900*Peak_Time_Mor*($CN70/CO$53-1+SQRT(($CN70/CO$53-1)^2+8*($CN70/CO$53)/(Peak_Time_Mor*$O56*CO$53))),"-")</f>
        <v>3742.02620898749</v>
      </c>
      <c r="CP70" s="483" t="n">
        <f aca="false">IF(CP$53&lt;Total_Lanes,900*Peak_Time_Mor*($CN70/CP$53-1+SQRT(($CN70/CP$53-1)^2+8*($CN70/CP$53)/(Peak_Time_Mor*$O56*CP$53))),"-")</f>
        <v>109.035812408419</v>
      </c>
      <c r="CQ70" s="483" t="n">
        <f aca="false">IF(CQ$53&lt;Total_Lanes,900*Peak_Time_Mor*($CN70/CQ$53-1+SQRT(($CN70/CQ$53-1)^2+8*($CN70/CQ$53)/(Peak_Time_Mor*$O56*CQ$53))),"-")</f>
        <v>1.69269500578442</v>
      </c>
      <c r="CR70" s="483" t="n">
        <f aca="false">IF(CR$53&lt;Total_Lanes,900*Peak_Time_Mor*($CN70/CR$53-1+SQRT(($CN70/CR$53-1)^2+8*($CN70/CR$53)/(Peak_Time_Mor*$O56*CR$53))),"-")</f>
        <v>0.623111809567889</v>
      </c>
      <c r="CS70" s="483" t="n">
        <f aca="false">IF(CS$53&lt;Total_Lanes,900*Peak_Time_Mor*($CN70/CS$53-1+SQRT(($CN70/CS$53-1)^2+8*($CN70/CS$53)/(Peak_Time_Mor*$O56*CS$53))),"-")</f>
        <v>0.330251730928666</v>
      </c>
      <c r="CT70" s="483" t="n">
        <f aca="false">IF(CT$53&lt;Total_Lanes,900*Peak_Time_Mor*($CN70/CT$53-1+SQRT(($CN70/CT$53-1)^2+8*($CN70/CT$53)/(Peak_Time_Mor*$O56*CT$53))),"-")</f>
        <v>0.205758957777968</v>
      </c>
      <c r="CU70" s="483" t="n">
        <f aca="false">IF(CU$53&lt;Total_Lanes,900*Peak_Time_Mor*($CN70/CU$53-1+SQRT(($CN70/CU$53-1)^2+8*($CN70/CU$53)/(Peak_Time_Mor*$O56*CU$53))),"-")</f>
        <v>0.140825111522025</v>
      </c>
      <c r="CV70" s="483" t="n">
        <f aca="false">IF(CV$53&lt;Total_Lanes,900*Peak_Time_Mor*($CN70/CV$53-1+SQRT(($CN70/CV$53-1)^2+8*($CN70/CV$53)/(Peak_Time_Mor*$O56*CV$53))),"-")</f>
        <v>0.102555318679509</v>
      </c>
      <c r="CW70" s="483" t="n">
        <f aca="false">IF(CW$53&lt;Total_Lanes,900*Peak_Time_Mor*($CN70/CW$53-1+SQRT(($CN70/CW$53-1)^2+8*($CN70/CW$53)/(Peak_Time_Mor*$O56*CW$53))),"-")</f>
        <v>0.0780668279011243</v>
      </c>
      <c r="CX70" s="483" t="n">
        <f aca="false">IF(CX$53&lt;Total_Lanes,900*Peak_Time_Mor*($CN70/CX$53-1+SQRT(($CN70/CX$53-1)^2+8*($CN70/CX$53)/(Peak_Time_Mor*$O56*CX$53))),"-")</f>
        <v>0.0614359561625699</v>
      </c>
      <c r="CY70" s="483" t="n">
        <f aca="false">IF(CY$53&lt;Total_Lanes,900*Peak_Time_Mor*($CN70/CY$53-1+SQRT(($CN70/CY$53-1)^2+8*($CN70/CY$53)/(Peak_Time_Mor*$O56*CY$53))),"-")</f>
        <v>0.0496190279518194</v>
      </c>
      <c r="CZ70" s="483" t="str">
        <f aca="false">IF(CZ$53&lt;Total_Lanes,900*Peak_Time_Mor*($CN70/CZ$53-1+SQRT(($CN70/CZ$53-1)^2+8*($CN70/CZ$53)/(Peak_Time_Mor*$O56*CZ$53))),"-")</f>
        <v>-</v>
      </c>
      <c r="DA70" s="483" t="str">
        <f aca="false">IF(DA$53&lt;Total_Lanes,900*Peak_Time_Mor*($CN70/DA$53-1+SQRT(($CN70/DA$53-1)^2+8*($CN70/DA$53)/(Peak_Time_Mor*$O56*DA$53))),"-")</f>
        <v>-</v>
      </c>
      <c r="DB70" s="483" t="str">
        <f aca="false">IF(DB$53&lt;Total_Lanes,900*Peak_Time_Mor*($CN70/DB$53-1+SQRT(($CN70/DB$53-1)^2+8*($CN70/DB$53)/(Peak_Time_Mor*$O56*DB$53))),"-")</f>
        <v>-</v>
      </c>
      <c r="DC70" s="483" t="str">
        <f aca="false">IF(DC$53&lt;Total_Lanes,900*Peak_Time_Mor*($CN70/DC$53-1+SQRT(($CN70/DC$53-1)^2+8*($CN70/DC$53)/(Peak_Time_Mor*$O56*DC$53))),"-")</f>
        <v>-</v>
      </c>
      <c r="DD70" s="483" t="str">
        <f aca="false">IF(DD$53&lt;Total_Lanes,900*Peak_Time_Mor*($CN70/DD$53-1+SQRT(($CN70/DD$53-1)^2+8*($CN70/DD$53)/(Peak_Time_Mor*$O56*DD$53))),"-")</f>
        <v>-</v>
      </c>
      <c r="DE70" s="483" t="str">
        <f aca="false">IF(DE$53&lt;Total_Lanes,900*Peak_Time_Mor*($CN70/DE$53-1+SQRT(($CN70/DE$53-1)^2+8*($CN70/DE$53)/(Peak_Time_Mor*$O56*DE$53))),"-")</f>
        <v>-</v>
      </c>
      <c r="DF70" s="483" t="str">
        <f aca="false">IF(DF$53&lt;Total_Lanes,900*Peak_Time_Mor*($CN70/DF$53-1+SQRT(($CN70/DF$53-1)^2+8*($CN70/DF$53)/(Peak_Time_Mor*$O56*DF$53))),"-")</f>
        <v>-</v>
      </c>
      <c r="DG70" s="483" t="str">
        <f aca="false">IF(DG$53&lt;Total_Lanes,900*Peak_Time_Mor*($CN70/DG$53-1+SQRT(($CN70/DG$53-1)^2+8*($CN70/DG$53)/(Peak_Time_Mor*$O56*DG$53))),"-")</f>
        <v>-</v>
      </c>
      <c r="DH70" s="483" t="str">
        <f aca="false">IF(DH$53&lt;Total_Lanes,900*Peak_Time_Mor*($CN70/DH$53-1+SQRT(($CN70/DH$53-1)^2+8*($CN70/DH$53)/(Peak_Time_Mor*$O56*DH$53))),"-")</f>
        <v>-</v>
      </c>
      <c r="DI70" s="484" t="str">
        <f aca="false">IF(DI$53&lt;Total_Lanes,900*Peak_Time_Mor*($CN70/DI$53-1+SQRT(($CN70/DI$53-1)^2+8*($CN70/DI$53)/(Peak_Time_Mor*$O56*DI$53))),"-")</f>
        <v>-</v>
      </c>
      <c r="DJ70" s="555" t="n">
        <f aca="false">3600/$O56</f>
        <v>2.4</v>
      </c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8"/>
      <c r="HU70" s="18"/>
      <c r="HV70" s="18"/>
      <c r="HW70" s="18"/>
      <c r="HX70" s="18"/>
      <c r="HY70" s="18"/>
      <c r="HZ70" s="18"/>
      <c r="IA70" s="18"/>
      <c r="IB70" s="18"/>
      <c r="IC70" s="18"/>
      <c r="ID70" s="18"/>
      <c r="IE70" s="18"/>
      <c r="IF70" s="18"/>
      <c r="IG70" s="18"/>
      <c r="IH70" s="18"/>
      <c r="II70" s="18"/>
      <c r="IJ70" s="18"/>
      <c r="IK70" s="18"/>
      <c r="IL70" s="18"/>
      <c r="IM70" s="18"/>
      <c r="IN70" s="18"/>
      <c r="IO70" s="18"/>
      <c r="IP70" s="18"/>
      <c r="IQ70" s="18"/>
      <c r="IR70" s="18"/>
      <c r="IS70" s="18"/>
      <c r="IT70" s="18"/>
      <c r="IU70" s="18"/>
      <c r="IV70" s="18"/>
      <c r="IW70" s="18"/>
    </row>
    <row r="71" customFormat="false" ht="13.2" hidden="false" customHeight="false" outlineLevel="0" collapsed="false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440" t="n">
        <v>17</v>
      </c>
      <c r="W71" s="441" t="n">
        <f aca="false">W24</f>
        <v>28352425.95</v>
      </c>
      <c r="X71" s="442" t="n">
        <f aca="false">X24</f>
        <v>0.9</v>
      </c>
      <c r="Y71" s="441" t="n">
        <f aca="false">Y24</f>
        <v>12225.9033292345</v>
      </c>
      <c r="Z71" s="449" t="n">
        <f aca="false">W71/Y71</f>
        <v>2319.04548780488</v>
      </c>
      <c r="AA71" s="554" t="n">
        <f aca="false">AA24</f>
        <v>2</v>
      </c>
      <c r="AB71" s="474" t="n">
        <f aca="false">1-AB24</f>
        <v>0.3</v>
      </c>
      <c r="AC71" s="445" t="n">
        <f aca="false">Y71*AB71</f>
        <v>3667.77099877036</v>
      </c>
      <c r="AD71" s="467" t="n">
        <f aca="false">Peak_Time_Mor*$BH71*(CH71+BK71)/3600</f>
        <v>14.1996623258617</v>
      </c>
      <c r="AE71" s="453" t="n">
        <f aca="false">IF(AE$53&lt;Total_Lanes,($BI71*($CH71+BM71)+$CM71*CO71)*Peak_Time_Mor/3600,"-")</f>
        <v>7936.24089500155</v>
      </c>
      <c r="AF71" s="453" t="n">
        <f aca="false">IF(AF$53&lt;Total_Lanes,($BI71*($CH71+BN71)+$CM71*CP71)*Peak_Time_Mor/3600,"-")</f>
        <v>687.124164703772</v>
      </c>
      <c r="AG71" s="453" t="n">
        <f aca="false">IF(AG$53&lt;Total_Lanes,($BI71*($CH71+BO71)+$CM71*CQ71)*Peak_Time_Mor/3600,"-")</f>
        <v>5.45662323392929</v>
      </c>
      <c r="AH71" s="453" t="n">
        <f aca="false">IF(AH$53&lt;Total_Lanes,($BI71*($CH71+BP71)+$CM71*CR71)*Peak_Time_Mor/3600,"-")</f>
        <v>2.77562388008859</v>
      </c>
      <c r="AI71" s="453" t="n">
        <f aca="false">IF(AI$53&lt;Total_Lanes,($BI71*($CH71+BQ71)+$CM71*CS71)*Peak_Time_Mor/3600,"-")</f>
        <v>2.12791655604162</v>
      </c>
      <c r="AJ71" s="453" t="n">
        <f aca="false">IF(AJ$53&lt;Total_Lanes,($BI71*($CH71+BR71)+$CM71*CT71)*Peak_Time_Mor/3600,"-")</f>
        <v>1.86966041627525</v>
      </c>
      <c r="AK71" s="453" t="n">
        <f aca="false">IF(AK$53&lt;Total_Lanes,($BI71*($CH71+BS71)+$CM71*CU71)*Peak_Time_Mor/3600,"-")</f>
        <v>1.74818033161071</v>
      </c>
      <c r="AL71" s="453" t="n">
        <f aca="false">IF(AL$53&lt;Total_Lanes,($BI71*($CH71+BT71)+$CM71*CV71)*Peak_Time_Mor/3600,"-")</f>
        <v>1.69793723777108</v>
      </c>
      <c r="AM71" s="453" t="n">
        <f aca="false">IF(AM$53&lt;Total_Lanes,($BI71*($CH71+BU71)+$CM71*CW71)*Peak_Time_Mor/3600,"-")</f>
        <v>1.71677897893079</v>
      </c>
      <c r="AN71" s="453" t="n">
        <f aca="false">IF(AN$53&lt;Total_Lanes,($BI71*($CH71+BV71)+$CM71*CX71)*Peak_Time_Mor/3600,"-")</f>
        <v>1.92337555851403</v>
      </c>
      <c r="AO71" s="453" t="n">
        <f aca="false">IF(AO$53&lt;Total_Lanes,($BI71*($CH71+BW71)+$CM71*CY71)*Peak_Time_Mor/3600,"-")</f>
        <v>4.86637058373101</v>
      </c>
      <c r="AP71" s="453" t="str">
        <f aca="false">IF(AP$53&lt;Total_Lanes,($BI71*($CH71+BX71)+$CM71*CZ71)*Peak_Time_Mor/3600,"-")</f>
        <v>-</v>
      </c>
      <c r="AQ71" s="453" t="str">
        <f aca="false">IF(AQ$53&lt;Total_Lanes,($BI71*($CH71+BY71)+$CM71*DA71)*Peak_Time_Mor/3600,"-")</f>
        <v>-</v>
      </c>
      <c r="AR71" s="453" t="str">
        <f aca="false">IF(AR$53&lt;Total_Lanes,($BI71*($CH71+BZ71)+$CM71*DB71)*Peak_Time_Mor/3600,"-")</f>
        <v>-</v>
      </c>
      <c r="AS71" s="453" t="str">
        <f aca="false">IF(AS$53&lt;Total_Lanes,($BI71*($CH71+CA71)+$CM71*DC71)*Peak_Time_Mor/3600,"-")</f>
        <v>-</v>
      </c>
      <c r="AT71" s="453" t="str">
        <f aca="false">IF(AT$53&lt;Total_Lanes,($BI71*($CH71+CB71)+$CM71*DD71)*Peak_Time_Mor/3600,"-")</f>
        <v>-</v>
      </c>
      <c r="AU71" s="453" t="str">
        <f aca="false">IF(AU$53&lt;Total_Lanes,($BI71*($CH71+CC71)+$CM71*DE71)*Peak_Time_Mor/3600,"-")</f>
        <v>-</v>
      </c>
      <c r="AV71" s="453" t="str">
        <f aca="false">IF(AV$53&lt;Total_Lanes,($BI71*($CH71+CD71)+$CM71*DF71)*Peak_Time_Mor/3600,"-")</f>
        <v>-</v>
      </c>
      <c r="AW71" s="453" t="str">
        <f aca="false">IF(AW$53&lt;Total_Lanes,($BI71*($CH71+CE71)+$CM71*DG71)*Peak_Time_Mor/3600,"-")</f>
        <v>-</v>
      </c>
      <c r="AX71" s="453" t="str">
        <f aca="false">IF(AX$53&lt;Total_Lanes,($BI71*($CH71+CF71)+$CM71*DH71)*Peak_Time_Mor/3600,"-")</f>
        <v>-</v>
      </c>
      <c r="AY71" s="454" t="str">
        <f aca="false">IF(AY$53&lt;Total_Lanes,($BI71*($CH71+CG71)+$CM71*DI71)*Peak_Time_Mor/3600,"-")</f>
        <v>-</v>
      </c>
      <c r="AZ71" s="475" t="n">
        <f aca="false">SUMIF(AE71:AY71,BA71,$AE$53:$AY$53)</f>
        <v>8</v>
      </c>
      <c r="BA71" s="476" t="n">
        <f aca="false">MIN(AE71:AY71)</f>
        <v>1.69793723777108</v>
      </c>
      <c r="BB71" s="475" t="n">
        <f aca="false">IF((SUMIF($BM69:$CG69,$AZ71,$BM71:$CG71)+$CH71)&lt;(SUMIF($CO69:$DI69,$AZ71,$CO71:$DI71)+$DJ71),AZ71+1,AZ71)</f>
        <v>8</v>
      </c>
      <c r="BC71" s="476" t="n">
        <f aca="false">SUMIF($AE$53:$AY$53,$BB71,$AE71:$AY71)</f>
        <v>1.69793723777108</v>
      </c>
      <c r="BF71" s="440" t="n">
        <v>17</v>
      </c>
      <c r="BG71" s="442" t="n">
        <f aca="false">$X71</f>
        <v>0.9</v>
      </c>
      <c r="BH71" s="451" t="n">
        <f aca="false">$AC71</f>
        <v>3667.77099877036</v>
      </c>
      <c r="BI71" s="452" t="n">
        <f aca="false">BH71*(1-BG71)</f>
        <v>366.777099877036</v>
      </c>
      <c r="BJ71" s="460" t="n">
        <f aca="false">Peak_Arrival_Manual_Mor/K57</f>
        <v>0.669877619914309</v>
      </c>
      <c r="BK71" s="549" t="n">
        <f aca="false">900*Peak_Time_Mor*($BJ71/Total_Lanes-1+SQRT(($BJ71/Total_Lanes-1)^2+8*($BJ71/Total_Lanes)/(Peak_Time_Mor*$K57*Total_Lanes)))</f>
        <v>0.0323944969219392</v>
      </c>
      <c r="BL71" s="460" t="n">
        <f aca="false">Peak_Arrival_Manual_Mor/N57</f>
        <v>0.706682683061692</v>
      </c>
      <c r="BM71" s="550" t="n">
        <f aca="false">IF(BM$6&lt;Total_Lanes,900*Peak_Time_Mor*($BL71/(Total_Lanes-BM$6)-1+SQRT(($BL71/(Total_Lanes-BM$6)-1)^2+8*($BL71/(Total_Lanes-BM$6))/(Peak_Time_Mor*$N57*(Total_Lanes-BM$6)))),"-")</f>
        <v>0.0432907948394901</v>
      </c>
      <c r="BN71" s="483" t="n">
        <f aca="false">IF(BN$6&lt;Total_Lanes,900*Peak_Time_Mor*($BL71/(Total_Lanes-BN$6)-1+SQRT(($BL71/(Total_Lanes-BN$6)-1)^2+8*($BL71/(Total_Lanes-BN$6))/(Peak_Time_Mor*$N57*(Total_Lanes-BN$6)))),"-")</f>
        <v>0.0527438192189589</v>
      </c>
      <c r="BO71" s="483" t="n">
        <f aca="false">IF(BO$6&lt;Total_Lanes,900*Peak_Time_Mor*($BL71/(Total_Lanes-BO$6)-1+SQRT(($BL71/(Total_Lanes-BO$6)-1)^2+8*($BL71/(Total_Lanes-BO$6))/(Peak_Time_Mor*$N57*(Total_Lanes-BO$6)))),"-")</f>
        <v>0.0656704205924674</v>
      </c>
      <c r="BP71" s="483" t="n">
        <f aca="false">IF(BP$6&lt;Total_Lanes,900*Peak_Time_Mor*($BL71/(Total_Lanes-BP$6)-1+SQRT(($BL71/(Total_Lanes-BP$6)-1)^2+8*($BL71/(Total_Lanes-BP$6))/(Peak_Time_Mor*$N57*(Total_Lanes-BP$6)))),"-")</f>
        <v>0.0840084505126404</v>
      </c>
      <c r="BQ71" s="483" t="n">
        <f aca="false">IF(BQ$6&lt;Total_Lanes,900*Peak_Time_Mor*($BL71/(Total_Lanes-BQ$6)-1+SQRT(($BL71/(Total_Lanes-BQ$6)-1)^2+8*($BL71/(Total_Lanes-BQ$6))/(Peak_Time_Mor*$N57*(Total_Lanes-BQ$6)))),"-")</f>
        <v>0.111264491498031</v>
      </c>
      <c r="BR71" s="483" t="n">
        <f aca="false">IF(BR$6&lt;Total_Lanes,900*Peak_Time_Mor*($BL71/(Total_Lanes-BR$6)-1+SQRT(($BL71/(Total_Lanes-BR$6)-1)^2+8*($BL71/(Total_Lanes-BR$6))/(Peak_Time_Mor*$N57*(Total_Lanes-BR$6)))),"-")</f>
        <v>0.154329484109006</v>
      </c>
      <c r="BS71" s="483" t="n">
        <f aca="false">IF(BS$6&lt;Total_Lanes,900*Peak_Time_Mor*($BL71/(Total_Lanes-BS$6)-1+SQRT(($BL71/(Total_Lanes-BS$6)-1)^2+8*($BL71/(Total_Lanes-BS$6))/(Peak_Time_Mor*$N57*(Total_Lanes-BS$6)))),"-")</f>
        <v>0.228325342273816</v>
      </c>
      <c r="BT71" s="483" t="n">
        <f aca="false">IF(BT$6&lt;Total_Lanes,900*Peak_Time_Mor*($BL71/(Total_Lanes-BT$6)-1+SQRT(($BL71/(Total_Lanes-BT$6)-1)^2+8*($BL71/(Total_Lanes-BT$6))/(Peak_Time_Mor*$N57*(Total_Lanes-BT$6)))),"-")</f>
        <v>0.372049827267151</v>
      </c>
      <c r="BU71" s="483" t="n">
        <f aca="false">IF(BU$6&lt;Total_Lanes,900*Peak_Time_Mor*($BL71/(Total_Lanes-BU$6)-1+SQRT(($BL71/(Total_Lanes-BU$6)-1)^2+8*($BL71/(Total_Lanes-BU$6))/(Peak_Time_Mor*$N57*(Total_Lanes-BU$6)))),"-")</f>
        <v>0.712281050025321</v>
      </c>
      <c r="BV71" s="483" t="n">
        <f aca="false">IF(BV$6&lt;Total_Lanes,900*Peak_Time_Mor*($BL71/(Total_Lanes-BV$6)-1+SQRT(($BL71/(Total_Lanes-BV$6)-1)^2+8*($BL71/(Total_Lanes-BV$6))/(Peak_Time_Mor*$N57*(Total_Lanes-BV$6)))),"-")</f>
        <v>1.89348122908979</v>
      </c>
      <c r="BW71" s="551" t="n">
        <f aca="false">IF(BW$6&lt;Total_Lanes,900*Peak_Time_Mor*($BL71/(Total_Lanes-BW$6)-1+SQRT(($BL71/(Total_Lanes-BW$6)-1)^2+8*($BL71/(Total_Lanes-BW$6))/(Peak_Time_Mor*$N57*(Total_Lanes-BW$6)))),"-")</f>
        <v>16.4549280817043</v>
      </c>
      <c r="BX71" s="483" t="str">
        <f aca="false">IF(BX$6&lt;Total_Lanes,900*Peak_Time_Mor*($BL71/(Total_Lanes-BX$6)-1+SQRT(($BL71/(Total_Lanes-BX$6)-1)^2+8*($BL71/(Total_Lanes-BX$6))/(Peak_Time_Mor*$N57*(Total_Lanes-BX$6)))),"-")</f>
        <v>-</v>
      </c>
      <c r="BY71" s="483" t="str">
        <f aca="false">IF(BY$6&lt;Total_Lanes,900*Peak_Time_Mor*($BL71/(Total_Lanes-BY$6)-1+SQRT(($BL71/(Total_Lanes-BY$6)-1)^2+8*($BL71/(Total_Lanes-BY$6))/(Peak_Time_Mor*$N57*(Total_Lanes-BY$6)))),"-")</f>
        <v>-</v>
      </c>
      <c r="BZ71" s="483" t="str">
        <f aca="false">IF(BZ$6&lt;Total_Lanes,900*Peak_Time_Mor*($BL71/(Total_Lanes-BZ$6)-1+SQRT(($BL71/(Total_Lanes-BZ$6)-1)^2+8*($BL71/(Total_Lanes-BZ$6))/(Peak_Time_Mor*$N57*(Total_Lanes-BZ$6)))),"-")</f>
        <v>-</v>
      </c>
      <c r="CA71" s="483" t="str">
        <f aca="false">IF(CA$6&lt;Total_Lanes,900*Peak_Time_Mor*($BL71/(Total_Lanes-CA$6)-1+SQRT(($BL71/(Total_Lanes-CA$6)-1)^2+8*($BL71/(Total_Lanes-CA$6))/(Peak_Time_Mor*$N57*(Total_Lanes-CA$6)))),"-")</f>
        <v>-</v>
      </c>
      <c r="CB71" s="483" t="str">
        <f aca="false">IF(CB$6&lt;Total_Lanes,900*Peak_Time_Mor*($BL71/(Total_Lanes-CB$6)-1+SQRT(($BL71/(Total_Lanes-CB$6)-1)^2+8*($BL71/(Total_Lanes-CB$6))/(Peak_Time_Mor*$N57*(Total_Lanes-CB$6)))),"-")</f>
        <v>-</v>
      </c>
      <c r="CC71" s="483" t="str">
        <f aca="false">IF(CC$6&lt;Total_Lanes,900*Peak_Time_Mor*($BL71/(Total_Lanes-CC$6)-1+SQRT(($BL71/(Total_Lanes-CC$6)-1)^2+8*($BL71/(Total_Lanes-CC$6))/(Peak_Time_Mor*$N57*(Total_Lanes-CC$6)))),"-")</f>
        <v>-</v>
      </c>
      <c r="CD71" s="483" t="str">
        <f aca="false">IF(CD$6&lt;Total_Lanes,900*Peak_Time_Mor*($BL71/(Total_Lanes-CD$6)-1+SQRT(($BL71/(Total_Lanes-CD$6)-1)^2+8*($BL71/(Total_Lanes-CD$6))/(Peak_Time_Mor*$N57*(Total_Lanes-CD$6)))),"-")</f>
        <v>-</v>
      </c>
      <c r="CE71" s="483" t="str">
        <f aca="false">IF(CE$6&lt;Total_Lanes,900*Peak_Time_Mor*($BL71/(Total_Lanes-CE$6)-1+SQRT(($BL71/(Total_Lanes-CE$6)-1)^2+8*($BL71/(Total_Lanes-CE$6))/(Peak_Time_Mor*$N57*(Total_Lanes-CE$6)))),"-")</f>
        <v>-</v>
      </c>
      <c r="CF71" s="483" t="str">
        <f aca="false">IF(CF$6&lt;Total_Lanes,900*Peak_Time_Mor*($BL71/(Total_Lanes-CF$6)-1+SQRT(($BL71/(Total_Lanes-CF$6)-1)^2+8*($BL71/(Total_Lanes-CF$6))/(Peak_Time_Mor*$N57*(Total_Lanes-CF$6)))),"-")</f>
        <v>-</v>
      </c>
      <c r="CG71" s="484" t="str">
        <f aca="false">IF(CG$6&lt;Total_Lanes,900*Peak_Time_Mor*($BL71/(Total_Lanes-CG$6)-1+SQRT(($BL71/(Total_Lanes-CG$6)-1)^2+8*($BL71/(Total_Lanes-CG$6))/(Peak_Time_Mor*$N57*(Total_Lanes-CG$6)))),"-")</f>
        <v>-</v>
      </c>
      <c r="CH71" s="555" t="n">
        <f aca="false">3600/N57</f>
        <v>6.93625</v>
      </c>
      <c r="CJ71" s="440" t="n">
        <v>17</v>
      </c>
      <c r="CK71" s="442" t="n">
        <f aca="false">$X71</f>
        <v>0.9</v>
      </c>
      <c r="CL71" s="467" t="n">
        <f aca="false">$AC71</f>
        <v>3667.77099877036</v>
      </c>
      <c r="CM71" s="467" t="n">
        <f aca="false">CL71*CK71</f>
        <v>3300.99389889333</v>
      </c>
      <c r="CN71" s="479" t="n">
        <f aca="false">CM71/O57</f>
        <v>2.20066259926222</v>
      </c>
      <c r="CO71" s="483" t="n">
        <f aca="false">IF(CO$53&lt;Total_Lanes,900*Peak_Time_Mor*($CN71/CO$53-1+SQRT(($CN71/CO$53-1)^2+8*($CN71/CO$53)/(Peak_Time_Mor*$O57*CO$53))),"-")</f>
        <v>4326.77978594869</v>
      </c>
      <c r="CP71" s="483" t="n">
        <f aca="false">IF(CP$53&lt;Total_Lanes,900*Peak_Time_Mor*($CN71/CP$53-1+SQRT(($CN71/CP$53-1)^2+8*($CN71/CP$53)/(Peak_Time_Mor*$O57*CP$53))),"-")</f>
        <v>373.90559673452</v>
      </c>
      <c r="CQ71" s="483" t="n">
        <f aca="false">IF(CQ$53&lt;Total_Lanes,900*Peak_Time_Mor*($CN71/CQ$53-1+SQRT(($CN71/CQ$53-1)^2+8*($CN71/CQ$53)/(Peak_Time_Mor*$O57*CQ$53))),"-")</f>
        <v>2.1974526393611</v>
      </c>
      <c r="CR71" s="483" t="n">
        <f aca="false">IF(CR$53&lt;Total_Lanes,900*Peak_Time_Mor*($CN71/CR$53-1+SQRT(($CN71/CR$53-1)^2+8*($CN71/CR$53)/(Peak_Time_Mor*$O57*CR$53))),"-")</f>
        <v>0.733492100698796</v>
      </c>
      <c r="CS71" s="483" t="n">
        <f aca="false">IF(CS$53&lt;Total_Lanes,900*Peak_Time_Mor*($CN71/CS$53-1+SQRT(($CN71/CS$53-1)^2+8*($CN71/CS$53)/(Peak_Time_Mor*$O57*CS$53))),"-")</f>
        <v>0.377275121520038</v>
      </c>
      <c r="CT71" s="483" t="n">
        <f aca="false">IF(CT$53&lt;Total_Lanes,900*Peak_Time_Mor*($CN71/CT$53-1+SQRT(($CN71/CT$53-1)^2+8*($CN71/CT$53)/(Peak_Time_Mor*$O57*CT$53))),"-")</f>
        <v>0.231665550767213</v>
      </c>
      <c r="CU71" s="483" t="n">
        <f aca="false">IF(CU$53&lt;Total_Lanes,900*Peak_Time_Mor*($CN71/CU$53-1+SQRT(($CN71/CU$53-1)^2+8*($CN71/CU$53)/(Peak_Time_Mor*$O57*CU$53))),"-")</f>
        <v>0.157201875224167</v>
      </c>
      <c r="CV71" s="483" t="n">
        <f aca="false">IF(CV$53&lt;Total_Lanes,900*Peak_Time_Mor*($CN71/CV$53-1+SQRT(($CN71/CV$53-1)^2+8*($CN71/CV$53)/(Peak_Time_Mor*$O57*CV$53))),"-")</f>
        <v>0.113835415581054</v>
      </c>
      <c r="CW71" s="483" t="n">
        <f aca="false">IF(CW$53&lt;Total_Lanes,900*Peak_Time_Mor*($CN71/CW$53-1+SQRT(($CN71/CW$53-1)^2+8*($CN71/CW$53)/(Peak_Time_Mor*$O57*CW$53))),"-")</f>
        <v>0.0863061653410435</v>
      </c>
      <c r="CX71" s="483" t="n">
        <f aca="false">IF(CX$53&lt;Total_Lanes,900*Peak_Time_Mor*($CN71/CX$53-1+SQRT(($CN71/CX$53-1)^2+8*($CN71/CX$53)/(Peak_Time_Mor*$O57*CX$53))),"-")</f>
        <v>0.0677168147753759</v>
      </c>
      <c r="CY71" s="483" t="n">
        <f aca="false">IF(CY$53&lt;Total_Lanes,900*Peak_Time_Mor*($CN71/CY$53-1+SQRT(($CN71/CY$53-1)^2+8*($CN71/CY$53)/(Peak_Time_Mor*$O57*CY$53))),"-")</f>
        <v>0.0545649573182816</v>
      </c>
      <c r="CZ71" s="483" t="str">
        <f aca="false">IF(CZ$53&lt;Total_Lanes,900*Peak_Time_Mor*($CN71/CZ$53-1+SQRT(($CN71/CZ$53-1)^2+8*($CN71/CZ$53)/(Peak_Time_Mor*$O57*CZ$53))),"-")</f>
        <v>-</v>
      </c>
      <c r="DA71" s="483" t="str">
        <f aca="false">IF(DA$53&lt;Total_Lanes,900*Peak_Time_Mor*($CN71/DA$53-1+SQRT(($CN71/DA$53-1)^2+8*($CN71/DA$53)/(Peak_Time_Mor*$O57*DA$53))),"-")</f>
        <v>-</v>
      </c>
      <c r="DB71" s="483" t="str">
        <f aca="false">IF(DB$53&lt;Total_Lanes,900*Peak_Time_Mor*($CN71/DB$53-1+SQRT(($CN71/DB$53-1)^2+8*($CN71/DB$53)/(Peak_Time_Mor*$O57*DB$53))),"-")</f>
        <v>-</v>
      </c>
      <c r="DC71" s="483" t="str">
        <f aca="false">IF(DC$53&lt;Total_Lanes,900*Peak_Time_Mor*($CN71/DC$53-1+SQRT(($CN71/DC$53-1)^2+8*($CN71/DC$53)/(Peak_Time_Mor*$O57*DC$53))),"-")</f>
        <v>-</v>
      </c>
      <c r="DD71" s="483" t="str">
        <f aca="false">IF(DD$53&lt;Total_Lanes,900*Peak_Time_Mor*($CN71/DD$53-1+SQRT(($CN71/DD$53-1)^2+8*($CN71/DD$53)/(Peak_Time_Mor*$O57*DD$53))),"-")</f>
        <v>-</v>
      </c>
      <c r="DE71" s="483" t="str">
        <f aca="false">IF(DE$53&lt;Total_Lanes,900*Peak_Time_Mor*($CN71/DE$53-1+SQRT(($CN71/DE$53-1)^2+8*($CN71/DE$53)/(Peak_Time_Mor*$O57*DE$53))),"-")</f>
        <v>-</v>
      </c>
      <c r="DF71" s="483" t="str">
        <f aca="false">IF(DF$53&lt;Total_Lanes,900*Peak_Time_Mor*($CN71/DF$53-1+SQRT(($CN71/DF$53-1)^2+8*($CN71/DF$53)/(Peak_Time_Mor*$O57*DF$53))),"-")</f>
        <v>-</v>
      </c>
      <c r="DG71" s="483" t="str">
        <f aca="false">IF(DG$53&lt;Total_Lanes,900*Peak_Time_Mor*($CN71/DG$53-1+SQRT(($CN71/DG$53-1)^2+8*($CN71/DG$53)/(Peak_Time_Mor*$O57*DG$53))),"-")</f>
        <v>-</v>
      </c>
      <c r="DH71" s="483" t="str">
        <f aca="false">IF(DH$53&lt;Total_Lanes,900*Peak_Time_Mor*($CN71/DH$53-1+SQRT(($CN71/DH$53-1)^2+8*($CN71/DH$53)/(Peak_Time_Mor*$O57*DH$53))),"-")</f>
        <v>-</v>
      </c>
      <c r="DI71" s="484" t="str">
        <f aca="false">IF(DI$53&lt;Total_Lanes,900*Peak_Time_Mor*($CN71/DI$53-1+SQRT(($CN71/DI$53-1)^2+8*($CN71/DI$53)/(Peak_Time_Mor*$O57*DI$53))),"-")</f>
        <v>-</v>
      </c>
      <c r="DJ71" s="555" t="n">
        <f aca="false">3600/$O57</f>
        <v>2.4</v>
      </c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18"/>
      <c r="HC71" s="18"/>
      <c r="HD71" s="18"/>
      <c r="HE71" s="18"/>
      <c r="HF71" s="18"/>
      <c r="HG71" s="18"/>
      <c r="HH71" s="18"/>
      <c r="HI71" s="18"/>
      <c r="HJ71" s="18"/>
      <c r="HK71" s="18"/>
      <c r="HL71" s="18"/>
      <c r="HM71" s="18"/>
      <c r="HN71" s="18"/>
      <c r="HO71" s="18"/>
      <c r="HP71" s="18"/>
      <c r="HQ71" s="18"/>
      <c r="HR71" s="18"/>
      <c r="HS71" s="18"/>
      <c r="HT71" s="18"/>
      <c r="HU71" s="18"/>
      <c r="HV71" s="18"/>
      <c r="HW71" s="18"/>
      <c r="HX71" s="18"/>
      <c r="HY71" s="18"/>
      <c r="HZ71" s="18"/>
      <c r="IA71" s="18"/>
      <c r="IB71" s="18"/>
      <c r="IC71" s="18"/>
      <c r="ID71" s="18"/>
      <c r="IE71" s="18"/>
      <c r="IF71" s="18"/>
      <c r="IG71" s="18"/>
      <c r="IH71" s="18"/>
      <c r="II71" s="18"/>
      <c r="IJ71" s="18"/>
      <c r="IK71" s="18"/>
      <c r="IL71" s="18"/>
      <c r="IM71" s="18"/>
      <c r="IN71" s="18"/>
      <c r="IO71" s="18"/>
      <c r="IP71" s="18"/>
      <c r="IQ71" s="18"/>
      <c r="IR71" s="18"/>
      <c r="IS71" s="18"/>
      <c r="IT71" s="18"/>
      <c r="IU71" s="18"/>
      <c r="IV71" s="18"/>
      <c r="IW71" s="18"/>
    </row>
    <row r="72" customFormat="false" ht="13.2" hidden="false" customHeight="fals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440" t="n">
        <v>18</v>
      </c>
      <c r="W72" s="441" t="n">
        <f aca="false">W25</f>
        <v>28901617.3</v>
      </c>
      <c r="X72" s="442" t="n">
        <f aca="false">X25</f>
        <v>0.95</v>
      </c>
      <c r="Y72" s="441" t="n">
        <f aca="false">Y25</f>
        <v>12462.7211721307</v>
      </c>
      <c r="Z72" s="449" t="n">
        <f aca="false">W72/Y72</f>
        <v>2319.04548780488</v>
      </c>
      <c r="AA72" s="554" t="n">
        <f aca="false">AA25</f>
        <v>2</v>
      </c>
      <c r="AB72" s="474" t="n">
        <f aca="false">1-AB25</f>
        <v>0.3</v>
      </c>
      <c r="AC72" s="445" t="n">
        <f aca="false">Y72*AB72</f>
        <v>3738.81635163921</v>
      </c>
      <c r="AD72" s="467" t="n">
        <f aca="false">Peak_Time_Mor*$BH72*(CH72+BK72)/3600</f>
        <v>14.4848930544688</v>
      </c>
      <c r="AE72" s="453" t="n">
        <f aca="false">IF(AE$53&lt;Total_Lanes,($BI72*($CH72+BM72)+$CM72*CO72)*Peak_Time_Mor/3600,"-")</f>
        <v>9726.25782670744</v>
      </c>
      <c r="AF72" s="453" t="n">
        <f aca="false">IF(AF$53&lt;Total_Lanes,($BI72*($CH72+BN72)+$CM72*CP72)*Peak_Time_Mor/3600,"-")</f>
        <v>1322.58699104146</v>
      </c>
      <c r="AG72" s="453" t="n">
        <f aca="false">IF(AG$53&lt;Total_Lanes,($BI72*($CH72+BO72)+$CM72*CQ72)*Peak_Time_Mor/3600,"-")</f>
        <v>6.61656544729863</v>
      </c>
      <c r="AH72" s="453" t="n">
        <f aca="false">IF(AH$53&lt;Total_Lanes,($BI72*($CH72+BP72)+$CM72*CR72)*Peak_Time_Mor/3600,"-")</f>
        <v>2.44358636789007</v>
      </c>
      <c r="AI72" s="453" t="n">
        <f aca="false">IF(AI$53&lt;Total_Lanes,($BI72*($CH72+BQ72)+$CM72*CS72)*Peak_Time_Mor/3600,"-")</f>
        <v>1.58010722586362</v>
      </c>
      <c r="AJ72" s="453" t="n">
        <f aca="false">IF(AJ$53&lt;Total_Lanes,($BI72*($CH72+BR72)+$CM72*CT72)*Peak_Time_Mor/3600,"-")</f>
        <v>1.24481634974039</v>
      </c>
      <c r="AK72" s="453" t="n">
        <f aca="false">IF(AK$53&lt;Total_Lanes,($BI72*($CH72+BS72)+$CM72*CU72)*Peak_Time_Mor/3600,"-")</f>
        <v>1.07965871836246</v>
      </c>
      <c r="AL72" s="453" t="n">
        <f aca="false">IF(AL$53&lt;Total_Lanes,($BI72*($CH72+BT72)+$CM72*CV72)*Peak_Time_Mor/3600,"-")</f>
        <v>0.989389108273076</v>
      </c>
      <c r="AM72" s="453" t="n">
        <f aca="false">IF(AM$53&lt;Total_Lanes,($BI72*($CH72+BU72)+$CM72*CW72)*Peak_Time_Mor/3600,"-")</f>
        <v>0.943421964394648</v>
      </c>
      <c r="AN72" s="453" t="n">
        <f aca="false">IF(AN$53&lt;Total_Lanes,($BI72*($CH72+BV72)+$CM72*CX72)*Peak_Time_Mor/3600,"-")</f>
        <v>0.949140641197132</v>
      </c>
      <c r="AO72" s="453" t="n">
        <f aca="false">IF(AO$53&lt;Total_Lanes,($BI72*($CH72+BW72)+$CM72*CY72)*Peak_Time_Mor/3600,"-")</f>
        <v>1.24870871483823</v>
      </c>
      <c r="AP72" s="453" t="str">
        <f aca="false">IF(AP$53&lt;Total_Lanes,($BI72*($CH72+BX72)+$CM72*CZ72)*Peak_Time_Mor/3600,"-")</f>
        <v>-</v>
      </c>
      <c r="AQ72" s="453" t="str">
        <f aca="false">IF(AQ$53&lt;Total_Lanes,($BI72*($CH72+BY72)+$CM72*DA72)*Peak_Time_Mor/3600,"-")</f>
        <v>-</v>
      </c>
      <c r="AR72" s="453" t="str">
        <f aca="false">IF(AR$53&lt;Total_Lanes,($BI72*($CH72+BZ72)+$CM72*DB72)*Peak_Time_Mor/3600,"-")</f>
        <v>-</v>
      </c>
      <c r="AS72" s="453" t="str">
        <f aca="false">IF(AS$53&lt;Total_Lanes,($BI72*($CH72+CA72)+$CM72*DC72)*Peak_Time_Mor/3600,"-")</f>
        <v>-</v>
      </c>
      <c r="AT72" s="453" t="str">
        <f aca="false">IF(AT$53&lt;Total_Lanes,($BI72*($CH72+CB72)+$CM72*DD72)*Peak_Time_Mor/3600,"-")</f>
        <v>-</v>
      </c>
      <c r="AU72" s="453" t="str">
        <f aca="false">IF(AU$53&lt;Total_Lanes,($BI72*($CH72+CC72)+$CM72*DE72)*Peak_Time_Mor/3600,"-")</f>
        <v>-</v>
      </c>
      <c r="AV72" s="453" t="str">
        <f aca="false">IF(AV$53&lt;Total_Lanes,($BI72*($CH72+CD72)+$CM72*DF72)*Peak_Time_Mor/3600,"-")</f>
        <v>-</v>
      </c>
      <c r="AW72" s="453" t="str">
        <f aca="false">IF(AW$53&lt;Total_Lanes,($BI72*($CH72+CE72)+$CM72*DG72)*Peak_Time_Mor/3600,"-")</f>
        <v>-</v>
      </c>
      <c r="AX72" s="453" t="str">
        <f aca="false">IF(AX$53&lt;Total_Lanes,($BI72*($CH72+CF72)+$CM72*DH72)*Peak_Time_Mor/3600,"-")</f>
        <v>-</v>
      </c>
      <c r="AY72" s="454" t="str">
        <f aca="false">IF(AY$53&lt;Total_Lanes,($BI72*($CH72+CG72)+$CM72*DI72)*Peak_Time_Mor/3600,"-")</f>
        <v>-</v>
      </c>
      <c r="AZ72" s="475" t="n">
        <f aca="false">SUMIF(AE72:AY72,BA72,$AE$53:$AY$53)</f>
        <v>9</v>
      </c>
      <c r="BA72" s="476" t="n">
        <f aca="false">MIN(AE72:AY72)</f>
        <v>0.943421964394648</v>
      </c>
      <c r="BB72" s="475" t="n">
        <f aca="false">IF((SUMIF($BM70:$CG70,$AZ72,$BM72:$CG72)+$CH72)&lt;(SUMIF($CO70:$DI70,$AZ72,$CO72:$DI72)+$DJ72),AZ72+1,AZ72)</f>
        <v>9</v>
      </c>
      <c r="BC72" s="476" t="n">
        <f aca="false">SUMIF($AE$53:$AY$53,$BB72,$AE72:$AY72)</f>
        <v>0.943421964394648</v>
      </c>
      <c r="BF72" s="440" t="n">
        <v>18</v>
      </c>
      <c r="BG72" s="442" t="n">
        <f aca="false">$X72</f>
        <v>0.95</v>
      </c>
      <c r="BH72" s="451" t="n">
        <f aca="false">$AC72</f>
        <v>3738.81635163921</v>
      </c>
      <c r="BI72" s="452" t="n">
        <f aca="false">BH72*(1-BG72)</f>
        <v>186.940817581961</v>
      </c>
      <c r="BJ72" s="460" t="n">
        <f aca="false">Peak_Arrival_Manual_Mor/K58</f>
        <v>0.341426632111497</v>
      </c>
      <c r="BK72" s="549" t="n">
        <f aca="false">900*Peak_Time_Mor*($BJ72/Total_Lanes-1+SQRT(($BJ72/Total_Lanes-1)^2+8*($BJ72/Total_Lanes)/(Peak_Time_Mor*$K58*Total_Lanes)))</f>
        <v>0.0160459155710502</v>
      </c>
      <c r="BL72" s="460" t="n">
        <f aca="false">Peak_Arrival_Manual_Mor/N58</f>
        <v>0.361289093979581</v>
      </c>
      <c r="BM72" s="550" t="n">
        <f aca="false">IF(BM$6&lt;Total_Lanes,900*Peak_Time_Mor*($BL72/(Total_Lanes-BM$6)-1+SQRT(($BL72/(Total_Lanes-BM$6)-1)^2+8*($BL72/(Total_Lanes-BM$6))/(Peak_Time_Mor*$N58*(Total_Lanes-BM$6)))),"-")</f>
        <v>0.021479476623143</v>
      </c>
      <c r="BN72" s="483" t="n">
        <f aca="false">IF(BN$6&lt;Total_Lanes,900*Peak_Time_Mor*($BL72/(Total_Lanes-BN$6)-1+SQRT(($BL72/(Total_Lanes-BN$6)-1)^2+8*($BL72/(Total_Lanes-BN$6))/(Peak_Time_Mor*$N58*(Total_Lanes-BN$6)))),"-")</f>
        <v>0.0260786945914138</v>
      </c>
      <c r="BO72" s="483" t="n">
        <f aca="false">IF(BO$6&lt;Total_Lanes,900*Peak_Time_Mor*($BL72/(Total_Lanes-BO$6)-1+SQRT(($BL72/(Total_Lanes-BO$6)-1)^2+8*($BL72/(Total_Lanes-BO$6))/(Peak_Time_Mor*$N58*(Total_Lanes-BO$6)))),"-")</f>
        <v>0.0323305098580917</v>
      </c>
      <c r="BP72" s="483" t="n">
        <f aca="false">IF(BP$6&lt;Total_Lanes,900*Peak_Time_Mor*($BL72/(Total_Lanes-BP$6)-1+SQRT(($BL72/(Total_Lanes-BP$6)-1)^2+8*($BL72/(Total_Lanes-BP$6))/(Peak_Time_Mor*$N58*(Total_Lanes-BP$6)))),"-")</f>
        <v>0.0411332295348732</v>
      </c>
      <c r="BQ72" s="483" t="n">
        <f aca="false">IF(BQ$6&lt;Total_Lanes,900*Peak_Time_Mor*($BL72/(Total_Lanes-BQ$6)-1+SQRT(($BL72/(Total_Lanes-BQ$6)-1)^2+8*($BL72/(Total_Lanes-BQ$6))/(Peak_Time_Mor*$N58*(Total_Lanes-BQ$6)))),"-")</f>
        <v>0.0540902999326853</v>
      </c>
      <c r="BR72" s="483" t="n">
        <f aca="false">IF(BR$6&lt;Total_Lanes,900*Peak_Time_Mor*($BL72/(Total_Lanes-BR$6)-1+SQRT(($BL72/(Total_Lanes-BR$6)-1)^2+8*($BL72/(Total_Lanes-BR$6))/(Peak_Time_Mor*$N58*(Total_Lanes-BR$6)))),"-")</f>
        <v>0.0742963452044609</v>
      </c>
      <c r="BS72" s="483" t="n">
        <f aca="false">IF(BS$6&lt;Total_Lanes,900*Peak_Time_Mor*($BL72/(Total_Lanes-BS$6)-1+SQRT(($BL72/(Total_Lanes-BS$6)-1)^2+8*($BL72/(Total_Lanes-BS$6))/(Peak_Time_Mor*$N58*(Total_Lanes-BS$6)))),"-")</f>
        <v>0.108374389339239</v>
      </c>
      <c r="BT72" s="483" t="n">
        <f aca="false">IF(BT$6&lt;Total_Lanes,900*Peak_Time_Mor*($BL72/(Total_Lanes-BT$6)-1+SQRT(($BL72/(Total_Lanes-BT$6)-1)^2+8*($BL72/(Total_Lanes-BT$6))/(Peak_Time_Mor*$N58*(Total_Lanes-BT$6)))),"-")</f>
        <v>0.172694148313757</v>
      </c>
      <c r="BU72" s="483" t="n">
        <f aca="false">IF(BU$6&lt;Total_Lanes,900*Peak_Time_Mor*($BL72/(Total_Lanes-BU$6)-1+SQRT(($BL72/(Total_Lanes-BU$6)-1)^2+8*($BL72/(Total_Lanes-BU$6))/(Peak_Time_Mor*$N58*(Total_Lanes-BU$6)))),"-")</f>
        <v>0.317505647806704</v>
      </c>
      <c r="BV72" s="483" t="n">
        <f aca="false">IF(BV$6&lt;Total_Lanes,900*Peak_Time_Mor*($BL72/(Total_Lanes-BV$6)-1+SQRT(($BL72/(Total_Lanes-BV$6)-1)^2+8*($BL72/(Total_Lanes-BV$6))/(Peak_Time_Mor*$N58*(Total_Lanes-BV$6)))),"-")</f>
        <v>0.766766000782626</v>
      </c>
      <c r="BW72" s="551" t="n">
        <f aca="false">IF(BW$6&lt;Total_Lanes,900*Peak_Time_Mor*($BL72/(Total_Lanes-BW$6)-1+SQRT(($BL72/(Total_Lanes-BW$6)-1)^2+8*($BL72/(Total_Lanes-BW$6))/(Peak_Time_Mor*$N58*(Total_Lanes-BW$6)))),"-")</f>
        <v>3.92882158453496</v>
      </c>
      <c r="BX72" s="483" t="str">
        <f aca="false">IF(BX$6&lt;Total_Lanes,900*Peak_Time_Mor*($BL72/(Total_Lanes-BX$6)-1+SQRT(($BL72/(Total_Lanes-BX$6)-1)^2+8*($BL72/(Total_Lanes-BX$6))/(Peak_Time_Mor*$N58*(Total_Lanes-BX$6)))),"-")</f>
        <v>-</v>
      </c>
      <c r="BY72" s="483" t="str">
        <f aca="false">IF(BY$6&lt;Total_Lanes,900*Peak_Time_Mor*($BL72/(Total_Lanes-BY$6)-1+SQRT(($BL72/(Total_Lanes-BY$6)-1)^2+8*($BL72/(Total_Lanes-BY$6))/(Peak_Time_Mor*$N58*(Total_Lanes-BY$6)))),"-")</f>
        <v>-</v>
      </c>
      <c r="BZ72" s="483" t="str">
        <f aca="false">IF(BZ$6&lt;Total_Lanes,900*Peak_Time_Mor*($BL72/(Total_Lanes-BZ$6)-1+SQRT(($BL72/(Total_Lanes-BZ$6)-1)^2+8*($BL72/(Total_Lanes-BZ$6))/(Peak_Time_Mor*$N58*(Total_Lanes-BZ$6)))),"-")</f>
        <v>-</v>
      </c>
      <c r="CA72" s="483" t="str">
        <f aca="false">IF(CA$6&lt;Total_Lanes,900*Peak_Time_Mor*($BL72/(Total_Lanes-CA$6)-1+SQRT(($BL72/(Total_Lanes-CA$6)-1)^2+8*($BL72/(Total_Lanes-CA$6))/(Peak_Time_Mor*$N58*(Total_Lanes-CA$6)))),"-")</f>
        <v>-</v>
      </c>
      <c r="CB72" s="483" t="str">
        <f aca="false">IF(CB$6&lt;Total_Lanes,900*Peak_Time_Mor*($BL72/(Total_Lanes-CB$6)-1+SQRT(($BL72/(Total_Lanes-CB$6)-1)^2+8*($BL72/(Total_Lanes-CB$6))/(Peak_Time_Mor*$N58*(Total_Lanes-CB$6)))),"-")</f>
        <v>-</v>
      </c>
      <c r="CC72" s="483" t="str">
        <f aca="false">IF(CC$6&lt;Total_Lanes,900*Peak_Time_Mor*($BL72/(Total_Lanes-CC$6)-1+SQRT(($BL72/(Total_Lanes-CC$6)-1)^2+8*($BL72/(Total_Lanes-CC$6))/(Peak_Time_Mor*$N58*(Total_Lanes-CC$6)))),"-")</f>
        <v>-</v>
      </c>
      <c r="CD72" s="483" t="str">
        <f aca="false">IF(CD$6&lt;Total_Lanes,900*Peak_Time_Mor*($BL72/(Total_Lanes-CD$6)-1+SQRT(($BL72/(Total_Lanes-CD$6)-1)^2+8*($BL72/(Total_Lanes-CD$6))/(Peak_Time_Mor*$N58*(Total_Lanes-CD$6)))),"-")</f>
        <v>-</v>
      </c>
      <c r="CE72" s="483" t="str">
        <f aca="false">IF(CE$6&lt;Total_Lanes,900*Peak_Time_Mor*($BL72/(Total_Lanes-CE$6)-1+SQRT(($BL72/(Total_Lanes-CE$6)-1)^2+8*($BL72/(Total_Lanes-CE$6))/(Peak_Time_Mor*$N58*(Total_Lanes-CE$6)))),"-")</f>
        <v>-</v>
      </c>
      <c r="CF72" s="483" t="str">
        <f aca="false">IF(CF$6&lt;Total_Lanes,900*Peak_Time_Mor*($BL72/(Total_Lanes-CF$6)-1+SQRT(($BL72/(Total_Lanes-CF$6)-1)^2+8*($BL72/(Total_Lanes-CF$6))/(Peak_Time_Mor*$N58*(Total_Lanes-CF$6)))),"-")</f>
        <v>-</v>
      </c>
      <c r="CG72" s="484" t="str">
        <f aca="false">IF(CG$6&lt;Total_Lanes,900*Peak_Time_Mor*($BL72/(Total_Lanes-CG$6)-1+SQRT(($BL72/(Total_Lanes-CG$6)-1)^2+8*($BL72/(Total_Lanes-CG$6))/(Peak_Time_Mor*$N58*(Total_Lanes-CG$6)))),"-")</f>
        <v>-</v>
      </c>
      <c r="CH72" s="555" t="n">
        <f aca="false">3600/N58</f>
        <v>6.9575</v>
      </c>
      <c r="CJ72" s="440" t="n">
        <v>18</v>
      </c>
      <c r="CK72" s="442" t="n">
        <f aca="false">$X72</f>
        <v>0.95</v>
      </c>
      <c r="CL72" s="467" t="n">
        <f aca="false">$AC72</f>
        <v>3738.81635163921</v>
      </c>
      <c r="CM72" s="467" t="n">
        <f aca="false">CL72*CK72</f>
        <v>3551.87553405725</v>
      </c>
      <c r="CN72" s="479" t="n">
        <f aca="false">CM72/O58</f>
        <v>2.36791702270483</v>
      </c>
      <c r="CO72" s="483" t="n">
        <f aca="false">IF(CO$53&lt;Total_Lanes,900*Peak_Time_Mor*($CN72/CO$53-1+SQRT(($CN72/CO$53-1)^2+8*($CN72/CO$53)/(Peak_Time_Mor*$O58*CO$53))),"-")</f>
        <v>4928.65227513966</v>
      </c>
      <c r="CP72" s="483" t="n">
        <f aca="false">IF(CP$53&lt;Total_Lanes,900*Peak_Time_Mor*($CN72/CP$53-1+SQRT(($CN72/CP$53-1)^2+8*($CN72/CP$53)/(Peak_Time_Mor*$O58*CP$53))),"-")</f>
        <v>669.885823742796</v>
      </c>
      <c r="CQ72" s="483" t="n">
        <f aca="false">IF(CQ$53&lt;Total_Lanes,900*Peak_Time_Mor*($CN72/CQ$53-1+SQRT(($CN72/CQ$53-1)^2+8*($CN72/CQ$53)/(Peak_Time_Mor*$O58*CQ$53))),"-")</f>
        <v>2.9852209271403</v>
      </c>
      <c r="CR72" s="483" t="n">
        <f aca="false">IF(CR$53&lt;Total_Lanes,900*Peak_Time_Mor*($CN72/CR$53-1+SQRT(($CN72/CR$53-1)^2+8*($CN72/CR$53)/(Peak_Time_Mor*$O58*CR$53))),"-")</f>
        <v>0.869998178338982</v>
      </c>
      <c r="CS72" s="483" t="n">
        <f aca="false">IF(CS$53&lt;Total_Lanes,900*Peak_Time_Mor*($CN72/CS$53-1+SQRT(($CN72/CS$53-1)^2+8*($CN72/CS$53)/(Peak_Time_Mor*$O58*CS$53))),"-")</f>
        <v>0.431727004122728</v>
      </c>
      <c r="CT72" s="483" t="n">
        <f aca="false">IF(CT$53&lt;Total_Lanes,900*Peak_Time_Mor*($CN72/CT$53-1+SQRT(($CN72/CT$53-1)^2+8*($CN72/CT$53)/(Peak_Time_Mor*$O58*CT$53))),"-")</f>
        <v>0.260746657029509</v>
      </c>
      <c r="CU72" s="483" t="n">
        <f aca="false">IF(CU$53&lt;Total_Lanes,900*Peak_Time_Mor*($CN72/CU$53-1+SQRT(($CN72/CU$53-1)^2+8*($CN72/CU$53)/(Peak_Time_Mor*$O58*CU$53))),"-")</f>
        <v>0.175255397270879</v>
      </c>
      <c r="CV72" s="483" t="n">
        <f aca="false">IF(CV$53&lt;Total_Lanes,900*Peak_Time_Mor*($CN72/CV$53-1+SQRT(($CN72/CV$53-1)^2+8*($CN72/CV$53)/(Peak_Time_Mor*$O58*CV$53))),"-")</f>
        <v>0.126123808954515</v>
      </c>
      <c r="CW72" s="483" t="n">
        <f aca="false">IF(CW$53&lt;Total_Lanes,900*Peak_Time_Mor*($CN72/CW$53-1+SQRT(($CN72/CW$53-1)^2+8*($CN72/CW$53)/(Peak_Time_Mor*$O58*CW$53))),"-")</f>
        <v>0.0952071740559335</v>
      </c>
      <c r="CX72" s="483" t="n">
        <f aca="false">IF(CX$53&lt;Total_Lanes,900*Peak_Time_Mor*($CN72/CX$53-1+SQRT(($CN72/CX$53-1)^2+8*($CN72/CX$53)/(Peak_Time_Mor*$O58*CX$53))),"-")</f>
        <v>0.0744599719815886</v>
      </c>
      <c r="CY72" s="483" t="n">
        <f aca="false">IF(CY$53&lt;Total_Lanes,900*Peak_Time_Mor*($CN72/CY$53-1+SQRT(($CN72/CY$53-1)^2+8*($CN72/CY$53)/(Peak_Time_Mor*$O58*CY$53))),"-")</f>
        <v>0.059849459024508</v>
      </c>
      <c r="CZ72" s="483" t="str">
        <f aca="false">IF(CZ$53&lt;Total_Lanes,900*Peak_Time_Mor*($CN72/CZ$53-1+SQRT(($CN72/CZ$53-1)^2+8*($CN72/CZ$53)/(Peak_Time_Mor*$O58*CZ$53))),"-")</f>
        <v>-</v>
      </c>
      <c r="DA72" s="483" t="str">
        <f aca="false">IF(DA$53&lt;Total_Lanes,900*Peak_Time_Mor*($CN72/DA$53-1+SQRT(($CN72/DA$53-1)^2+8*($CN72/DA$53)/(Peak_Time_Mor*$O58*DA$53))),"-")</f>
        <v>-</v>
      </c>
      <c r="DB72" s="483" t="str">
        <f aca="false">IF(DB$53&lt;Total_Lanes,900*Peak_Time_Mor*($CN72/DB$53-1+SQRT(($CN72/DB$53-1)^2+8*($CN72/DB$53)/(Peak_Time_Mor*$O58*DB$53))),"-")</f>
        <v>-</v>
      </c>
      <c r="DC72" s="483" t="str">
        <f aca="false">IF(DC$53&lt;Total_Lanes,900*Peak_Time_Mor*($CN72/DC$53-1+SQRT(($CN72/DC$53-1)^2+8*($CN72/DC$53)/(Peak_Time_Mor*$O58*DC$53))),"-")</f>
        <v>-</v>
      </c>
      <c r="DD72" s="483" t="str">
        <f aca="false">IF(DD$53&lt;Total_Lanes,900*Peak_Time_Mor*($CN72/DD$53-1+SQRT(($CN72/DD$53-1)^2+8*($CN72/DD$53)/(Peak_Time_Mor*$O58*DD$53))),"-")</f>
        <v>-</v>
      </c>
      <c r="DE72" s="483" t="str">
        <f aca="false">IF(DE$53&lt;Total_Lanes,900*Peak_Time_Mor*($CN72/DE$53-1+SQRT(($CN72/DE$53-1)^2+8*($CN72/DE$53)/(Peak_Time_Mor*$O58*DE$53))),"-")</f>
        <v>-</v>
      </c>
      <c r="DF72" s="483" t="str">
        <f aca="false">IF(DF$53&lt;Total_Lanes,900*Peak_Time_Mor*($CN72/DF$53-1+SQRT(($CN72/DF$53-1)^2+8*($CN72/DF$53)/(Peak_Time_Mor*$O58*DF$53))),"-")</f>
        <v>-</v>
      </c>
      <c r="DG72" s="483" t="str">
        <f aca="false">IF(DG$53&lt;Total_Lanes,900*Peak_Time_Mor*($CN72/DG$53-1+SQRT(($CN72/DG$53-1)^2+8*($CN72/DG$53)/(Peak_Time_Mor*$O58*DG$53))),"-")</f>
        <v>-</v>
      </c>
      <c r="DH72" s="483" t="str">
        <f aca="false">IF(DH$53&lt;Total_Lanes,900*Peak_Time_Mor*($CN72/DH$53-1+SQRT(($CN72/DH$53-1)^2+8*($CN72/DH$53)/(Peak_Time_Mor*$O58*DH$53))),"-")</f>
        <v>-</v>
      </c>
      <c r="DI72" s="484" t="str">
        <f aca="false">IF(DI$53&lt;Total_Lanes,900*Peak_Time_Mor*($CN72/DI$53-1+SQRT(($CN72/DI$53-1)^2+8*($CN72/DI$53)/(Peak_Time_Mor*$O58*DI$53))),"-")</f>
        <v>-</v>
      </c>
      <c r="DJ72" s="555" t="n">
        <f aca="false">3600/$O58</f>
        <v>2.4</v>
      </c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  <c r="HO72" s="18"/>
      <c r="HP72" s="18"/>
      <c r="HQ72" s="18"/>
      <c r="HR72" s="18"/>
      <c r="HS72" s="18"/>
      <c r="HT72" s="18"/>
      <c r="HU72" s="18"/>
      <c r="HV72" s="18"/>
      <c r="HW72" s="18"/>
      <c r="HX72" s="18"/>
      <c r="HY72" s="18"/>
      <c r="HZ72" s="18"/>
      <c r="IA72" s="18"/>
      <c r="IB72" s="18"/>
      <c r="IC72" s="18"/>
      <c r="ID72" s="18"/>
      <c r="IE72" s="18"/>
      <c r="IF72" s="18"/>
      <c r="IG72" s="18"/>
      <c r="IH72" s="18"/>
      <c r="II72" s="18"/>
      <c r="IJ72" s="18"/>
      <c r="IK72" s="18"/>
      <c r="IL72" s="18"/>
      <c r="IM72" s="18"/>
      <c r="IN72" s="18"/>
      <c r="IO72" s="18"/>
      <c r="IP72" s="18"/>
      <c r="IQ72" s="18"/>
      <c r="IR72" s="18"/>
      <c r="IS72" s="18"/>
      <c r="IT72" s="18"/>
      <c r="IU72" s="18"/>
      <c r="IV72" s="18"/>
      <c r="IW72" s="18"/>
    </row>
    <row r="73" customFormat="false" ht="13.2" hidden="false" customHeight="false" outlineLevel="0" collapsed="false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440" t="n">
        <v>19</v>
      </c>
      <c r="W73" s="441" t="n">
        <f aca="false">W26</f>
        <v>29450808.65</v>
      </c>
      <c r="X73" s="442" t="n">
        <f aca="false">X26</f>
        <v>0.95</v>
      </c>
      <c r="Y73" s="441" t="n">
        <f aca="false">Y26</f>
        <v>12699.5390150268</v>
      </c>
      <c r="Z73" s="449" t="n">
        <f aca="false">W73/Y73</f>
        <v>2319.04548780488</v>
      </c>
      <c r="AA73" s="554" t="n">
        <f aca="false">AA26</f>
        <v>2</v>
      </c>
      <c r="AB73" s="474" t="n">
        <f aca="false">1-AB26</f>
        <v>0.3</v>
      </c>
      <c r="AC73" s="445" t="n">
        <f aca="false">Y73*AB73</f>
        <v>3809.86170450805</v>
      </c>
      <c r="AD73" s="467" t="n">
        <f aca="false">Peak_Time_Mor*$BH73*(CH73+BK73)/3600</f>
        <v>14.8057785660587</v>
      </c>
      <c r="AE73" s="453" t="n">
        <f aca="false">IF(AE$53&lt;Total_Lanes,($BI73*($CH73+BM73)+$CM73*CO73)*Peak_Time_Mor/3600,"-")</f>
        <v>10236.6772982683</v>
      </c>
      <c r="AF73" s="453" t="n">
        <f aca="false">IF(AF$53&lt;Total_Lanes,($BI73*($CH73+BN73)+$CM73*CP73)*Peak_Time_Mor/3600,"-")</f>
        <v>1509.19323546511</v>
      </c>
      <c r="AG73" s="453" t="n">
        <f aca="false">IF(AG$53&lt;Total_Lanes,($BI73*($CH73+BO73)+$CM73*CQ73)*Peak_Time_Mor/3600,"-")</f>
        <v>7.32282968001718</v>
      </c>
      <c r="AH73" s="453" t="n">
        <f aca="false">IF(AH$53&lt;Total_Lanes,($BI73*($CH73+BP73)+$CM73*CR73)*Peak_Time_Mor/3600,"-")</f>
        <v>2.5760786863392</v>
      </c>
      <c r="AI73" s="453" t="n">
        <f aca="false">IF(AI$53&lt;Total_Lanes,($BI73*($CH73+BQ73)+$CM73*CS73)*Peak_Time_Mor/3600,"-")</f>
        <v>1.64440261647613</v>
      </c>
      <c r="AJ73" s="453" t="n">
        <f aca="false">IF(AJ$53&lt;Total_Lanes,($BI73*($CH73+BR73)+$CM73*CT73)*Peak_Time_Mor/3600,"-")</f>
        <v>1.28759072027477</v>
      </c>
      <c r="AK73" s="453" t="n">
        <f aca="false">IF(AK$53&lt;Total_Lanes,($BI73*($CH73+BS73)+$CM73*CU73)*Peak_Time_Mor/3600,"-")</f>
        <v>1.11295071608779</v>
      </c>
      <c r="AL73" s="453" t="n">
        <f aca="false">IF(AL$53&lt;Total_Lanes,($BI73*($CH73+BT73)+$CM73*CV73)*Peak_Time_Mor/3600,"-")</f>
        <v>1.01784064495253</v>
      </c>
      <c r="AM73" s="453" t="n">
        <f aca="false">IF(AM$53&lt;Total_Lanes,($BI73*($CH73+BU73)+$CM73*CW73)*Peak_Time_Mor/3600,"-")</f>
        <v>0.969520371302812</v>
      </c>
      <c r="AN73" s="453" t="n">
        <f aca="false">IF(AN$53&lt;Total_Lanes,($BI73*($CH73+BV73)+$CM73*CX73)*Peak_Time_Mor/3600,"-")</f>
        <v>0.975629534280029</v>
      </c>
      <c r="AO73" s="453" t="n">
        <f aca="false">IF(AO$53&lt;Total_Lanes,($BI73*($CH73+BW73)+$CM73*CY73)*Peak_Time_Mor/3600,"-")</f>
        <v>1.29346990590809</v>
      </c>
      <c r="AP73" s="453" t="str">
        <f aca="false">IF(AP$53&lt;Total_Lanes,($BI73*($CH73+BX73)+$CM73*CZ73)*Peak_Time_Mor/3600,"-")</f>
        <v>-</v>
      </c>
      <c r="AQ73" s="453" t="str">
        <f aca="false">IF(AQ$53&lt;Total_Lanes,($BI73*($CH73+BY73)+$CM73*DA73)*Peak_Time_Mor/3600,"-")</f>
        <v>-</v>
      </c>
      <c r="AR73" s="453" t="str">
        <f aca="false">IF(AR$53&lt;Total_Lanes,($BI73*($CH73+BZ73)+$CM73*DB73)*Peak_Time_Mor/3600,"-")</f>
        <v>-</v>
      </c>
      <c r="AS73" s="453" t="str">
        <f aca="false">IF(AS$53&lt;Total_Lanes,($BI73*($CH73+CA73)+$CM73*DC73)*Peak_Time_Mor/3600,"-")</f>
        <v>-</v>
      </c>
      <c r="AT73" s="453" t="str">
        <f aca="false">IF(AT$53&lt;Total_Lanes,($BI73*($CH73+CB73)+$CM73*DD73)*Peak_Time_Mor/3600,"-")</f>
        <v>-</v>
      </c>
      <c r="AU73" s="453" t="str">
        <f aca="false">IF(AU$53&lt;Total_Lanes,($BI73*($CH73+CC73)+$CM73*DE73)*Peak_Time_Mor/3600,"-")</f>
        <v>-</v>
      </c>
      <c r="AV73" s="453" t="str">
        <f aca="false">IF(AV$53&lt;Total_Lanes,($BI73*($CH73+CD73)+$CM73*DF73)*Peak_Time_Mor/3600,"-")</f>
        <v>-</v>
      </c>
      <c r="AW73" s="453" t="str">
        <f aca="false">IF(AW$53&lt;Total_Lanes,($BI73*($CH73+CE73)+$CM73*DG73)*Peak_Time_Mor/3600,"-")</f>
        <v>-</v>
      </c>
      <c r="AX73" s="453" t="str">
        <f aca="false">IF(AX$53&lt;Total_Lanes,($BI73*($CH73+CF73)+$CM73*DH73)*Peak_Time_Mor/3600,"-")</f>
        <v>-</v>
      </c>
      <c r="AY73" s="454" t="str">
        <f aca="false">IF(AY$53&lt;Total_Lanes,($BI73*($CH73+CG73)+$CM73*DI73)*Peak_Time_Mor/3600,"-")</f>
        <v>-</v>
      </c>
      <c r="AZ73" s="475" t="n">
        <f aca="false">SUMIF(AE73:AY73,BA73,$AE$53:$AY$53)</f>
        <v>9</v>
      </c>
      <c r="BA73" s="476" t="n">
        <f aca="false">MIN(AE73:AY73)</f>
        <v>0.969520371302812</v>
      </c>
      <c r="BB73" s="475" t="n">
        <f aca="false">IF((SUMIF($BM71:$CG71,$AZ73,$BM73:$CG73)+$CH73)&lt;(SUMIF($CO71:$DI71,$AZ73,$CO73:$DI73)+$DJ73),AZ73+1,AZ73)</f>
        <v>9</v>
      </c>
      <c r="BC73" s="476" t="n">
        <f aca="false">SUMIF($AE$53:$AY$53,$BB73,$AE73:$AY73)</f>
        <v>0.969520371302812</v>
      </c>
      <c r="BF73" s="440" t="n">
        <v>19</v>
      </c>
      <c r="BG73" s="442" t="n">
        <f aca="false">$X73</f>
        <v>0.95</v>
      </c>
      <c r="BH73" s="451" t="n">
        <f aca="false">$AC73</f>
        <v>3809.86170450805</v>
      </c>
      <c r="BI73" s="452" t="n">
        <f aca="false">BH73*(1-BG73)</f>
        <v>190.493085225403</v>
      </c>
      <c r="BJ73" s="460" t="n">
        <f aca="false">Peak_Arrival_Manual_Mor/K59</f>
        <v>0.34791445426584</v>
      </c>
      <c r="BK73" s="549" t="n">
        <f aca="false">900*Peak_Time_Mor*($BJ73/Total_Lanes-1+SQRT(($BJ73/Total_Lanes-1)^2+8*($BJ73/Total_Lanes)/(Peak_Time_Mor*$K59*Total_Lanes)))</f>
        <v>0.0163599241663759</v>
      </c>
      <c r="BL73" s="460" t="n">
        <f aca="false">Peak_Arrival_Manual_Mor/N59</f>
        <v>0.369278782921328</v>
      </c>
      <c r="BM73" s="550" t="n">
        <f aca="false">IF(BM$6&lt;Total_Lanes,900*Peak_Time_Mor*($BL73/(Total_Lanes-BM$6)-1+SQRT(($BL73/(Total_Lanes-BM$6)-1)^2+8*($BL73/(Total_Lanes-BM$6))/(Peak_Time_Mor*$N59*(Total_Lanes-BM$6)))),"-")</f>
        <v>0.0220380838578116</v>
      </c>
      <c r="BN73" s="483" t="n">
        <f aca="false">IF(BN$6&lt;Total_Lanes,900*Peak_Time_Mor*($BL73/(Total_Lanes-BN$6)-1+SQRT(($BL73/(Total_Lanes-BN$6)-1)^2+8*($BL73/(Total_Lanes-BN$6))/(Peak_Time_Mor*$N59*(Total_Lanes-BN$6)))),"-")</f>
        <v>0.0267589971520987</v>
      </c>
      <c r="BO73" s="483" t="n">
        <f aca="false">IF(BO$6&lt;Total_Lanes,900*Peak_Time_Mor*($BL73/(Total_Lanes-BO$6)-1+SQRT(($BL73/(Total_Lanes-BO$6)-1)^2+8*($BL73/(Total_Lanes-BO$6))/(Peak_Time_Mor*$N59*(Total_Lanes-BO$6)))),"-")</f>
        <v>0.0331770849647084</v>
      </c>
      <c r="BP73" s="483" t="n">
        <f aca="false">IF(BP$6&lt;Total_Lanes,900*Peak_Time_Mor*($BL73/(Total_Lanes-BP$6)-1+SQRT(($BL73/(Total_Lanes-BP$6)-1)^2+8*($BL73/(Total_Lanes-BP$6))/(Peak_Time_Mor*$N59*(Total_Lanes-BP$6)))),"-")</f>
        <v>0.0422154169719358</v>
      </c>
      <c r="BQ73" s="483" t="n">
        <f aca="false">IF(BQ$6&lt;Total_Lanes,900*Peak_Time_Mor*($BL73/(Total_Lanes-BQ$6)-1+SQRT(($BL73/(Total_Lanes-BQ$6)-1)^2+8*($BL73/(Total_Lanes-BQ$6))/(Peak_Time_Mor*$N59*(Total_Lanes-BQ$6)))),"-")</f>
        <v>0.0555221297713793</v>
      </c>
      <c r="BR73" s="483" t="n">
        <f aca="false">IF(BR$6&lt;Total_Lanes,900*Peak_Time_Mor*($BL73/(Total_Lanes-BR$6)-1+SQRT(($BL73/(Total_Lanes-BR$6)-1)^2+8*($BL73/(Total_Lanes-BR$6))/(Peak_Time_Mor*$N59*(Total_Lanes-BR$6)))),"-")</f>
        <v>0.0762793379862403</v>
      </c>
      <c r="BS73" s="483" t="n">
        <f aca="false">IF(BS$6&lt;Total_Lanes,900*Peak_Time_Mor*($BL73/(Total_Lanes-BS$6)-1+SQRT(($BL73/(Total_Lanes-BS$6)-1)^2+8*($BL73/(Total_Lanes-BS$6))/(Peak_Time_Mor*$N59*(Total_Lanes-BS$6)))),"-")</f>
        <v>0.111300946803605</v>
      </c>
      <c r="BT73" s="483" t="n">
        <f aca="false">IF(BT$6&lt;Total_Lanes,900*Peak_Time_Mor*($BL73/(Total_Lanes-BT$6)-1+SQRT(($BL73/(Total_Lanes-BT$6)-1)^2+8*($BL73/(Total_Lanes-BT$6))/(Peak_Time_Mor*$N59*(Total_Lanes-BT$6)))),"-")</f>
        <v>0.17744163050113</v>
      </c>
      <c r="BU73" s="483" t="n">
        <f aca="false">IF(BU$6&lt;Total_Lanes,900*Peak_Time_Mor*($BL73/(Total_Lanes-BU$6)-1+SQRT(($BL73/(Total_Lanes-BU$6)-1)^2+8*($BL73/(Total_Lanes-BU$6))/(Peak_Time_Mor*$N59*(Total_Lanes-BU$6)))),"-")</f>
        <v>0.326505874050786</v>
      </c>
      <c r="BV73" s="483" t="n">
        <f aca="false">IF(BV$6&lt;Total_Lanes,900*Peak_Time_Mor*($BL73/(Total_Lanes-BV$6)-1+SQRT(($BL73/(Total_Lanes-BV$6)-1)^2+8*($BL73/(Total_Lanes-BV$6))/(Peak_Time_Mor*$N59*(Total_Lanes-BV$6)))),"-")</f>
        <v>0.789960572077253</v>
      </c>
      <c r="BW73" s="551" t="n">
        <f aca="false">IF(BW$6&lt;Total_Lanes,900*Peak_Time_Mor*($BL73/(Total_Lanes-BW$6)-1+SQRT(($BL73/(Total_Lanes-BW$6)-1)^2+8*($BL73/(Total_Lanes-BW$6))/(Peak_Time_Mor*$N59*(Total_Lanes-BW$6)))),"-")</f>
        <v>4.07863779401414</v>
      </c>
      <c r="BX73" s="483" t="str">
        <f aca="false">IF(BX$6&lt;Total_Lanes,900*Peak_Time_Mor*($BL73/(Total_Lanes-BX$6)-1+SQRT(($BL73/(Total_Lanes-BX$6)-1)^2+8*($BL73/(Total_Lanes-BX$6))/(Peak_Time_Mor*$N59*(Total_Lanes-BX$6)))),"-")</f>
        <v>-</v>
      </c>
      <c r="BY73" s="483" t="str">
        <f aca="false">IF(BY$6&lt;Total_Lanes,900*Peak_Time_Mor*($BL73/(Total_Lanes-BY$6)-1+SQRT(($BL73/(Total_Lanes-BY$6)-1)^2+8*($BL73/(Total_Lanes-BY$6))/(Peak_Time_Mor*$N59*(Total_Lanes-BY$6)))),"-")</f>
        <v>-</v>
      </c>
      <c r="BZ73" s="483" t="str">
        <f aca="false">IF(BZ$6&lt;Total_Lanes,900*Peak_Time_Mor*($BL73/(Total_Lanes-BZ$6)-1+SQRT(($BL73/(Total_Lanes-BZ$6)-1)^2+8*($BL73/(Total_Lanes-BZ$6))/(Peak_Time_Mor*$N59*(Total_Lanes-BZ$6)))),"-")</f>
        <v>-</v>
      </c>
      <c r="CA73" s="483" t="str">
        <f aca="false">IF(CA$6&lt;Total_Lanes,900*Peak_Time_Mor*($BL73/(Total_Lanes-CA$6)-1+SQRT(($BL73/(Total_Lanes-CA$6)-1)^2+8*($BL73/(Total_Lanes-CA$6))/(Peak_Time_Mor*$N59*(Total_Lanes-CA$6)))),"-")</f>
        <v>-</v>
      </c>
      <c r="CB73" s="483" t="str">
        <f aca="false">IF(CB$6&lt;Total_Lanes,900*Peak_Time_Mor*($BL73/(Total_Lanes-CB$6)-1+SQRT(($BL73/(Total_Lanes-CB$6)-1)^2+8*($BL73/(Total_Lanes-CB$6))/(Peak_Time_Mor*$N59*(Total_Lanes-CB$6)))),"-")</f>
        <v>-</v>
      </c>
      <c r="CC73" s="483" t="str">
        <f aca="false">IF(CC$6&lt;Total_Lanes,900*Peak_Time_Mor*($BL73/(Total_Lanes-CC$6)-1+SQRT(($BL73/(Total_Lanes-CC$6)-1)^2+8*($BL73/(Total_Lanes-CC$6))/(Peak_Time_Mor*$N59*(Total_Lanes-CC$6)))),"-")</f>
        <v>-</v>
      </c>
      <c r="CD73" s="483" t="str">
        <f aca="false">IF(CD$6&lt;Total_Lanes,900*Peak_Time_Mor*($BL73/(Total_Lanes-CD$6)-1+SQRT(($BL73/(Total_Lanes-CD$6)-1)^2+8*($BL73/(Total_Lanes-CD$6))/(Peak_Time_Mor*$N59*(Total_Lanes-CD$6)))),"-")</f>
        <v>-</v>
      </c>
      <c r="CE73" s="483" t="str">
        <f aca="false">IF(CE$6&lt;Total_Lanes,900*Peak_Time_Mor*($BL73/(Total_Lanes-CE$6)-1+SQRT(($BL73/(Total_Lanes-CE$6)-1)^2+8*($BL73/(Total_Lanes-CE$6))/(Peak_Time_Mor*$N59*(Total_Lanes-CE$6)))),"-")</f>
        <v>-</v>
      </c>
      <c r="CF73" s="483" t="str">
        <f aca="false">IF(CF$6&lt;Total_Lanes,900*Peak_Time_Mor*($BL73/(Total_Lanes-CF$6)-1+SQRT(($BL73/(Total_Lanes-CF$6)-1)^2+8*($BL73/(Total_Lanes-CF$6))/(Peak_Time_Mor*$N59*(Total_Lanes-CF$6)))),"-")</f>
        <v>-</v>
      </c>
      <c r="CG73" s="484" t="str">
        <f aca="false">IF(CG$6&lt;Total_Lanes,900*Peak_Time_Mor*($BL73/(Total_Lanes-CG$6)-1+SQRT(($BL73/(Total_Lanes-CG$6)-1)^2+8*($BL73/(Total_Lanes-CG$6))/(Peak_Time_Mor*$N59*(Total_Lanes-CG$6)))),"-")</f>
        <v>-</v>
      </c>
      <c r="CH73" s="555" t="n">
        <f aca="false">3600/N59</f>
        <v>6.97875</v>
      </c>
      <c r="CJ73" s="440" t="n">
        <v>19</v>
      </c>
      <c r="CK73" s="442" t="n">
        <f aca="false">$X73</f>
        <v>0.95</v>
      </c>
      <c r="CL73" s="467" t="n">
        <f aca="false">$AC73</f>
        <v>3809.86170450805</v>
      </c>
      <c r="CM73" s="467" t="n">
        <f aca="false">CL73*CK73</f>
        <v>3619.36861928265</v>
      </c>
      <c r="CN73" s="479" t="n">
        <f aca="false">CM73/O59</f>
        <v>2.4129124128551</v>
      </c>
      <c r="CO73" s="483" t="n">
        <f aca="false">IF(CO$53&lt;Total_Lanes,900*Peak_Time_Mor*($CN73/CO$53-1+SQRT(($CN73/CO$53-1)^2+8*($CN73/CO$53)/(Peak_Time_Mor*$O59*CO$53))),"-")</f>
        <v>5090.58000807156</v>
      </c>
      <c r="CP73" s="483" t="n">
        <f aca="false">IF(CP$53&lt;Total_Lanes,900*Peak_Time_Mor*($CN73/CP$53-1+SQRT(($CN73/CP$53-1)^2+8*($CN73/CP$53)/(Peak_Time_Mor*$O59*CP$53))),"-")</f>
        <v>750.189772975625</v>
      </c>
      <c r="CQ73" s="483" t="n">
        <f aca="false">IF(CQ$53&lt;Total_Lanes,900*Peak_Time_Mor*($CN73/CQ$53-1+SQRT(($CN73/CQ$53-1)^2+8*($CN73/CQ$53)/(Peak_Time_Mor*$O59*CQ$53))),"-")</f>
        <v>3.27277242144741</v>
      </c>
      <c r="CR73" s="483" t="n">
        <f aca="false">IF(CR$53&lt;Total_Lanes,900*Peak_Time_Mor*($CN73/CR$53-1+SQRT(($CN73/CR$53-1)^2+8*($CN73/CR$53)/(Peak_Time_Mor*$O59*CR$53))),"-")</f>
        <v>0.911622058690631</v>
      </c>
      <c r="CS73" s="483" t="n">
        <f aca="false">IF(CS$53&lt;Total_Lanes,900*Peak_Time_Mor*($CN73/CS$53-1+SQRT(($CN73/CS$53-1)^2+8*($CN73/CS$53)/(Peak_Time_Mor*$O59*CS$53))),"-")</f>
        <v>0.447576547111384</v>
      </c>
      <c r="CT73" s="483" t="n">
        <f aca="false">IF(CT$53&lt;Total_Lanes,900*Peak_Time_Mor*($CN73/CT$53-1+SQRT(($CN73/CT$53-1)^2+8*($CN73/CT$53)/(Peak_Time_Mor*$O59*CT$53))),"-")</f>
        <v>0.269032832510674</v>
      </c>
      <c r="CU73" s="483" t="n">
        <f aca="false">IF(CU$53&lt;Total_Lanes,900*Peak_Time_Mor*($CN73/CU$53-1+SQRT(($CN73/CU$53-1)^2+8*($CN73/CU$53)/(Peak_Time_Mor*$O59*CU$53))),"-")</f>
        <v>0.18033687041954</v>
      </c>
      <c r="CV73" s="483" t="n">
        <f aca="false">IF(CV$53&lt;Total_Lanes,900*Peak_Time_Mor*($CN73/CV$53-1+SQRT(($CN73/CV$53-1)^2+8*($CN73/CV$53)/(Peak_Time_Mor*$O59*CV$53))),"-")</f>
        <v>0.129555231334555</v>
      </c>
      <c r="CW73" s="483" t="n">
        <f aca="false">IF(CW$53&lt;Total_Lanes,900*Peak_Time_Mor*($CN73/CW$53-1+SQRT(($CN73/CW$53-1)^2+8*($CN73/CW$53)/(Peak_Time_Mor*$O59*CW$53))),"-")</f>
        <v>0.0976788980963761</v>
      </c>
      <c r="CX73" s="483" t="n">
        <f aca="false">IF(CX$53&lt;Total_Lanes,900*Peak_Time_Mor*($CN73/CX$53-1+SQRT(($CN73/CX$53-1)^2+8*($CN73/CX$53)/(Peak_Time_Mor*$O59*CX$53))),"-")</f>
        <v>0.0763247808289291</v>
      </c>
      <c r="CY73" s="483" t="n">
        <f aca="false">IF(CY$53&lt;Total_Lanes,900*Peak_Time_Mor*($CN73/CY$53-1+SQRT(($CN73/CY$53-1)^2+8*($CN73/CY$53)/(Peak_Time_Mor*$O59*CY$53))),"-")</f>
        <v>0.061306249393045</v>
      </c>
      <c r="CZ73" s="483" t="str">
        <f aca="false">IF(CZ$53&lt;Total_Lanes,900*Peak_Time_Mor*($CN73/CZ$53-1+SQRT(($CN73/CZ$53-1)^2+8*($CN73/CZ$53)/(Peak_Time_Mor*$O59*CZ$53))),"-")</f>
        <v>-</v>
      </c>
      <c r="DA73" s="483" t="str">
        <f aca="false">IF(DA$53&lt;Total_Lanes,900*Peak_Time_Mor*($CN73/DA$53-1+SQRT(($CN73/DA$53-1)^2+8*($CN73/DA$53)/(Peak_Time_Mor*$O59*DA$53))),"-")</f>
        <v>-</v>
      </c>
      <c r="DB73" s="483" t="str">
        <f aca="false">IF(DB$53&lt;Total_Lanes,900*Peak_Time_Mor*($CN73/DB$53-1+SQRT(($CN73/DB$53-1)^2+8*($CN73/DB$53)/(Peak_Time_Mor*$O59*DB$53))),"-")</f>
        <v>-</v>
      </c>
      <c r="DC73" s="483" t="str">
        <f aca="false">IF(DC$53&lt;Total_Lanes,900*Peak_Time_Mor*($CN73/DC$53-1+SQRT(($CN73/DC$53-1)^2+8*($CN73/DC$53)/(Peak_Time_Mor*$O59*DC$53))),"-")</f>
        <v>-</v>
      </c>
      <c r="DD73" s="483" t="str">
        <f aca="false">IF(DD$53&lt;Total_Lanes,900*Peak_Time_Mor*($CN73/DD$53-1+SQRT(($CN73/DD$53-1)^2+8*($CN73/DD$53)/(Peak_Time_Mor*$O59*DD$53))),"-")</f>
        <v>-</v>
      </c>
      <c r="DE73" s="483" t="str">
        <f aca="false">IF(DE$53&lt;Total_Lanes,900*Peak_Time_Mor*($CN73/DE$53-1+SQRT(($CN73/DE$53-1)^2+8*($CN73/DE$53)/(Peak_Time_Mor*$O59*DE$53))),"-")</f>
        <v>-</v>
      </c>
      <c r="DF73" s="483" t="str">
        <f aca="false">IF(DF$53&lt;Total_Lanes,900*Peak_Time_Mor*($CN73/DF$53-1+SQRT(($CN73/DF$53-1)^2+8*($CN73/DF$53)/(Peak_Time_Mor*$O59*DF$53))),"-")</f>
        <v>-</v>
      </c>
      <c r="DG73" s="483" t="str">
        <f aca="false">IF(DG$53&lt;Total_Lanes,900*Peak_Time_Mor*($CN73/DG$53-1+SQRT(($CN73/DG$53-1)^2+8*($CN73/DG$53)/(Peak_Time_Mor*$O59*DG$53))),"-")</f>
        <v>-</v>
      </c>
      <c r="DH73" s="483" t="str">
        <f aca="false">IF(DH$53&lt;Total_Lanes,900*Peak_Time_Mor*($CN73/DH$53-1+SQRT(($CN73/DH$53-1)^2+8*($CN73/DH$53)/(Peak_Time_Mor*$O59*DH$53))),"-")</f>
        <v>-</v>
      </c>
      <c r="DI73" s="484" t="str">
        <f aca="false">IF(DI$53&lt;Total_Lanes,900*Peak_Time_Mor*($CN73/DI$53-1+SQRT(($CN73/DI$53-1)^2+8*($CN73/DI$53)/(Peak_Time_Mor*$O59*DI$53))),"-")</f>
        <v>-</v>
      </c>
      <c r="DJ73" s="555" t="n">
        <f aca="false">3600/$O59</f>
        <v>2.4</v>
      </c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  <c r="HO73" s="18"/>
      <c r="HP73" s="18"/>
      <c r="HQ73" s="18"/>
      <c r="HR73" s="18"/>
      <c r="HS73" s="18"/>
      <c r="HT73" s="18"/>
      <c r="HU73" s="18"/>
      <c r="HV73" s="18"/>
      <c r="HW73" s="18"/>
      <c r="HX73" s="18"/>
      <c r="HY73" s="18"/>
      <c r="HZ73" s="18"/>
      <c r="IA73" s="18"/>
      <c r="IB73" s="18"/>
      <c r="IC73" s="18"/>
      <c r="ID73" s="18"/>
      <c r="IE73" s="18"/>
      <c r="IF73" s="18"/>
      <c r="IG73" s="18"/>
      <c r="IH73" s="18"/>
      <c r="II73" s="18"/>
      <c r="IJ73" s="18"/>
      <c r="IK73" s="18"/>
      <c r="IL73" s="18"/>
      <c r="IM73" s="18"/>
      <c r="IN73" s="18"/>
      <c r="IO73" s="18"/>
      <c r="IP73" s="18"/>
      <c r="IQ73" s="18"/>
      <c r="IR73" s="18"/>
      <c r="IS73" s="18"/>
      <c r="IT73" s="18"/>
      <c r="IU73" s="18"/>
      <c r="IV73" s="18"/>
      <c r="IW73" s="18"/>
    </row>
    <row r="74" customFormat="false" ht="13.2" hidden="false" customHeight="fals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490" t="n">
        <v>20</v>
      </c>
      <c r="W74" s="499" t="n">
        <f aca="false">W27</f>
        <v>30000000</v>
      </c>
      <c r="X74" s="500" t="n">
        <f aca="false">X27</f>
        <v>0.95</v>
      </c>
      <c r="Y74" s="499" t="n">
        <f aca="false">Y27</f>
        <v>12936.356857923</v>
      </c>
      <c r="Z74" s="501" t="n">
        <f aca="false">W74/Y74</f>
        <v>2319.04548780488</v>
      </c>
      <c r="AA74" s="499" t="n">
        <f aca="false">AA27</f>
        <v>2</v>
      </c>
      <c r="AB74" s="503" t="n">
        <f aca="false">1-AB27</f>
        <v>0.3</v>
      </c>
      <c r="AC74" s="560" t="n">
        <f aca="false">Y74*AB74</f>
        <v>3880.9070573769</v>
      </c>
      <c r="AD74" s="495" t="n">
        <f aca="false">Peak_Time_Mor*$BH74*(CH74+BK74)/3600</f>
        <v>15.1283670791973</v>
      </c>
      <c r="AE74" s="504" t="n">
        <f aca="false">IF(AE$53&lt;Total_Lanes,($BI74*($CH74+BM74)+$CM74*CO74)*Peak_Time_Mor/3600,"-")</f>
        <v>10759.2472178152</v>
      </c>
      <c r="AF74" s="504" t="n">
        <f aca="false">IF(AF$53&lt;Total_Lanes,($BI74*($CH74+BN74)+$CM74*CP74)*Peak_Time_Mor/3600,"-")</f>
        <v>1702.09209114823</v>
      </c>
      <c r="AG74" s="504" t="n">
        <f aca="false">IF(AG$53&lt;Total_Lanes,($BI74*($CH74+BO74)+$CM74*CQ74)*Peak_Time_Mor/3600,"-")</f>
        <v>8.14694006379627</v>
      </c>
      <c r="AH74" s="504" t="n">
        <f aca="false">IF(AH$53&lt;Total_Lanes,($BI74*($CH74+BP74)+$CM74*CR74)*Peak_Time_Mor/3600,"-")</f>
        <v>2.71674531556184</v>
      </c>
      <c r="AI74" s="504" t="n">
        <f aca="false">IF(AI$53&lt;Total_Lanes,($BI74*($CH74+BQ74)+$CM74*CS74)*Peak_Time_Mor/3600,"-")</f>
        <v>1.71112609705585</v>
      </c>
      <c r="AJ74" s="504" t="n">
        <f aca="false">IF(AJ$53&lt;Total_Lanes,($BI74*($CH74+BR74)+$CM74*CT74)*Peak_Time_Mor/3600,"-")</f>
        <v>1.33151183631542</v>
      </c>
      <c r="AK74" s="504" t="n">
        <f aca="false">IF(AK$53&lt;Total_Lanes,($BI74*($CH74+BS74)+$CM74*CU74)*Peak_Time_Mor/3600,"-")</f>
        <v>1.14692949859899</v>
      </c>
      <c r="AL74" s="504" t="n">
        <f aca="false">IF(AL$53&lt;Total_Lanes,($BI74*($CH74+BT74)+$CM74*CV74)*Peak_Time_Mor/3600,"-")</f>
        <v>1.04677340965985</v>
      </c>
      <c r="AM74" s="504" t="n">
        <f aca="false">IF(AM$53&lt;Total_Lanes,($BI74*($CH74+BU74)+$CM74*CW74)*Peak_Time_Mor/3600,"-")</f>
        <v>0.996008316881621</v>
      </c>
      <c r="AN74" s="504" t="n">
        <f aca="false">IF(AN$53&lt;Total_Lanes,($BI74*($CH74+BV74)+$CM74*CX74)*Peak_Time_Mor/3600,"-")</f>
        <v>1.00252711440131</v>
      </c>
      <c r="AO74" s="504" t="n">
        <f aca="false">IF(AO$53&lt;Total_Lanes,($BI74*($CH74+BW74)+$CM74*CY74)*Peak_Time_Mor/3600,"-")</f>
        <v>1.33959749420013</v>
      </c>
      <c r="AP74" s="504" t="str">
        <f aca="false">IF(AP$53&lt;Total_Lanes,($BI74*($CH74+BX74)+$CM74*CZ74)*Peak_Time_Mor/3600,"-")</f>
        <v>-</v>
      </c>
      <c r="AQ74" s="504" t="str">
        <f aca="false">IF(AQ$53&lt;Total_Lanes,($BI74*($CH74+BY74)+$CM74*DA74)*Peak_Time_Mor/3600,"-")</f>
        <v>-</v>
      </c>
      <c r="AR74" s="504" t="str">
        <f aca="false">IF(AR$53&lt;Total_Lanes,($BI74*($CH74+BZ74)+$CM74*DB74)*Peak_Time_Mor/3600,"-")</f>
        <v>-</v>
      </c>
      <c r="AS74" s="504" t="str">
        <f aca="false">IF(AS$53&lt;Total_Lanes,($BI74*($CH74+CA74)+$CM74*DC74)*Peak_Time_Mor/3600,"-")</f>
        <v>-</v>
      </c>
      <c r="AT74" s="504" t="str">
        <f aca="false">IF(AT$53&lt;Total_Lanes,($BI74*($CH74+CB74)+$CM74*DD74)*Peak_Time_Mor/3600,"-")</f>
        <v>-</v>
      </c>
      <c r="AU74" s="504" t="str">
        <f aca="false">IF(AU$53&lt;Total_Lanes,($BI74*($CH74+CC74)+$CM74*DE74)*Peak_Time_Mor/3600,"-")</f>
        <v>-</v>
      </c>
      <c r="AV74" s="504" t="str">
        <f aca="false">IF(AV$53&lt;Total_Lanes,($BI74*($CH74+CD74)+$CM74*DF74)*Peak_Time_Mor/3600,"-")</f>
        <v>-</v>
      </c>
      <c r="AW74" s="504" t="str">
        <f aca="false">IF(AW$53&lt;Total_Lanes,($BI74*($CH74+CE74)+$CM74*DG74)*Peak_Time_Mor/3600,"-")</f>
        <v>-</v>
      </c>
      <c r="AX74" s="504" t="str">
        <f aca="false">IF(AX$53&lt;Total_Lanes,($BI74*($CH74+CF74)+$CM74*DH74)*Peak_Time_Mor/3600,"-")</f>
        <v>-</v>
      </c>
      <c r="AY74" s="505" t="str">
        <f aca="false">IF(AY$53&lt;Total_Lanes,($BI74*($CH74+CG74)+$CM74*DI74)*Peak_Time_Mor/3600,"-")</f>
        <v>-</v>
      </c>
      <c r="AZ74" s="506" t="n">
        <f aca="false">SUMIF(AE74:AY74,BA74,$AE$53:$AY$53)</f>
        <v>9</v>
      </c>
      <c r="BA74" s="507" t="n">
        <f aca="false">MIN(AE74:AY74)</f>
        <v>0.996008316881621</v>
      </c>
      <c r="BB74" s="506" t="n">
        <f aca="false">IF((SUMIF($BM72:$CG72,$AZ74,$BM74:$CG74)+$CH74)&lt;(SUMIF($CO72:$DI72,$AZ74,$CO74:$DI74)+$DJ74),AZ74+1,AZ74)</f>
        <v>9</v>
      </c>
      <c r="BC74" s="507" t="n">
        <f aca="false">SUMIF($AE$53:$AY$53,$BB74,$AE74:$AY74)</f>
        <v>0.996008316881621</v>
      </c>
      <c r="BF74" s="490" t="n">
        <v>20</v>
      </c>
      <c r="BG74" s="500" t="n">
        <f aca="false">$X74</f>
        <v>0.95</v>
      </c>
      <c r="BH74" s="493" t="n">
        <f aca="false">$AC74</f>
        <v>3880.9070573769</v>
      </c>
      <c r="BI74" s="497" t="n">
        <f aca="false">BH74*(1-BG74)</f>
        <v>194.045352868845</v>
      </c>
      <c r="BJ74" s="509" t="n">
        <f aca="false">Peak_Arrival_Manual_Mor/K60</f>
        <v>0.354402276420182</v>
      </c>
      <c r="BK74" s="561" t="n">
        <f aca="false">900*Peak_Time_Mor*($BJ74/Total_Lanes-1+SQRT(($BJ74/Total_Lanes-1)^2+8*($BJ74/Total_Lanes)/(Peak_Time_Mor*$K60*Total_Lanes)))</f>
        <v>0.016674282573681</v>
      </c>
      <c r="BL74" s="509" t="n">
        <f aca="false">Peak_Arrival_Manual_Mor/N60</f>
        <v>0.377310408356088</v>
      </c>
      <c r="BM74" s="562" t="n">
        <f aca="false">IF(BM$6&lt;Total_Lanes,900*Peak_Time_Mor*($BL74/(Total_Lanes-BM$6)-1+SQRT(($BL74/(Total_Lanes-BM$6)-1)^2+8*($BL74/(Total_Lanes-BM$6))/(Peak_Time_Mor*$N60*(Total_Lanes-BM$6)))),"-")</f>
        <v>0.0226030385574338</v>
      </c>
      <c r="BN74" s="517" t="n">
        <f aca="false">IF(BN$6&lt;Total_Lanes,900*Peak_Time_Mor*($BL74/(Total_Lanes-BN$6)-1+SQRT(($BL74/(Total_Lanes-BN$6)-1)^2+8*($BL74/(Total_Lanes-BN$6))/(Peak_Time_Mor*$N60*(Total_Lanes-BN$6)))),"-")</f>
        <v>0.0274471280309774</v>
      </c>
      <c r="BO74" s="517" t="n">
        <f aca="false">IF(BO$6&lt;Total_Lanes,900*Peak_Time_Mor*($BL74/(Total_Lanes-BO$6)-1+SQRT(($BL74/(Total_Lanes-BO$6)-1)^2+8*($BL74/(Total_Lanes-BO$6))/(Peak_Time_Mor*$N60*(Total_Lanes-BO$6)))),"-")</f>
        <v>0.0340335520743418</v>
      </c>
      <c r="BP74" s="517" t="n">
        <f aca="false">IF(BP$6&lt;Total_Lanes,900*Peak_Time_Mor*($BL74/(Total_Lanes-BP$6)-1+SQRT(($BL74/(Total_Lanes-BP$6)-1)^2+8*($BL74/(Total_Lanes-BP$6))/(Peak_Time_Mor*$N60*(Total_Lanes-BP$6)))),"-")</f>
        <v>0.0433104923007521</v>
      </c>
      <c r="BQ74" s="517" t="n">
        <f aca="false">IF(BQ$6&lt;Total_Lanes,900*Peak_Time_Mor*($BL74/(Total_Lanes-BQ$6)-1+SQRT(($BL74/(Total_Lanes-BQ$6)-1)^2+8*($BL74/(Total_Lanes-BQ$6))/(Peak_Time_Mor*$N60*(Total_Lanes-BQ$6)))),"-")</f>
        <v>0.0569714301065227</v>
      </c>
      <c r="BR74" s="517" t="n">
        <f aca="false">IF(BR$6&lt;Total_Lanes,900*Peak_Time_Mor*($BL74/(Total_Lanes-BR$6)-1+SQRT(($BL74/(Total_Lanes-BR$6)-1)^2+8*($BL74/(Total_Lanes-BR$6))/(Peak_Time_Mor*$N60*(Total_Lanes-BR$6)))),"-")</f>
        <v>0.0782873132870732</v>
      </c>
      <c r="BS74" s="517" t="n">
        <f aca="false">IF(BS$6&lt;Total_Lanes,900*Peak_Time_Mor*($BL74/(Total_Lanes-BS$6)-1+SQRT(($BL74/(Total_Lanes-BS$6)-1)^2+8*($BL74/(Total_Lanes-BS$6))/(Peak_Time_Mor*$N60*(Total_Lanes-BS$6)))),"-")</f>
        <v>0.11426604077176</v>
      </c>
      <c r="BT74" s="517" t="n">
        <f aca="false">IF(BT$6&lt;Total_Lanes,900*Peak_Time_Mor*($BL74/(Total_Lanes-BT$6)-1+SQRT(($BL74/(Total_Lanes-BT$6)-1)^2+8*($BL74/(Total_Lanes-BT$6))/(Peak_Time_Mor*$N60*(Total_Lanes-BT$6)))),"-")</f>
        <v>0.18225583228515</v>
      </c>
      <c r="BU74" s="517" t="n">
        <f aca="false">IF(BU$6&lt;Total_Lanes,900*Peak_Time_Mor*($BL74/(Total_Lanes-BU$6)-1+SQRT(($BL74/(Total_Lanes-BU$6)-1)^2+8*($BL74/(Total_Lanes-BU$6))/(Peak_Time_Mor*$N60*(Total_Lanes-BU$6)))),"-")</f>
        <v>0.33564668628252</v>
      </c>
      <c r="BV74" s="517" t="n">
        <f aca="false">IF(BV$6&lt;Total_Lanes,900*Peak_Time_Mor*($BL74/(Total_Lanes-BV$6)-1+SQRT(($BL74/(Total_Lanes-BV$6)-1)^2+8*($BL74/(Total_Lanes-BV$6))/(Peak_Time_Mor*$N60*(Total_Lanes-BV$6)))),"-")</f>
        <v>0.813599033184587</v>
      </c>
      <c r="BW74" s="563" t="n">
        <f aca="false">IF(BW$6&lt;Total_Lanes,900*Peak_Time_Mor*($BL74/(Total_Lanes-BW$6)-1+SQRT(($BL74/(Total_Lanes-BW$6)-1)^2+8*($BL74/(Total_Lanes-BW$6))/(Peak_Time_Mor*$N60*(Total_Lanes-BW$6)))),"-")</f>
        <v>4.23356078614328</v>
      </c>
      <c r="BX74" s="517" t="str">
        <f aca="false">IF(BX$6&lt;Total_Lanes,900*Peak_Time_Mor*($BL74/(Total_Lanes-BX$6)-1+SQRT(($BL74/(Total_Lanes-BX$6)-1)^2+8*($BL74/(Total_Lanes-BX$6))/(Peak_Time_Mor*$N60*(Total_Lanes-BX$6)))),"-")</f>
        <v>-</v>
      </c>
      <c r="BY74" s="517" t="str">
        <f aca="false">IF(BY$6&lt;Total_Lanes,900*Peak_Time_Mor*($BL74/(Total_Lanes-BY$6)-1+SQRT(($BL74/(Total_Lanes-BY$6)-1)^2+8*($BL74/(Total_Lanes-BY$6))/(Peak_Time_Mor*$N60*(Total_Lanes-BY$6)))),"-")</f>
        <v>-</v>
      </c>
      <c r="BZ74" s="517" t="str">
        <f aca="false">IF(BZ$6&lt;Total_Lanes,900*Peak_Time_Mor*($BL74/(Total_Lanes-BZ$6)-1+SQRT(($BL74/(Total_Lanes-BZ$6)-1)^2+8*($BL74/(Total_Lanes-BZ$6))/(Peak_Time_Mor*$N60*(Total_Lanes-BZ$6)))),"-")</f>
        <v>-</v>
      </c>
      <c r="CA74" s="517" t="str">
        <f aca="false">IF(CA$6&lt;Total_Lanes,900*Peak_Time_Mor*($BL74/(Total_Lanes-CA$6)-1+SQRT(($BL74/(Total_Lanes-CA$6)-1)^2+8*($BL74/(Total_Lanes-CA$6))/(Peak_Time_Mor*$N60*(Total_Lanes-CA$6)))),"-")</f>
        <v>-</v>
      </c>
      <c r="CB74" s="517" t="str">
        <f aca="false">IF(CB$6&lt;Total_Lanes,900*Peak_Time_Mor*($BL74/(Total_Lanes-CB$6)-1+SQRT(($BL74/(Total_Lanes-CB$6)-1)^2+8*($BL74/(Total_Lanes-CB$6))/(Peak_Time_Mor*$N60*(Total_Lanes-CB$6)))),"-")</f>
        <v>-</v>
      </c>
      <c r="CC74" s="517" t="str">
        <f aca="false">IF(CC$6&lt;Total_Lanes,900*Peak_Time_Mor*($BL74/(Total_Lanes-CC$6)-1+SQRT(($BL74/(Total_Lanes-CC$6)-1)^2+8*($BL74/(Total_Lanes-CC$6))/(Peak_Time_Mor*$N60*(Total_Lanes-CC$6)))),"-")</f>
        <v>-</v>
      </c>
      <c r="CD74" s="517" t="str">
        <f aca="false">IF(CD$6&lt;Total_Lanes,900*Peak_Time_Mor*($BL74/(Total_Lanes-CD$6)-1+SQRT(($BL74/(Total_Lanes-CD$6)-1)^2+8*($BL74/(Total_Lanes-CD$6))/(Peak_Time_Mor*$N60*(Total_Lanes-CD$6)))),"-")</f>
        <v>-</v>
      </c>
      <c r="CE74" s="517" t="str">
        <f aca="false">IF(CE$6&lt;Total_Lanes,900*Peak_Time_Mor*($BL74/(Total_Lanes-CE$6)-1+SQRT(($BL74/(Total_Lanes-CE$6)-1)^2+8*($BL74/(Total_Lanes-CE$6))/(Peak_Time_Mor*$N60*(Total_Lanes-CE$6)))),"-")</f>
        <v>-</v>
      </c>
      <c r="CF74" s="517" t="str">
        <f aca="false">IF(CF$6&lt;Total_Lanes,900*Peak_Time_Mor*($BL74/(Total_Lanes-CF$6)-1+SQRT(($BL74/(Total_Lanes-CF$6)-1)^2+8*($BL74/(Total_Lanes-CF$6))/(Peak_Time_Mor*$N60*(Total_Lanes-CF$6)))),"-")</f>
        <v>-</v>
      </c>
      <c r="CG74" s="518" t="str">
        <f aca="false">IF(CG$6&lt;Total_Lanes,900*Peak_Time_Mor*($BL74/(Total_Lanes-CG$6)-1+SQRT(($BL74/(Total_Lanes-CG$6)-1)^2+8*($BL74/(Total_Lanes-CG$6))/(Peak_Time_Mor*$N60*(Total_Lanes-CG$6)))),"-")</f>
        <v>-</v>
      </c>
      <c r="CH74" s="564" t="n">
        <f aca="false">3600/N60</f>
        <v>7</v>
      </c>
      <c r="CJ74" s="490" t="n">
        <v>20</v>
      </c>
      <c r="CK74" s="500" t="n">
        <f aca="false">$X74</f>
        <v>0.95</v>
      </c>
      <c r="CL74" s="495" t="n">
        <f aca="false">$AC74</f>
        <v>3880.9070573769</v>
      </c>
      <c r="CM74" s="495" t="n">
        <f aca="false">CL74*CK74</f>
        <v>3686.86170450805</v>
      </c>
      <c r="CN74" s="515" t="n">
        <f aca="false">CM74/O60</f>
        <v>2.45790780300537</v>
      </c>
      <c r="CO74" s="517" t="n">
        <f aca="false">IF(CO$53&lt;Total_Lanes,900*Peak_Time_Mor*($CN74/CO$53-1+SQRT(($CN74/CO$53-1)^2+8*($CN74/CO$53)/(Peak_Time_Mor*$O60*CO$53))),"-")</f>
        <v>5252.51117092461</v>
      </c>
      <c r="CP74" s="517" t="n">
        <f aca="false">IF(CP$53&lt;Total_Lanes,900*Peak_Time_Mor*($CN74/CP$53-1+SQRT(($CN74/CP$53-1)^2+8*($CN74/CP$53)/(Peak_Time_Mor*$O60*CP$53))),"-")</f>
        <v>830.625709899717</v>
      </c>
      <c r="CQ74" s="517" t="n">
        <f aca="false">IF(CQ$53&lt;Total_Lanes,900*Peak_Time_Mor*($CN74/CQ$53-1+SQRT(($CN74/CQ$53-1)^2+8*($CN74/CQ$53)/(Peak_Time_Mor*$O60*CQ$53))),"-")</f>
        <v>3.60728762238841</v>
      </c>
      <c r="CR74" s="517" t="n">
        <f aca="false">IF(CR$53&lt;Total_Lanes,900*Peak_Time_Mor*($CN74/CR$53-1+SQRT(($CN74/CR$53-1)^2+8*($CN74/CR$53)/(Peak_Time_Mor*$O60*CR$53))),"-")</f>
        <v>0.955669124735481</v>
      </c>
      <c r="CS74" s="517" t="n">
        <f aca="false">IF(CS$53&lt;Total_Lanes,900*Peak_Time_Mor*($CN74/CS$53-1+SQRT(($CN74/CS$53-1)^2+8*($CN74/CS$53)/(Peak_Time_Mor*$O60*CS$53))),"-")</f>
        <v>0.463986609877032</v>
      </c>
      <c r="CT74" s="517" t="n">
        <f aca="false">IF(CT$53&lt;Total_Lanes,900*Peak_Time_Mor*($CN74/CT$53-1+SQRT(($CN74/CT$53-1)^2+8*($CN74/CT$53)/(Peak_Time_Mor*$O60*CT$53))),"-")</f>
        <v>0.277529407925115</v>
      </c>
      <c r="CU74" s="517" t="n">
        <f aca="false">IF(CU$53&lt;Total_Lanes,900*Peak_Time_Mor*($CN74/CU$53-1+SQRT(($CN74/CU$53-1)^2+8*($CN74/CU$53)/(Peak_Time_Mor*$O60*CU$53))),"-")</f>
        <v>0.185518982813337</v>
      </c>
      <c r="CV74" s="517" t="n">
        <f aca="false">IF(CV$53&lt;Total_Lanes,900*Peak_Time_Mor*($CN74/CV$53-1+SQRT(($CN74/CV$53-1)^2+8*($CN74/CV$53)/(Peak_Time_Mor*$O60*CV$53))),"-")</f>
        <v>0.133042356706214</v>
      </c>
      <c r="CW74" s="517" t="n">
        <f aca="false">IF(CW$53&lt;Total_Lanes,900*Peak_Time_Mor*($CN74/CW$53-1+SQRT(($CN74/CW$53-1)^2+8*($CN74/CW$53)/(Peak_Time_Mor*$O60*CW$53))),"-")</f>
        <v>0.100184615054699</v>
      </c>
      <c r="CX74" s="517" t="n">
        <f aca="false">IF(CX$53&lt;Total_Lanes,900*Peak_Time_Mor*($CN74/CX$53-1+SQRT(($CN74/CX$53-1)^2+8*($CN74/CX$53)/(Peak_Time_Mor*$O60*CX$53))),"-")</f>
        <v>0.0782118363701567</v>
      </c>
      <c r="CY74" s="517" t="n">
        <f aca="false">IF(CY$53&lt;Total_Lanes,900*Peak_Time_Mor*($CN74/CY$53-1+SQRT(($CN74/CY$53-1)^2+8*($CN74/CY$53)/(Peak_Time_Mor*$O60*CY$53))),"-")</f>
        <v>0.0627783848134111</v>
      </c>
      <c r="CZ74" s="517" t="str">
        <f aca="false">IF(CZ$53&lt;Total_Lanes,900*Peak_Time_Mor*($CN74/CZ$53-1+SQRT(($CN74/CZ$53-1)^2+8*($CN74/CZ$53)/(Peak_Time_Mor*$O60*CZ$53))),"-")</f>
        <v>-</v>
      </c>
      <c r="DA74" s="517" t="str">
        <f aca="false">IF(DA$53&lt;Total_Lanes,900*Peak_Time_Mor*($CN74/DA$53-1+SQRT(($CN74/DA$53-1)^2+8*($CN74/DA$53)/(Peak_Time_Mor*$O60*DA$53))),"-")</f>
        <v>-</v>
      </c>
      <c r="DB74" s="517" t="str">
        <f aca="false">IF(DB$53&lt;Total_Lanes,900*Peak_Time_Mor*($CN74/DB$53-1+SQRT(($CN74/DB$53-1)^2+8*($CN74/DB$53)/(Peak_Time_Mor*$O60*DB$53))),"-")</f>
        <v>-</v>
      </c>
      <c r="DC74" s="517" t="str">
        <f aca="false">IF(DC$53&lt;Total_Lanes,900*Peak_Time_Mor*($CN74/DC$53-1+SQRT(($CN74/DC$53-1)^2+8*($CN74/DC$53)/(Peak_Time_Mor*$O60*DC$53))),"-")</f>
        <v>-</v>
      </c>
      <c r="DD74" s="517" t="str">
        <f aca="false">IF(DD$53&lt;Total_Lanes,900*Peak_Time_Mor*($CN74/DD$53-1+SQRT(($CN74/DD$53-1)^2+8*($CN74/DD$53)/(Peak_Time_Mor*$O60*DD$53))),"-")</f>
        <v>-</v>
      </c>
      <c r="DE74" s="517" t="str">
        <f aca="false">IF(DE$53&lt;Total_Lanes,900*Peak_Time_Mor*($CN74/DE$53-1+SQRT(($CN74/DE$53-1)^2+8*($CN74/DE$53)/(Peak_Time_Mor*$O60*DE$53))),"-")</f>
        <v>-</v>
      </c>
      <c r="DF74" s="517" t="str">
        <f aca="false">IF(DF$53&lt;Total_Lanes,900*Peak_Time_Mor*($CN74/DF$53-1+SQRT(($CN74/DF$53-1)^2+8*($CN74/DF$53)/(Peak_Time_Mor*$O60*DF$53))),"-")</f>
        <v>-</v>
      </c>
      <c r="DG74" s="517" t="str">
        <f aca="false">IF(DG$53&lt;Total_Lanes,900*Peak_Time_Mor*($CN74/DG$53-1+SQRT(($CN74/DG$53-1)^2+8*($CN74/DG$53)/(Peak_Time_Mor*$O60*DG$53))),"-")</f>
        <v>-</v>
      </c>
      <c r="DH74" s="517" t="str">
        <f aca="false">IF(DH$53&lt;Total_Lanes,900*Peak_Time_Mor*($CN74/DH$53-1+SQRT(($CN74/DH$53-1)^2+8*($CN74/DH$53)/(Peak_Time_Mor*$O60*DH$53))),"-")</f>
        <v>-</v>
      </c>
      <c r="DI74" s="518" t="str">
        <f aca="false">IF(DI$53&lt;Total_Lanes,900*Peak_Time_Mor*($CN74/DI$53-1+SQRT(($CN74/DI$53-1)^2+8*($CN74/DI$53)/(Peak_Time_Mor*$O60*DI$53))),"-")</f>
        <v>-</v>
      </c>
      <c r="DJ74" s="564" t="n">
        <f aca="false">3600/$O60</f>
        <v>2.4</v>
      </c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18"/>
      <c r="GF74" s="18"/>
      <c r="GG74" s="18"/>
      <c r="GH74" s="18"/>
      <c r="GI74" s="18"/>
      <c r="GJ74" s="18"/>
      <c r="GK74" s="18"/>
      <c r="GL74" s="18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18"/>
      <c r="HC74" s="18"/>
      <c r="HD74" s="18"/>
      <c r="HE74" s="18"/>
      <c r="HF74" s="18"/>
      <c r="HG74" s="18"/>
      <c r="HH74" s="18"/>
      <c r="HI74" s="18"/>
      <c r="HJ74" s="18"/>
      <c r="HK74" s="18"/>
      <c r="HL74" s="18"/>
      <c r="HM74" s="18"/>
      <c r="HN74" s="18"/>
      <c r="HO74" s="18"/>
      <c r="HP74" s="18"/>
      <c r="HQ74" s="18"/>
      <c r="HR74" s="18"/>
      <c r="HS74" s="18"/>
      <c r="HT74" s="18"/>
      <c r="HU74" s="18"/>
      <c r="HV74" s="18"/>
      <c r="HW74" s="18"/>
      <c r="HX74" s="18"/>
      <c r="HY74" s="18"/>
      <c r="HZ74" s="18"/>
      <c r="IA74" s="18"/>
      <c r="IB74" s="18"/>
      <c r="IC74" s="18"/>
      <c r="ID74" s="18"/>
      <c r="IE74" s="18"/>
      <c r="IF74" s="18"/>
      <c r="IG74" s="18"/>
      <c r="IH74" s="18"/>
      <c r="II74" s="18"/>
      <c r="IJ74" s="18"/>
      <c r="IK74" s="18"/>
      <c r="IL74" s="18"/>
      <c r="IM74" s="18"/>
      <c r="IN74" s="18"/>
      <c r="IO74" s="18"/>
      <c r="IP74" s="18"/>
      <c r="IQ74" s="18"/>
      <c r="IR74" s="18"/>
      <c r="IS74" s="18"/>
      <c r="IT74" s="18"/>
      <c r="IU74" s="18"/>
      <c r="IV74" s="18"/>
      <c r="IW74" s="18"/>
    </row>
    <row r="75" customFormat="false" ht="13.2" hidden="false" customHeight="false" outlineLevel="0" collapsed="false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CF75" s="18"/>
      <c r="CS75" s="360"/>
      <c r="CT75" s="360"/>
      <c r="CU75" s="360"/>
      <c r="CV75" s="360"/>
      <c r="CW75" s="360"/>
      <c r="CX75" s="360"/>
      <c r="CY75" s="360"/>
      <c r="CZ75" s="360"/>
      <c r="DA75" s="360"/>
      <c r="DB75" s="360"/>
      <c r="DC75" s="360"/>
      <c r="DD75" s="360"/>
      <c r="DE75" s="360"/>
      <c r="DF75" s="360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  <c r="GX75" s="18"/>
      <c r="GY75" s="18"/>
      <c r="GZ75" s="18"/>
      <c r="HA75" s="18"/>
      <c r="HB75" s="18"/>
      <c r="HC75" s="18"/>
      <c r="HD75" s="18"/>
      <c r="HE75" s="18"/>
      <c r="HF75" s="18"/>
      <c r="HG75" s="18"/>
      <c r="HH75" s="18"/>
      <c r="HI75" s="18"/>
      <c r="HJ75" s="18"/>
      <c r="HK75" s="18"/>
      <c r="HL75" s="18"/>
      <c r="HM75" s="18"/>
      <c r="HN75" s="18"/>
      <c r="HO75" s="18"/>
      <c r="HP75" s="18"/>
      <c r="HQ75" s="18"/>
      <c r="HR75" s="18"/>
      <c r="HS75" s="18"/>
      <c r="HT75" s="18"/>
      <c r="HU75" s="18"/>
      <c r="HV75" s="18"/>
      <c r="HW75" s="18"/>
      <c r="HX75" s="18"/>
      <c r="HY75" s="18"/>
      <c r="HZ75" s="18"/>
      <c r="IA75" s="18"/>
      <c r="IB75" s="18"/>
      <c r="IC75" s="18"/>
      <c r="ID75" s="18"/>
      <c r="IE75" s="18"/>
      <c r="IF75" s="18"/>
      <c r="IG75" s="18"/>
      <c r="IH75" s="18"/>
      <c r="II75" s="18"/>
      <c r="IJ75" s="18"/>
      <c r="IK75" s="18"/>
      <c r="IL75" s="18"/>
      <c r="IM75" s="18"/>
      <c r="IN75" s="18"/>
      <c r="IO75" s="18"/>
      <c r="IP75" s="18"/>
      <c r="IQ75" s="18"/>
      <c r="IR75" s="18"/>
      <c r="IS75" s="18"/>
      <c r="IT75" s="18"/>
      <c r="IU75" s="18"/>
      <c r="IV75" s="18"/>
      <c r="IW75" s="18"/>
    </row>
    <row r="76" customFormat="false" ht="13.8" hidden="false" customHeight="fals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CF76" s="18"/>
      <c r="CS76" s="360"/>
      <c r="CT76" s="360"/>
      <c r="CU76" s="360"/>
      <c r="CV76" s="360"/>
      <c r="CW76" s="360"/>
      <c r="CX76" s="360"/>
      <c r="CY76" s="360"/>
      <c r="CZ76" s="360"/>
      <c r="DA76" s="360"/>
      <c r="DB76" s="360"/>
      <c r="DC76" s="360"/>
      <c r="DD76" s="360"/>
      <c r="DE76" s="360"/>
      <c r="DF76" s="360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  <c r="GX76" s="18"/>
      <c r="GY76" s="18"/>
      <c r="GZ76" s="18"/>
      <c r="HA76" s="18"/>
      <c r="HB76" s="18"/>
      <c r="HC76" s="18"/>
      <c r="HD76" s="18"/>
      <c r="HE76" s="18"/>
      <c r="HF76" s="18"/>
      <c r="HG76" s="18"/>
      <c r="HH76" s="18"/>
      <c r="HI76" s="18"/>
      <c r="HJ76" s="18"/>
      <c r="HK76" s="18"/>
      <c r="HL76" s="18"/>
      <c r="HM76" s="18"/>
      <c r="HN76" s="18"/>
      <c r="HO76" s="18"/>
      <c r="HP76" s="18"/>
      <c r="HQ76" s="18"/>
      <c r="HR76" s="18"/>
      <c r="HS76" s="18"/>
      <c r="HT76" s="18"/>
      <c r="HU76" s="18"/>
      <c r="HV76" s="18"/>
      <c r="HW76" s="18"/>
      <c r="HX76" s="18"/>
      <c r="HY76" s="18"/>
      <c r="HZ76" s="18"/>
      <c r="IA76" s="18"/>
      <c r="IB76" s="18"/>
      <c r="IC76" s="18"/>
      <c r="ID76" s="18"/>
      <c r="IE76" s="18"/>
      <c r="IF76" s="18"/>
      <c r="IG76" s="18"/>
      <c r="IH76" s="18"/>
      <c r="II76" s="18"/>
      <c r="IJ76" s="18"/>
      <c r="IK76" s="18"/>
      <c r="IL76" s="18"/>
      <c r="IM76" s="18"/>
      <c r="IN76" s="18"/>
      <c r="IO76" s="18"/>
      <c r="IP76" s="18"/>
      <c r="IQ76" s="18"/>
      <c r="IR76" s="18"/>
      <c r="IS76" s="18"/>
      <c r="IT76" s="18"/>
      <c r="IU76" s="18"/>
      <c r="IV76" s="18"/>
      <c r="IW76" s="18"/>
    </row>
    <row r="77" customFormat="false" ht="13.8" hidden="false" customHeight="false" outlineLevel="0" collapsed="false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565" t="s">
        <v>357</v>
      </c>
      <c r="W77" s="566"/>
      <c r="X77" s="566"/>
      <c r="Y77" s="566"/>
      <c r="Z77" s="566"/>
      <c r="AA77" s="566"/>
      <c r="AB77" s="566"/>
      <c r="AC77" s="566"/>
      <c r="AD77" s="566"/>
      <c r="AE77" s="566"/>
      <c r="AF77" s="566"/>
      <c r="AG77" s="566"/>
      <c r="AH77" s="566"/>
      <c r="AI77" s="566"/>
      <c r="AJ77" s="566"/>
      <c r="AK77" s="566"/>
      <c r="AL77" s="566"/>
      <c r="AM77" s="566"/>
      <c r="AN77" s="566"/>
      <c r="AO77" s="566"/>
      <c r="AP77" s="566"/>
      <c r="AQ77" s="566"/>
      <c r="AR77" s="566"/>
      <c r="AS77" s="566"/>
      <c r="AT77" s="566"/>
      <c r="AU77" s="566"/>
      <c r="AV77" s="566"/>
      <c r="AW77" s="566"/>
      <c r="AX77" s="566"/>
      <c r="AY77" s="566"/>
      <c r="AZ77" s="566"/>
      <c r="BA77" s="566"/>
      <c r="BB77" s="566"/>
      <c r="BC77" s="567"/>
      <c r="CF77" s="18"/>
      <c r="CS77" s="360"/>
      <c r="CT77" s="360"/>
      <c r="CU77" s="360"/>
      <c r="CV77" s="360"/>
      <c r="CW77" s="360"/>
      <c r="CX77" s="360"/>
      <c r="CY77" s="360"/>
      <c r="CZ77" s="360"/>
      <c r="DA77" s="360"/>
      <c r="DB77" s="360"/>
      <c r="DC77" s="360"/>
      <c r="DD77" s="360"/>
      <c r="DE77" s="360"/>
      <c r="DF77" s="360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18"/>
      <c r="HC77" s="18"/>
      <c r="HD77" s="18"/>
      <c r="HE77" s="18"/>
      <c r="HF77" s="18"/>
      <c r="HG77" s="18"/>
      <c r="HH77" s="18"/>
      <c r="HI77" s="18"/>
      <c r="HJ77" s="18"/>
      <c r="HK77" s="18"/>
      <c r="HL77" s="18"/>
      <c r="HM77" s="18"/>
      <c r="HN77" s="18"/>
      <c r="HO77" s="18"/>
      <c r="HP77" s="18"/>
      <c r="HQ77" s="18"/>
      <c r="HR77" s="18"/>
      <c r="HS77" s="18"/>
      <c r="HT77" s="18"/>
      <c r="HU77" s="18"/>
      <c r="HV77" s="18"/>
      <c r="HW77" s="18"/>
      <c r="HX77" s="18"/>
      <c r="HY77" s="18"/>
      <c r="HZ77" s="18"/>
      <c r="IA77" s="18"/>
      <c r="IB77" s="18"/>
      <c r="IC77" s="18"/>
      <c r="ID77" s="18"/>
      <c r="IE77" s="18"/>
      <c r="IF77" s="18"/>
      <c r="IG77" s="18"/>
      <c r="IH77" s="18"/>
      <c r="II77" s="18"/>
      <c r="IJ77" s="18"/>
      <c r="IK77" s="18"/>
      <c r="IL77" s="18"/>
      <c r="IM77" s="18"/>
      <c r="IN77" s="18"/>
      <c r="IO77" s="18"/>
      <c r="IP77" s="18"/>
      <c r="IQ77" s="18"/>
      <c r="IR77" s="18"/>
      <c r="IS77" s="18"/>
      <c r="IT77" s="18"/>
      <c r="IU77" s="18"/>
      <c r="IV77" s="18"/>
      <c r="IW77" s="18"/>
    </row>
    <row r="78" customFormat="false" ht="13.8" hidden="false" customHeight="fals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568" t="s">
        <v>358</v>
      </c>
      <c r="W78" s="569"/>
      <c r="X78" s="569"/>
      <c r="Y78" s="569"/>
      <c r="Z78" s="569"/>
      <c r="AA78" s="569"/>
      <c r="AB78" s="569"/>
      <c r="AC78" s="569"/>
      <c r="AD78" s="569"/>
      <c r="AE78" s="569"/>
      <c r="AF78" s="569"/>
      <c r="AG78" s="569"/>
      <c r="AH78" s="569"/>
      <c r="AI78" s="569"/>
      <c r="AJ78" s="569"/>
      <c r="AK78" s="569"/>
      <c r="AL78" s="569"/>
      <c r="AM78" s="569"/>
      <c r="AN78" s="569"/>
      <c r="AO78" s="569"/>
      <c r="AP78" s="569"/>
      <c r="AQ78" s="569"/>
      <c r="AR78" s="569"/>
      <c r="AS78" s="569"/>
      <c r="AT78" s="569"/>
      <c r="AU78" s="569"/>
      <c r="AV78" s="569"/>
      <c r="AW78" s="569"/>
      <c r="AX78" s="569"/>
      <c r="AY78" s="569"/>
      <c r="AZ78" s="569"/>
      <c r="BA78" s="569"/>
      <c r="BB78" s="569"/>
      <c r="BC78" s="570"/>
      <c r="CF78" s="18"/>
      <c r="CS78" s="360"/>
      <c r="CT78" s="360"/>
      <c r="CU78" s="360"/>
      <c r="CV78" s="360"/>
      <c r="CW78" s="360"/>
      <c r="CX78" s="360"/>
      <c r="CY78" s="360"/>
      <c r="CZ78" s="360"/>
      <c r="DA78" s="360"/>
      <c r="DB78" s="360"/>
      <c r="DC78" s="360"/>
      <c r="DD78" s="360"/>
      <c r="DE78" s="360"/>
      <c r="DF78" s="360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8"/>
      <c r="HQ78" s="18"/>
      <c r="HR78" s="18"/>
      <c r="HS78" s="18"/>
      <c r="HT78" s="18"/>
      <c r="HU78" s="18"/>
      <c r="HV78" s="18"/>
      <c r="HW78" s="18"/>
      <c r="HX78" s="18"/>
      <c r="HY78" s="18"/>
      <c r="HZ78" s="18"/>
      <c r="IA78" s="18"/>
      <c r="IB78" s="18"/>
      <c r="IC78" s="18"/>
      <c r="ID78" s="18"/>
      <c r="IE78" s="18"/>
      <c r="IF78" s="18"/>
      <c r="IG78" s="18"/>
      <c r="IH78" s="18"/>
      <c r="II78" s="18"/>
      <c r="IJ78" s="18"/>
      <c r="IK78" s="18"/>
      <c r="IL78" s="18"/>
      <c r="IM78" s="18"/>
      <c r="IN78" s="18"/>
      <c r="IO78" s="18"/>
      <c r="IP78" s="18"/>
      <c r="IQ78" s="18"/>
      <c r="IR78" s="18"/>
      <c r="IS78" s="18"/>
      <c r="IT78" s="18"/>
      <c r="IU78" s="18"/>
      <c r="IV78" s="18"/>
      <c r="IW78" s="18"/>
    </row>
    <row r="79" customFormat="false" ht="13.8" hidden="false" customHeight="false" outlineLevel="0" collapsed="false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CF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18"/>
      <c r="HC79" s="18"/>
      <c r="HD79" s="18"/>
      <c r="HE79" s="18"/>
      <c r="HF79" s="18"/>
      <c r="HG79" s="18"/>
      <c r="HH79" s="18"/>
      <c r="HI79" s="18"/>
      <c r="HJ79" s="18"/>
      <c r="HK79" s="18"/>
      <c r="HL79" s="18"/>
      <c r="HM79" s="18"/>
      <c r="HN79" s="18"/>
      <c r="HO79" s="18"/>
      <c r="HP79" s="18"/>
      <c r="HQ79" s="18"/>
      <c r="HR79" s="18"/>
      <c r="HS79" s="18"/>
      <c r="HT79" s="18"/>
      <c r="HU79" s="18"/>
      <c r="HV79" s="18"/>
      <c r="HW79" s="18"/>
      <c r="HX79" s="18"/>
      <c r="HY79" s="18"/>
      <c r="HZ79" s="18"/>
      <c r="IA79" s="18"/>
      <c r="IB79" s="18"/>
      <c r="IC79" s="18"/>
      <c r="ID79" s="18"/>
      <c r="IE79" s="18"/>
      <c r="IF79" s="18"/>
      <c r="IG79" s="18"/>
      <c r="IH79" s="18"/>
      <c r="II79" s="18"/>
      <c r="IJ79" s="18"/>
      <c r="IK79" s="18"/>
      <c r="IL79" s="18"/>
      <c r="IM79" s="18"/>
      <c r="IN79" s="18"/>
      <c r="IO79" s="18"/>
      <c r="IP79" s="18"/>
      <c r="IQ79" s="18"/>
      <c r="IR79" s="18"/>
      <c r="IS79" s="18"/>
      <c r="IT79" s="18"/>
      <c r="IU79" s="18"/>
      <c r="IV79" s="18"/>
      <c r="IW79" s="18"/>
    </row>
    <row r="80" customFormat="false" ht="13.2" hidden="false" customHeight="fals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CF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8"/>
      <c r="HQ80" s="18"/>
      <c r="HR80" s="18"/>
      <c r="HS80" s="18"/>
      <c r="HT80" s="18"/>
      <c r="HU80" s="18"/>
      <c r="HV80" s="18"/>
      <c r="HW80" s="18"/>
      <c r="HX80" s="18"/>
      <c r="HY80" s="18"/>
      <c r="HZ80" s="18"/>
      <c r="IA80" s="18"/>
      <c r="IB80" s="18"/>
      <c r="IC80" s="18"/>
      <c r="ID80" s="18"/>
      <c r="IE80" s="18"/>
      <c r="IF80" s="18"/>
      <c r="IG80" s="18"/>
      <c r="IH80" s="18"/>
      <c r="II80" s="18"/>
      <c r="IJ80" s="18"/>
      <c r="IK80" s="18"/>
      <c r="IL80" s="18"/>
      <c r="IM80" s="18"/>
      <c r="IN80" s="18"/>
      <c r="IO80" s="18"/>
      <c r="IP80" s="18"/>
      <c r="IQ80" s="18"/>
      <c r="IR80" s="18"/>
      <c r="IS80" s="18"/>
      <c r="IT80" s="18"/>
      <c r="IU80" s="18"/>
      <c r="IV80" s="18"/>
      <c r="IW80" s="18"/>
    </row>
    <row r="81" customFormat="false" ht="13.2" hidden="false" customHeight="false" outlineLevel="0" collapsed="false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CF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  <c r="HM81" s="18"/>
      <c r="HN81" s="18"/>
      <c r="HO81" s="18"/>
      <c r="HP81" s="18"/>
      <c r="HQ81" s="18"/>
      <c r="HR81" s="18"/>
      <c r="HS81" s="18"/>
      <c r="HT81" s="18"/>
      <c r="HU81" s="18"/>
      <c r="HV81" s="18"/>
      <c r="HW81" s="18"/>
      <c r="HX81" s="18"/>
      <c r="HY81" s="18"/>
      <c r="HZ81" s="18"/>
      <c r="IA81" s="18"/>
      <c r="IB81" s="18"/>
      <c r="IC81" s="18"/>
      <c r="ID81" s="18"/>
      <c r="IE81" s="18"/>
      <c r="IF81" s="18"/>
      <c r="IG81" s="18"/>
      <c r="IH81" s="18"/>
      <c r="II81" s="18"/>
      <c r="IJ81" s="18"/>
      <c r="IK81" s="18"/>
      <c r="IL81" s="18"/>
      <c r="IM81" s="18"/>
      <c r="IN81" s="18"/>
      <c r="IO81" s="18"/>
      <c r="IP81" s="18"/>
      <c r="IQ81" s="18"/>
      <c r="IR81" s="18"/>
      <c r="IS81" s="18"/>
      <c r="IT81" s="18"/>
      <c r="IU81" s="18"/>
      <c r="IV81" s="18"/>
      <c r="IW81" s="18"/>
    </row>
    <row r="82" customFormat="false" ht="13.2" hidden="false" customHeight="fals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CF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18"/>
      <c r="GO82" s="18"/>
      <c r="GP82" s="18"/>
      <c r="GQ82" s="18"/>
      <c r="GR82" s="18"/>
      <c r="GS82" s="18"/>
      <c r="GT82" s="18"/>
      <c r="GU82" s="18"/>
      <c r="GV82" s="18"/>
      <c r="GW82" s="18"/>
      <c r="GX82" s="18"/>
      <c r="GY82" s="18"/>
      <c r="GZ82" s="18"/>
      <c r="HA82" s="18"/>
      <c r="HB82" s="18"/>
      <c r="HC82" s="18"/>
      <c r="HD82" s="18"/>
      <c r="HE82" s="18"/>
      <c r="HF82" s="18"/>
      <c r="HG82" s="18"/>
      <c r="HH82" s="18"/>
      <c r="HI82" s="18"/>
      <c r="HJ82" s="18"/>
      <c r="HK82" s="18"/>
      <c r="HL82" s="18"/>
      <c r="HM82" s="18"/>
      <c r="HN82" s="18"/>
      <c r="HO82" s="18"/>
      <c r="HP82" s="18"/>
      <c r="HQ82" s="18"/>
      <c r="HR82" s="18"/>
      <c r="HS82" s="18"/>
      <c r="HT82" s="18"/>
      <c r="HU82" s="18"/>
      <c r="HV82" s="18"/>
      <c r="HW82" s="18"/>
      <c r="HX82" s="18"/>
      <c r="HY82" s="18"/>
      <c r="HZ82" s="18"/>
      <c r="IA82" s="18"/>
      <c r="IB82" s="18"/>
      <c r="IC82" s="18"/>
      <c r="ID82" s="18"/>
      <c r="IE82" s="18"/>
      <c r="IF82" s="18"/>
      <c r="IG82" s="18"/>
      <c r="IH82" s="18"/>
      <c r="II82" s="18"/>
      <c r="IJ82" s="18"/>
      <c r="IK82" s="18"/>
      <c r="IL82" s="18"/>
      <c r="IM82" s="18"/>
      <c r="IN82" s="18"/>
      <c r="IO82" s="18"/>
      <c r="IP82" s="18"/>
      <c r="IQ82" s="18"/>
      <c r="IR82" s="18"/>
      <c r="IS82" s="18"/>
      <c r="IT82" s="18"/>
      <c r="IU82" s="18"/>
      <c r="IV82" s="18"/>
      <c r="IW82" s="18"/>
    </row>
    <row r="83" customFormat="false" ht="13.2" hidden="false" customHeight="false" outlineLevel="0" collapsed="false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CF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  <c r="GX83" s="18"/>
      <c r="GY83" s="18"/>
      <c r="GZ83" s="18"/>
      <c r="HA83" s="18"/>
      <c r="HB83" s="18"/>
      <c r="HC83" s="18"/>
      <c r="HD83" s="18"/>
      <c r="HE83" s="18"/>
      <c r="HF83" s="18"/>
      <c r="HG83" s="18"/>
      <c r="HH83" s="18"/>
      <c r="HI83" s="18"/>
      <c r="HJ83" s="18"/>
      <c r="HK83" s="18"/>
      <c r="HL83" s="18"/>
      <c r="HM83" s="18"/>
      <c r="HN83" s="18"/>
      <c r="HO83" s="18"/>
      <c r="HP83" s="18"/>
      <c r="HQ83" s="18"/>
      <c r="HR83" s="18"/>
      <c r="HS83" s="18"/>
      <c r="HT83" s="18"/>
      <c r="HU83" s="18"/>
      <c r="HV83" s="18"/>
      <c r="HW83" s="18"/>
      <c r="HX83" s="18"/>
      <c r="HY83" s="18"/>
      <c r="HZ83" s="18"/>
      <c r="IA83" s="18"/>
      <c r="IB83" s="18"/>
      <c r="IC83" s="18"/>
      <c r="ID83" s="18"/>
      <c r="IE83" s="18"/>
      <c r="IF83" s="18"/>
      <c r="IG83" s="18"/>
      <c r="IH83" s="18"/>
      <c r="II83" s="18"/>
      <c r="IJ83" s="18"/>
      <c r="IK83" s="18"/>
      <c r="IL83" s="18"/>
      <c r="IM83" s="18"/>
      <c r="IN83" s="18"/>
      <c r="IO83" s="18"/>
      <c r="IP83" s="18"/>
      <c r="IQ83" s="18"/>
      <c r="IR83" s="18"/>
      <c r="IS83" s="18"/>
      <c r="IT83" s="18"/>
      <c r="IU83" s="18"/>
      <c r="IV83" s="18"/>
      <c r="IW83" s="18"/>
    </row>
    <row r="84" customFormat="false" ht="13.2" hidden="false" customHeight="fals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CF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18"/>
      <c r="GH84" s="18"/>
      <c r="GI84" s="1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18"/>
      <c r="GW84" s="18"/>
      <c r="GX84" s="18"/>
      <c r="GY84" s="18"/>
      <c r="GZ84" s="18"/>
      <c r="HA84" s="18"/>
      <c r="HB84" s="18"/>
      <c r="HC84" s="18"/>
      <c r="HD84" s="18"/>
      <c r="HE84" s="18"/>
      <c r="HF84" s="18"/>
      <c r="HG84" s="18"/>
      <c r="HH84" s="18"/>
      <c r="HI84" s="18"/>
      <c r="HJ84" s="18"/>
      <c r="HK84" s="18"/>
      <c r="HL84" s="18"/>
      <c r="HM84" s="18"/>
      <c r="HN84" s="18"/>
      <c r="HO84" s="18"/>
      <c r="HP84" s="18"/>
      <c r="HQ84" s="18"/>
      <c r="HR84" s="18"/>
      <c r="HS84" s="18"/>
      <c r="HT84" s="18"/>
      <c r="HU84" s="18"/>
      <c r="HV84" s="18"/>
      <c r="HW84" s="18"/>
      <c r="HX84" s="18"/>
      <c r="HY84" s="18"/>
      <c r="HZ84" s="18"/>
      <c r="IA84" s="18"/>
      <c r="IB84" s="18"/>
      <c r="IC84" s="18"/>
      <c r="ID84" s="18"/>
      <c r="IE84" s="18"/>
      <c r="IF84" s="18"/>
      <c r="IG84" s="18"/>
      <c r="IH84" s="18"/>
      <c r="II84" s="18"/>
      <c r="IJ84" s="18"/>
      <c r="IK84" s="18"/>
      <c r="IL84" s="18"/>
      <c r="IM84" s="18"/>
      <c r="IN84" s="18"/>
      <c r="IO84" s="18"/>
      <c r="IP84" s="18"/>
      <c r="IQ84" s="18"/>
      <c r="IR84" s="18"/>
      <c r="IS84" s="18"/>
      <c r="IT84" s="18"/>
      <c r="IU84" s="18"/>
      <c r="IV84" s="18"/>
      <c r="IW84" s="18"/>
    </row>
    <row r="85" customFormat="false" ht="13.2" hidden="false" customHeight="false" outlineLevel="0" collapsed="false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CF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18"/>
      <c r="HC85" s="18"/>
      <c r="HD85" s="18"/>
      <c r="HE85" s="18"/>
      <c r="HF85" s="18"/>
      <c r="HG85" s="18"/>
      <c r="HH85" s="18"/>
      <c r="HI85" s="18"/>
      <c r="HJ85" s="18"/>
      <c r="HK85" s="18"/>
      <c r="HL85" s="18"/>
      <c r="HM85" s="18"/>
      <c r="HN85" s="18"/>
      <c r="HO85" s="18"/>
      <c r="HP85" s="18"/>
      <c r="HQ85" s="18"/>
      <c r="HR85" s="18"/>
      <c r="HS85" s="18"/>
      <c r="HT85" s="18"/>
      <c r="HU85" s="18"/>
      <c r="HV85" s="18"/>
      <c r="HW85" s="18"/>
      <c r="HX85" s="18"/>
      <c r="HY85" s="18"/>
      <c r="HZ85" s="18"/>
      <c r="IA85" s="18"/>
      <c r="IB85" s="18"/>
      <c r="IC85" s="18"/>
      <c r="ID85" s="18"/>
      <c r="IE85" s="18"/>
      <c r="IF85" s="18"/>
      <c r="IG85" s="18"/>
      <c r="IH85" s="18"/>
      <c r="II85" s="18"/>
      <c r="IJ85" s="18"/>
      <c r="IK85" s="18"/>
      <c r="IL85" s="18"/>
      <c r="IM85" s="18"/>
      <c r="IN85" s="18"/>
      <c r="IO85" s="18"/>
      <c r="IP85" s="18"/>
      <c r="IQ85" s="18"/>
      <c r="IR85" s="18"/>
      <c r="IS85" s="18"/>
      <c r="IT85" s="18"/>
      <c r="IU85" s="18"/>
      <c r="IV85" s="18"/>
      <c r="IW85" s="18"/>
    </row>
    <row r="86" customFormat="false" ht="13.2" hidden="false" customHeight="fals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CF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8"/>
      <c r="HQ86" s="18"/>
      <c r="HR86" s="18"/>
      <c r="HS86" s="18"/>
      <c r="HT86" s="18"/>
      <c r="HU86" s="18"/>
      <c r="HV86" s="18"/>
      <c r="HW86" s="18"/>
      <c r="HX86" s="18"/>
      <c r="HY86" s="18"/>
      <c r="HZ86" s="18"/>
      <c r="IA86" s="18"/>
      <c r="IB86" s="18"/>
      <c r="IC86" s="18"/>
      <c r="ID86" s="18"/>
      <c r="IE86" s="18"/>
      <c r="IF86" s="18"/>
      <c r="IG86" s="18"/>
      <c r="IH86" s="18"/>
      <c r="II86" s="18"/>
      <c r="IJ86" s="18"/>
      <c r="IK86" s="18"/>
      <c r="IL86" s="18"/>
      <c r="IM86" s="18"/>
      <c r="IN86" s="18"/>
      <c r="IO86" s="18"/>
      <c r="IP86" s="18"/>
      <c r="IQ86" s="18"/>
      <c r="IR86" s="18"/>
      <c r="IS86" s="18"/>
      <c r="IT86" s="18"/>
      <c r="IU86" s="18"/>
      <c r="IV86" s="18"/>
      <c r="IW86" s="18"/>
    </row>
    <row r="87" customFormat="false" ht="13.2" hidden="false" customHeight="false" outlineLevel="0" collapsed="false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CF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8"/>
      <c r="HQ87" s="18"/>
      <c r="HR87" s="18"/>
      <c r="HS87" s="18"/>
      <c r="HT87" s="18"/>
      <c r="HU87" s="18"/>
      <c r="HV87" s="18"/>
      <c r="HW87" s="18"/>
      <c r="HX87" s="18"/>
      <c r="HY87" s="18"/>
      <c r="HZ87" s="18"/>
      <c r="IA87" s="18"/>
      <c r="IB87" s="18"/>
      <c r="IC87" s="18"/>
      <c r="ID87" s="18"/>
      <c r="IE87" s="18"/>
      <c r="IF87" s="18"/>
      <c r="IG87" s="18"/>
      <c r="IH87" s="18"/>
      <c r="II87" s="18"/>
      <c r="IJ87" s="18"/>
      <c r="IK87" s="18"/>
      <c r="IL87" s="18"/>
      <c r="IM87" s="18"/>
      <c r="IN87" s="18"/>
      <c r="IO87" s="18"/>
      <c r="IP87" s="18"/>
      <c r="IQ87" s="18"/>
      <c r="IR87" s="18"/>
      <c r="IS87" s="18"/>
      <c r="IT87" s="18"/>
      <c r="IU87" s="18"/>
      <c r="IV87" s="18"/>
      <c r="IW87" s="18"/>
    </row>
    <row r="88" customFormat="false" ht="13.2" hidden="false" customHeight="false" outlineLevel="0" collapsed="false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CF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  <c r="HN88" s="18"/>
      <c r="HO88" s="18"/>
      <c r="HP88" s="18"/>
      <c r="HQ88" s="18"/>
      <c r="HR88" s="18"/>
      <c r="HS88" s="18"/>
      <c r="HT88" s="18"/>
      <c r="HU88" s="18"/>
      <c r="HV88" s="18"/>
      <c r="HW88" s="18"/>
      <c r="HX88" s="18"/>
      <c r="HY88" s="18"/>
      <c r="HZ88" s="18"/>
      <c r="IA88" s="18"/>
      <c r="IB88" s="18"/>
      <c r="IC88" s="18"/>
      <c r="ID88" s="18"/>
      <c r="IE88" s="18"/>
      <c r="IF88" s="18"/>
      <c r="IG88" s="18"/>
      <c r="IH88" s="18"/>
      <c r="II88" s="18"/>
      <c r="IJ88" s="18"/>
      <c r="IK88" s="18"/>
      <c r="IL88" s="18"/>
      <c r="IM88" s="18"/>
      <c r="IN88" s="18"/>
      <c r="IO88" s="18"/>
      <c r="IP88" s="18"/>
      <c r="IQ88" s="18"/>
      <c r="IR88" s="18"/>
      <c r="IS88" s="18"/>
      <c r="IT88" s="18"/>
      <c r="IU88" s="18"/>
      <c r="IV88" s="18"/>
      <c r="IW88" s="18"/>
    </row>
    <row r="89" customFormat="false" ht="13.2" hidden="false" customHeight="false" outlineLevel="0" collapsed="false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CF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18"/>
      <c r="HC89" s="18"/>
      <c r="HD89" s="18"/>
      <c r="HE89" s="18"/>
      <c r="HF89" s="18"/>
      <c r="HG89" s="18"/>
      <c r="HH89" s="18"/>
      <c r="HI89" s="18"/>
      <c r="HJ89" s="18"/>
      <c r="HK89" s="18"/>
      <c r="HL89" s="18"/>
      <c r="HM89" s="18"/>
      <c r="HN89" s="18"/>
      <c r="HO89" s="18"/>
      <c r="HP89" s="18"/>
      <c r="HQ89" s="18"/>
      <c r="HR89" s="18"/>
      <c r="HS89" s="18"/>
      <c r="HT89" s="18"/>
      <c r="HU89" s="18"/>
      <c r="HV89" s="18"/>
      <c r="HW89" s="18"/>
      <c r="HX89" s="18"/>
      <c r="HY89" s="18"/>
      <c r="HZ89" s="18"/>
      <c r="IA89" s="18"/>
      <c r="IB89" s="18"/>
      <c r="IC89" s="18"/>
      <c r="ID89" s="18"/>
      <c r="IE89" s="18"/>
      <c r="IF89" s="18"/>
      <c r="IG89" s="18"/>
      <c r="IH89" s="18"/>
      <c r="II89" s="18"/>
      <c r="IJ89" s="18"/>
      <c r="IK89" s="18"/>
      <c r="IL89" s="18"/>
      <c r="IM89" s="18"/>
      <c r="IN89" s="18"/>
      <c r="IO89" s="18"/>
      <c r="IP89" s="18"/>
      <c r="IQ89" s="18"/>
      <c r="IR89" s="18"/>
      <c r="IS89" s="18"/>
      <c r="IT89" s="18"/>
      <c r="IU89" s="18"/>
      <c r="IV89" s="18"/>
      <c r="IW89" s="18"/>
    </row>
    <row r="90" customFormat="false" ht="13.2" hidden="false" customHeight="false" outlineLevel="0" collapsed="false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CF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18"/>
      <c r="GH90" s="18"/>
      <c r="GI90" s="18"/>
      <c r="GJ90" s="18"/>
      <c r="GK90" s="18"/>
      <c r="GL90" s="18"/>
      <c r="GM90" s="18"/>
      <c r="GN90" s="18"/>
      <c r="GO90" s="18"/>
      <c r="GP90" s="18"/>
      <c r="GQ90" s="18"/>
      <c r="GR90" s="18"/>
      <c r="GS90" s="18"/>
      <c r="GT90" s="18"/>
      <c r="GU90" s="18"/>
      <c r="GV90" s="18"/>
      <c r="GW90" s="18"/>
      <c r="GX90" s="18"/>
      <c r="GY90" s="18"/>
      <c r="GZ90" s="18"/>
      <c r="HA90" s="18"/>
      <c r="HB90" s="18"/>
      <c r="HC90" s="18"/>
      <c r="HD90" s="18"/>
      <c r="HE90" s="18"/>
      <c r="HF90" s="18"/>
      <c r="HG90" s="18"/>
      <c r="HH90" s="18"/>
      <c r="HI90" s="18"/>
      <c r="HJ90" s="18"/>
      <c r="HK90" s="18"/>
      <c r="HL90" s="18"/>
      <c r="HM90" s="18"/>
      <c r="HN90" s="18"/>
      <c r="HO90" s="18"/>
      <c r="HP90" s="18"/>
      <c r="HQ90" s="18"/>
      <c r="HR90" s="18"/>
      <c r="HS90" s="18"/>
      <c r="HT90" s="18"/>
      <c r="HU90" s="18"/>
      <c r="HV90" s="18"/>
      <c r="HW90" s="18"/>
      <c r="HX90" s="18"/>
      <c r="HY90" s="18"/>
      <c r="HZ90" s="18"/>
      <c r="IA90" s="18"/>
      <c r="IB90" s="18"/>
      <c r="IC90" s="18"/>
      <c r="ID90" s="18"/>
      <c r="IE90" s="18"/>
      <c r="IF90" s="18"/>
      <c r="IG90" s="18"/>
      <c r="IH90" s="18"/>
      <c r="II90" s="18"/>
      <c r="IJ90" s="18"/>
      <c r="IK90" s="18"/>
      <c r="IL90" s="18"/>
      <c r="IM90" s="18"/>
      <c r="IN90" s="18"/>
      <c r="IO90" s="18"/>
      <c r="IP90" s="18"/>
      <c r="IQ90" s="18"/>
      <c r="IR90" s="18"/>
      <c r="IS90" s="18"/>
      <c r="IT90" s="18"/>
      <c r="IU90" s="18"/>
      <c r="IV90" s="18"/>
      <c r="IW90" s="18"/>
    </row>
    <row r="91" customFormat="false" ht="13.2" hidden="false" customHeight="false" outlineLevel="0" collapsed="false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CF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18"/>
      <c r="GH91" s="18"/>
      <c r="GI91" s="18"/>
      <c r="GJ91" s="18"/>
      <c r="GK91" s="18"/>
      <c r="GL91" s="18"/>
      <c r="GM91" s="18"/>
      <c r="GN91" s="18"/>
      <c r="GO91" s="18"/>
      <c r="GP91" s="18"/>
      <c r="GQ91" s="18"/>
      <c r="GR91" s="18"/>
      <c r="GS91" s="18"/>
      <c r="GT91" s="18"/>
      <c r="GU91" s="18"/>
      <c r="GV91" s="18"/>
      <c r="GW91" s="18"/>
      <c r="GX91" s="18"/>
      <c r="GY91" s="18"/>
      <c r="GZ91" s="18"/>
      <c r="HA91" s="18"/>
      <c r="HB91" s="18"/>
      <c r="HC91" s="18"/>
      <c r="HD91" s="18"/>
      <c r="HE91" s="18"/>
      <c r="HF91" s="18"/>
      <c r="HG91" s="18"/>
      <c r="HH91" s="18"/>
      <c r="HI91" s="18"/>
      <c r="HJ91" s="18"/>
      <c r="HK91" s="18"/>
      <c r="HL91" s="18"/>
      <c r="HM91" s="18"/>
      <c r="HN91" s="18"/>
      <c r="HO91" s="18"/>
      <c r="HP91" s="18"/>
      <c r="HQ91" s="18"/>
      <c r="HR91" s="18"/>
      <c r="HS91" s="18"/>
      <c r="HT91" s="18"/>
      <c r="HU91" s="18"/>
      <c r="HV91" s="18"/>
      <c r="HW91" s="18"/>
      <c r="HX91" s="18"/>
      <c r="HY91" s="18"/>
      <c r="HZ91" s="18"/>
      <c r="IA91" s="18"/>
      <c r="IB91" s="18"/>
      <c r="IC91" s="18"/>
      <c r="ID91" s="18"/>
      <c r="IE91" s="18"/>
      <c r="IF91" s="18"/>
      <c r="IG91" s="18"/>
      <c r="IH91" s="18"/>
      <c r="II91" s="18"/>
      <c r="IJ91" s="18"/>
      <c r="IK91" s="18"/>
      <c r="IL91" s="18"/>
      <c r="IM91" s="18"/>
      <c r="IN91" s="18"/>
      <c r="IO91" s="18"/>
      <c r="IP91" s="18"/>
      <c r="IQ91" s="18"/>
      <c r="IR91" s="18"/>
      <c r="IS91" s="18"/>
      <c r="IT91" s="18"/>
      <c r="IU91" s="18"/>
      <c r="IV91" s="18"/>
      <c r="IW91" s="18"/>
    </row>
    <row r="92" customFormat="false" ht="13.2" hidden="false" customHeight="false" outlineLevel="0" collapsed="false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CF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18"/>
      <c r="HC92" s="18"/>
      <c r="HD92" s="18"/>
      <c r="HE92" s="18"/>
      <c r="HF92" s="18"/>
      <c r="HG92" s="18"/>
      <c r="HH92" s="18"/>
      <c r="HI92" s="18"/>
      <c r="HJ92" s="18"/>
      <c r="HK92" s="18"/>
      <c r="HL92" s="18"/>
      <c r="HM92" s="18"/>
      <c r="HN92" s="18"/>
      <c r="HO92" s="18"/>
      <c r="HP92" s="18"/>
      <c r="HQ92" s="18"/>
      <c r="HR92" s="18"/>
      <c r="HS92" s="18"/>
      <c r="HT92" s="18"/>
      <c r="HU92" s="18"/>
      <c r="HV92" s="18"/>
      <c r="HW92" s="18"/>
      <c r="HX92" s="18"/>
      <c r="HY92" s="18"/>
      <c r="HZ92" s="18"/>
      <c r="IA92" s="18"/>
      <c r="IB92" s="18"/>
      <c r="IC92" s="18"/>
      <c r="ID92" s="18"/>
      <c r="IE92" s="18"/>
      <c r="IF92" s="18"/>
      <c r="IG92" s="18"/>
      <c r="IH92" s="18"/>
      <c r="II92" s="18"/>
      <c r="IJ92" s="18"/>
      <c r="IK92" s="18"/>
      <c r="IL92" s="18"/>
      <c r="IM92" s="18"/>
      <c r="IN92" s="18"/>
      <c r="IO92" s="18"/>
      <c r="IP92" s="18"/>
      <c r="IQ92" s="18"/>
      <c r="IR92" s="18"/>
      <c r="IS92" s="18"/>
      <c r="IT92" s="18"/>
      <c r="IU92" s="18"/>
      <c r="IV92" s="18"/>
      <c r="IW92" s="18"/>
    </row>
    <row r="93" customFormat="false" ht="13.2" hidden="false" customHeight="false" outlineLevel="0" collapsed="false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CF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18"/>
      <c r="GW93" s="18"/>
      <c r="GX93" s="18"/>
      <c r="GY93" s="18"/>
      <c r="GZ93" s="18"/>
      <c r="HA93" s="18"/>
      <c r="HB93" s="18"/>
      <c r="HC93" s="18"/>
      <c r="HD93" s="18"/>
      <c r="HE93" s="18"/>
      <c r="HF93" s="18"/>
      <c r="HG93" s="18"/>
      <c r="HH93" s="18"/>
      <c r="HI93" s="18"/>
      <c r="HJ93" s="18"/>
      <c r="HK93" s="18"/>
      <c r="HL93" s="18"/>
      <c r="HM93" s="18"/>
      <c r="HN93" s="18"/>
      <c r="HO93" s="18"/>
      <c r="HP93" s="18"/>
      <c r="HQ93" s="18"/>
      <c r="HR93" s="18"/>
      <c r="HS93" s="18"/>
      <c r="HT93" s="18"/>
      <c r="HU93" s="18"/>
      <c r="HV93" s="18"/>
      <c r="HW93" s="18"/>
      <c r="HX93" s="18"/>
      <c r="HY93" s="18"/>
      <c r="HZ93" s="18"/>
      <c r="IA93" s="18"/>
      <c r="IB93" s="18"/>
      <c r="IC93" s="18"/>
      <c r="ID93" s="18"/>
      <c r="IE93" s="18"/>
      <c r="IF93" s="18"/>
      <c r="IG93" s="18"/>
      <c r="IH93" s="18"/>
      <c r="II93" s="18"/>
      <c r="IJ93" s="18"/>
      <c r="IK93" s="18"/>
      <c r="IL93" s="18"/>
      <c r="IM93" s="18"/>
      <c r="IN93" s="18"/>
      <c r="IO93" s="18"/>
      <c r="IP93" s="18"/>
      <c r="IQ93" s="18"/>
      <c r="IR93" s="18"/>
      <c r="IS93" s="18"/>
      <c r="IT93" s="18"/>
      <c r="IU93" s="18"/>
      <c r="IV93" s="18"/>
      <c r="IW93" s="18"/>
    </row>
    <row r="94" customFormat="false" ht="13.2" hidden="false" customHeight="false" outlineLevel="0" collapsed="false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CF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8"/>
      <c r="HQ94" s="18"/>
      <c r="HR94" s="18"/>
      <c r="HS94" s="18"/>
      <c r="HT94" s="18"/>
      <c r="HU94" s="18"/>
      <c r="HV94" s="18"/>
      <c r="HW94" s="18"/>
      <c r="HX94" s="18"/>
      <c r="HY94" s="18"/>
      <c r="HZ94" s="18"/>
      <c r="IA94" s="18"/>
      <c r="IB94" s="18"/>
      <c r="IC94" s="18"/>
      <c r="ID94" s="18"/>
      <c r="IE94" s="18"/>
      <c r="IF94" s="18"/>
      <c r="IG94" s="18"/>
      <c r="IH94" s="18"/>
      <c r="II94" s="18"/>
      <c r="IJ94" s="18"/>
      <c r="IK94" s="18"/>
      <c r="IL94" s="18"/>
      <c r="IM94" s="18"/>
      <c r="IN94" s="18"/>
      <c r="IO94" s="18"/>
      <c r="IP94" s="18"/>
      <c r="IQ94" s="18"/>
      <c r="IR94" s="18"/>
      <c r="IS94" s="18"/>
      <c r="IT94" s="18"/>
      <c r="IU94" s="18"/>
      <c r="IV94" s="18"/>
      <c r="IW94" s="18"/>
    </row>
    <row r="95" customFormat="false" ht="13.2" hidden="false" customHeight="false" outlineLevel="0" collapsed="false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CF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18"/>
      <c r="GH95" s="18"/>
      <c r="GI95" s="18"/>
      <c r="GJ95" s="18"/>
      <c r="GK95" s="18"/>
      <c r="GL95" s="18"/>
      <c r="GM95" s="18"/>
      <c r="GN95" s="18"/>
      <c r="GO95" s="18"/>
      <c r="GP95" s="18"/>
      <c r="GQ95" s="18"/>
      <c r="GR95" s="18"/>
      <c r="GS95" s="18"/>
      <c r="GT95" s="18"/>
      <c r="GU95" s="18"/>
      <c r="GV95" s="18"/>
      <c r="GW95" s="18"/>
      <c r="GX95" s="18"/>
      <c r="GY95" s="18"/>
      <c r="GZ95" s="18"/>
      <c r="HA95" s="18"/>
      <c r="HB95" s="18"/>
      <c r="HC95" s="18"/>
      <c r="HD95" s="18"/>
      <c r="HE95" s="18"/>
      <c r="HF95" s="18"/>
      <c r="HG95" s="18"/>
      <c r="HH95" s="18"/>
      <c r="HI95" s="18"/>
      <c r="HJ95" s="18"/>
      <c r="HK95" s="18"/>
      <c r="HL95" s="18"/>
      <c r="HM95" s="18"/>
      <c r="HN95" s="18"/>
      <c r="HO95" s="18"/>
      <c r="HP95" s="18"/>
      <c r="HQ95" s="18"/>
      <c r="HR95" s="18"/>
      <c r="HS95" s="18"/>
      <c r="HT95" s="18"/>
      <c r="HU95" s="18"/>
      <c r="HV95" s="18"/>
      <c r="HW95" s="18"/>
      <c r="HX95" s="18"/>
      <c r="HY95" s="18"/>
      <c r="HZ95" s="18"/>
      <c r="IA95" s="18"/>
      <c r="IB95" s="18"/>
      <c r="IC95" s="18"/>
      <c r="ID95" s="18"/>
      <c r="IE95" s="18"/>
      <c r="IF95" s="18"/>
      <c r="IG95" s="18"/>
      <c r="IH95" s="18"/>
      <c r="II95" s="18"/>
      <c r="IJ95" s="18"/>
      <c r="IK95" s="18"/>
      <c r="IL95" s="18"/>
      <c r="IM95" s="18"/>
      <c r="IN95" s="18"/>
      <c r="IO95" s="18"/>
      <c r="IP95" s="18"/>
      <c r="IQ95" s="18"/>
      <c r="IR95" s="18"/>
      <c r="IS95" s="18"/>
      <c r="IT95" s="18"/>
      <c r="IU95" s="18"/>
      <c r="IV95" s="18"/>
      <c r="IW95" s="18"/>
    </row>
    <row r="96" customFormat="false" ht="13.2" hidden="false" customHeight="false" outlineLevel="0" collapsed="false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CF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18"/>
      <c r="GO96" s="18"/>
      <c r="GP96" s="18"/>
      <c r="GQ96" s="18"/>
      <c r="GR96" s="18"/>
      <c r="GS96" s="18"/>
      <c r="GT96" s="18"/>
      <c r="GU96" s="18"/>
      <c r="GV96" s="18"/>
      <c r="GW96" s="18"/>
      <c r="GX96" s="18"/>
      <c r="GY96" s="18"/>
      <c r="GZ96" s="18"/>
      <c r="HA96" s="18"/>
      <c r="HB96" s="18"/>
      <c r="HC96" s="18"/>
      <c r="HD96" s="18"/>
      <c r="HE96" s="18"/>
      <c r="HF96" s="18"/>
      <c r="HG96" s="18"/>
      <c r="HH96" s="18"/>
      <c r="HI96" s="18"/>
      <c r="HJ96" s="18"/>
      <c r="HK96" s="18"/>
      <c r="HL96" s="18"/>
      <c r="HM96" s="18"/>
      <c r="HN96" s="18"/>
      <c r="HO96" s="18"/>
      <c r="HP96" s="18"/>
      <c r="HQ96" s="18"/>
      <c r="HR96" s="18"/>
      <c r="HS96" s="18"/>
      <c r="HT96" s="18"/>
      <c r="HU96" s="18"/>
      <c r="HV96" s="18"/>
      <c r="HW96" s="18"/>
      <c r="HX96" s="18"/>
      <c r="HY96" s="18"/>
      <c r="HZ96" s="18"/>
      <c r="IA96" s="18"/>
      <c r="IB96" s="18"/>
      <c r="IC96" s="18"/>
      <c r="ID96" s="18"/>
      <c r="IE96" s="18"/>
      <c r="IF96" s="18"/>
      <c r="IG96" s="18"/>
      <c r="IH96" s="18"/>
      <c r="II96" s="18"/>
      <c r="IJ96" s="18"/>
      <c r="IK96" s="18"/>
      <c r="IL96" s="18"/>
      <c r="IM96" s="18"/>
      <c r="IN96" s="18"/>
      <c r="IO96" s="18"/>
      <c r="IP96" s="18"/>
      <c r="IQ96" s="18"/>
      <c r="IR96" s="18"/>
      <c r="IS96" s="18"/>
      <c r="IT96" s="18"/>
      <c r="IU96" s="18"/>
      <c r="IV96" s="18"/>
      <c r="IW96" s="18"/>
    </row>
    <row r="97" customFormat="false" ht="13.2" hidden="false" customHeight="false" outlineLevel="0" collapsed="false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CF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18"/>
      <c r="GO97" s="18"/>
      <c r="GP97" s="18"/>
      <c r="GQ97" s="18"/>
      <c r="GR97" s="18"/>
      <c r="GS97" s="18"/>
      <c r="GT97" s="18"/>
      <c r="GU97" s="18"/>
      <c r="GV97" s="18"/>
      <c r="GW97" s="18"/>
      <c r="GX97" s="18"/>
      <c r="GY97" s="18"/>
      <c r="GZ97" s="18"/>
      <c r="HA97" s="18"/>
      <c r="HB97" s="18"/>
      <c r="HC97" s="18"/>
      <c r="HD97" s="18"/>
      <c r="HE97" s="18"/>
      <c r="HF97" s="18"/>
      <c r="HG97" s="18"/>
      <c r="HH97" s="18"/>
      <c r="HI97" s="18"/>
      <c r="HJ97" s="18"/>
      <c r="HK97" s="18"/>
      <c r="HL97" s="18"/>
      <c r="HM97" s="18"/>
      <c r="HN97" s="18"/>
      <c r="HO97" s="18"/>
      <c r="HP97" s="18"/>
      <c r="HQ97" s="18"/>
      <c r="HR97" s="18"/>
      <c r="HS97" s="18"/>
      <c r="HT97" s="18"/>
      <c r="HU97" s="18"/>
      <c r="HV97" s="18"/>
      <c r="HW97" s="18"/>
      <c r="HX97" s="18"/>
      <c r="HY97" s="18"/>
      <c r="HZ97" s="18"/>
      <c r="IA97" s="18"/>
      <c r="IB97" s="18"/>
      <c r="IC97" s="18"/>
      <c r="ID97" s="18"/>
      <c r="IE97" s="18"/>
      <c r="IF97" s="18"/>
      <c r="IG97" s="18"/>
      <c r="IH97" s="18"/>
      <c r="II97" s="18"/>
      <c r="IJ97" s="18"/>
      <c r="IK97" s="18"/>
      <c r="IL97" s="18"/>
      <c r="IM97" s="18"/>
      <c r="IN97" s="18"/>
      <c r="IO97" s="18"/>
      <c r="IP97" s="18"/>
      <c r="IQ97" s="18"/>
      <c r="IR97" s="18"/>
      <c r="IS97" s="18"/>
      <c r="IT97" s="18"/>
      <c r="IU97" s="18"/>
      <c r="IV97" s="18"/>
      <c r="IW97" s="18"/>
    </row>
    <row r="98" customFormat="false" ht="13.2" hidden="false" customHeight="false" outlineLevel="0" collapsed="false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CF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18"/>
      <c r="HC98" s="18"/>
      <c r="HD98" s="18"/>
      <c r="HE98" s="18"/>
      <c r="HF98" s="18"/>
      <c r="HG98" s="18"/>
      <c r="HH98" s="18"/>
      <c r="HI98" s="18"/>
      <c r="HJ98" s="18"/>
      <c r="HK98" s="18"/>
      <c r="HL98" s="18"/>
      <c r="HM98" s="18"/>
      <c r="HN98" s="18"/>
      <c r="HO98" s="18"/>
      <c r="HP98" s="18"/>
      <c r="HQ98" s="18"/>
      <c r="HR98" s="18"/>
      <c r="HS98" s="18"/>
      <c r="HT98" s="18"/>
      <c r="HU98" s="18"/>
      <c r="HV98" s="18"/>
      <c r="HW98" s="18"/>
      <c r="HX98" s="18"/>
      <c r="HY98" s="18"/>
      <c r="HZ98" s="18"/>
      <c r="IA98" s="18"/>
      <c r="IB98" s="18"/>
      <c r="IC98" s="18"/>
      <c r="ID98" s="18"/>
      <c r="IE98" s="18"/>
      <c r="IF98" s="18"/>
      <c r="IG98" s="18"/>
      <c r="IH98" s="18"/>
      <c r="II98" s="18"/>
      <c r="IJ98" s="18"/>
      <c r="IK98" s="18"/>
      <c r="IL98" s="18"/>
      <c r="IM98" s="18"/>
      <c r="IN98" s="18"/>
      <c r="IO98" s="18"/>
      <c r="IP98" s="18"/>
      <c r="IQ98" s="18"/>
      <c r="IR98" s="18"/>
      <c r="IS98" s="18"/>
      <c r="IT98" s="18"/>
      <c r="IU98" s="18"/>
      <c r="IV98" s="18"/>
      <c r="IW98" s="18"/>
    </row>
    <row r="99" customFormat="false" ht="13.2" hidden="false" customHeight="false" outlineLevel="0" collapsed="false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CF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18"/>
      <c r="HC99" s="18"/>
      <c r="HD99" s="18"/>
      <c r="HE99" s="18"/>
      <c r="HF99" s="18"/>
      <c r="HG99" s="18"/>
      <c r="HH99" s="18"/>
      <c r="HI99" s="18"/>
      <c r="HJ99" s="18"/>
      <c r="HK99" s="18"/>
      <c r="HL99" s="18"/>
      <c r="HM99" s="18"/>
      <c r="HN99" s="18"/>
      <c r="HO99" s="18"/>
      <c r="HP99" s="18"/>
      <c r="HQ99" s="18"/>
      <c r="HR99" s="18"/>
      <c r="HS99" s="18"/>
      <c r="HT99" s="18"/>
      <c r="HU99" s="18"/>
      <c r="HV99" s="18"/>
      <c r="HW99" s="18"/>
      <c r="HX99" s="18"/>
      <c r="HY99" s="18"/>
      <c r="HZ99" s="18"/>
      <c r="IA99" s="18"/>
      <c r="IB99" s="18"/>
      <c r="IC99" s="18"/>
      <c r="ID99" s="18"/>
      <c r="IE99" s="18"/>
      <c r="IF99" s="18"/>
      <c r="IG99" s="18"/>
      <c r="IH99" s="18"/>
      <c r="II99" s="18"/>
      <c r="IJ99" s="18"/>
      <c r="IK99" s="18"/>
      <c r="IL99" s="18"/>
      <c r="IM99" s="18"/>
      <c r="IN99" s="18"/>
      <c r="IO99" s="18"/>
      <c r="IP99" s="18"/>
      <c r="IQ99" s="18"/>
      <c r="IR99" s="18"/>
      <c r="IS99" s="18"/>
      <c r="IT99" s="18"/>
      <c r="IU99" s="18"/>
      <c r="IV99" s="18"/>
      <c r="IW99" s="18"/>
    </row>
    <row r="100" customFormat="false" ht="13.2" hidden="false" customHeight="false" outlineLevel="0" collapsed="false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CF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  <c r="GC100" s="18"/>
      <c r="GD100" s="18"/>
      <c r="GE100" s="18"/>
      <c r="GF100" s="18"/>
      <c r="GG100" s="18"/>
      <c r="GH100" s="18"/>
      <c r="GI100" s="18"/>
      <c r="GJ100" s="18"/>
      <c r="GK100" s="18"/>
      <c r="GL100" s="18"/>
      <c r="GM100" s="18"/>
      <c r="GN100" s="18"/>
      <c r="GO100" s="18"/>
      <c r="GP100" s="18"/>
      <c r="GQ100" s="18"/>
      <c r="GR100" s="18"/>
      <c r="GS100" s="18"/>
      <c r="GT100" s="18"/>
      <c r="GU100" s="18"/>
      <c r="GV100" s="18"/>
      <c r="GW100" s="18"/>
      <c r="GX100" s="18"/>
      <c r="GY100" s="18"/>
      <c r="GZ100" s="18"/>
      <c r="HA100" s="18"/>
      <c r="HB100" s="18"/>
      <c r="HC100" s="18"/>
      <c r="HD100" s="18"/>
      <c r="HE100" s="18"/>
      <c r="HF100" s="18"/>
      <c r="HG100" s="18"/>
      <c r="HH100" s="18"/>
      <c r="HI100" s="18"/>
      <c r="HJ100" s="18"/>
      <c r="HK100" s="18"/>
      <c r="HL100" s="18"/>
      <c r="HM100" s="18"/>
      <c r="HN100" s="18"/>
      <c r="HO100" s="18"/>
      <c r="HP100" s="18"/>
      <c r="HQ100" s="18"/>
      <c r="HR100" s="18"/>
      <c r="HS100" s="18"/>
      <c r="HT100" s="18"/>
      <c r="HU100" s="18"/>
      <c r="HV100" s="18"/>
      <c r="HW100" s="18"/>
      <c r="HX100" s="18"/>
      <c r="HY100" s="18"/>
      <c r="HZ100" s="18"/>
      <c r="IA100" s="18"/>
      <c r="IB100" s="18"/>
      <c r="IC100" s="18"/>
      <c r="ID100" s="18"/>
      <c r="IE100" s="18"/>
      <c r="IF100" s="18"/>
      <c r="IG100" s="18"/>
      <c r="IH100" s="18"/>
      <c r="II100" s="18"/>
      <c r="IJ100" s="18"/>
      <c r="IK100" s="18"/>
      <c r="IL100" s="18"/>
      <c r="IM100" s="18"/>
      <c r="IN100" s="18"/>
      <c r="IO100" s="18"/>
      <c r="IP100" s="18"/>
      <c r="IQ100" s="18"/>
      <c r="IR100" s="18"/>
      <c r="IS100" s="18"/>
      <c r="IT100" s="18"/>
      <c r="IU100" s="18"/>
      <c r="IV100" s="18"/>
      <c r="IW100" s="18"/>
    </row>
    <row r="101" customFormat="false" ht="13.2" hidden="false" customHeight="false" outlineLevel="0" collapsed="false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CF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  <c r="GX101" s="18"/>
      <c r="GY101" s="18"/>
      <c r="GZ101" s="18"/>
      <c r="HA101" s="18"/>
      <c r="HB101" s="18"/>
      <c r="HC101" s="18"/>
      <c r="HD101" s="18"/>
      <c r="HE101" s="18"/>
      <c r="HF101" s="18"/>
      <c r="HG101" s="18"/>
      <c r="HH101" s="18"/>
      <c r="HI101" s="18"/>
      <c r="HJ101" s="18"/>
      <c r="HK101" s="18"/>
      <c r="HL101" s="18"/>
      <c r="HM101" s="18"/>
      <c r="HN101" s="18"/>
      <c r="HO101" s="18"/>
      <c r="HP101" s="18"/>
      <c r="HQ101" s="18"/>
      <c r="HR101" s="18"/>
      <c r="HS101" s="18"/>
      <c r="HT101" s="18"/>
      <c r="HU101" s="18"/>
      <c r="HV101" s="18"/>
      <c r="HW101" s="18"/>
      <c r="HX101" s="18"/>
      <c r="HY101" s="18"/>
      <c r="HZ101" s="18"/>
      <c r="IA101" s="18"/>
      <c r="IB101" s="18"/>
      <c r="IC101" s="18"/>
      <c r="ID101" s="18"/>
      <c r="IE101" s="18"/>
      <c r="IF101" s="18"/>
      <c r="IG101" s="18"/>
      <c r="IH101" s="18"/>
      <c r="II101" s="18"/>
      <c r="IJ101" s="18"/>
      <c r="IK101" s="18"/>
      <c r="IL101" s="18"/>
      <c r="IM101" s="18"/>
      <c r="IN101" s="18"/>
      <c r="IO101" s="18"/>
      <c r="IP101" s="18"/>
      <c r="IQ101" s="18"/>
      <c r="IR101" s="18"/>
      <c r="IS101" s="18"/>
      <c r="IT101" s="18"/>
      <c r="IU101" s="18"/>
      <c r="IV101" s="18"/>
      <c r="IW101" s="18"/>
    </row>
    <row r="102" customFormat="false" ht="13.2" hidden="false" customHeight="false" outlineLevel="0" collapsed="false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CF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18"/>
      <c r="HC102" s="18"/>
      <c r="HD102" s="18"/>
      <c r="HE102" s="18"/>
      <c r="HF102" s="18"/>
      <c r="HG102" s="18"/>
      <c r="HH102" s="18"/>
      <c r="HI102" s="18"/>
      <c r="HJ102" s="18"/>
      <c r="HK102" s="18"/>
      <c r="HL102" s="18"/>
      <c r="HM102" s="18"/>
      <c r="HN102" s="18"/>
      <c r="HO102" s="18"/>
      <c r="HP102" s="18"/>
      <c r="HQ102" s="18"/>
      <c r="HR102" s="18"/>
      <c r="HS102" s="18"/>
      <c r="HT102" s="18"/>
      <c r="HU102" s="18"/>
      <c r="HV102" s="18"/>
      <c r="HW102" s="18"/>
      <c r="HX102" s="18"/>
      <c r="HY102" s="18"/>
      <c r="HZ102" s="18"/>
      <c r="IA102" s="18"/>
      <c r="IB102" s="18"/>
      <c r="IC102" s="18"/>
      <c r="ID102" s="18"/>
      <c r="IE102" s="18"/>
      <c r="IF102" s="18"/>
      <c r="IG102" s="18"/>
      <c r="IH102" s="18"/>
      <c r="II102" s="18"/>
      <c r="IJ102" s="18"/>
      <c r="IK102" s="18"/>
      <c r="IL102" s="18"/>
      <c r="IM102" s="18"/>
      <c r="IN102" s="18"/>
      <c r="IO102" s="18"/>
      <c r="IP102" s="18"/>
      <c r="IQ102" s="18"/>
      <c r="IR102" s="18"/>
      <c r="IS102" s="18"/>
      <c r="IT102" s="18"/>
      <c r="IU102" s="18"/>
      <c r="IV102" s="18"/>
      <c r="IW102" s="18"/>
    </row>
    <row r="103" customFormat="false" ht="13.2" hidden="false" customHeight="false" outlineLevel="0" collapsed="false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CF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  <c r="FR103" s="18"/>
      <c r="FS103" s="18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8"/>
      <c r="HQ103" s="18"/>
      <c r="HR103" s="18"/>
      <c r="HS103" s="18"/>
      <c r="HT103" s="18"/>
      <c r="HU103" s="18"/>
      <c r="HV103" s="18"/>
      <c r="HW103" s="18"/>
      <c r="HX103" s="18"/>
      <c r="HY103" s="18"/>
      <c r="HZ103" s="18"/>
      <c r="IA103" s="18"/>
      <c r="IB103" s="18"/>
      <c r="IC103" s="18"/>
      <c r="ID103" s="18"/>
      <c r="IE103" s="18"/>
      <c r="IF103" s="18"/>
      <c r="IG103" s="18"/>
      <c r="IH103" s="18"/>
      <c r="II103" s="18"/>
      <c r="IJ103" s="18"/>
      <c r="IK103" s="18"/>
      <c r="IL103" s="18"/>
      <c r="IM103" s="18"/>
      <c r="IN103" s="18"/>
      <c r="IO103" s="18"/>
      <c r="IP103" s="18"/>
      <c r="IQ103" s="18"/>
      <c r="IR103" s="18"/>
      <c r="IS103" s="18"/>
      <c r="IT103" s="18"/>
      <c r="IU103" s="18"/>
      <c r="IV103" s="18"/>
      <c r="IW103" s="18"/>
    </row>
    <row r="104" customFormat="false" ht="13.2" hidden="false" customHeight="false" outlineLevel="0" collapsed="false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CF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  <c r="FR104" s="18"/>
      <c r="FS104" s="18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  <c r="GX104" s="18"/>
      <c r="GY104" s="18"/>
      <c r="GZ104" s="18"/>
      <c r="HA104" s="18"/>
      <c r="HB104" s="18"/>
      <c r="HC104" s="18"/>
      <c r="HD104" s="18"/>
      <c r="HE104" s="18"/>
      <c r="HF104" s="18"/>
      <c r="HG104" s="18"/>
      <c r="HH104" s="18"/>
      <c r="HI104" s="18"/>
      <c r="HJ104" s="18"/>
      <c r="HK104" s="18"/>
      <c r="HL104" s="18"/>
      <c r="HM104" s="18"/>
      <c r="HN104" s="18"/>
      <c r="HO104" s="18"/>
      <c r="HP104" s="18"/>
      <c r="HQ104" s="18"/>
      <c r="HR104" s="18"/>
      <c r="HS104" s="18"/>
      <c r="HT104" s="18"/>
      <c r="HU104" s="18"/>
      <c r="HV104" s="18"/>
      <c r="HW104" s="18"/>
      <c r="HX104" s="18"/>
      <c r="HY104" s="18"/>
      <c r="HZ104" s="18"/>
      <c r="IA104" s="18"/>
      <c r="IB104" s="18"/>
      <c r="IC104" s="18"/>
      <c r="ID104" s="18"/>
      <c r="IE104" s="18"/>
      <c r="IF104" s="18"/>
      <c r="IG104" s="18"/>
      <c r="IH104" s="18"/>
      <c r="II104" s="18"/>
      <c r="IJ104" s="18"/>
      <c r="IK104" s="18"/>
      <c r="IL104" s="18"/>
      <c r="IM104" s="18"/>
      <c r="IN104" s="18"/>
      <c r="IO104" s="18"/>
      <c r="IP104" s="18"/>
      <c r="IQ104" s="18"/>
      <c r="IR104" s="18"/>
      <c r="IS104" s="18"/>
      <c r="IT104" s="18"/>
      <c r="IU104" s="18"/>
      <c r="IV104" s="18"/>
      <c r="IW104" s="18"/>
    </row>
    <row r="105" customFormat="false" ht="13.2" hidden="false" customHeight="false" outlineLevel="0" collapsed="false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CF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  <c r="FR105" s="18"/>
      <c r="FS105" s="18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18"/>
      <c r="GH105" s="18"/>
      <c r="GI105" s="18"/>
      <c r="GJ105" s="18"/>
      <c r="GK105" s="18"/>
      <c r="GL105" s="18"/>
      <c r="GM105" s="18"/>
      <c r="GN105" s="18"/>
      <c r="GO105" s="18"/>
      <c r="GP105" s="18"/>
      <c r="GQ105" s="18"/>
      <c r="GR105" s="18"/>
      <c r="GS105" s="18"/>
      <c r="GT105" s="18"/>
      <c r="GU105" s="18"/>
      <c r="GV105" s="18"/>
      <c r="GW105" s="18"/>
      <c r="GX105" s="18"/>
      <c r="GY105" s="18"/>
      <c r="GZ105" s="18"/>
      <c r="HA105" s="18"/>
      <c r="HB105" s="18"/>
      <c r="HC105" s="18"/>
      <c r="HD105" s="18"/>
      <c r="HE105" s="18"/>
      <c r="HF105" s="18"/>
      <c r="HG105" s="18"/>
      <c r="HH105" s="18"/>
      <c r="HI105" s="18"/>
      <c r="HJ105" s="18"/>
      <c r="HK105" s="18"/>
      <c r="HL105" s="18"/>
      <c r="HM105" s="18"/>
      <c r="HN105" s="18"/>
      <c r="HO105" s="18"/>
      <c r="HP105" s="18"/>
      <c r="HQ105" s="18"/>
      <c r="HR105" s="18"/>
      <c r="HS105" s="18"/>
      <c r="HT105" s="18"/>
      <c r="HU105" s="18"/>
      <c r="HV105" s="18"/>
      <c r="HW105" s="18"/>
      <c r="HX105" s="18"/>
      <c r="HY105" s="18"/>
      <c r="HZ105" s="18"/>
      <c r="IA105" s="18"/>
      <c r="IB105" s="18"/>
      <c r="IC105" s="18"/>
      <c r="ID105" s="18"/>
      <c r="IE105" s="18"/>
      <c r="IF105" s="18"/>
      <c r="IG105" s="18"/>
      <c r="IH105" s="18"/>
      <c r="II105" s="18"/>
      <c r="IJ105" s="18"/>
      <c r="IK105" s="18"/>
      <c r="IL105" s="18"/>
      <c r="IM105" s="18"/>
      <c r="IN105" s="18"/>
      <c r="IO105" s="18"/>
      <c r="IP105" s="18"/>
      <c r="IQ105" s="18"/>
      <c r="IR105" s="18"/>
      <c r="IS105" s="18"/>
      <c r="IT105" s="18"/>
      <c r="IU105" s="18"/>
      <c r="IV105" s="18"/>
      <c r="IW105" s="18"/>
    </row>
    <row r="106" customFormat="false" ht="13.2" hidden="false" customHeight="false" outlineLevel="0" collapsed="false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CF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18"/>
      <c r="GO106" s="18"/>
      <c r="GP106" s="18"/>
      <c r="GQ106" s="18"/>
      <c r="GR106" s="18"/>
      <c r="GS106" s="18"/>
      <c r="GT106" s="18"/>
      <c r="GU106" s="18"/>
      <c r="GV106" s="18"/>
      <c r="GW106" s="18"/>
      <c r="GX106" s="18"/>
      <c r="GY106" s="18"/>
      <c r="GZ106" s="18"/>
      <c r="HA106" s="18"/>
      <c r="HB106" s="18"/>
      <c r="HC106" s="18"/>
      <c r="HD106" s="18"/>
      <c r="HE106" s="18"/>
      <c r="HF106" s="18"/>
      <c r="HG106" s="18"/>
      <c r="HH106" s="18"/>
      <c r="HI106" s="18"/>
      <c r="HJ106" s="18"/>
      <c r="HK106" s="18"/>
      <c r="HL106" s="18"/>
      <c r="HM106" s="18"/>
      <c r="HN106" s="18"/>
      <c r="HO106" s="18"/>
      <c r="HP106" s="18"/>
      <c r="HQ106" s="18"/>
      <c r="HR106" s="18"/>
      <c r="HS106" s="18"/>
      <c r="HT106" s="18"/>
      <c r="HU106" s="18"/>
      <c r="HV106" s="18"/>
      <c r="HW106" s="18"/>
      <c r="HX106" s="18"/>
      <c r="HY106" s="18"/>
      <c r="HZ106" s="18"/>
      <c r="IA106" s="18"/>
      <c r="IB106" s="18"/>
      <c r="IC106" s="18"/>
      <c r="ID106" s="18"/>
      <c r="IE106" s="18"/>
      <c r="IF106" s="18"/>
      <c r="IG106" s="18"/>
      <c r="IH106" s="18"/>
      <c r="II106" s="18"/>
      <c r="IJ106" s="18"/>
      <c r="IK106" s="18"/>
      <c r="IL106" s="18"/>
      <c r="IM106" s="18"/>
      <c r="IN106" s="18"/>
      <c r="IO106" s="18"/>
      <c r="IP106" s="18"/>
      <c r="IQ106" s="18"/>
      <c r="IR106" s="18"/>
      <c r="IS106" s="18"/>
      <c r="IT106" s="18"/>
      <c r="IU106" s="18"/>
      <c r="IV106" s="18"/>
      <c r="IW106" s="18"/>
    </row>
    <row r="107" customFormat="false" ht="13.2" hidden="false" customHeight="false" outlineLevel="0" collapsed="false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CF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  <c r="FR107" s="18"/>
      <c r="FS107" s="18"/>
      <c r="FT107" s="18"/>
      <c r="FU107" s="18"/>
      <c r="FV107" s="18"/>
      <c r="FW107" s="18"/>
      <c r="FX107" s="18"/>
      <c r="FY107" s="18"/>
      <c r="FZ107" s="18"/>
      <c r="GA107" s="18"/>
      <c r="GB107" s="18"/>
      <c r="GC107" s="18"/>
      <c r="GD107" s="18"/>
      <c r="GE107" s="18"/>
      <c r="GF107" s="18"/>
      <c r="GG107" s="18"/>
      <c r="GH107" s="18"/>
      <c r="GI107" s="18"/>
      <c r="GJ107" s="18"/>
      <c r="GK107" s="18"/>
      <c r="GL107" s="18"/>
      <c r="GM107" s="18"/>
      <c r="GN107" s="18"/>
      <c r="GO107" s="18"/>
      <c r="GP107" s="18"/>
      <c r="GQ107" s="18"/>
      <c r="GR107" s="18"/>
      <c r="GS107" s="18"/>
      <c r="GT107" s="18"/>
      <c r="GU107" s="18"/>
      <c r="GV107" s="18"/>
      <c r="GW107" s="18"/>
      <c r="GX107" s="18"/>
      <c r="GY107" s="18"/>
      <c r="GZ107" s="18"/>
      <c r="HA107" s="18"/>
      <c r="HB107" s="18"/>
      <c r="HC107" s="18"/>
      <c r="HD107" s="18"/>
      <c r="HE107" s="18"/>
      <c r="HF107" s="18"/>
      <c r="HG107" s="18"/>
      <c r="HH107" s="18"/>
      <c r="HI107" s="18"/>
      <c r="HJ107" s="18"/>
      <c r="HK107" s="18"/>
      <c r="HL107" s="18"/>
      <c r="HM107" s="18"/>
      <c r="HN107" s="18"/>
      <c r="HO107" s="18"/>
      <c r="HP107" s="18"/>
      <c r="HQ107" s="18"/>
      <c r="HR107" s="18"/>
      <c r="HS107" s="18"/>
      <c r="HT107" s="18"/>
      <c r="HU107" s="18"/>
      <c r="HV107" s="18"/>
      <c r="HW107" s="18"/>
      <c r="HX107" s="18"/>
      <c r="HY107" s="18"/>
      <c r="HZ107" s="18"/>
      <c r="IA107" s="18"/>
      <c r="IB107" s="18"/>
      <c r="IC107" s="18"/>
      <c r="ID107" s="18"/>
      <c r="IE107" s="18"/>
      <c r="IF107" s="18"/>
      <c r="IG107" s="18"/>
      <c r="IH107" s="18"/>
      <c r="II107" s="18"/>
      <c r="IJ107" s="18"/>
      <c r="IK107" s="18"/>
      <c r="IL107" s="18"/>
      <c r="IM107" s="18"/>
      <c r="IN107" s="18"/>
      <c r="IO107" s="18"/>
      <c r="IP107" s="18"/>
      <c r="IQ107" s="18"/>
      <c r="IR107" s="18"/>
      <c r="IS107" s="18"/>
      <c r="IT107" s="18"/>
      <c r="IU107" s="18"/>
      <c r="IV107" s="18"/>
      <c r="IW107" s="18"/>
    </row>
    <row r="108" customFormat="false" ht="13.2" hidden="false" customHeight="false" outlineLevel="0" collapsed="false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CF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  <c r="FR108" s="18"/>
      <c r="FS108" s="18"/>
      <c r="FT108" s="18"/>
      <c r="FU108" s="18"/>
      <c r="FV108" s="18"/>
      <c r="FW108" s="18"/>
      <c r="FX108" s="18"/>
      <c r="FY108" s="18"/>
      <c r="FZ108" s="18"/>
      <c r="GA108" s="18"/>
      <c r="GB108" s="18"/>
      <c r="GC108" s="18"/>
      <c r="GD108" s="18"/>
      <c r="GE108" s="18"/>
      <c r="GF108" s="18"/>
      <c r="GG108" s="18"/>
      <c r="GH108" s="18"/>
      <c r="GI108" s="18"/>
      <c r="GJ108" s="18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18"/>
      <c r="GV108" s="18"/>
      <c r="GW108" s="18"/>
      <c r="GX108" s="18"/>
      <c r="GY108" s="18"/>
      <c r="GZ108" s="18"/>
      <c r="HA108" s="18"/>
      <c r="HB108" s="18"/>
      <c r="HC108" s="18"/>
      <c r="HD108" s="18"/>
      <c r="HE108" s="18"/>
      <c r="HF108" s="18"/>
      <c r="HG108" s="18"/>
      <c r="HH108" s="18"/>
      <c r="HI108" s="18"/>
      <c r="HJ108" s="18"/>
      <c r="HK108" s="18"/>
      <c r="HL108" s="18"/>
      <c r="HM108" s="18"/>
      <c r="HN108" s="18"/>
      <c r="HO108" s="18"/>
      <c r="HP108" s="18"/>
      <c r="HQ108" s="18"/>
      <c r="HR108" s="18"/>
      <c r="HS108" s="18"/>
      <c r="HT108" s="18"/>
      <c r="HU108" s="18"/>
      <c r="HV108" s="18"/>
      <c r="HW108" s="18"/>
      <c r="HX108" s="18"/>
      <c r="HY108" s="18"/>
      <c r="HZ108" s="18"/>
      <c r="IA108" s="18"/>
      <c r="IB108" s="18"/>
      <c r="IC108" s="18"/>
      <c r="ID108" s="18"/>
      <c r="IE108" s="18"/>
      <c r="IF108" s="18"/>
      <c r="IG108" s="18"/>
      <c r="IH108" s="18"/>
      <c r="II108" s="18"/>
      <c r="IJ108" s="18"/>
      <c r="IK108" s="18"/>
      <c r="IL108" s="18"/>
      <c r="IM108" s="18"/>
      <c r="IN108" s="18"/>
      <c r="IO108" s="18"/>
      <c r="IP108" s="18"/>
      <c r="IQ108" s="18"/>
      <c r="IR108" s="18"/>
      <c r="IS108" s="18"/>
      <c r="IT108" s="18"/>
      <c r="IU108" s="18"/>
      <c r="IV108" s="18"/>
      <c r="IW108" s="18"/>
    </row>
    <row r="109" customFormat="false" ht="13.2" hidden="false" customHeight="false" outlineLevel="0" collapsed="false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CF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  <c r="FR109" s="18"/>
      <c r="FS109" s="18"/>
      <c r="FT109" s="18"/>
      <c r="FU109" s="18"/>
      <c r="FV109" s="18"/>
      <c r="FW109" s="18"/>
      <c r="FX109" s="18"/>
      <c r="FY109" s="18"/>
      <c r="FZ109" s="18"/>
      <c r="GA109" s="18"/>
      <c r="GB109" s="18"/>
      <c r="GC109" s="18"/>
      <c r="GD109" s="18"/>
      <c r="GE109" s="18"/>
      <c r="GF109" s="18"/>
      <c r="GG109" s="18"/>
      <c r="GH109" s="18"/>
      <c r="GI109" s="18"/>
      <c r="GJ109" s="18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18"/>
      <c r="GV109" s="18"/>
      <c r="GW109" s="18"/>
      <c r="GX109" s="18"/>
      <c r="GY109" s="18"/>
      <c r="GZ109" s="18"/>
      <c r="HA109" s="18"/>
      <c r="HB109" s="18"/>
      <c r="HC109" s="18"/>
      <c r="HD109" s="18"/>
      <c r="HE109" s="18"/>
      <c r="HF109" s="18"/>
      <c r="HG109" s="18"/>
      <c r="HH109" s="18"/>
      <c r="HI109" s="18"/>
      <c r="HJ109" s="18"/>
      <c r="HK109" s="18"/>
      <c r="HL109" s="18"/>
      <c r="HM109" s="18"/>
      <c r="HN109" s="18"/>
      <c r="HO109" s="18"/>
      <c r="HP109" s="18"/>
      <c r="HQ109" s="18"/>
      <c r="HR109" s="18"/>
      <c r="HS109" s="18"/>
      <c r="HT109" s="18"/>
      <c r="HU109" s="18"/>
      <c r="HV109" s="18"/>
      <c r="HW109" s="18"/>
      <c r="HX109" s="18"/>
      <c r="HY109" s="18"/>
      <c r="HZ109" s="18"/>
      <c r="IA109" s="18"/>
      <c r="IB109" s="18"/>
      <c r="IC109" s="18"/>
      <c r="ID109" s="18"/>
      <c r="IE109" s="18"/>
      <c r="IF109" s="18"/>
      <c r="IG109" s="18"/>
      <c r="IH109" s="18"/>
      <c r="II109" s="18"/>
      <c r="IJ109" s="18"/>
      <c r="IK109" s="18"/>
      <c r="IL109" s="18"/>
      <c r="IM109" s="18"/>
      <c r="IN109" s="18"/>
      <c r="IO109" s="18"/>
      <c r="IP109" s="18"/>
      <c r="IQ109" s="18"/>
      <c r="IR109" s="18"/>
      <c r="IS109" s="18"/>
      <c r="IT109" s="18"/>
      <c r="IU109" s="18"/>
      <c r="IV109" s="18"/>
      <c r="IW109" s="18"/>
    </row>
    <row r="110" customFormat="false" ht="13.2" hidden="false" customHeight="false" outlineLevel="0" collapsed="false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CF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8"/>
      <c r="GA110" s="18"/>
      <c r="GB110" s="18"/>
      <c r="GC110" s="18"/>
      <c r="GD110" s="18"/>
      <c r="GE110" s="18"/>
      <c r="GF110" s="18"/>
      <c r="GG110" s="18"/>
      <c r="GH110" s="18"/>
      <c r="GI110" s="18"/>
      <c r="GJ110" s="18"/>
      <c r="GK110" s="18"/>
      <c r="GL110" s="18"/>
      <c r="GM110" s="18"/>
      <c r="GN110" s="18"/>
      <c r="GO110" s="18"/>
      <c r="GP110" s="18"/>
      <c r="GQ110" s="18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18"/>
      <c r="HC110" s="18"/>
      <c r="HD110" s="18"/>
      <c r="HE110" s="18"/>
      <c r="HF110" s="18"/>
      <c r="HG110" s="18"/>
      <c r="HH110" s="18"/>
      <c r="HI110" s="18"/>
      <c r="HJ110" s="18"/>
      <c r="HK110" s="18"/>
      <c r="HL110" s="18"/>
      <c r="HM110" s="18"/>
      <c r="HN110" s="18"/>
      <c r="HO110" s="18"/>
      <c r="HP110" s="18"/>
      <c r="HQ110" s="18"/>
      <c r="HR110" s="18"/>
      <c r="HS110" s="18"/>
      <c r="HT110" s="18"/>
      <c r="HU110" s="18"/>
      <c r="HV110" s="18"/>
      <c r="HW110" s="18"/>
      <c r="HX110" s="18"/>
      <c r="HY110" s="18"/>
      <c r="HZ110" s="18"/>
      <c r="IA110" s="18"/>
      <c r="IB110" s="18"/>
      <c r="IC110" s="18"/>
      <c r="ID110" s="18"/>
      <c r="IE110" s="18"/>
      <c r="IF110" s="18"/>
      <c r="IG110" s="18"/>
      <c r="IH110" s="18"/>
      <c r="II110" s="18"/>
      <c r="IJ110" s="18"/>
      <c r="IK110" s="18"/>
      <c r="IL110" s="18"/>
      <c r="IM110" s="18"/>
      <c r="IN110" s="18"/>
      <c r="IO110" s="18"/>
      <c r="IP110" s="18"/>
      <c r="IQ110" s="18"/>
      <c r="IR110" s="18"/>
      <c r="IS110" s="18"/>
      <c r="IT110" s="18"/>
      <c r="IU110" s="18"/>
      <c r="IV110" s="18"/>
      <c r="IW110" s="18"/>
    </row>
    <row r="111" customFormat="false" ht="13.2" hidden="false" customHeight="false" outlineLevel="0" collapsed="false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CF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18"/>
      <c r="FH111" s="18"/>
      <c r="FI111" s="18"/>
      <c r="FJ111" s="18"/>
      <c r="FK111" s="18"/>
      <c r="FL111" s="18"/>
      <c r="FM111" s="18"/>
      <c r="FN111" s="18"/>
      <c r="FO111" s="18"/>
      <c r="FP111" s="18"/>
      <c r="FQ111" s="18"/>
      <c r="FR111" s="18"/>
      <c r="FS111" s="18"/>
      <c r="FT111" s="18"/>
      <c r="FU111" s="18"/>
      <c r="FV111" s="18"/>
      <c r="FW111" s="18"/>
      <c r="FX111" s="18"/>
      <c r="FY111" s="18"/>
      <c r="FZ111" s="18"/>
      <c r="GA111" s="18"/>
      <c r="GB111" s="18"/>
      <c r="GC111" s="18"/>
      <c r="GD111" s="18"/>
      <c r="GE111" s="18"/>
      <c r="GF111" s="18"/>
      <c r="GG111" s="18"/>
      <c r="GH111" s="18"/>
      <c r="GI111" s="18"/>
      <c r="GJ111" s="18"/>
      <c r="GK111" s="18"/>
      <c r="GL111" s="18"/>
      <c r="GM111" s="18"/>
      <c r="GN111" s="18"/>
      <c r="GO111" s="18"/>
      <c r="GP111" s="18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18"/>
      <c r="HC111" s="18"/>
      <c r="HD111" s="18"/>
      <c r="HE111" s="18"/>
      <c r="HF111" s="18"/>
      <c r="HG111" s="18"/>
      <c r="HH111" s="18"/>
      <c r="HI111" s="18"/>
      <c r="HJ111" s="18"/>
      <c r="HK111" s="18"/>
      <c r="HL111" s="18"/>
      <c r="HM111" s="18"/>
      <c r="HN111" s="18"/>
      <c r="HO111" s="18"/>
      <c r="HP111" s="18"/>
      <c r="HQ111" s="18"/>
      <c r="HR111" s="18"/>
      <c r="HS111" s="18"/>
      <c r="HT111" s="18"/>
      <c r="HU111" s="18"/>
      <c r="HV111" s="18"/>
      <c r="HW111" s="18"/>
      <c r="HX111" s="18"/>
      <c r="HY111" s="18"/>
      <c r="HZ111" s="18"/>
      <c r="IA111" s="18"/>
      <c r="IB111" s="18"/>
      <c r="IC111" s="18"/>
      <c r="ID111" s="18"/>
      <c r="IE111" s="18"/>
      <c r="IF111" s="18"/>
      <c r="IG111" s="18"/>
      <c r="IH111" s="18"/>
      <c r="II111" s="18"/>
      <c r="IJ111" s="18"/>
      <c r="IK111" s="18"/>
      <c r="IL111" s="18"/>
      <c r="IM111" s="18"/>
      <c r="IN111" s="18"/>
      <c r="IO111" s="18"/>
      <c r="IP111" s="18"/>
      <c r="IQ111" s="18"/>
      <c r="IR111" s="18"/>
      <c r="IS111" s="18"/>
      <c r="IT111" s="18"/>
      <c r="IU111" s="18"/>
      <c r="IV111" s="18"/>
      <c r="IW111" s="18"/>
    </row>
    <row r="112" customFormat="false" ht="13.2" hidden="false" customHeight="false" outlineLevel="0" collapsed="false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CF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18"/>
      <c r="FC112" s="18"/>
      <c r="FD112" s="18"/>
      <c r="FE112" s="18"/>
      <c r="FF112" s="18"/>
      <c r="FG112" s="18"/>
      <c r="FH112" s="18"/>
      <c r="FI112" s="18"/>
      <c r="FJ112" s="18"/>
      <c r="FK112" s="18"/>
      <c r="FL112" s="18"/>
      <c r="FM112" s="18"/>
      <c r="FN112" s="18"/>
      <c r="FO112" s="18"/>
      <c r="FP112" s="18"/>
      <c r="FQ112" s="18"/>
      <c r="FR112" s="18"/>
      <c r="FS112" s="18"/>
      <c r="FT112" s="18"/>
      <c r="FU112" s="18"/>
      <c r="FV112" s="18"/>
      <c r="FW112" s="18"/>
      <c r="FX112" s="18"/>
      <c r="FY112" s="18"/>
      <c r="FZ112" s="18"/>
      <c r="GA112" s="18"/>
      <c r="GB112" s="18"/>
      <c r="GC112" s="18"/>
      <c r="GD112" s="18"/>
      <c r="GE112" s="18"/>
      <c r="GF112" s="18"/>
      <c r="GG112" s="18"/>
      <c r="GH112" s="18"/>
      <c r="GI112" s="18"/>
      <c r="GJ112" s="1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18"/>
      <c r="GX112" s="18"/>
      <c r="GY112" s="18"/>
      <c r="GZ112" s="18"/>
      <c r="HA112" s="18"/>
      <c r="HB112" s="18"/>
      <c r="HC112" s="18"/>
      <c r="HD112" s="18"/>
      <c r="HE112" s="18"/>
      <c r="HF112" s="18"/>
      <c r="HG112" s="18"/>
      <c r="HH112" s="18"/>
      <c r="HI112" s="18"/>
      <c r="HJ112" s="18"/>
      <c r="HK112" s="18"/>
      <c r="HL112" s="18"/>
      <c r="HM112" s="18"/>
      <c r="HN112" s="18"/>
      <c r="HO112" s="18"/>
      <c r="HP112" s="18"/>
      <c r="HQ112" s="18"/>
      <c r="HR112" s="18"/>
      <c r="HS112" s="18"/>
      <c r="HT112" s="18"/>
      <c r="HU112" s="18"/>
      <c r="HV112" s="18"/>
      <c r="HW112" s="18"/>
      <c r="HX112" s="18"/>
      <c r="HY112" s="18"/>
      <c r="HZ112" s="18"/>
      <c r="IA112" s="18"/>
      <c r="IB112" s="18"/>
      <c r="IC112" s="18"/>
      <c r="ID112" s="18"/>
      <c r="IE112" s="18"/>
      <c r="IF112" s="18"/>
      <c r="IG112" s="18"/>
      <c r="IH112" s="18"/>
      <c r="II112" s="18"/>
      <c r="IJ112" s="18"/>
      <c r="IK112" s="18"/>
      <c r="IL112" s="18"/>
      <c r="IM112" s="18"/>
      <c r="IN112" s="18"/>
      <c r="IO112" s="18"/>
      <c r="IP112" s="18"/>
      <c r="IQ112" s="18"/>
      <c r="IR112" s="18"/>
      <c r="IS112" s="18"/>
      <c r="IT112" s="18"/>
      <c r="IU112" s="18"/>
      <c r="IV112" s="18"/>
      <c r="IW112" s="18"/>
    </row>
    <row r="113" customFormat="false" ht="13.2" hidden="false" customHeight="false" outlineLevel="0" collapsed="false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CF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  <c r="FR113" s="18"/>
      <c r="FS113" s="18"/>
      <c r="FT113" s="18"/>
      <c r="FU113" s="18"/>
      <c r="FV113" s="18"/>
      <c r="FW113" s="18"/>
      <c r="FX113" s="18"/>
      <c r="FY113" s="18"/>
      <c r="FZ113" s="18"/>
      <c r="GA113" s="18"/>
      <c r="GB113" s="18"/>
      <c r="GC113" s="18"/>
      <c r="GD113" s="18"/>
      <c r="GE113" s="18"/>
      <c r="GF113" s="18"/>
      <c r="GG113" s="18"/>
      <c r="GH113" s="18"/>
      <c r="GI113" s="18"/>
      <c r="GJ113" s="1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18"/>
      <c r="GX113" s="18"/>
      <c r="GY113" s="18"/>
      <c r="GZ113" s="18"/>
      <c r="HA113" s="18"/>
      <c r="HB113" s="18"/>
      <c r="HC113" s="18"/>
      <c r="HD113" s="18"/>
      <c r="HE113" s="18"/>
      <c r="HF113" s="18"/>
      <c r="HG113" s="18"/>
      <c r="HH113" s="18"/>
      <c r="HI113" s="18"/>
      <c r="HJ113" s="18"/>
      <c r="HK113" s="18"/>
      <c r="HL113" s="18"/>
      <c r="HM113" s="18"/>
      <c r="HN113" s="18"/>
      <c r="HO113" s="18"/>
      <c r="HP113" s="18"/>
      <c r="HQ113" s="18"/>
      <c r="HR113" s="18"/>
      <c r="HS113" s="18"/>
      <c r="HT113" s="18"/>
      <c r="HU113" s="18"/>
      <c r="HV113" s="18"/>
      <c r="HW113" s="18"/>
      <c r="HX113" s="18"/>
      <c r="HY113" s="18"/>
      <c r="HZ113" s="18"/>
      <c r="IA113" s="18"/>
      <c r="IB113" s="18"/>
      <c r="IC113" s="18"/>
      <c r="ID113" s="18"/>
      <c r="IE113" s="18"/>
      <c r="IF113" s="18"/>
      <c r="IG113" s="18"/>
      <c r="IH113" s="18"/>
      <c r="II113" s="18"/>
      <c r="IJ113" s="18"/>
      <c r="IK113" s="18"/>
      <c r="IL113" s="18"/>
      <c r="IM113" s="18"/>
      <c r="IN113" s="18"/>
      <c r="IO113" s="18"/>
      <c r="IP113" s="18"/>
      <c r="IQ113" s="18"/>
      <c r="IR113" s="18"/>
      <c r="IS113" s="18"/>
      <c r="IT113" s="18"/>
      <c r="IU113" s="18"/>
      <c r="IV113" s="18"/>
      <c r="IW113" s="18"/>
    </row>
    <row r="114" customFormat="false" ht="13.2" hidden="false" customHeight="false" outlineLevel="0" collapsed="false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CF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  <c r="FR114" s="18"/>
      <c r="FS114" s="18"/>
      <c r="FT114" s="18"/>
      <c r="FU114" s="18"/>
      <c r="FV114" s="18"/>
      <c r="FW114" s="18"/>
      <c r="FX114" s="18"/>
      <c r="FY114" s="18"/>
      <c r="FZ114" s="18"/>
      <c r="GA114" s="18"/>
      <c r="GB114" s="18"/>
      <c r="GC114" s="18"/>
      <c r="GD114" s="18"/>
      <c r="GE114" s="18"/>
      <c r="GF114" s="18"/>
      <c r="GG114" s="18"/>
      <c r="GH114" s="18"/>
      <c r="GI114" s="18"/>
      <c r="GJ114" s="18"/>
      <c r="GK114" s="18"/>
      <c r="GL114" s="18"/>
      <c r="GM114" s="18"/>
      <c r="GN114" s="18"/>
      <c r="GO114" s="18"/>
      <c r="GP114" s="18"/>
      <c r="GQ114" s="18"/>
      <c r="GR114" s="18"/>
      <c r="GS114" s="18"/>
      <c r="GT114" s="18"/>
      <c r="GU114" s="18"/>
      <c r="GV114" s="18"/>
      <c r="GW114" s="18"/>
      <c r="GX114" s="18"/>
      <c r="GY114" s="18"/>
      <c r="GZ114" s="18"/>
      <c r="HA114" s="18"/>
      <c r="HB114" s="18"/>
      <c r="HC114" s="18"/>
      <c r="HD114" s="18"/>
      <c r="HE114" s="18"/>
      <c r="HF114" s="18"/>
      <c r="HG114" s="18"/>
      <c r="HH114" s="18"/>
      <c r="HI114" s="18"/>
      <c r="HJ114" s="18"/>
      <c r="HK114" s="18"/>
      <c r="HL114" s="18"/>
      <c r="HM114" s="18"/>
      <c r="HN114" s="18"/>
      <c r="HO114" s="18"/>
      <c r="HP114" s="18"/>
      <c r="HQ114" s="18"/>
      <c r="HR114" s="18"/>
      <c r="HS114" s="18"/>
      <c r="HT114" s="18"/>
      <c r="HU114" s="18"/>
      <c r="HV114" s="18"/>
      <c r="HW114" s="18"/>
      <c r="HX114" s="18"/>
      <c r="HY114" s="18"/>
      <c r="HZ114" s="18"/>
      <c r="IA114" s="18"/>
      <c r="IB114" s="18"/>
      <c r="IC114" s="18"/>
      <c r="ID114" s="18"/>
      <c r="IE114" s="18"/>
      <c r="IF114" s="18"/>
      <c r="IG114" s="18"/>
      <c r="IH114" s="18"/>
      <c r="II114" s="18"/>
      <c r="IJ114" s="18"/>
      <c r="IK114" s="18"/>
      <c r="IL114" s="18"/>
      <c r="IM114" s="18"/>
      <c r="IN114" s="18"/>
      <c r="IO114" s="18"/>
      <c r="IP114" s="18"/>
      <c r="IQ114" s="18"/>
      <c r="IR114" s="18"/>
      <c r="IS114" s="18"/>
      <c r="IT114" s="18"/>
      <c r="IU114" s="18"/>
      <c r="IV114" s="18"/>
      <c r="IW114" s="18"/>
    </row>
    <row r="115" customFormat="false" ht="13.2" hidden="false" customHeight="false" outlineLevel="0" collapsed="false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CF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  <c r="FR115" s="18"/>
      <c r="FS115" s="18"/>
      <c r="FT115" s="18"/>
      <c r="FU115" s="18"/>
      <c r="FV115" s="18"/>
      <c r="FW115" s="18"/>
      <c r="FX115" s="18"/>
      <c r="FY115" s="18"/>
      <c r="FZ115" s="18"/>
      <c r="GA115" s="18"/>
      <c r="GB115" s="18"/>
      <c r="GC115" s="18"/>
      <c r="GD115" s="18"/>
      <c r="GE115" s="18"/>
      <c r="GF115" s="18"/>
      <c r="GG115" s="18"/>
      <c r="GH115" s="18"/>
      <c r="GI115" s="18"/>
      <c r="GJ115" s="18"/>
      <c r="GK115" s="18"/>
      <c r="GL115" s="18"/>
      <c r="GM115" s="18"/>
      <c r="GN115" s="18"/>
      <c r="GO115" s="18"/>
      <c r="GP115" s="18"/>
      <c r="GQ115" s="18"/>
      <c r="GR115" s="18"/>
      <c r="GS115" s="18"/>
      <c r="GT115" s="18"/>
      <c r="GU115" s="18"/>
      <c r="GV115" s="18"/>
      <c r="GW115" s="18"/>
      <c r="GX115" s="18"/>
      <c r="GY115" s="18"/>
      <c r="GZ115" s="18"/>
      <c r="HA115" s="18"/>
      <c r="HB115" s="18"/>
      <c r="HC115" s="18"/>
      <c r="HD115" s="18"/>
      <c r="HE115" s="18"/>
      <c r="HF115" s="18"/>
      <c r="HG115" s="18"/>
      <c r="HH115" s="18"/>
      <c r="HI115" s="18"/>
      <c r="HJ115" s="18"/>
      <c r="HK115" s="18"/>
      <c r="HL115" s="18"/>
      <c r="HM115" s="18"/>
      <c r="HN115" s="18"/>
      <c r="HO115" s="18"/>
      <c r="HP115" s="18"/>
      <c r="HQ115" s="18"/>
      <c r="HR115" s="18"/>
      <c r="HS115" s="18"/>
      <c r="HT115" s="18"/>
      <c r="HU115" s="18"/>
      <c r="HV115" s="18"/>
      <c r="HW115" s="18"/>
      <c r="HX115" s="18"/>
      <c r="HY115" s="18"/>
      <c r="HZ115" s="18"/>
      <c r="IA115" s="18"/>
      <c r="IB115" s="18"/>
      <c r="IC115" s="18"/>
      <c r="ID115" s="18"/>
      <c r="IE115" s="18"/>
      <c r="IF115" s="18"/>
      <c r="IG115" s="18"/>
      <c r="IH115" s="18"/>
      <c r="II115" s="18"/>
      <c r="IJ115" s="18"/>
      <c r="IK115" s="18"/>
      <c r="IL115" s="18"/>
      <c r="IM115" s="18"/>
      <c r="IN115" s="18"/>
      <c r="IO115" s="18"/>
      <c r="IP115" s="18"/>
      <c r="IQ115" s="18"/>
      <c r="IR115" s="18"/>
      <c r="IS115" s="18"/>
      <c r="IT115" s="18"/>
      <c r="IU115" s="18"/>
      <c r="IV115" s="18"/>
      <c r="IW115" s="18"/>
    </row>
    <row r="116" customFormat="false" ht="13.2" hidden="false" customHeight="false" outlineLevel="0" collapsed="false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CF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  <c r="FR116" s="18"/>
      <c r="FS116" s="18"/>
      <c r="FT116" s="18"/>
      <c r="FU116" s="18"/>
      <c r="FV116" s="18"/>
      <c r="FW116" s="18"/>
      <c r="FX116" s="18"/>
      <c r="FY116" s="18"/>
      <c r="FZ116" s="18"/>
      <c r="GA116" s="18"/>
      <c r="GB116" s="18"/>
      <c r="GC116" s="18"/>
      <c r="GD116" s="18"/>
      <c r="GE116" s="18"/>
      <c r="GF116" s="18"/>
      <c r="GG116" s="18"/>
      <c r="GH116" s="18"/>
      <c r="GI116" s="18"/>
      <c r="GJ116" s="18"/>
      <c r="GK116" s="18"/>
      <c r="GL116" s="18"/>
      <c r="GM116" s="18"/>
      <c r="GN116" s="18"/>
      <c r="GO116" s="18"/>
      <c r="GP116" s="18"/>
      <c r="GQ116" s="18"/>
      <c r="GR116" s="18"/>
      <c r="GS116" s="18"/>
      <c r="GT116" s="18"/>
      <c r="GU116" s="18"/>
      <c r="GV116" s="18"/>
      <c r="GW116" s="18"/>
      <c r="GX116" s="18"/>
      <c r="GY116" s="18"/>
      <c r="GZ116" s="18"/>
      <c r="HA116" s="18"/>
      <c r="HB116" s="18"/>
      <c r="HC116" s="18"/>
      <c r="HD116" s="18"/>
      <c r="HE116" s="18"/>
      <c r="HF116" s="18"/>
      <c r="HG116" s="18"/>
      <c r="HH116" s="18"/>
      <c r="HI116" s="18"/>
      <c r="HJ116" s="18"/>
      <c r="HK116" s="18"/>
      <c r="HL116" s="18"/>
      <c r="HM116" s="18"/>
      <c r="HN116" s="18"/>
      <c r="HO116" s="18"/>
      <c r="HP116" s="18"/>
      <c r="HQ116" s="18"/>
      <c r="HR116" s="18"/>
      <c r="HS116" s="18"/>
      <c r="HT116" s="18"/>
      <c r="HU116" s="18"/>
      <c r="HV116" s="18"/>
      <c r="HW116" s="18"/>
      <c r="HX116" s="18"/>
      <c r="HY116" s="18"/>
      <c r="HZ116" s="18"/>
      <c r="IA116" s="18"/>
      <c r="IB116" s="18"/>
      <c r="IC116" s="18"/>
      <c r="ID116" s="18"/>
      <c r="IE116" s="18"/>
      <c r="IF116" s="18"/>
      <c r="IG116" s="18"/>
      <c r="IH116" s="18"/>
      <c r="II116" s="18"/>
      <c r="IJ116" s="18"/>
      <c r="IK116" s="18"/>
      <c r="IL116" s="18"/>
      <c r="IM116" s="18"/>
      <c r="IN116" s="18"/>
      <c r="IO116" s="18"/>
      <c r="IP116" s="18"/>
      <c r="IQ116" s="18"/>
      <c r="IR116" s="18"/>
      <c r="IS116" s="18"/>
      <c r="IT116" s="18"/>
      <c r="IU116" s="18"/>
      <c r="IV116" s="18"/>
      <c r="IW116" s="18"/>
    </row>
    <row r="117" customFormat="false" ht="13.2" hidden="false" customHeight="false" outlineLevel="0" collapsed="false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CF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  <c r="FR117" s="18"/>
      <c r="FS117" s="18"/>
      <c r="FT117" s="18"/>
      <c r="FU117" s="18"/>
      <c r="FV117" s="18"/>
      <c r="FW117" s="18"/>
      <c r="FX117" s="18"/>
      <c r="FY117" s="18"/>
      <c r="FZ117" s="18"/>
      <c r="GA117" s="18"/>
      <c r="GB117" s="18"/>
      <c r="GC117" s="18"/>
      <c r="GD117" s="18"/>
      <c r="GE117" s="18"/>
      <c r="GF117" s="18"/>
      <c r="GG117" s="18"/>
      <c r="GH117" s="18"/>
      <c r="GI117" s="18"/>
      <c r="GJ117" s="18"/>
      <c r="GK117" s="18"/>
      <c r="GL117" s="18"/>
      <c r="GM117" s="18"/>
      <c r="GN117" s="18"/>
      <c r="GO117" s="18"/>
      <c r="GP117" s="18"/>
      <c r="GQ117" s="18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18"/>
      <c r="HC117" s="18"/>
      <c r="HD117" s="18"/>
      <c r="HE117" s="18"/>
      <c r="HF117" s="18"/>
      <c r="HG117" s="18"/>
      <c r="HH117" s="18"/>
      <c r="HI117" s="18"/>
      <c r="HJ117" s="18"/>
      <c r="HK117" s="18"/>
      <c r="HL117" s="18"/>
      <c r="HM117" s="18"/>
      <c r="HN117" s="18"/>
      <c r="HO117" s="18"/>
      <c r="HP117" s="18"/>
      <c r="HQ117" s="18"/>
      <c r="HR117" s="18"/>
      <c r="HS117" s="18"/>
      <c r="HT117" s="18"/>
      <c r="HU117" s="18"/>
      <c r="HV117" s="18"/>
      <c r="HW117" s="18"/>
      <c r="HX117" s="18"/>
      <c r="HY117" s="18"/>
      <c r="HZ117" s="18"/>
      <c r="IA117" s="18"/>
      <c r="IB117" s="18"/>
      <c r="IC117" s="18"/>
      <c r="ID117" s="18"/>
      <c r="IE117" s="18"/>
      <c r="IF117" s="18"/>
      <c r="IG117" s="18"/>
      <c r="IH117" s="18"/>
      <c r="II117" s="18"/>
      <c r="IJ117" s="18"/>
      <c r="IK117" s="18"/>
      <c r="IL117" s="18"/>
      <c r="IM117" s="18"/>
      <c r="IN117" s="18"/>
      <c r="IO117" s="18"/>
      <c r="IP117" s="18"/>
      <c r="IQ117" s="18"/>
      <c r="IR117" s="18"/>
      <c r="IS117" s="18"/>
      <c r="IT117" s="18"/>
      <c r="IU117" s="18"/>
      <c r="IV117" s="18"/>
      <c r="IW117" s="18"/>
    </row>
    <row r="118" customFormat="false" ht="13.2" hidden="false" customHeight="false" outlineLevel="0" collapsed="false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CF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  <c r="FR118" s="18"/>
      <c r="FS118" s="18"/>
      <c r="FT118" s="18"/>
      <c r="FU118" s="18"/>
      <c r="FV118" s="18"/>
      <c r="FW118" s="18"/>
      <c r="FX118" s="18"/>
      <c r="FY118" s="18"/>
      <c r="FZ118" s="18"/>
      <c r="GA118" s="18"/>
      <c r="GB118" s="18"/>
      <c r="GC118" s="18"/>
      <c r="GD118" s="18"/>
      <c r="GE118" s="18"/>
      <c r="GF118" s="18"/>
      <c r="GG118" s="18"/>
      <c r="GH118" s="18"/>
      <c r="GI118" s="18"/>
      <c r="GJ118" s="18"/>
      <c r="GK118" s="18"/>
      <c r="GL118" s="18"/>
      <c r="GM118" s="18"/>
      <c r="GN118" s="18"/>
      <c r="GO118" s="18"/>
      <c r="GP118" s="18"/>
      <c r="GQ118" s="18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18"/>
      <c r="HC118" s="18"/>
      <c r="HD118" s="18"/>
      <c r="HE118" s="18"/>
      <c r="HF118" s="18"/>
      <c r="HG118" s="18"/>
      <c r="HH118" s="18"/>
      <c r="HI118" s="18"/>
      <c r="HJ118" s="18"/>
      <c r="HK118" s="18"/>
      <c r="HL118" s="18"/>
      <c r="HM118" s="18"/>
      <c r="HN118" s="18"/>
      <c r="HO118" s="18"/>
      <c r="HP118" s="18"/>
      <c r="HQ118" s="18"/>
      <c r="HR118" s="18"/>
      <c r="HS118" s="18"/>
      <c r="HT118" s="18"/>
      <c r="HU118" s="18"/>
      <c r="HV118" s="18"/>
      <c r="HW118" s="18"/>
      <c r="HX118" s="18"/>
      <c r="HY118" s="18"/>
      <c r="HZ118" s="18"/>
      <c r="IA118" s="18"/>
      <c r="IB118" s="18"/>
      <c r="IC118" s="18"/>
      <c r="ID118" s="18"/>
      <c r="IE118" s="18"/>
      <c r="IF118" s="18"/>
      <c r="IG118" s="18"/>
      <c r="IH118" s="18"/>
      <c r="II118" s="18"/>
      <c r="IJ118" s="18"/>
      <c r="IK118" s="18"/>
      <c r="IL118" s="18"/>
      <c r="IM118" s="18"/>
      <c r="IN118" s="18"/>
      <c r="IO118" s="18"/>
      <c r="IP118" s="18"/>
      <c r="IQ118" s="18"/>
      <c r="IR118" s="18"/>
      <c r="IS118" s="18"/>
      <c r="IT118" s="18"/>
      <c r="IU118" s="18"/>
      <c r="IV118" s="18"/>
      <c r="IW118" s="18"/>
    </row>
    <row r="119" customFormat="false" ht="13.2" hidden="false" customHeight="false" outlineLevel="0" collapsed="false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CF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  <c r="FR119" s="18"/>
      <c r="FS119" s="18"/>
      <c r="FT119" s="18"/>
      <c r="FU119" s="18"/>
      <c r="FV119" s="18"/>
      <c r="FW119" s="18"/>
      <c r="FX119" s="18"/>
      <c r="FY119" s="18"/>
      <c r="FZ119" s="18"/>
      <c r="GA119" s="18"/>
      <c r="GB119" s="18"/>
      <c r="GC119" s="18"/>
      <c r="GD119" s="18"/>
      <c r="GE119" s="18"/>
      <c r="GF119" s="18"/>
      <c r="GG119" s="18"/>
      <c r="GH119" s="18"/>
      <c r="GI119" s="18"/>
      <c r="GJ119" s="18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18"/>
      <c r="GV119" s="18"/>
      <c r="GW119" s="18"/>
      <c r="GX119" s="18"/>
      <c r="GY119" s="18"/>
      <c r="GZ119" s="18"/>
      <c r="HA119" s="18"/>
      <c r="HB119" s="18"/>
      <c r="HC119" s="18"/>
      <c r="HD119" s="18"/>
      <c r="HE119" s="18"/>
      <c r="HF119" s="18"/>
      <c r="HG119" s="18"/>
      <c r="HH119" s="18"/>
      <c r="HI119" s="18"/>
      <c r="HJ119" s="18"/>
      <c r="HK119" s="18"/>
      <c r="HL119" s="18"/>
      <c r="HM119" s="18"/>
      <c r="HN119" s="18"/>
      <c r="HO119" s="18"/>
      <c r="HP119" s="18"/>
      <c r="HQ119" s="18"/>
      <c r="HR119" s="18"/>
      <c r="HS119" s="18"/>
      <c r="HT119" s="18"/>
      <c r="HU119" s="18"/>
      <c r="HV119" s="18"/>
      <c r="HW119" s="18"/>
      <c r="HX119" s="18"/>
      <c r="HY119" s="18"/>
      <c r="HZ119" s="18"/>
      <c r="IA119" s="18"/>
      <c r="IB119" s="18"/>
      <c r="IC119" s="18"/>
      <c r="ID119" s="18"/>
      <c r="IE119" s="18"/>
      <c r="IF119" s="18"/>
      <c r="IG119" s="18"/>
      <c r="IH119" s="18"/>
      <c r="II119" s="18"/>
      <c r="IJ119" s="18"/>
      <c r="IK119" s="18"/>
      <c r="IL119" s="18"/>
      <c r="IM119" s="18"/>
      <c r="IN119" s="18"/>
      <c r="IO119" s="18"/>
      <c r="IP119" s="18"/>
      <c r="IQ119" s="18"/>
      <c r="IR119" s="18"/>
      <c r="IS119" s="18"/>
      <c r="IT119" s="18"/>
      <c r="IU119" s="18"/>
      <c r="IV119" s="18"/>
      <c r="IW119" s="18"/>
    </row>
    <row r="120" customFormat="false" ht="13.2" hidden="false" customHeight="false" outlineLevel="0" collapsed="false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CF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  <c r="FR120" s="18"/>
      <c r="FS120" s="18"/>
      <c r="FT120" s="18"/>
      <c r="FU120" s="18"/>
      <c r="FV120" s="18"/>
      <c r="FW120" s="18"/>
      <c r="FX120" s="18"/>
      <c r="FY120" s="18"/>
      <c r="FZ120" s="18"/>
      <c r="GA120" s="18"/>
      <c r="GB120" s="18"/>
      <c r="GC120" s="18"/>
      <c r="GD120" s="18"/>
      <c r="GE120" s="18"/>
      <c r="GF120" s="18"/>
      <c r="GG120" s="18"/>
      <c r="GH120" s="18"/>
      <c r="GI120" s="18"/>
      <c r="GJ120" s="18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18"/>
      <c r="GV120" s="18"/>
      <c r="GW120" s="18"/>
      <c r="GX120" s="18"/>
      <c r="GY120" s="18"/>
      <c r="GZ120" s="18"/>
      <c r="HA120" s="18"/>
      <c r="HB120" s="18"/>
      <c r="HC120" s="18"/>
      <c r="HD120" s="18"/>
      <c r="HE120" s="18"/>
      <c r="HF120" s="18"/>
      <c r="HG120" s="18"/>
      <c r="HH120" s="18"/>
      <c r="HI120" s="18"/>
      <c r="HJ120" s="18"/>
      <c r="HK120" s="18"/>
      <c r="HL120" s="18"/>
      <c r="HM120" s="18"/>
      <c r="HN120" s="18"/>
      <c r="HO120" s="18"/>
      <c r="HP120" s="18"/>
      <c r="HQ120" s="18"/>
      <c r="HR120" s="18"/>
      <c r="HS120" s="18"/>
      <c r="HT120" s="18"/>
      <c r="HU120" s="18"/>
      <c r="HV120" s="18"/>
      <c r="HW120" s="18"/>
      <c r="HX120" s="18"/>
      <c r="HY120" s="18"/>
      <c r="HZ120" s="18"/>
      <c r="IA120" s="18"/>
      <c r="IB120" s="18"/>
      <c r="IC120" s="18"/>
      <c r="ID120" s="18"/>
      <c r="IE120" s="18"/>
      <c r="IF120" s="18"/>
      <c r="IG120" s="18"/>
      <c r="IH120" s="18"/>
      <c r="II120" s="18"/>
      <c r="IJ120" s="18"/>
      <c r="IK120" s="18"/>
      <c r="IL120" s="18"/>
      <c r="IM120" s="18"/>
      <c r="IN120" s="18"/>
      <c r="IO120" s="18"/>
      <c r="IP120" s="18"/>
      <c r="IQ120" s="18"/>
      <c r="IR120" s="18"/>
      <c r="IS120" s="18"/>
      <c r="IT120" s="18"/>
      <c r="IU120" s="18"/>
      <c r="IV120" s="18"/>
      <c r="IW120" s="18"/>
    </row>
    <row r="121" customFormat="false" ht="13.2" hidden="false" customHeight="false" outlineLevel="0" collapsed="false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CF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  <c r="FR121" s="18"/>
      <c r="FS121" s="18"/>
      <c r="FT121" s="18"/>
      <c r="FU121" s="18"/>
      <c r="FV121" s="18"/>
      <c r="FW121" s="18"/>
      <c r="FX121" s="18"/>
      <c r="FY121" s="18"/>
      <c r="FZ121" s="18"/>
      <c r="GA121" s="18"/>
      <c r="GB121" s="18"/>
      <c r="GC121" s="18"/>
      <c r="GD121" s="18"/>
      <c r="GE121" s="18"/>
      <c r="GF121" s="18"/>
      <c r="GG121" s="18"/>
      <c r="GH121" s="18"/>
      <c r="GI121" s="18"/>
      <c r="GJ121" s="18"/>
      <c r="GK121" s="18"/>
      <c r="GL121" s="18"/>
      <c r="GM121" s="18"/>
      <c r="GN121" s="18"/>
      <c r="GO121" s="18"/>
      <c r="GP121" s="18"/>
      <c r="GQ121" s="18"/>
      <c r="GR121" s="18"/>
      <c r="GS121" s="18"/>
      <c r="GT121" s="18"/>
      <c r="GU121" s="18"/>
      <c r="GV121" s="18"/>
      <c r="GW121" s="18"/>
      <c r="GX121" s="18"/>
      <c r="GY121" s="18"/>
      <c r="GZ121" s="18"/>
      <c r="HA121" s="18"/>
      <c r="HB121" s="18"/>
      <c r="HC121" s="18"/>
      <c r="HD121" s="18"/>
      <c r="HE121" s="18"/>
      <c r="HF121" s="18"/>
      <c r="HG121" s="18"/>
      <c r="HH121" s="18"/>
      <c r="HI121" s="18"/>
      <c r="HJ121" s="18"/>
      <c r="HK121" s="18"/>
      <c r="HL121" s="18"/>
      <c r="HM121" s="18"/>
      <c r="HN121" s="18"/>
      <c r="HO121" s="18"/>
      <c r="HP121" s="18"/>
      <c r="HQ121" s="18"/>
      <c r="HR121" s="18"/>
      <c r="HS121" s="18"/>
      <c r="HT121" s="18"/>
      <c r="HU121" s="18"/>
      <c r="HV121" s="18"/>
      <c r="HW121" s="18"/>
      <c r="HX121" s="18"/>
      <c r="HY121" s="18"/>
      <c r="HZ121" s="18"/>
      <c r="IA121" s="18"/>
      <c r="IB121" s="18"/>
      <c r="IC121" s="18"/>
      <c r="ID121" s="18"/>
      <c r="IE121" s="18"/>
      <c r="IF121" s="18"/>
      <c r="IG121" s="18"/>
      <c r="IH121" s="18"/>
      <c r="II121" s="18"/>
      <c r="IJ121" s="18"/>
      <c r="IK121" s="18"/>
      <c r="IL121" s="18"/>
      <c r="IM121" s="18"/>
      <c r="IN121" s="18"/>
      <c r="IO121" s="18"/>
      <c r="IP121" s="18"/>
      <c r="IQ121" s="18"/>
      <c r="IR121" s="18"/>
      <c r="IS121" s="18"/>
      <c r="IT121" s="18"/>
      <c r="IU121" s="18"/>
      <c r="IV121" s="18"/>
      <c r="IW121" s="18"/>
    </row>
    <row r="122" customFormat="false" ht="13.2" hidden="false" customHeight="false" outlineLevel="0" collapsed="false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CF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  <c r="FR122" s="18"/>
      <c r="FS122" s="18"/>
      <c r="FT122" s="18"/>
      <c r="FU122" s="18"/>
      <c r="FV122" s="18"/>
      <c r="FW122" s="18"/>
      <c r="FX122" s="18"/>
      <c r="FY122" s="18"/>
      <c r="FZ122" s="18"/>
      <c r="GA122" s="18"/>
      <c r="GB122" s="18"/>
      <c r="GC122" s="18"/>
      <c r="GD122" s="18"/>
      <c r="GE122" s="18"/>
      <c r="GF122" s="18"/>
      <c r="GG122" s="18"/>
      <c r="GH122" s="18"/>
      <c r="GI122" s="18"/>
      <c r="GJ122" s="18"/>
      <c r="GK122" s="18"/>
      <c r="GL122" s="18"/>
      <c r="GM122" s="18"/>
      <c r="GN122" s="18"/>
      <c r="GO122" s="18"/>
      <c r="GP122" s="18"/>
      <c r="GQ122" s="18"/>
      <c r="GR122" s="18"/>
      <c r="GS122" s="18"/>
      <c r="GT122" s="18"/>
      <c r="GU122" s="18"/>
      <c r="GV122" s="18"/>
      <c r="GW122" s="18"/>
      <c r="GX122" s="18"/>
      <c r="GY122" s="18"/>
      <c r="GZ122" s="18"/>
      <c r="HA122" s="18"/>
      <c r="HB122" s="18"/>
      <c r="HC122" s="18"/>
      <c r="HD122" s="18"/>
      <c r="HE122" s="18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8"/>
      <c r="IG122" s="18"/>
      <c r="IH122" s="18"/>
      <c r="II122" s="18"/>
      <c r="IJ122" s="18"/>
      <c r="IK122" s="18"/>
      <c r="IL122" s="18"/>
      <c r="IM122" s="18"/>
      <c r="IN122" s="18"/>
      <c r="IO122" s="18"/>
      <c r="IP122" s="18"/>
      <c r="IQ122" s="18"/>
      <c r="IR122" s="18"/>
      <c r="IS122" s="18"/>
      <c r="IT122" s="18"/>
      <c r="IU122" s="18"/>
      <c r="IV122" s="18"/>
      <c r="IW122" s="18"/>
    </row>
    <row r="123" customFormat="false" ht="13.2" hidden="false" customHeight="false" outlineLevel="0" collapsed="false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CF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  <c r="FR123" s="18"/>
      <c r="FS123" s="18"/>
      <c r="FT123" s="18"/>
      <c r="FU123" s="18"/>
      <c r="FV123" s="18"/>
      <c r="FW123" s="18"/>
      <c r="FX123" s="18"/>
      <c r="FY123" s="18"/>
      <c r="FZ123" s="18"/>
      <c r="GA123" s="18"/>
      <c r="GB123" s="18"/>
      <c r="GC123" s="18"/>
      <c r="GD123" s="18"/>
      <c r="GE123" s="18"/>
      <c r="GF123" s="18"/>
      <c r="GG123" s="18"/>
      <c r="GH123" s="18"/>
      <c r="GI123" s="18"/>
      <c r="GJ123" s="18"/>
      <c r="GK123" s="18"/>
      <c r="GL123" s="18"/>
      <c r="GM123" s="18"/>
      <c r="GN123" s="18"/>
      <c r="GO123" s="18"/>
      <c r="GP123" s="18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18"/>
      <c r="HC123" s="18"/>
      <c r="HD123" s="18"/>
      <c r="HE123" s="18"/>
      <c r="HF123" s="18"/>
      <c r="HG123" s="18"/>
      <c r="HH123" s="18"/>
      <c r="HI123" s="18"/>
      <c r="HJ123" s="18"/>
      <c r="HK123" s="18"/>
      <c r="HL123" s="18"/>
      <c r="HM123" s="18"/>
      <c r="HN123" s="18"/>
      <c r="HO123" s="18"/>
      <c r="HP123" s="18"/>
      <c r="HQ123" s="18"/>
      <c r="HR123" s="18"/>
      <c r="HS123" s="18"/>
      <c r="HT123" s="18"/>
      <c r="HU123" s="18"/>
      <c r="HV123" s="18"/>
      <c r="HW123" s="18"/>
      <c r="HX123" s="18"/>
      <c r="HY123" s="18"/>
      <c r="HZ123" s="18"/>
      <c r="IA123" s="18"/>
      <c r="IB123" s="18"/>
      <c r="IC123" s="18"/>
      <c r="ID123" s="18"/>
      <c r="IE123" s="18"/>
      <c r="IF123" s="18"/>
      <c r="IG123" s="18"/>
      <c r="IH123" s="18"/>
      <c r="II123" s="18"/>
      <c r="IJ123" s="18"/>
      <c r="IK123" s="18"/>
      <c r="IL123" s="18"/>
      <c r="IM123" s="18"/>
      <c r="IN123" s="18"/>
      <c r="IO123" s="18"/>
      <c r="IP123" s="18"/>
      <c r="IQ123" s="18"/>
      <c r="IR123" s="18"/>
      <c r="IS123" s="18"/>
      <c r="IT123" s="18"/>
      <c r="IU123" s="18"/>
      <c r="IV123" s="18"/>
      <c r="IW123" s="18"/>
    </row>
    <row r="124" customFormat="false" ht="13.2" hidden="false" customHeight="false" outlineLevel="0" collapsed="false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CF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  <c r="FR124" s="18"/>
      <c r="FS124" s="18"/>
      <c r="FT124" s="18"/>
      <c r="FU124" s="18"/>
      <c r="FV124" s="18"/>
      <c r="FW124" s="18"/>
      <c r="FX124" s="18"/>
      <c r="FY124" s="18"/>
      <c r="FZ124" s="18"/>
      <c r="GA124" s="18"/>
      <c r="GB124" s="18"/>
      <c r="GC124" s="18"/>
      <c r="GD124" s="18"/>
      <c r="GE124" s="18"/>
      <c r="GF124" s="18"/>
      <c r="GG124" s="18"/>
      <c r="GH124" s="18"/>
      <c r="GI124" s="18"/>
      <c r="GJ124" s="18"/>
      <c r="GK124" s="18"/>
      <c r="GL124" s="18"/>
      <c r="GM124" s="18"/>
      <c r="GN124" s="18"/>
      <c r="GO124" s="18"/>
      <c r="GP124" s="18"/>
      <c r="GQ124" s="18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18"/>
      <c r="HC124" s="18"/>
      <c r="HD124" s="18"/>
      <c r="HE124" s="18"/>
      <c r="HF124" s="18"/>
      <c r="HG124" s="18"/>
      <c r="HH124" s="18"/>
      <c r="HI124" s="18"/>
      <c r="HJ124" s="18"/>
      <c r="HK124" s="18"/>
      <c r="HL124" s="18"/>
      <c r="HM124" s="18"/>
      <c r="HN124" s="18"/>
      <c r="HO124" s="18"/>
      <c r="HP124" s="18"/>
      <c r="HQ124" s="18"/>
      <c r="HR124" s="18"/>
      <c r="HS124" s="18"/>
      <c r="HT124" s="18"/>
      <c r="HU124" s="18"/>
      <c r="HV124" s="18"/>
      <c r="HW124" s="18"/>
      <c r="HX124" s="18"/>
      <c r="HY124" s="18"/>
      <c r="HZ124" s="18"/>
      <c r="IA124" s="18"/>
      <c r="IB124" s="18"/>
      <c r="IC124" s="18"/>
      <c r="ID124" s="18"/>
      <c r="IE124" s="18"/>
      <c r="IF124" s="18"/>
      <c r="IG124" s="18"/>
      <c r="IH124" s="18"/>
      <c r="II124" s="18"/>
      <c r="IJ124" s="18"/>
      <c r="IK124" s="18"/>
      <c r="IL124" s="18"/>
      <c r="IM124" s="18"/>
      <c r="IN124" s="18"/>
      <c r="IO124" s="18"/>
      <c r="IP124" s="18"/>
      <c r="IQ124" s="18"/>
      <c r="IR124" s="18"/>
      <c r="IS124" s="18"/>
      <c r="IT124" s="18"/>
      <c r="IU124" s="18"/>
      <c r="IV124" s="18"/>
      <c r="IW124" s="18"/>
    </row>
    <row r="125" customFormat="false" ht="13.2" hidden="false" customHeight="false" outlineLevel="0" collapsed="false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CF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  <c r="FS125" s="18"/>
      <c r="FT125" s="18"/>
      <c r="FU125" s="18"/>
      <c r="FV125" s="18"/>
      <c r="FW125" s="18"/>
      <c r="FX125" s="18"/>
      <c r="FY125" s="18"/>
      <c r="FZ125" s="18"/>
      <c r="GA125" s="18"/>
      <c r="GB125" s="18"/>
      <c r="GC125" s="18"/>
      <c r="GD125" s="18"/>
      <c r="GE125" s="18"/>
      <c r="GF125" s="18"/>
      <c r="GG125" s="18"/>
      <c r="GH125" s="18"/>
      <c r="GI125" s="18"/>
      <c r="GJ125" s="1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18"/>
      <c r="GX125" s="18"/>
      <c r="GY125" s="18"/>
      <c r="GZ125" s="18"/>
      <c r="HA125" s="18"/>
      <c r="HB125" s="18"/>
      <c r="HC125" s="18"/>
      <c r="HD125" s="18"/>
      <c r="HE125" s="18"/>
      <c r="HF125" s="18"/>
      <c r="HG125" s="18"/>
      <c r="HH125" s="18"/>
      <c r="HI125" s="18"/>
      <c r="HJ125" s="18"/>
      <c r="HK125" s="18"/>
      <c r="HL125" s="18"/>
      <c r="HM125" s="18"/>
      <c r="HN125" s="18"/>
      <c r="HO125" s="18"/>
      <c r="HP125" s="18"/>
      <c r="HQ125" s="18"/>
      <c r="HR125" s="18"/>
      <c r="HS125" s="18"/>
      <c r="HT125" s="18"/>
      <c r="HU125" s="18"/>
      <c r="HV125" s="18"/>
      <c r="HW125" s="18"/>
      <c r="HX125" s="18"/>
      <c r="HY125" s="18"/>
      <c r="HZ125" s="18"/>
      <c r="IA125" s="18"/>
      <c r="IB125" s="18"/>
      <c r="IC125" s="18"/>
      <c r="ID125" s="18"/>
      <c r="IE125" s="18"/>
      <c r="IF125" s="18"/>
      <c r="IG125" s="18"/>
      <c r="IH125" s="18"/>
      <c r="II125" s="18"/>
      <c r="IJ125" s="18"/>
      <c r="IK125" s="18"/>
      <c r="IL125" s="18"/>
      <c r="IM125" s="18"/>
      <c r="IN125" s="18"/>
      <c r="IO125" s="18"/>
      <c r="IP125" s="18"/>
      <c r="IQ125" s="18"/>
      <c r="IR125" s="18"/>
      <c r="IS125" s="18"/>
      <c r="IT125" s="18"/>
      <c r="IU125" s="18"/>
      <c r="IV125" s="18"/>
      <c r="IW125" s="18"/>
    </row>
    <row r="126" customFormat="false" ht="13.2" hidden="false" customHeight="false" outlineLevel="0" collapsed="false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CF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  <c r="FS126" s="18"/>
      <c r="FT126" s="18"/>
      <c r="FU126" s="18"/>
      <c r="FV126" s="18"/>
      <c r="FW126" s="18"/>
      <c r="FX126" s="18"/>
      <c r="FY126" s="18"/>
      <c r="FZ126" s="18"/>
      <c r="GA126" s="18"/>
      <c r="GB126" s="18"/>
      <c r="GC126" s="18"/>
      <c r="GD126" s="18"/>
      <c r="GE126" s="18"/>
      <c r="GF126" s="18"/>
      <c r="GG126" s="18"/>
      <c r="GH126" s="18"/>
      <c r="GI126" s="18"/>
      <c r="GJ126" s="1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18"/>
      <c r="GX126" s="18"/>
      <c r="GY126" s="18"/>
      <c r="GZ126" s="18"/>
      <c r="HA126" s="18"/>
      <c r="HB126" s="18"/>
      <c r="HC126" s="18"/>
      <c r="HD126" s="18"/>
      <c r="HE126" s="18"/>
      <c r="HF126" s="18"/>
      <c r="HG126" s="18"/>
      <c r="HH126" s="18"/>
      <c r="HI126" s="18"/>
      <c r="HJ126" s="18"/>
      <c r="HK126" s="18"/>
      <c r="HL126" s="18"/>
      <c r="HM126" s="18"/>
      <c r="HN126" s="18"/>
      <c r="HO126" s="18"/>
      <c r="HP126" s="18"/>
      <c r="HQ126" s="18"/>
      <c r="HR126" s="18"/>
      <c r="HS126" s="18"/>
      <c r="HT126" s="18"/>
      <c r="HU126" s="18"/>
      <c r="HV126" s="18"/>
      <c r="HW126" s="18"/>
      <c r="HX126" s="18"/>
      <c r="HY126" s="18"/>
      <c r="HZ126" s="18"/>
      <c r="IA126" s="18"/>
      <c r="IB126" s="18"/>
      <c r="IC126" s="18"/>
      <c r="ID126" s="18"/>
      <c r="IE126" s="18"/>
      <c r="IF126" s="18"/>
      <c r="IG126" s="18"/>
      <c r="IH126" s="18"/>
      <c r="II126" s="18"/>
      <c r="IJ126" s="18"/>
      <c r="IK126" s="18"/>
      <c r="IL126" s="18"/>
      <c r="IM126" s="18"/>
      <c r="IN126" s="18"/>
      <c r="IO126" s="18"/>
      <c r="IP126" s="18"/>
      <c r="IQ126" s="18"/>
      <c r="IR126" s="18"/>
      <c r="IS126" s="18"/>
      <c r="IT126" s="18"/>
      <c r="IU126" s="18"/>
      <c r="IV126" s="18"/>
      <c r="IW126" s="18"/>
    </row>
    <row r="127" customFormat="false" ht="13.2" hidden="false" customHeight="false" outlineLevel="0" collapsed="false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CF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FZ127" s="18"/>
      <c r="GA127" s="18"/>
      <c r="GB127" s="18"/>
      <c r="GC127" s="18"/>
      <c r="GD127" s="18"/>
      <c r="GE127" s="18"/>
      <c r="GF127" s="18"/>
      <c r="GG127" s="18"/>
      <c r="GH127" s="18"/>
      <c r="GI127" s="18"/>
      <c r="GJ127" s="18"/>
      <c r="GK127" s="18"/>
      <c r="GL127" s="18"/>
      <c r="GM127" s="18"/>
      <c r="GN127" s="18"/>
      <c r="GO127" s="18"/>
      <c r="GP127" s="18"/>
      <c r="GQ127" s="18"/>
      <c r="GR127" s="18"/>
      <c r="GS127" s="18"/>
      <c r="GT127" s="18"/>
      <c r="GU127" s="18"/>
      <c r="GV127" s="18"/>
      <c r="GW127" s="18"/>
      <c r="GX127" s="18"/>
      <c r="GY127" s="18"/>
      <c r="GZ127" s="18"/>
      <c r="HA127" s="18"/>
      <c r="HB127" s="18"/>
      <c r="HC127" s="18"/>
      <c r="HD127" s="18"/>
      <c r="HE127" s="18"/>
      <c r="HF127" s="18"/>
      <c r="HG127" s="18"/>
      <c r="HH127" s="18"/>
      <c r="HI127" s="18"/>
      <c r="HJ127" s="18"/>
      <c r="HK127" s="18"/>
      <c r="HL127" s="18"/>
      <c r="HM127" s="18"/>
      <c r="HN127" s="18"/>
      <c r="HO127" s="18"/>
      <c r="HP127" s="18"/>
      <c r="HQ127" s="18"/>
      <c r="HR127" s="18"/>
      <c r="HS127" s="18"/>
      <c r="HT127" s="18"/>
      <c r="HU127" s="18"/>
      <c r="HV127" s="18"/>
      <c r="HW127" s="18"/>
      <c r="HX127" s="18"/>
      <c r="HY127" s="18"/>
      <c r="HZ127" s="18"/>
      <c r="IA127" s="18"/>
      <c r="IB127" s="18"/>
      <c r="IC127" s="18"/>
      <c r="ID127" s="18"/>
      <c r="IE127" s="18"/>
      <c r="IF127" s="18"/>
      <c r="IG127" s="18"/>
      <c r="IH127" s="18"/>
      <c r="II127" s="18"/>
      <c r="IJ127" s="18"/>
      <c r="IK127" s="18"/>
      <c r="IL127" s="18"/>
      <c r="IM127" s="18"/>
      <c r="IN127" s="18"/>
      <c r="IO127" s="18"/>
      <c r="IP127" s="18"/>
      <c r="IQ127" s="18"/>
      <c r="IR127" s="18"/>
      <c r="IS127" s="18"/>
      <c r="IT127" s="18"/>
      <c r="IU127" s="18"/>
      <c r="IV127" s="18"/>
      <c r="IW127" s="18"/>
    </row>
    <row r="128" customFormat="false" ht="13.2" hidden="false" customHeight="false" outlineLevel="0" collapsed="false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CF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8"/>
      <c r="GA128" s="18"/>
      <c r="GB128" s="18"/>
      <c r="GC128" s="18"/>
      <c r="GD128" s="18"/>
      <c r="GE128" s="18"/>
      <c r="GF128" s="18"/>
      <c r="GG128" s="18"/>
      <c r="GH128" s="18"/>
      <c r="GI128" s="18"/>
      <c r="GJ128" s="18"/>
      <c r="GK128" s="18"/>
      <c r="GL128" s="18"/>
      <c r="GM128" s="18"/>
      <c r="GN128" s="18"/>
      <c r="GO128" s="18"/>
      <c r="GP128" s="18"/>
      <c r="GQ128" s="18"/>
      <c r="GR128" s="18"/>
      <c r="GS128" s="18"/>
      <c r="GT128" s="18"/>
      <c r="GU128" s="18"/>
      <c r="GV128" s="18"/>
      <c r="GW128" s="18"/>
      <c r="GX128" s="18"/>
      <c r="GY128" s="18"/>
      <c r="GZ128" s="18"/>
      <c r="HA128" s="18"/>
      <c r="HB128" s="18"/>
      <c r="HC128" s="18"/>
      <c r="HD128" s="18"/>
      <c r="HE128" s="18"/>
      <c r="HF128" s="18"/>
      <c r="HG128" s="18"/>
      <c r="HH128" s="18"/>
      <c r="HI128" s="18"/>
      <c r="HJ128" s="18"/>
      <c r="HK128" s="18"/>
      <c r="HL128" s="18"/>
      <c r="HM128" s="18"/>
      <c r="HN128" s="18"/>
      <c r="HO128" s="18"/>
      <c r="HP128" s="18"/>
      <c r="HQ128" s="18"/>
      <c r="HR128" s="18"/>
      <c r="HS128" s="18"/>
      <c r="HT128" s="18"/>
      <c r="HU128" s="18"/>
      <c r="HV128" s="18"/>
      <c r="HW128" s="18"/>
      <c r="HX128" s="18"/>
      <c r="HY128" s="18"/>
      <c r="HZ128" s="18"/>
      <c r="IA128" s="18"/>
      <c r="IB128" s="18"/>
      <c r="IC128" s="18"/>
      <c r="ID128" s="18"/>
      <c r="IE128" s="18"/>
      <c r="IF128" s="18"/>
      <c r="IG128" s="18"/>
      <c r="IH128" s="18"/>
      <c r="II128" s="18"/>
      <c r="IJ128" s="18"/>
      <c r="IK128" s="18"/>
      <c r="IL128" s="18"/>
      <c r="IM128" s="18"/>
      <c r="IN128" s="18"/>
      <c r="IO128" s="18"/>
      <c r="IP128" s="18"/>
      <c r="IQ128" s="18"/>
      <c r="IR128" s="18"/>
      <c r="IS128" s="18"/>
      <c r="IT128" s="18"/>
      <c r="IU128" s="18"/>
      <c r="IV128" s="18"/>
      <c r="IW128" s="18"/>
    </row>
    <row r="129" customFormat="false" ht="13.2" hidden="false" customHeight="false" outlineLevel="0" collapsed="false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CF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8"/>
      <c r="GA129" s="18"/>
      <c r="GB129" s="18"/>
      <c r="GC129" s="18"/>
      <c r="GD129" s="18"/>
      <c r="GE129" s="18"/>
      <c r="GF129" s="18"/>
      <c r="GG129" s="18"/>
      <c r="GH129" s="18"/>
      <c r="GI129" s="18"/>
      <c r="GJ129" s="18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18"/>
      <c r="GV129" s="18"/>
      <c r="GW129" s="18"/>
      <c r="GX129" s="18"/>
      <c r="GY129" s="18"/>
      <c r="GZ129" s="18"/>
      <c r="HA129" s="18"/>
      <c r="HB129" s="18"/>
      <c r="HC129" s="18"/>
      <c r="HD129" s="18"/>
      <c r="HE129" s="18"/>
      <c r="HF129" s="18"/>
      <c r="HG129" s="18"/>
      <c r="HH129" s="18"/>
      <c r="HI129" s="18"/>
      <c r="HJ129" s="18"/>
      <c r="HK129" s="18"/>
      <c r="HL129" s="18"/>
      <c r="HM129" s="18"/>
      <c r="HN129" s="18"/>
      <c r="HO129" s="18"/>
      <c r="HP129" s="18"/>
      <c r="HQ129" s="18"/>
      <c r="HR129" s="18"/>
      <c r="HS129" s="18"/>
      <c r="HT129" s="18"/>
      <c r="HU129" s="18"/>
      <c r="HV129" s="18"/>
      <c r="HW129" s="18"/>
      <c r="HX129" s="18"/>
      <c r="HY129" s="18"/>
      <c r="HZ129" s="18"/>
      <c r="IA129" s="18"/>
      <c r="IB129" s="18"/>
      <c r="IC129" s="18"/>
      <c r="ID129" s="18"/>
      <c r="IE129" s="18"/>
      <c r="IF129" s="18"/>
      <c r="IG129" s="18"/>
      <c r="IH129" s="18"/>
      <c r="II129" s="18"/>
      <c r="IJ129" s="18"/>
      <c r="IK129" s="18"/>
      <c r="IL129" s="18"/>
      <c r="IM129" s="18"/>
      <c r="IN129" s="18"/>
      <c r="IO129" s="18"/>
      <c r="IP129" s="18"/>
      <c r="IQ129" s="18"/>
      <c r="IR129" s="18"/>
      <c r="IS129" s="18"/>
      <c r="IT129" s="18"/>
      <c r="IU129" s="18"/>
      <c r="IV129" s="18"/>
      <c r="IW129" s="18"/>
    </row>
    <row r="130" customFormat="false" ht="13.2" hidden="false" customHeight="false" outlineLevel="0" collapsed="false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CF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  <c r="FR130" s="18"/>
      <c r="FS130" s="18"/>
      <c r="FT130" s="18"/>
      <c r="FU130" s="18"/>
      <c r="FV130" s="18"/>
      <c r="FW130" s="18"/>
      <c r="FX130" s="18"/>
      <c r="FY130" s="18"/>
      <c r="FZ130" s="18"/>
      <c r="GA130" s="18"/>
      <c r="GB130" s="18"/>
      <c r="GC130" s="18"/>
      <c r="GD130" s="18"/>
      <c r="GE130" s="18"/>
      <c r="GF130" s="18"/>
      <c r="GG130" s="18"/>
      <c r="GH130" s="18"/>
      <c r="GI130" s="18"/>
      <c r="GJ130" s="18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18"/>
      <c r="GV130" s="18"/>
      <c r="GW130" s="18"/>
      <c r="GX130" s="18"/>
      <c r="GY130" s="18"/>
      <c r="GZ130" s="18"/>
      <c r="HA130" s="18"/>
      <c r="HB130" s="18"/>
      <c r="HC130" s="18"/>
      <c r="HD130" s="18"/>
      <c r="HE130" s="18"/>
      <c r="HF130" s="18"/>
      <c r="HG130" s="18"/>
      <c r="HH130" s="18"/>
      <c r="HI130" s="18"/>
      <c r="HJ130" s="18"/>
      <c r="HK130" s="18"/>
      <c r="HL130" s="18"/>
      <c r="HM130" s="18"/>
      <c r="HN130" s="18"/>
      <c r="HO130" s="18"/>
      <c r="HP130" s="18"/>
      <c r="HQ130" s="18"/>
      <c r="HR130" s="18"/>
      <c r="HS130" s="18"/>
      <c r="HT130" s="18"/>
      <c r="HU130" s="18"/>
      <c r="HV130" s="18"/>
      <c r="HW130" s="18"/>
      <c r="HX130" s="18"/>
      <c r="HY130" s="18"/>
      <c r="HZ130" s="18"/>
      <c r="IA130" s="18"/>
      <c r="IB130" s="18"/>
      <c r="IC130" s="18"/>
      <c r="ID130" s="18"/>
      <c r="IE130" s="18"/>
      <c r="IF130" s="18"/>
      <c r="IG130" s="18"/>
      <c r="IH130" s="18"/>
      <c r="II130" s="18"/>
      <c r="IJ130" s="18"/>
      <c r="IK130" s="18"/>
      <c r="IL130" s="18"/>
      <c r="IM130" s="18"/>
      <c r="IN130" s="18"/>
      <c r="IO130" s="18"/>
      <c r="IP130" s="18"/>
      <c r="IQ130" s="18"/>
      <c r="IR130" s="18"/>
      <c r="IS130" s="18"/>
      <c r="IT130" s="18"/>
      <c r="IU130" s="18"/>
      <c r="IV130" s="18"/>
      <c r="IW130" s="18"/>
    </row>
    <row r="131" customFormat="false" ht="13.2" hidden="false" customHeight="false" outlineLevel="0" collapsed="false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CF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  <c r="FR131" s="18"/>
      <c r="FS131" s="18"/>
      <c r="FT131" s="18"/>
      <c r="FU131" s="18"/>
      <c r="FV131" s="18"/>
      <c r="FW131" s="18"/>
      <c r="FX131" s="18"/>
      <c r="FY131" s="18"/>
      <c r="FZ131" s="18"/>
      <c r="GA131" s="18"/>
      <c r="GB131" s="18"/>
      <c r="GC131" s="18"/>
      <c r="GD131" s="18"/>
      <c r="GE131" s="18"/>
      <c r="GF131" s="18"/>
      <c r="GG131" s="18"/>
      <c r="GH131" s="18"/>
      <c r="GI131" s="18"/>
      <c r="GJ131" s="18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18"/>
      <c r="GV131" s="18"/>
      <c r="GW131" s="18"/>
      <c r="GX131" s="18"/>
      <c r="GY131" s="18"/>
      <c r="GZ131" s="18"/>
      <c r="HA131" s="18"/>
      <c r="HB131" s="18"/>
      <c r="HC131" s="18"/>
      <c r="HD131" s="18"/>
      <c r="HE131" s="18"/>
      <c r="HF131" s="18"/>
      <c r="HG131" s="18"/>
      <c r="HH131" s="18"/>
      <c r="HI131" s="18"/>
      <c r="HJ131" s="18"/>
      <c r="HK131" s="18"/>
      <c r="HL131" s="18"/>
      <c r="HM131" s="18"/>
      <c r="HN131" s="18"/>
      <c r="HO131" s="18"/>
      <c r="HP131" s="18"/>
      <c r="HQ131" s="18"/>
      <c r="HR131" s="18"/>
      <c r="HS131" s="18"/>
      <c r="HT131" s="18"/>
      <c r="HU131" s="18"/>
      <c r="HV131" s="18"/>
      <c r="HW131" s="18"/>
      <c r="HX131" s="18"/>
      <c r="HY131" s="18"/>
      <c r="HZ131" s="18"/>
      <c r="IA131" s="18"/>
      <c r="IB131" s="18"/>
      <c r="IC131" s="18"/>
      <c r="ID131" s="18"/>
      <c r="IE131" s="18"/>
      <c r="IF131" s="18"/>
      <c r="IG131" s="18"/>
      <c r="IH131" s="18"/>
      <c r="II131" s="18"/>
      <c r="IJ131" s="18"/>
      <c r="IK131" s="18"/>
      <c r="IL131" s="18"/>
      <c r="IM131" s="18"/>
      <c r="IN131" s="18"/>
      <c r="IO131" s="18"/>
      <c r="IP131" s="18"/>
      <c r="IQ131" s="18"/>
      <c r="IR131" s="18"/>
      <c r="IS131" s="18"/>
      <c r="IT131" s="18"/>
      <c r="IU131" s="18"/>
      <c r="IV131" s="18"/>
      <c r="IW131" s="18"/>
    </row>
    <row r="132" customFormat="false" ht="13.2" hidden="false" customHeight="false" outlineLevel="0" collapsed="false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CF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/>
      <c r="DK132" s="18"/>
      <c r="DL132" s="18"/>
      <c r="DM132" s="18"/>
      <c r="DN132" s="18"/>
      <c r="DO132" s="18"/>
      <c r="DP132" s="18"/>
      <c r="DQ132" s="18"/>
      <c r="DR132" s="18"/>
      <c r="DS132" s="18"/>
      <c r="DT132" s="18"/>
      <c r="DU132" s="18"/>
      <c r="DV132" s="18"/>
      <c r="DW132" s="18"/>
      <c r="DX132" s="18"/>
      <c r="DY132" s="18"/>
      <c r="DZ132" s="18"/>
      <c r="EA132" s="18"/>
      <c r="EB132" s="18"/>
      <c r="EC132" s="18"/>
      <c r="ED132" s="18"/>
      <c r="EE132" s="18"/>
      <c r="EF132" s="18"/>
      <c r="EG132" s="18"/>
      <c r="EH132" s="18"/>
      <c r="EI132" s="18"/>
      <c r="EJ132" s="18"/>
      <c r="EK132" s="18"/>
      <c r="EL132" s="18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18"/>
      <c r="EZ132" s="18"/>
      <c r="FA132" s="18"/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18"/>
      <c r="FO132" s="18"/>
      <c r="FP132" s="18"/>
      <c r="FQ132" s="18"/>
      <c r="FR132" s="18"/>
      <c r="FS132" s="18"/>
      <c r="FT132" s="18"/>
      <c r="FU132" s="18"/>
      <c r="FV132" s="18"/>
      <c r="FW132" s="18"/>
      <c r="FX132" s="18"/>
      <c r="FY132" s="18"/>
      <c r="FZ132" s="18"/>
      <c r="GA132" s="18"/>
      <c r="GB132" s="18"/>
      <c r="GC132" s="18"/>
      <c r="GD132" s="18"/>
      <c r="GE132" s="18"/>
      <c r="GF132" s="18"/>
      <c r="GG132" s="18"/>
      <c r="GH132" s="18"/>
      <c r="GI132" s="18"/>
      <c r="GJ132" s="18"/>
      <c r="GK132" s="18"/>
      <c r="GL132" s="18"/>
      <c r="GM132" s="18"/>
      <c r="GN132" s="18"/>
      <c r="GO132" s="18"/>
      <c r="GP132" s="18"/>
      <c r="GQ132" s="18"/>
      <c r="GR132" s="18"/>
      <c r="GS132" s="18"/>
      <c r="GT132" s="18"/>
      <c r="GU132" s="18"/>
      <c r="GV132" s="18"/>
      <c r="GW132" s="18"/>
      <c r="GX132" s="18"/>
      <c r="GY132" s="18"/>
      <c r="GZ132" s="18"/>
      <c r="HA132" s="18"/>
      <c r="HB132" s="18"/>
      <c r="HC132" s="18"/>
      <c r="HD132" s="18"/>
      <c r="HE132" s="18"/>
      <c r="HF132" s="18"/>
      <c r="HG132" s="18"/>
      <c r="HH132" s="18"/>
      <c r="HI132" s="18"/>
      <c r="HJ132" s="18"/>
      <c r="HK132" s="18"/>
      <c r="HL132" s="18"/>
      <c r="HM132" s="18"/>
      <c r="HN132" s="18"/>
      <c r="HO132" s="18"/>
      <c r="HP132" s="18"/>
      <c r="HQ132" s="18"/>
      <c r="HR132" s="18"/>
      <c r="HS132" s="18"/>
      <c r="HT132" s="18"/>
      <c r="HU132" s="18"/>
      <c r="HV132" s="18"/>
      <c r="HW132" s="18"/>
      <c r="HX132" s="18"/>
      <c r="HY132" s="18"/>
      <c r="HZ132" s="18"/>
      <c r="IA132" s="18"/>
      <c r="IB132" s="18"/>
      <c r="IC132" s="18"/>
      <c r="ID132" s="18"/>
      <c r="IE132" s="18"/>
      <c r="IF132" s="18"/>
      <c r="IG132" s="18"/>
      <c r="IH132" s="18"/>
      <c r="II132" s="18"/>
      <c r="IJ132" s="18"/>
      <c r="IK132" s="18"/>
      <c r="IL132" s="18"/>
      <c r="IM132" s="18"/>
      <c r="IN132" s="18"/>
      <c r="IO132" s="18"/>
      <c r="IP132" s="18"/>
      <c r="IQ132" s="18"/>
      <c r="IR132" s="18"/>
      <c r="IS132" s="18"/>
      <c r="IT132" s="18"/>
      <c r="IU132" s="18"/>
      <c r="IV132" s="18"/>
      <c r="IW132" s="18"/>
    </row>
    <row r="133" customFormat="false" ht="13.2" hidden="false" customHeight="false" outlineLevel="0" collapsed="false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CF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/>
      <c r="DK133" s="18"/>
      <c r="DL133" s="18"/>
      <c r="DM133" s="18"/>
      <c r="DN133" s="18"/>
      <c r="DO133" s="18"/>
      <c r="DP133" s="18"/>
      <c r="DQ133" s="18"/>
      <c r="DR133" s="18"/>
      <c r="DS133" s="18"/>
      <c r="DT133" s="18"/>
      <c r="DU133" s="18"/>
      <c r="DV133" s="18"/>
      <c r="DW133" s="18"/>
      <c r="DX133" s="18"/>
      <c r="DY133" s="18"/>
      <c r="DZ133" s="18"/>
      <c r="EA133" s="18"/>
      <c r="EB133" s="18"/>
      <c r="EC133" s="18"/>
      <c r="ED133" s="18"/>
      <c r="EE133" s="18"/>
      <c r="EF133" s="18"/>
      <c r="EG133" s="18"/>
      <c r="EH133" s="18"/>
      <c r="EI133" s="18"/>
      <c r="EJ133" s="18"/>
      <c r="EK133" s="18"/>
      <c r="EL133" s="18"/>
      <c r="EM133" s="18"/>
      <c r="EN133" s="18"/>
      <c r="EO133" s="18"/>
      <c r="EP133" s="18"/>
      <c r="EQ133" s="18"/>
      <c r="ER133" s="18"/>
      <c r="ES133" s="18"/>
      <c r="ET133" s="18"/>
      <c r="EU133" s="18"/>
      <c r="EV133" s="18"/>
      <c r="EW133" s="18"/>
      <c r="EX133" s="18"/>
      <c r="EY133" s="18"/>
      <c r="EZ133" s="18"/>
      <c r="FA133" s="18"/>
      <c r="FB133" s="18"/>
      <c r="FC133" s="18"/>
      <c r="FD133" s="18"/>
      <c r="FE133" s="18"/>
      <c r="FF133" s="18"/>
      <c r="FG133" s="18"/>
      <c r="FH133" s="18"/>
      <c r="FI133" s="18"/>
      <c r="FJ133" s="18"/>
      <c r="FK133" s="18"/>
      <c r="FL133" s="18"/>
      <c r="FM133" s="18"/>
      <c r="FN133" s="18"/>
      <c r="FO133" s="18"/>
      <c r="FP133" s="18"/>
      <c r="FQ133" s="18"/>
      <c r="FR133" s="18"/>
      <c r="FS133" s="18"/>
      <c r="FT133" s="18"/>
      <c r="FU133" s="18"/>
      <c r="FV133" s="18"/>
      <c r="FW133" s="18"/>
      <c r="FX133" s="18"/>
      <c r="FY133" s="18"/>
      <c r="FZ133" s="18"/>
      <c r="GA133" s="18"/>
      <c r="GB133" s="18"/>
      <c r="GC133" s="18"/>
      <c r="GD133" s="18"/>
      <c r="GE133" s="18"/>
      <c r="GF133" s="18"/>
      <c r="GG133" s="18"/>
      <c r="GH133" s="18"/>
      <c r="GI133" s="18"/>
      <c r="GJ133" s="18"/>
      <c r="GK133" s="18"/>
      <c r="GL133" s="18"/>
      <c r="GM133" s="18"/>
      <c r="GN133" s="18"/>
      <c r="GO133" s="18"/>
      <c r="GP133" s="18"/>
      <c r="GQ133" s="18"/>
      <c r="GR133" s="18"/>
      <c r="GS133" s="18"/>
      <c r="GT133" s="18"/>
      <c r="GU133" s="18"/>
      <c r="GV133" s="18"/>
      <c r="GW133" s="18"/>
      <c r="GX133" s="18"/>
      <c r="GY133" s="18"/>
      <c r="GZ133" s="18"/>
      <c r="HA133" s="18"/>
      <c r="HB133" s="18"/>
      <c r="HC133" s="18"/>
      <c r="HD133" s="18"/>
      <c r="HE133" s="18"/>
      <c r="HF133" s="18"/>
      <c r="HG133" s="18"/>
      <c r="HH133" s="18"/>
      <c r="HI133" s="18"/>
      <c r="HJ133" s="18"/>
      <c r="HK133" s="18"/>
      <c r="HL133" s="18"/>
      <c r="HM133" s="18"/>
      <c r="HN133" s="18"/>
      <c r="HO133" s="18"/>
      <c r="HP133" s="18"/>
      <c r="HQ133" s="18"/>
      <c r="HR133" s="18"/>
      <c r="HS133" s="18"/>
      <c r="HT133" s="18"/>
      <c r="HU133" s="18"/>
      <c r="HV133" s="18"/>
      <c r="HW133" s="18"/>
      <c r="HX133" s="18"/>
      <c r="HY133" s="18"/>
      <c r="HZ133" s="18"/>
      <c r="IA133" s="18"/>
      <c r="IB133" s="18"/>
      <c r="IC133" s="18"/>
      <c r="ID133" s="18"/>
      <c r="IE133" s="18"/>
      <c r="IF133" s="18"/>
      <c r="IG133" s="18"/>
      <c r="IH133" s="18"/>
      <c r="II133" s="18"/>
      <c r="IJ133" s="18"/>
      <c r="IK133" s="18"/>
      <c r="IL133" s="18"/>
      <c r="IM133" s="18"/>
      <c r="IN133" s="18"/>
      <c r="IO133" s="18"/>
      <c r="IP133" s="18"/>
      <c r="IQ133" s="18"/>
      <c r="IR133" s="18"/>
      <c r="IS133" s="18"/>
      <c r="IT133" s="18"/>
      <c r="IU133" s="18"/>
      <c r="IV133" s="18"/>
      <c r="IW133" s="18"/>
    </row>
    <row r="134" customFormat="false" ht="13.2" hidden="false" customHeight="false" outlineLevel="0" collapsed="false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CF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/>
      <c r="DK134" s="18"/>
      <c r="DL134" s="18"/>
      <c r="DM134" s="18"/>
      <c r="DN134" s="18"/>
      <c r="DO134" s="18"/>
      <c r="DP134" s="18"/>
      <c r="DQ134" s="18"/>
      <c r="DR134" s="18"/>
      <c r="DS134" s="18"/>
      <c r="DT134" s="18"/>
      <c r="DU134" s="18"/>
      <c r="DV134" s="18"/>
      <c r="DW134" s="18"/>
      <c r="DX134" s="18"/>
      <c r="DY134" s="18"/>
      <c r="DZ134" s="18"/>
      <c r="EA134" s="18"/>
      <c r="EB134" s="18"/>
      <c r="EC134" s="18"/>
      <c r="ED134" s="18"/>
      <c r="EE134" s="18"/>
      <c r="EF134" s="18"/>
      <c r="EG134" s="18"/>
      <c r="EH134" s="18"/>
      <c r="EI134" s="18"/>
      <c r="EJ134" s="18"/>
      <c r="EK134" s="18"/>
      <c r="EL134" s="18"/>
      <c r="EM134" s="18"/>
      <c r="EN134" s="1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18"/>
      <c r="FA134" s="18"/>
      <c r="FB134" s="18"/>
      <c r="FC134" s="18"/>
      <c r="FD134" s="18"/>
      <c r="FE134" s="18"/>
      <c r="FF134" s="18"/>
      <c r="FG134" s="18"/>
      <c r="FH134" s="18"/>
      <c r="FI134" s="18"/>
      <c r="FJ134" s="18"/>
      <c r="FK134" s="18"/>
      <c r="FL134" s="18"/>
      <c r="FM134" s="18"/>
      <c r="FN134" s="18"/>
      <c r="FO134" s="18"/>
      <c r="FP134" s="18"/>
      <c r="FQ134" s="18"/>
      <c r="FR134" s="18"/>
      <c r="FS134" s="18"/>
      <c r="FT134" s="18"/>
      <c r="FU134" s="18"/>
      <c r="FV134" s="18"/>
      <c r="FW134" s="18"/>
      <c r="FX134" s="18"/>
      <c r="FY134" s="18"/>
      <c r="FZ134" s="18"/>
      <c r="GA134" s="18"/>
      <c r="GB134" s="18"/>
      <c r="GC134" s="18"/>
      <c r="GD134" s="18"/>
      <c r="GE134" s="18"/>
      <c r="GF134" s="18"/>
      <c r="GG134" s="18"/>
      <c r="GH134" s="18"/>
      <c r="GI134" s="18"/>
      <c r="GJ134" s="18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18"/>
      <c r="GV134" s="18"/>
      <c r="GW134" s="18"/>
      <c r="GX134" s="18"/>
      <c r="GY134" s="18"/>
      <c r="GZ134" s="18"/>
      <c r="HA134" s="18"/>
      <c r="HB134" s="18"/>
      <c r="HC134" s="18"/>
      <c r="HD134" s="18"/>
      <c r="HE134" s="18"/>
      <c r="HF134" s="18"/>
      <c r="HG134" s="18"/>
      <c r="HH134" s="18"/>
      <c r="HI134" s="18"/>
      <c r="HJ134" s="18"/>
      <c r="HK134" s="18"/>
      <c r="HL134" s="18"/>
      <c r="HM134" s="18"/>
      <c r="HN134" s="18"/>
      <c r="HO134" s="18"/>
      <c r="HP134" s="18"/>
      <c r="HQ134" s="18"/>
      <c r="HR134" s="18"/>
      <c r="HS134" s="18"/>
      <c r="HT134" s="18"/>
      <c r="HU134" s="18"/>
      <c r="HV134" s="18"/>
      <c r="HW134" s="18"/>
      <c r="HX134" s="18"/>
      <c r="HY134" s="18"/>
      <c r="HZ134" s="18"/>
      <c r="IA134" s="18"/>
      <c r="IB134" s="18"/>
      <c r="IC134" s="18"/>
      <c r="ID134" s="18"/>
      <c r="IE134" s="18"/>
      <c r="IF134" s="18"/>
      <c r="IG134" s="18"/>
      <c r="IH134" s="18"/>
      <c r="II134" s="18"/>
      <c r="IJ134" s="18"/>
      <c r="IK134" s="18"/>
      <c r="IL134" s="18"/>
      <c r="IM134" s="18"/>
      <c r="IN134" s="18"/>
      <c r="IO134" s="18"/>
      <c r="IP134" s="18"/>
      <c r="IQ134" s="18"/>
      <c r="IR134" s="18"/>
      <c r="IS134" s="18"/>
      <c r="IT134" s="18"/>
      <c r="IU134" s="18"/>
      <c r="IV134" s="18"/>
      <c r="IW134" s="18"/>
    </row>
    <row r="135" customFormat="false" ht="13.2" hidden="false" customHeight="false" outlineLevel="0" collapsed="false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CF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18"/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8"/>
      <c r="FK135" s="18"/>
      <c r="FL135" s="18"/>
      <c r="FM135" s="18"/>
      <c r="FN135" s="18"/>
      <c r="FO135" s="18"/>
      <c r="FP135" s="18"/>
      <c r="FQ135" s="18"/>
      <c r="FR135" s="18"/>
      <c r="FS135" s="18"/>
      <c r="FT135" s="18"/>
      <c r="FU135" s="18"/>
      <c r="FV135" s="18"/>
      <c r="FW135" s="18"/>
      <c r="FX135" s="18"/>
      <c r="FY135" s="18"/>
      <c r="FZ135" s="18"/>
      <c r="GA135" s="18"/>
      <c r="GB135" s="18"/>
      <c r="GC135" s="18"/>
      <c r="GD135" s="18"/>
      <c r="GE135" s="18"/>
      <c r="GF135" s="18"/>
      <c r="GG135" s="18"/>
      <c r="GH135" s="18"/>
      <c r="GI135" s="18"/>
      <c r="GJ135" s="18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18"/>
      <c r="GV135" s="18"/>
      <c r="GW135" s="18"/>
      <c r="GX135" s="18"/>
      <c r="GY135" s="18"/>
      <c r="GZ135" s="18"/>
      <c r="HA135" s="18"/>
      <c r="HB135" s="18"/>
      <c r="HC135" s="18"/>
      <c r="HD135" s="18"/>
      <c r="HE135" s="18"/>
      <c r="HF135" s="18"/>
      <c r="HG135" s="18"/>
      <c r="HH135" s="18"/>
      <c r="HI135" s="18"/>
      <c r="HJ135" s="18"/>
      <c r="HK135" s="18"/>
      <c r="HL135" s="18"/>
      <c r="HM135" s="18"/>
      <c r="HN135" s="18"/>
      <c r="HO135" s="18"/>
      <c r="HP135" s="18"/>
      <c r="HQ135" s="18"/>
      <c r="HR135" s="18"/>
      <c r="HS135" s="18"/>
      <c r="HT135" s="18"/>
      <c r="HU135" s="18"/>
      <c r="HV135" s="18"/>
      <c r="HW135" s="18"/>
      <c r="HX135" s="18"/>
      <c r="HY135" s="18"/>
      <c r="HZ135" s="18"/>
      <c r="IA135" s="18"/>
      <c r="IB135" s="18"/>
      <c r="IC135" s="18"/>
      <c r="ID135" s="18"/>
      <c r="IE135" s="18"/>
      <c r="IF135" s="18"/>
      <c r="IG135" s="18"/>
      <c r="IH135" s="18"/>
      <c r="II135" s="18"/>
      <c r="IJ135" s="18"/>
      <c r="IK135" s="18"/>
      <c r="IL135" s="18"/>
      <c r="IM135" s="18"/>
      <c r="IN135" s="18"/>
      <c r="IO135" s="18"/>
      <c r="IP135" s="18"/>
      <c r="IQ135" s="18"/>
      <c r="IR135" s="18"/>
      <c r="IS135" s="18"/>
      <c r="IT135" s="18"/>
      <c r="IU135" s="18"/>
      <c r="IV135" s="18"/>
      <c r="IW135" s="18"/>
    </row>
    <row r="136" customFormat="false" ht="13.2" hidden="false" customHeight="false" outlineLevel="0" collapsed="false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CF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/>
      <c r="DH136" s="18"/>
      <c r="DI136" s="18"/>
      <c r="DJ136" s="18"/>
      <c r="DK136" s="18"/>
      <c r="DL136" s="18"/>
      <c r="DM136" s="18"/>
      <c r="DN136" s="18"/>
      <c r="DO136" s="18"/>
      <c r="DP136" s="18"/>
      <c r="DQ136" s="18"/>
      <c r="DR136" s="18"/>
      <c r="DS136" s="18"/>
      <c r="DT136" s="18"/>
      <c r="DU136" s="18"/>
      <c r="DV136" s="18"/>
      <c r="DW136" s="18"/>
      <c r="DX136" s="18"/>
      <c r="DY136" s="18"/>
      <c r="DZ136" s="18"/>
      <c r="EA136" s="18"/>
      <c r="EB136" s="18"/>
      <c r="EC136" s="18"/>
      <c r="ED136" s="18"/>
      <c r="EE136" s="18"/>
      <c r="EF136" s="18"/>
      <c r="EG136" s="18"/>
      <c r="EH136" s="18"/>
      <c r="EI136" s="18"/>
      <c r="EJ136" s="18"/>
      <c r="EK136" s="18"/>
      <c r="EL136" s="18"/>
      <c r="EM136" s="18"/>
      <c r="EN136" s="18"/>
      <c r="EO136" s="18"/>
      <c r="EP136" s="18"/>
      <c r="EQ136" s="18"/>
      <c r="ER136" s="18"/>
      <c r="ES136" s="18"/>
      <c r="ET136" s="18"/>
      <c r="EU136" s="18"/>
      <c r="EV136" s="18"/>
      <c r="EW136" s="18"/>
      <c r="EX136" s="18"/>
      <c r="EY136" s="18"/>
      <c r="EZ136" s="18"/>
      <c r="FA136" s="18"/>
      <c r="FB136" s="18"/>
      <c r="FC136" s="18"/>
      <c r="FD136" s="18"/>
      <c r="FE136" s="18"/>
      <c r="FF136" s="18"/>
      <c r="FG136" s="18"/>
      <c r="FH136" s="18"/>
      <c r="FI136" s="18"/>
      <c r="FJ136" s="18"/>
      <c r="FK136" s="18"/>
      <c r="FL136" s="18"/>
      <c r="FM136" s="18"/>
      <c r="FN136" s="18"/>
      <c r="FO136" s="18"/>
      <c r="FP136" s="18"/>
      <c r="FQ136" s="18"/>
      <c r="FR136" s="18"/>
      <c r="FS136" s="18"/>
      <c r="FT136" s="18"/>
      <c r="FU136" s="18"/>
      <c r="FV136" s="18"/>
      <c r="FW136" s="18"/>
      <c r="FX136" s="18"/>
      <c r="FY136" s="18"/>
      <c r="FZ136" s="18"/>
      <c r="GA136" s="18"/>
      <c r="GB136" s="18"/>
      <c r="GC136" s="18"/>
      <c r="GD136" s="18"/>
      <c r="GE136" s="18"/>
      <c r="GF136" s="18"/>
      <c r="GG136" s="18"/>
      <c r="GH136" s="18"/>
      <c r="GI136" s="18"/>
      <c r="GJ136" s="18"/>
      <c r="GK136" s="18"/>
      <c r="GL136" s="18"/>
      <c r="GM136" s="18"/>
      <c r="GN136" s="18"/>
      <c r="GO136" s="18"/>
      <c r="GP136" s="18"/>
      <c r="GQ136" s="18"/>
      <c r="GR136" s="18"/>
      <c r="GS136" s="18"/>
      <c r="GT136" s="18"/>
      <c r="GU136" s="18"/>
      <c r="GV136" s="18"/>
      <c r="GW136" s="18"/>
      <c r="GX136" s="18"/>
      <c r="GY136" s="18"/>
      <c r="GZ136" s="18"/>
      <c r="HA136" s="18"/>
      <c r="HB136" s="18"/>
      <c r="HC136" s="18"/>
      <c r="HD136" s="18"/>
      <c r="HE136" s="18"/>
      <c r="HF136" s="18"/>
      <c r="HG136" s="18"/>
      <c r="HH136" s="18"/>
      <c r="HI136" s="18"/>
      <c r="HJ136" s="18"/>
      <c r="HK136" s="18"/>
      <c r="HL136" s="18"/>
      <c r="HM136" s="18"/>
      <c r="HN136" s="18"/>
      <c r="HO136" s="18"/>
      <c r="HP136" s="18"/>
      <c r="HQ136" s="18"/>
      <c r="HR136" s="18"/>
      <c r="HS136" s="18"/>
      <c r="HT136" s="18"/>
      <c r="HU136" s="18"/>
      <c r="HV136" s="18"/>
      <c r="HW136" s="18"/>
      <c r="HX136" s="18"/>
      <c r="HY136" s="18"/>
      <c r="HZ136" s="18"/>
      <c r="IA136" s="18"/>
      <c r="IB136" s="18"/>
      <c r="IC136" s="18"/>
      <c r="ID136" s="18"/>
      <c r="IE136" s="18"/>
      <c r="IF136" s="18"/>
      <c r="IG136" s="18"/>
      <c r="IH136" s="18"/>
      <c r="II136" s="18"/>
      <c r="IJ136" s="18"/>
      <c r="IK136" s="18"/>
      <c r="IL136" s="18"/>
      <c r="IM136" s="18"/>
      <c r="IN136" s="18"/>
      <c r="IO136" s="18"/>
      <c r="IP136" s="18"/>
      <c r="IQ136" s="18"/>
      <c r="IR136" s="18"/>
      <c r="IS136" s="18"/>
      <c r="IT136" s="18"/>
      <c r="IU136" s="18"/>
      <c r="IV136" s="18"/>
      <c r="IW136" s="18"/>
    </row>
    <row r="137" customFormat="false" ht="13.2" hidden="false" customHeight="false" outlineLevel="0" collapsed="false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CF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/>
      <c r="DK137" s="18"/>
      <c r="DL137" s="18"/>
      <c r="DM137" s="18"/>
      <c r="DN137" s="18"/>
      <c r="DO137" s="18"/>
      <c r="DP137" s="18"/>
      <c r="DQ137" s="18"/>
      <c r="DR137" s="18"/>
      <c r="DS137" s="18"/>
      <c r="DT137" s="18"/>
      <c r="DU137" s="18"/>
      <c r="DV137" s="18"/>
      <c r="DW137" s="18"/>
      <c r="DX137" s="18"/>
      <c r="DY137" s="18"/>
      <c r="DZ137" s="18"/>
      <c r="EA137" s="18"/>
      <c r="EB137" s="18"/>
      <c r="EC137" s="18"/>
      <c r="ED137" s="18"/>
      <c r="EE137" s="18"/>
      <c r="EF137" s="18"/>
      <c r="EG137" s="18"/>
      <c r="EH137" s="18"/>
      <c r="EI137" s="18"/>
      <c r="EJ137" s="18"/>
      <c r="EK137" s="18"/>
      <c r="EL137" s="18"/>
      <c r="EM137" s="18"/>
      <c r="EN137" s="18"/>
      <c r="EO137" s="18"/>
      <c r="EP137" s="18"/>
      <c r="EQ137" s="18"/>
      <c r="ER137" s="18"/>
      <c r="ES137" s="18"/>
      <c r="ET137" s="18"/>
      <c r="EU137" s="18"/>
      <c r="EV137" s="18"/>
      <c r="EW137" s="18"/>
      <c r="EX137" s="18"/>
      <c r="EY137" s="18"/>
      <c r="EZ137" s="18"/>
      <c r="FA137" s="18"/>
      <c r="FB137" s="18"/>
      <c r="FC137" s="18"/>
      <c r="FD137" s="18"/>
      <c r="FE137" s="18"/>
      <c r="FF137" s="18"/>
      <c r="FG137" s="18"/>
      <c r="FH137" s="18"/>
      <c r="FI137" s="18"/>
      <c r="FJ137" s="18"/>
      <c r="FK137" s="18"/>
      <c r="FL137" s="18"/>
      <c r="FM137" s="18"/>
      <c r="FN137" s="18"/>
      <c r="FO137" s="18"/>
      <c r="FP137" s="18"/>
      <c r="FQ137" s="18"/>
      <c r="FR137" s="18"/>
      <c r="FS137" s="18"/>
      <c r="FT137" s="18"/>
      <c r="FU137" s="18"/>
      <c r="FV137" s="18"/>
      <c r="FW137" s="18"/>
      <c r="FX137" s="18"/>
      <c r="FY137" s="18"/>
      <c r="FZ137" s="18"/>
      <c r="GA137" s="18"/>
      <c r="GB137" s="18"/>
      <c r="GC137" s="18"/>
      <c r="GD137" s="18"/>
      <c r="GE137" s="18"/>
      <c r="GF137" s="18"/>
      <c r="GG137" s="18"/>
      <c r="GH137" s="18"/>
      <c r="GI137" s="18"/>
      <c r="GJ137" s="18"/>
      <c r="GK137" s="18"/>
      <c r="GL137" s="18"/>
      <c r="GM137" s="18"/>
      <c r="GN137" s="18"/>
      <c r="GO137" s="18"/>
      <c r="GP137" s="18"/>
      <c r="GQ137" s="18"/>
      <c r="GR137" s="18"/>
      <c r="GS137" s="18"/>
      <c r="GT137" s="18"/>
      <c r="GU137" s="18"/>
      <c r="GV137" s="18"/>
      <c r="GW137" s="18"/>
      <c r="GX137" s="18"/>
      <c r="GY137" s="18"/>
      <c r="GZ137" s="18"/>
      <c r="HA137" s="18"/>
      <c r="HB137" s="18"/>
      <c r="HC137" s="18"/>
      <c r="HD137" s="18"/>
      <c r="HE137" s="18"/>
      <c r="HF137" s="18"/>
      <c r="HG137" s="18"/>
      <c r="HH137" s="18"/>
      <c r="HI137" s="18"/>
      <c r="HJ137" s="18"/>
      <c r="HK137" s="18"/>
      <c r="HL137" s="18"/>
      <c r="HM137" s="18"/>
      <c r="HN137" s="18"/>
      <c r="HO137" s="18"/>
      <c r="HP137" s="18"/>
      <c r="HQ137" s="18"/>
      <c r="HR137" s="18"/>
      <c r="HS137" s="18"/>
      <c r="HT137" s="18"/>
      <c r="HU137" s="18"/>
      <c r="HV137" s="18"/>
      <c r="HW137" s="18"/>
      <c r="HX137" s="18"/>
      <c r="HY137" s="18"/>
      <c r="HZ137" s="18"/>
      <c r="IA137" s="18"/>
      <c r="IB137" s="18"/>
      <c r="IC137" s="18"/>
      <c r="ID137" s="18"/>
      <c r="IE137" s="18"/>
      <c r="IF137" s="18"/>
      <c r="IG137" s="18"/>
      <c r="IH137" s="18"/>
      <c r="II137" s="18"/>
      <c r="IJ137" s="18"/>
      <c r="IK137" s="18"/>
      <c r="IL137" s="18"/>
      <c r="IM137" s="18"/>
      <c r="IN137" s="18"/>
      <c r="IO137" s="18"/>
      <c r="IP137" s="18"/>
      <c r="IQ137" s="18"/>
      <c r="IR137" s="18"/>
      <c r="IS137" s="18"/>
      <c r="IT137" s="18"/>
      <c r="IU137" s="18"/>
      <c r="IV137" s="18"/>
      <c r="IW137" s="18"/>
    </row>
    <row r="138" customFormat="false" ht="13.2" hidden="false" customHeight="false" outlineLevel="0" collapsed="false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CF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18"/>
      <c r="DM138" s="18"/>
      <c r="DN138" s="18"/>
      <c r="DO138" s="18"/>
      <c r="DP138" s="18"/>
      <c r="DQ138" s="18"/>
      <c r="DR138" s="18"/>
      <c r="DS138" s="18"/>
      <c r="DT138" s="18"/>
      <c r="DU138" s="18"/>
      <c r="DV138" s="18"/>
      <c r="DW138" s="18"/>
      <c r="DX138" s="18"/>
      <c r="DY138" s="18"/>
      <c r="DZ138" s="18"/>
      <c r="EA138" s="18"/>
      <c r="EB138" s="18"/>
      <c r="EC138" s="18"/>
      <c r="ED138" s="18"/>
      <c r="EE138" s="18"/>
      <c r="EF138" s="18"/>
      <c r="EG138" s="18"/>
      <c r="EH138" s="18"/>
      <c r="EI138" s="18"/>
      <c r="EJ138" s="18"/>
      <c r="EK138" s="18"/>
      <c r="EL138" s="18"/>
      <c r="EM138" s="18"/>
      <c r="EN138" s="18"/>
      <c r="EO138" s="18"/>
      <c r="EP138" s="18"/>
      <c r="EQ138" s="18"/>
      <c r="ER138" s="18"/>
      <c r="ES138" s="18"/>
      <c r="ET138" s="18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18"/>
      <c r="FH138" s="18"/>
      <c r="FI138" s="18"/>
      <c r="FJ138" s="18"/>
      <c r="FK138" s="18"/>
      <c r="FL138" s="18"/>
      <c r="FM138" s="18"/>
      <c r="FN138" s="18"/>
      <c r="FO138" s="18"/>
      <c r="FP138" s="18"/>
      <c r="FQ138" s="18"/>
      <c r="FR138" s="18"/>
      <c r="FS138" s="18"/>
      <c r="FT138" s="18"/>
      <c r="FU138" s="18"/>
      <c r="FV138" s="18"/>
      <c r="FW138" s="18"/>
      <c r="FX138" s="18"/>
      <c r="FY138" s="18"/>
      <c r="FZ138" s="18"/>
      <c r="GA138" s="18"/>
      <c r="GB138" s="18"/>
      <c r="GC138" s="18"/>
      <c r="GD138" s="18"/>
      <c r="GE138" s="18"/>
      <c r="GF138" s="18"/>
      <c r="GG138" s="18"/>
      <c r="GH138" s="18"/>
      <c r="GI138" s="18"/>
      <c r="GJ138" s="18"/>
      <c r="GK138" s="18"/>
      <c r="GL138" s="18"/>
      <c r="GM138" s="18"/>
      <c r="GN138" s="18"/>
      <c r="GO138" s="18"/>
      <c r="GP138" s="18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18"/>
      <c r="HC138" s="18"/>
      <c r="HD138" s="18"/>
      <c r="HE138" s="18"/>
      <c r="HF138" s="18"/>
      <c r="HG138" s="18"/>
      <c r="HH138" s="18"/>
      <c r="HI138" s="18"/>
      <c r="HJ138" s="18"/>
      <c r="HK138" s="18"/>
      <c r="HL138" s="18"/>
      <c r="HM138" s="18"/>
      <c r="HN138" s="18"/>
      <c r="HO138" s="18"/>
      <c r="HP138" s="18"/>
      <c r="HQ138" s="18"/>
      <c r="HR138" s="18"/>
      <c r="HS138" s="18"/>
      <c r="HT138" s="18"/>
      <c r="HU138" s="18"/>
      <c r="HV138" s="18"/>
      <c r="HW138" s="18"/>
      <c r="HX138" s="18"/>
      <c r="HY138" s="18"/>
      <c r="HZ138" s="18"/>
      <c r="IA138" s="18"/>
      <c r="IB138" s="18"/>
      <c r="IC138" s="18"/>
      <c r="ID138" s="18"/>
      <c r="IE138" s="18"/>
      <c r="IF138" s="18"/>
      <c r="IG138" s="18"/>
      <c r="IH138" s="18"/>
      <c r="II138" s="18"/>
      <c r="IJ138" s="18"/>
      <c r="IK138" s="18"/>
      <c r="IL138" s="18"/>
      <c r="IM138" s="18"/>
      <c r="IN138" s="18"/>
      <c r="IO138" s="18"/>
      <c r="IP138" s="18"/>
      <c r="IQ138" s="18"/>
      <c r="IR138" s="18"/>
      <c r="IS138" s="18"/>
      <c r="IT138" s="18"/>
      <c r="IU138" s="18"/>
      <c r="IV138" s="18"/>
      <c r="IW138" s="18"/>
    </row>
    <row r="139" customFormat="false" ht="13.2" hidden="false" customHeight="false" outlineLevel="0" collapsed="false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CF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  <c r="DG139" s="18"/>
      <c r="DH139" s="18"/>
      <c r="DI139" s="18"/>
      <c r="DJ139" s="18"/>
      <c r="DK139" s="18"/>
      <c r="DL139" s="18"/>
      <c r="DM139" s="18"/>
      <c r="DN139" s="18"/>
      <c r="DO139" s="18"/>
      <c r="DP139" s="18"/>
      <c r="DQ139" s="18"/>
      <c r="DR139" s="18"/>
      <c r="DS139" s="18"/>
      <c r="DT139" s="18"/>
      <c r="DU139" s="18"/>
      <c r="DV139" s="18"/>
      <c r="DW139" s="18"/>
      <c r="DX139" s="18"/>
      <c r="DY139" s="18"/>
      <c r="DZ139" s="18"/>
      <c r="EA139" s="18"/>
      <c r="EB139" s="18"/>
      <c r="EC139" s="18"/>
      <c r="ED139" s="18"/>
      <c r="EE139" s="18"/>
      <c r="EF139" s="18"/>
      <c r="EG139" s="18"/>
      <c r="EH139" s="18"/>
      <c r="EI139" s="18"/>
      <c r="EJ139" s="18"/>
      <c r="EK139" s="18"/>
      <c r="EL139" s="18"/>
      <c r="EM139" s="18"/>
      <c r="EN139" s="18"/>
      <c r="EO139" s="18"/>
      <c r="EP139" s="18"/>
      <c r="EQ139" s="18"/>
      <c r="ER139" s="18"/>
      <c r="ES139" s="18"/>
      <c r="ET139" s="18"/>
      <c r="EU139" s="18"/>
      <c r="EV139" s="18"/>
      <c r="EW139" s="18"/>
      <c r="EX139" s="18"/>
      <c r="EY139" s="18"/>
      <c r="EZ139" s="18"/>
      <c r="FA139" s="18"/>
      <c r="FB139" s="18"/>
      <c r="FC139" s="18"/>
      <c r="FD139" s="18"/>
      <c r="FE139" s="18"/>
      <c r="FF139" s="18"/>
      <c r="FG139" s="18"/>
      <c r="FH139" s="18"/>
      <c r="FI139" s="18"/>
      <c r="FJ139" s="18"/>
      <c r="FK139" s="18"/>
      <c r="FL139" s="18"/>
      <c r="FM139" s="18"/>
      <c r="FN139" s="18"/>
      <c r="FO139" s="18"/>
      <c r="FP139" s="18"/>
      <c r="FQ139" s="18"/>
      <c r="FR139" s="18"/>
      <c r="FS139" s="18"/>
      <c r="FT139" s="18"/>
      <c r="FU139" s="18"/>
      <c r="FV139" s="18"/>
      <c r="FW139" s="18"/>
      <c r="FX139" s="18"/>
      <c r="FY139" s="18"/>
      <c r="FZ139" s="18"/>
      <c r="GA139" s="18"/>
      <c r="GB139" s="18"/>
      <c r="GC139" s="18"/>
      <c r="GD139" s="18"/>
      <c r="GE139" s="18"/>
      <c r="GF139" s="18"/>
      <c r="GG139" s="18"/>
      <c r="GH139" s="18"/>
      <c r="GI139" s="18"/>
      <c r="GJ139" s="18"/>
      <c r="GK139" s="18"/>
      <c r="GL139" s="18"/>
      <c r="GM139" s="18"/>
      <c r="GN139" s="18"/>
      <c r="GO139" s="18"/>
      <c r="GP139" s="18"/>
      <c r="GQ139" s="18"/>
      <c r="GR139" s="18"/>
      <c r="GS139" s="18"/>
      <c r="GT139" s="18"/>
      <c r="GU139" s="18"/>
      <c r="GV139" s="18"/>
      <c r="GW139" s="18"/>
      <c r="GX139" s="18"/>
      <c r="GY139" s="18"/>
      <c r="GZ139" s="18"/>
      <c r="HA139" s="18"/>
      <c r="HB139" s="18"/>
      <c r="HC139" s="18"/>
      <c r="HD139" s="18"/>
      <c r="HE139" s="18"/>
      <c r="HF139" s="18"/>
      <c r="HG139" s="18"/>
      <c r="HH139" s="18"/>
      <c r="HI139" s="18"/>
      <c r="HJ139" s="18"/>
      <c r="HK139" s="18"/>
      <c r="HL139" s="18"/>
      <c r="HM139" s="18"/>
      <c r="HN139" s="18"/>
      <c r="HO139" s="18"/>
      <c r="HP139" s="18"/>
      <c r="HQ139" s="18"/>
      <c r="HR139" s="18"/>
      <c r="HS139" s="18"/>
      <c r="HT139" s="18"/>
      <c r="HU139" s="18"/>
      <c r="HV139" s="18"/>
      <c r="HW139" s="18"/>
      <c r="HX139" s="18"/>
      <c r="HY139" s="18"/>
      <c r="HZ139" s="18"/>
      <c r="IA139" s="18"/>
      <c r="IB139" s="18"/>
      <c r="IC139" s="18"/>
      <c r="ID139" s="18"/>
      <c r="IE139" s="18"/>
      <c r="IF139" s="18"/>
      <c r="IG139" s="18"/>
      <c r="IH139" s="18"/>
      <c r="II139" s="18"/>
      <c r="IJ139" s="18"/>
      <c r="IK139" s="18"/>
      <c r="IL139" s="18"/>
      <c r="IM139" s="18"/>
      <c r="IN139" s="18"/>
      <c r="IO139" s="18"/>
      <c r="IP139" s="18"/>
      <c r="IQ139" s="18"/>
      <c r="IR139" s="18"/>
      <c r="IS139" s="18"/>
      <c r="IT139" s="18"/>
      <c r="IU139" s="18"/>
      <c r="IV139" s="18"/>
      <c r="IW139" s="18"/>
    </row>
    <row r="140" customFormat="false" ht="13.2" hidden="false" customHeight="false" outlineLevel="0" collapsed="false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CF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/>
      <c r="DH140" s="18"/>
      <c r="DI140" s="18"/>
      <c r="DJ140" s="18"/>
      <c r="DK140" s="18"/>
      <c r="DL140" s="18"/>
      <c r="DM140" s="18"/>
      <c r="DN140" s="18"/>
      <c r="DO140" s="18"/>
      <c r="DP140" s="18"/>
      <c r="DQ140" s="18"/>
      <c r="DR140" s="18"/>
      <c r="DS140" s="18"/>
      <c r="DT140" s="18"/>
      <c r="DU140" s="18"/>
      <c r="DV140" s="18"/>
      <c r="DW140" s="18"/>
      <c r="DX140" s="18"/>
      <c r="DY140" s="18"/>
      <c r="DZ140" s="18"/>
      <c r="EA140" s="18"/>
      <c r="EB140" s="18"/>
      <c r="EC140" s="18"/>
      <c r="ED140" s="18"/>
      <c r="EE140" s="18"/>
      <c r="EF140" s="18"/>
      <c r="EG140" s="18"/>
      <c r="EH140" s="18"/>
      <c r="EI140" s="18"/>
      <c r="EJ140" s="18"/>
      <c r="EK140" s="18"/>
      <c r="EL140" s="18"/>
      <c r="EM140" s="18"/>
      <c r="EN140" s="18"/>
      <c r="EO140" s="18"/>
      <c r="EP140" s="18"/>
      <c r="EQ140" s="18"/>
      <c r="ER140" s="18"/>
      <c r="ES140" s="18"/>
      <c r="ET140" s="18"/>
      <c r="EU140" s="18"/>
      <c r="EV140" s="18"/>
      <c r="EW140" s="18"/>
      <c r="EX140" s="18"/>
      <c r="EY140" s="18"/>
      <c r="EZ140" s="18"/>
      <c r="FA140" s="18"/>
      <c r="FB140" s="18"/>
      <c r="FC140" s="18"/>
      <c r="FD140" s="18"/>
      <c r="FE140" s="18"/>
      <c r="FF140" s="18"/>
      <c r="FG140" s="18"/>
      <c r="FH140" s="18"/>
      <c r="FI140" s="18"/>
      <c r="FJ140" s="18"/>
      <c r="FK140" s="18"/>
      <c r="FL140" s="18"/>
      <c r="FM140" s="18"/>
      <c r="FN140" s="18"/>
      <c r="FO140" s="18"/>
      <c r="FP140" s="18"/>
      <c r="FQ140" s="18"/>
      <c r="FR140" s="18"/>
      <c r="FS140" s="18"/>
      <c r="FT140" s="18"/>
      <c r="FU140" s="18"/>
      <c r="FV140" s="18"/>
      <c r="FW140" s="18"/>
      <c r="FX140" s="18"/>
      <c r="FY140" s="18"/>
      <c r="FZ140" s="18"/>
      <c r="GA140" s="18"/>
      <c r="GB140" s="18"/>
      <c r="GC140" s="18"/>
      <c r="GD140" s="18"/>
      <c r="GE140" s="18"/>
      <c r="GF140" s="18"/>
      <c r="GG140" s="18"/>
      <c r="GH140" s="18"/>
      <c r="GI140" s="18"/>
      <c r="GJ140" s="18"/>
      <c r="GK140" s="18"/>
      <c r="GL140" s="18"/>
      <c r="GM140" s="18"/>
      <c r="GN140" s="18"/>
      <c r="GO140" s="18"/>
      <c r="GP140" s="18"/>
      <c r="GQ140" s="18"/>
      <c r="GR140" s="18"/>
      <c r="GS140" s="18"/>
      <c r="GT140" s="18"/>
      <c r="GU140" s="18"/>
      <c r="GV140" s="18"/>
      <c r="GW140" s="18"/>
      <c r="GX140" s="18"/>
      <c r="GY140" s="18"/>
      <c r="GZ140" s="18"/>
      <c r="HA140" s="18"/>
      <c r="HB140" s="18"/>
      <c r="HC140" s="18"/>
      <c r="HD140" s="18"/>
      <c r="HE140" s="18"/>
      <c r="HF140" s="18"/>
      <c r="HG140" s="18"/>
      <c r="HH140" s="18"/>
      <c r="HI140" s="18"/>
      <c r="HJ140" s="18"/>
      <c r="HK140" s="18"/>
      <c r="HL140" s="18"/>
      <c r="HM140" s="18"/>
      <c r="HN140" s="18"/>
      <c r="HO140" s="18"/>
      <c r="HP140" s="18"/>
      <c r="HQ140" s="18"/>
      <c r="HR140" s="18"/>
      <c r="HS140" s="18"/>
      <c r="HT140" s="18"/>
      <c r="HU140" s="18"/>
      <c r="HV140" s="18"/>
      <c r="HW140" s="18"/>
      <c r="HX140" s="18"/>
      <c r="HY140" s="18"/>
      <c r="HZ140" s="18"/>
      <c r="IA140" s="18"/>
      <c r="IB140" s="18"/>
      <c r="IC140" s="18"/>
      <c r="ID140" s="18"/>
      <c r="IE140" s="18"/>
      <c r="IF140" s="18"/>
      <c r="IG140" s="18"/>
      <c r="IH140" s="18"/>
      <c r="II140" s="18"/>
      <c r="IJ140" s="18"/>
      <c r="IK140" s="18"/>
      <c r="IL140" s="18"/>
      <c r="IM140" s="18"/>
      <c r="IN140" s="18"/>
      <c r="IO140" s="18"/>
      <c r="IP140" s="18"/>
      <c r="IQ140" s="18"/>
      <c r="IR140" s="18"/>
      <c r="IS140" s="18"/>
      <c r="IT140" s="18"/>
      <c r="IU140" s="18"/>
      <c r="IV140" s="18"/>
      <c r="IW140" s="18"/>
    </row>
    <row r="141" customFormat="false" ht="13.2" hidden="false" customHeight="false" outlineLevel="0" collapsed="false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CF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/>
      <c r="DK141" s="18"/>
      <c r="DL141" s="18"/>
      <c r="DM141" s="18"/>
      <c r="DN141" s="18"/>
      <c r="DO141" s="18"/>
      <c r="DP141" s="18"/>
      <c r="DQ141" s="18"/>
      <c r="DR141" s="18"/>
      <c r="DS141" s="18"/>
      <c r="DT141" s="18"/>
      <c r="DU141" s="18"/>
      <c r="DV141" s="18"/>
      <c r="DW141" s="18"/>
      <c r="DX141" s="18"/>
      <c r="DY141" s="18"/>
      <c r="DZ141" s="18"/>
      <c r="EA141" s="18"/>
      <c r="EB141" s="18"/>
      <c r="EC141" s="18"/>
      <c r="ED141" s="18"/>
      <c r="EE141" s="18"/>
      <c r="EF141" s="18"/>
      <c r="EG141" s="18"/>
      <c r="EH141" s="18"/>
      <c r="EI141" s="18"/>
      <c r="EJ141" s="18"/>
      <c r="EK141" s="18"/>
      <c r="EL141" s="18"/>
      <c r="EM141" s="18"/>
      <c r="EN141" s="18"/>
      <c r="EO141" s="18"/>
      <c r="EP141" s="18"/>
      <c r="EQ141" s="18"/>
      <c r="ER141" s="18"/>
      <c r="ES141" s="18"/>
      <c r="ET141" s="18"/>
      <c r="EU141" s="18"/>
      <c r="EV141" s="18"/>
      <c r="EW141" s="18"/>
      <c r="EX141" s="18"/>
      <c r="EY141" s="18"/>
      <c r="EZ141" s="18"/>
      <c r="FA141" s="18"/>
      <c r="FB141" s="18"/>
      <c r="FC141" s="18"/>
      <c r="FD141" s="18"/>
      <c r="FE141" s="18"/>
      <c r="FF141" s="18"/>
      <c r="FG141" s="18"/>
      <c r="FH141" s="18"/>
      <c r="FI141" s="18"/>
      <c r="FJ141" s="18"/>
      <c r="FK141" s="18"/>
      <c r="FL141" s="18"/>
      <c r="FM141" s="18"/>
      <c r="FN141" s="18"/>
      <c r="FO141" s="18"/>
      <c r="FP141" s="18"/>
      <c r="FQ141" s="18"/>
      <c r="FR141" s="18"/>
      <c r="FS141" s="18"/>
      <c r="FT141" s="18"/>
      <c r="FU141" s="18"/>
      <c r="FV141" s="18"/>
      <c r="FW141" s="18"/>
      <c r="FX141" s="18"/>
      <c r="FY141" s="18"/>
      <c r="FZ141" s="18"/>
      <c r="GA141" s="18"/>
      <c r="GB141" s="18"/>
      <c r="GC141" s="18"/>
      <c r="GD141" s="18"/>
      <c r="GE141" s="18"/>
      <c r="GF141" s="18"/>
      <c r="GG141" s="18"/>
      <c r="GH141" s="18"/>
      <c r="GI141" s="18"/>
      <c r="GJ141" s="18"/>
      <c r="GK141" s="18"/>
      <c r="GL141" s="18"/>
      <c r="GM141" s="18"/>
      <c r="GN141" s="18"/>
      <c r="GO141" s="18"/>
      <c r="GP141" s="18"/>
      <c r="GQ141" s="18"/>
      <c r="GR141" s="18"/>
      <c r="GS141" s="18"/>
      <c r="GT141" s="18"/>
      <c r="GU141" s="18"/>
      <c r="GV141" s="18"/>
      <c r="GW141" s="18"/>
      <c r="GX141" s="18"/>
      <c r="GY141" s="18"/>
      <c r="GZ141" s="18"/>
      <c r="HA141" s="18"/>
      <c r="HB141" s="18"/>
      <c r="HC141" s="18"/>
      <c r="HD141" s="18"/>
      <c r="HE141" s="18"/>
      <c r="HF141" s="18"/>
      <c r="HG141" s="18"/>
      <c r="HH141" s="18"/>
      <c r="HI141" s="18"/>
      <c r="HJ141" s="18"/>
      <c r="HK141" s="18"/>
      <c r="HL141" s="18"/>
      <c r="HM141" s="18"/>
      <c r="HN141" s="18"/>
      <c r="HO141" s="18"/>
      <c r="HP141" s="18"/>
      <c r="HQ141" s="18"/>
      <c r="HR141" s="18"/>
      <c r="HS141" s="18"/>
      <c r="HT141" s="18"/>
      <c r="HU141" s="18"/>
      <c r="HV141" s="18"/>
      <c r="HW141" s="18"/>
      <c r="HX141" s="18"/>
      <c r="HY141" s="18"/>
      <c r="HZ141" s="18"/>
      <c r="IA141" s="18"/>
      <c r="IB141" s="18"/>
      <c r="IC141" s="18"/>
      <c r="ID141" s="18"/>
      <c r="IE141" s="18"/>
      <c r="IF141" s="18"/>
      <c r="IG141" s="18"/>
      <c r="IH141" s="18"/>
      <c r="II141" s="18"/>
      <c r="IJ141" s="18"/>
      <c r="IK141" s="18"/>
      <c r="IL141" s="18"/>
      <c r="IM141" s="18"/>
      <c r="IN141" s="18"/>
      <c r="IO141" s="18"/>
      <c r="IP141" s="18"/>
      <c r="IQ141" s="18"/>
      <c r="IR141" s="18"/>
      <c r="IS141" s="18"/>
      <c r="IT141" s="18"/>
      <c r="IU141" s="18"/>
      <c r="IV141" s="18"/>
      <c r="IW141" s="18"/>
    </row>
    <row r="142" customFormat="false" ht="13.2" hidden="false" customHeight="false" outlineLevel="0" collapsed="false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CF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/>
      <c r="DK142" s="18"/>
      <c r="DL142" s="18"/>
      <c r="DM142" s="18"/>
      <c r="DN142" s="18"/>
      <c r="DO142" s="18"/>
      <c r="DP142" s="18"/>
      <c r="DQ142" s="18"/>
      <c r="DR142" s="18"/>
      <c r="DS142" s="18"/>
      <c r="DT142" s="18"/>
      <c r="DU142" s="18"/>
      <c r="DV142" s="18"/>
      <c r="DW142" s="18"/>
      <c r="DX142" s="18"/>
      <c r="DY142" s="18"/>
      <c r="DZ142" s="18"/>
      <c r="EA142" s="18"/>
      <c r="EB142" s="18"/>
      <c r="EC142" s="18"/>
      <c r="ED142" s="18"/>
      <c r="EE142" s="18"/>
      <c r="EF142" s="18"/>
      <c r="EG142" s="18"/>
      <c r="EH142" s="18"/>
      <c r="EI142" s="18"/>
      <c r="EJ142" s="18"/>
      <c r="EK142" s="18"/>
      <c r="EL142" s="18"/>
      <c r="EM142" s="18"/>
      <c r="EN142" s="18"/>
      <c r="EO142" s="18"/>
      <c r="EP142" s="18"/>
      <c r="EQ142" s="18"/>
      <c r="ER142" s="18"/>
      <c r="ES142" s="18"/>
      <c r="ET142" s="18"/>
      <c r="EU142" s="18"/>
      <c r="EV142" s="18"/>
      <c r="EW142" s="18"/>
      <c r="EX142" s="18"/>
      <c r="EY142" s="18"/>
      <c r="EZ142" s="18"/>
      <c r="FA142" s="18"/>
      <c r="FB142" s="18"/>
      <c r="FC142" s="18"/>
      <c r="FD142" s="18"/>
      <c r="FE142" s="18"/>
      <c r="FF142" s="18"/>
      <c r="FG142" s="18"/>
      <c r="FH142" s="18"/>
      <c r="FI142" s="18"/>
      <c r="FJ142" s="18"/>
      <c r="FK142" s="18"/>
      <c r="FL142" s="18"/>
      <c r="FM142" s="18"/>
      <c r="FN142" s="18"/>
      <c r="FO142" s="18"/>
      <c r="FP142" s="18"/>
      <c r="FQ142" s="18"/>
      <c r="FR142" s="18"/>
      <c r="FS142" s="18"/>
      <c r="FT142" s="18"/>
      <c r="FU142" s="18"/>
      <c r="FV142" s="18"/>
      <c r="FW142" s="18"/>
      <c r="FX142" s="18"/>
      <c r="FY142" s="18"/>
      <c r="FZ142" s="18"/>
      <c r="GA142" s="18"/>
      <c r="GB142" s="18"/>
      <c r="GC142" s="18"/>
      <c r="GD142" s="18"/>
      <c r="GE142" s="18"/>
      <c r="GF142" s="18"/>
      <c r="GG142" s="18"/>
      <c r="GH142" s="18"/>
      <c r="GI142" s="18"/>
      <c r="GJ142" s="18"/>
      <c r="GK142" s="18"/>
      <c r="GL142" s="18"/>
      <c r="GM142" s="18"/>
      <c r="GN142" s="18"/>
      <c r="GO142" s="18"/>
      <c r="GP142" s="18"/>
      <c r="GQ142" s="18"/>
      <c r="GR142" s="18"/>
      <c r="GS142" s="18"/>
      <c r="GT142" s="18"/>
      <c r="GU142" s="18"/>
      <c r="GV142" s="18"/>
      <c r="GW142" s="18"/>
      <c r="GX142" s="18"/>
      <c r="GY142" s="18"/>
      <c r="GZ142" s="18"/>
      <c r="HA142" s="18"/>
      <c r="HB142" s="18"/>
      <c r="HC142" s="18"/>
      <c r="HD142" s="18"/>
      <c r="HE142" s="18"/>
      <c r="HF142" s="18"/>
      <c r="HG142" s="18"/>
      <c r="HH142" s="18"/>
      <c r="HI142" s="18"/>
      <c r="HJ142" s="18"/>
      <c r="HK142" s="18"/>
      <c r="HL142" s="18"/>
      <c r="HM142" s="18"/>
      <c r="HN142" s="18"/>
      <c r="HO142" s="18"/>
      <c r="HP142" s="18"/>
      <c r="HQ142" s="18"/>
      <c r="HR142" s="18"/>
      <c r="HS142" s="18"/>
      <c r="HT142" s="18"/>
      <c r="HU142" s="18"/>
      <c r="HV142" s="18"/>
      <c r="HW142" s="18"/>
      <c r="HX142" s="18"/>
      <c r="HY142" s="18"/>
      <c r="HZ142" s="18"/>
      <c r="IA142" s="18"/>
      <c r="IB142" s="18"/>
      <c r="IC142" s="18"/>
      <c r="ID142" s="18"/>
      <c r="IE142" s="18"/>
      <c r="IF142" s="18"/>
      <c r="IG142" s="18"/>
      <c r="IH142" s="18"/>
      <c r="II142" s="18"/>
      <c r="IJ142" s="18"/>
      <c r="IK142" s="18"/>
      <c r="IL142" s="18"/>
      <c r="IM142" s="18"/>
      <c r="IN142" s="18"/>
      <c r="IO142" s="18"/>
      <c r="IP142" s="18"/>
      <c r="IQ142" s="18"/>
      <c r="IR142" s="18"/>
      <c r="IS142" s="18"/>
      <c r="IT142" s="18"/>
      <c r="IU142" s="18"/>
      <c r="IV142" s="18"/>
      <c r="IW142" s="18"/>
    </row>
    <row r="143" customFormat="false" ht="13.2" hidden="false" customHeight="false" outlineLevel="0" collapsed="false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CF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  <c r="DG143" s="18"/>
      <c r="DH143" s="18"/>
      <c r="DI143" s="18"/>
      <c r="DJ143" s="18"/>
      <c r="DK143" s="18"/>
      <c r="DL143" s="18"/>
      <c r="DM143" s="18"/>
      <c r="DN143" s="18"/>
      <c r="DO143" s="18"/>
      <c r="DP143" s="18"/>
      <c r="DQ143" s="18"/>
      <c r="DR143" s="18"/>
      <c r="DS143" s="18"/>
      <c r="DT143" s="18"/>
      <c r="DU143" s="18"/>
      <c r="DV143" s="18"/>
      <c r="DW143" s="18"/>
      <c r="DX143" s="18"/>
      <c r="DY143" s="18"/>
      <c r="DZ143" s="18"/>
      <c r="EA143" s="18"/>
      <c r="EB143" s="18"/>
      <c r="EC143" s="18"/>
      <c r="ED143" s="18"/>
      <c r="EE143" s="18"/>
      <c r="EF143" s="18"/>
      <c r="EG143" s="18"/>
      <c r="EH143" s="18"/>
      <c r="EI143" s="18"/>
      <c r="EJ143" s="18"/>
      <c r="EK143" s="18"/>
      <c r="EL143" s="18"/>
      <c r="EM143" s="18"/>
      <c r="EN143" s="18"/>
      <c r="EO143" s="18"/>
      <c r="EP143" s="18"/>
      <c r="EQ143" s="18"/>
      <c r="ER143" s="18"/>
      <c r="ES143" s="18"/>
      <c r="ET143" s="18"/>
      <c r="EU143" s="18"/>
      <c r="EV143" s="18"/>
      <c r="EW143" s="18"/>
      <c r="EX143" s="18"/>
      <c r="EY143" s="18"/>
      <c r="EZ143" s="18"/>
      <c r="FA143" s="18"/>
      <c r="FB143" s="18"/>
      <c r="FC143" s="18"/>
      <c r="FD143" s="18"/>
      <c r="FE143" s="18"/>
      <c r="FF143" s="18"/>
      <c r="FG143" s="18"/>
      <c r="FH143" s="18"/>
      <c r="FI143" s="18"/>
      <c r="FJ143" s="18"/>
      <c r="FK143" s="18"/>
      <c r="FL143" s="18"/>
      <c r="FM143" s="18"/>
      <c r="FN143" s="18"/>
      <c r="FO143" s="18"/>
      <c r="FP143" s="18"/>
      <c r="FQ143" s="18"/>
      <c r="FR143" s="18"/>
      <c r="FS143" s="18"/>
      <c r="FT143" s="18"/>
      <c r="FU143" s="18"/>
      <c r="FV143" s="18"/>
      <c r="FW143" s="18"/>
      <c r="FX143" s="18"/>
      <c r="FY143" s="18"/>
      <c r="FZ143" s="18"/>
      <c r="GA143" s="18"/>
      <c r="GB143" s="18"/>
      <c r="GC143" s="18"/>
      <c r="GD143" s="18"/>
      <c r="GE143" s="18"/>
      <c r="GF143" s="18"/>
      <c r="GG143" s="18"/>
      <c r="GH143" s="18"/>
      <c r="GI143" s="18"/>
      <c r="GJ143" s="18"/>
      <c r="GK143" s="18"/>
      <c r="GL143" s="18"/>
      <c r="GM143" s="18"/>
      <c r="GN143" s="18"/>
      <c r="GO143" s="18"/>
      <c r="GP143" s="18"/>
      <c r="GQ143" s="18"/>
      <c r="GR143" s="18"/>
      <c r="GS143" s="18"/>
      <c r="GT143" s="18"/>
      <c r="GU143" s="18"/>
      <c r="GV143" s="18"/>
      <c r="GW143" s="18"/>
      <c r="GX143" s="18"/>
      <c r="GY143" s="18"/>
      <c r="GZ143" s="18"/>
      <c r="HA143" s="18"/>
      <c r="HB143" s="18"/>
      <c r="HC143" s="18"/>
      <c r="HD143" s="18"/>
      <c r="HE143" s="18"/>
      <c r="HF143" s="18"/>
      <c r="HG143" s="18"/>
      <c r="HH143" s="18"/>
      <c r="HI143" s="18"/>
      <c r="HJ143" s="18"/>
      <c r="HK143" s="18"/>
      <c r="HL143" s="18"/>
      <c r="HM143" s="18"/>
      <c r="HN143" s="18"/>
      <c r="HO143" s="18"/>
      <c r="HP143" s="18"/>
      <c r="HQ143" s="18"/>
      <c r="HR143" s="18"/>
      <c r="HS143" s="18"/>
      <c r="HT143" s="18"/>
      <c r="HU143" s="18"/>
      <c r="HV143" s="18"/>
      <c r="HW143" s="18"/>
      <c r="HX143" s="18"/>
      <c r="HY143" s="18"/>
      <c r="HZ143" s="18"/>
      <c r="IA143" s="18"/>
      <c r="IB143" s="18"/>
      <c r="IC143" s="18"/>
      <c r="ID143" s="18"/>
      <c r="IE143" s="18"/>
      <c r="IF143" s="18"/>
      <c r="IG143" s="18"/>
      <c r="IH143" s="18"/>
      <c r="II143" s="18"/>
      <c r="IJ143" s="18"/>
      <c r="IK143" s="18"/>
      <c r="IL143" s="18"/>
      <c r="IM143" s="18"/>
      <c r="IN143" s="18"/>
      <c r="IO143" s="18"/>
      <c r="IP143" s="18"/>
      <c r="IQ143" s="18"/>
      <c r="IR143" s="18"/>
      <c r="IS143" s="18"/>
      <c r="IT143" s="18"/>
      <c r="IU143" s="18"/>
      <c r="IV143" s="18"/>
      <c r="IW143" s="18"/>
    </row>
    <row r="144" customFormat="false" ht="13.2" hidden="false" customHeight="false" outlineLevel="0" collapsed="false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CF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/>
      <c r="DH144" s="18"/>
      <c r="DI144" s="18"/>
      <c r="DJ144" s="18"/>
      <c r="DK144" s="18"/>
      <c r="DL144" s="18"/>
      <c r="DM144" s="18"/>
      <c r="DN144" s="18"/>
      <c r="DO144" s="18"/>
      <c r="DP144" s="18"/>
      <c r="DQ144" s="18"/>
      <c r="DR144" s="18"/>
      <c r="DS144" s="18"/>
      <c r="DT144" s="18"/>
      <c r="DU144" s="18"/>
      <c r="DV144" s="18"/>
      <c r="DW144" s="18"/>
      <c r="DX144" s="18"/>
      <c r="DY144" s="18"/>
      <c r="DZ144" s="18"/>
      <c r="EA144" s="18"/>
      <c r="EB144" s="18"/>
      <c r="EC144" s="18"/>
      <c r="ED144" s="18"/>
      <c r="EE144" s="18"/>
      <c r="EF144" s="18"/>
      <c r="EG144" s="18"/>
      <c r="EH144" s="18"/>
      <c r="EI144" s="18"/>
      <c r="EJ144" s="18"/>
      <c r="EK144" s="18"/>
      <c r="EL144" s="18"/>
      <c r="EM144" s="18"/>
      <c r="EN144" s="18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18"/>
      <c r="FH144" s="18"/>
      <c r="FI144" s="18"/>
      <c r="FJ144" s="18"/>
      <c r="FK144" s="18"/>
      <c r="FL144" s="18"/>
      <c r="FM144" s="18"/>
      <c r="FN144" s="18"/>
      <c r="FO144" s="18"/>
      <c r="FP144" s="18"/>
      <c r="FQ144" s="18"/>
      <c r="FR144" s="18"/>
      <c r="FS144" s="18"/>
      <c r="FT144" s="18"/>
      <c r="FU144" s="18"/>
      <c r="FV144" s="18"/>
      <c r="FW144" s="18"/>
      <c r="FX144" s="18"/>
      <c r="FY144" s="18"/>
      <c r="FZ144" s="18"/>
      <c r="GA144" s="18"/>
      <c r="GB144" s="18"/>
      <c r="GC144" s="18"/>
      <c r="GD144" s="18"/>
      <c r="GE144" s="18"/>
      <c r="GF144" s="18"/>
      <c r="GG144" s="18"/>
      <c r="GH144" s="18"/>
      <c r="GI144" s="18"/>
      <c r="GJ144" s="18"/>
      <c r="GK144" s="18"/>
      <c r="GL144" s="18"/>
      <c r="GM144" s="18"/>
      <c r="GN144" s="18"/>
      <c r="GO144" s="18"/>
      <c r="GP144" s="18"/>
      <c r="GQ144" s="18"/>
      <c r="GR144" s="18"/>
      <c r="GS144" s="18"/>
      <c r="GT144" s="18"/>
      <c r="GU144" s="18"/>
      <c r="GV144" s="18"/>
      <c r="GW144" s="18"/>
      <c r="GX144" s="18"/>
      <c r="GY144" s="18"/>
      <c r="GZ144" s="18"/>
      <c r="HA144" s="18"/>
      <c r="HB144" s="18"/>
      <c r="HC144" s="18"/>
      <c r="HD144" s="18"/>
      <c r="HE144" s="18"/>
      <c r="HF144" s="18"/>
      <c r="HG144" s="18"/>
      <c r="HH144" s="18"/>
      <c r="HI144" s="18"/>
      <c r="HJ144" s="18"/>
      <c r="HK144" s="18"/>
      <c r="HL144" s="18"/>
      <c r="HM144" s="18"/>
      <c r="HN144" s="18"/>
      <c r="HO144" s="18"/>
      <c r="HP144" s="18"/>
      <c r="HQ144" s="18"/>
      <c r="HR144" s="18"/>
      <c r="HS144" s="18"/>
      <c r="HT144" s="18"/>
      <c r="HU144" s="18"/>
      <c r="HV144" s="18"/>
      <c r="HW144" s="18"/>
      <c r="HX144" s="18"/>
      <c r="HY144" s="18"/>
      <c r="HZ144" s="18"/>
      <c r="IA144" s="18"/>
      <c r="IB144" s="18"/>
      <c r="IC144" s="18"/>
      <c r="ID144" s="18"/>
      <c r="IE144" s="18"/>
      <c r="IF144" s="18"/>
      <c r="IG144" s="18"/>
      <c r="IH144" s="18"/>
      <c r="II144" s="18"/>
      <c r="IJ144" s="18"/>
      <c r="IK144" s="18"/>
      <c r="IL144" s="18"/>
      <c r="IM144" s="18"/>
      <c r="IN144" s="18"/>
      <c r="IO144" s="18"/>
      <c r="IP144" s="18"/>
      <c r="IQ144" s="18"/>
      <c r="IR144" s="18"/>
      <c r="IS144" s="18"/>
      <c r="IT144" s="18"/>
      <c r="IU144" s="18"/>
      <c r="IV144" s="18"/>
      <c r="IW144" s="18"/>
    </row>
    <row r="145" customFormat="false" ht="13.2" hidden="false" customHeight="false" outlineLevel="0" collapsed="false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CF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/>
      <c r="DK145" s="18"/>
      <c r="DL145" s="18"/>
      <c r="DM145" s="18"/>
      <c r="DN145" s="18"/>
      <c r="DO145" s="18"/>
      <c r="DP145" s="18"/>
      <c r="DQ145" s="18"/>
      <c r="DR145" s="18"/>
      <c r="DS145" s="18"/>
      <c r="DT145" s="18"/>
      <c r="DU145" s="18"/>
      <c r="DV145" s="18"/>
      <c r="DW145" s="18"/>
      <c r="DX145" s="18"/>
      <c r="DY145" s="18"/>
      <c r="DZ145" s="18"/>
      <c r="EA145" s="18"/>
      <c r="EB145" s="18"/>
      <c r="EC145" s="18"/>
      <c r="ED145" s="18"/>
      <c r="EE145" s="18"/>
      <c r="EF145" s="18"/>
      <c r="EG145" s="18"/>
      <c r="EH145" s="18"/>
      <c r="EI145" s="18"/>
      <c r="EJ145" s="18"/>
      <c r="EK145" s="18"/>
      <c r="EL145" s="18"/>
      <c r="EM145" s="18"/>
      <c r="EN145" s="1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18"/>
      <c r="FG145" s="18"/>
      <c r="FH145" s="18"/>
      <c r="FI145" s="18"/>
      <c r="FJ145" s="18"/>
      <c r="FK145" s="18"/>
      <c r="FL145" s="18"/>
      <c r="FM145" s="18"/>
      <c r="FN145" s="18"/>
      <c r="FO145" s="18"/>
      <c r="FP145" s="18"/>
      <c r="FQ145" s="18"/>
      <c r="FR145" s="18"/>
      <c r="FS145" s="18"/>
      <c r="FT145" s="18"/>
      <c r="FU145" s="18"/>
      <c r="FV145" s="18"/>
      <c r="FW145" s="18"/>
      <c r="FX145" s="18"/>
      <c r="FY145" s="18"/>
      <c r="FZ145" s="18"/>
      <c r="GA145" s="18"/>
      <c r="GB145" s="18"/>
      <c r="GC145" s="18"/>
      <c r="GD145" s="18"/>
      <c r="GE145" s="18"/>
      <c r="GF145" s="18"/>
      <c r="GG145" s="18"/>
      <c r="GH145" s="18"/>
      <c r="GI145" s="18"/>
      <c r="GJ145" s="18"/>
      <c r="GK145" s="18"/>
      <c r="GL145" s="18"/>
      <c r="GM145" s="18"/>
      <c r="GN145" s="18"/>
      <c r="GO145" s="18"/>
      <c r="GP145" s="18"/>
      <c r="GQ145" s="18"/>
      <c r="GR145" s="18"/>
      <c r="GS145" s="18"/>
      <c r="GT145" s="18"/>
      <c r="GU145" s="18"/>
      <c r="GV145" s="18"/>
      <c r="GW145" s="18"/>
      <c r="GX145" s="18"/>
      <c r="GY145" s="18"/>
      <c r="GZ145" s="18"/>
      <c r="HA145" s="18"/>
      <c r="HB145" s="18"/>
      <c r="HC145" s="18"/>
      <c r="HD145" s="18"/>
      <c r="HE145" s="18"/>
      <c r="HF145" s="18"/>
      <c r="HG145" s="18"/>
      <c r="HH145" s="18"/>
      <c r="HI145" s="18"/>
      <c r="HJ145" s="18"/>
      <c r="HK145" s="18"/>
      <c r="HL145" s="18"/>
      <c r="HM145" s="18"/>
      <c r="HN145" s="18"/>
      <c r="HO145" s="18"/>
      <c r="HP145" s="18"/>
      <c r="HQ145" s="18"/>
      <c r="HR145" s="18"/>
      <c r="HS145" s="18"/>
      <c r="HT145" s="18"/>
      <c r="HU145" s="18"/>
      <c r="HV145" s="18"/>
      <c r="HW145" s="18"/>
      <c r="HX145" s="18"/>
      <c r="HY145" s="18"/>
      <c r="HZ145" s="18"/>
      <c r="IA145" s="18"/>
      <c r="IB145" s="18"/>
      <c r="IC145" s="18"/>
      <c r="ID145" s="18"/>
      <c r="IE145" s="18"/>
      <c r="IF145" s="18"/>
      <c r="IG145" s="18"/>
      <c r="IH145" s="18"/>
      <c r="II145" s="18"/>
      <c r="IJ145" s="18"/>
      <c r="IK145" s="18"/>
      <c r="IL145" s="18"/>
      <c r="IM145" s="18"/>
      <c r="IN145" s="18"/>
      <c r="IO145" s="18"/>
      <c r="IP145" s="18"/>
      <c r="IQ145" s="18"/>
      <c r="IR145" s="18"/>
      <c r="IS145" s="18"/>
      <c r="IT145" s="18"/>
      <c r="IU145" s="18"/>
      <c r="IV145" s="18"/>
      <c r="IW145" s="18"/>
    </row>
    <row r="146" customFormat="false" ht="13.2" hidden="false" customHeight="false" outlineLevel="0" collapsed="false">
      <c r="A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CF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/>
      <c r="DK146" s="18"/>
      <c r="DL146" s="18"/>
      <c r="DM146" s="18"/>
      <c r="DN146" s="18"/>
      <c r="DO146" s="18"/>
      <c r="DP146" s="18"/>
      <c r="DQ146" s="18"/>
      <c r="DR146" s="18"/>
      <c r="DS146" s="18"/>
      <c r="DT146" s="18"/>
      <c r="DU146" s="18"/>
      <c r="DV146" s="18"/>
      <c r="DW146" s="18"/>
      <c r="DX146" s="18"/>
      <c r="DY146" s="18"/>
      <c r="DZ146" s="18"/>
      <c r="EA146" s="18"/>
      <c r="EB146" s="18"/>
      <c r="EC146" s="18"/>
      <c r="ED146" s="18"/>
      <c r="EE146" s="18"/>
      <c r="EF146" s="18"/>
      <c r="EG146" s="18"/>
      <c r="EH146" s="18"/>
      <c r="EI146" s="18"/>
      <c r="EJ146" s="18"/>
      <c r="EK146" s="18"/>
      <c r="EL146" s="18"/>
      <c r="EM146" s="18"/>
      <c r="EN146" s="18"/>
      <c r="EO146" s="18"/>
      <c r="EP146" s="18"/>
      <c r="EQ146" s="18"/>
      <c r="ER146" s="18"/>
      <c r="ES146" s="18"/>
      <c r="ET146" s="18"/>
      <c r="EU146" s="18"/>
      <c r="EV146" s="18"/>
      <c r="EW146" s="18"/>
      <c r="EX146" s="18"/>
      <c r="EY146" s="18"/>
      <c r="EZ146" s="18"/>
      <c r="FA146" s="18"/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18"/>
      <c r="FO146" s="18"/>
      <c r="FP146" s="18"/>
      <c r="FQ146" s="18"/>
      <c r="FR146" s="18"/>
      <c r="FS146" s="18"/>
      <c r="FT146" s="18"/>
      <c r="FU146" s="18"/>
      <c r="FV146" s="18"/>
      <c r="FW146" s="18"/>
      <c r="FX146" s="18"/>
      <c r="FY146" s="18"/>
      <c r="FZ146" s="18"/>
      <c r="GA146" s="18"/>
      <c r="GB146" s="18"/>
      <c r="GC146" s="18"/>
      <c r="GD146" s="18"/>
      <c r="GE146" s="18"/>
      <c r="GF146" s="18"/>
      <c r="GG146" s="18"/>
      <c r="GH146" s="18"/>
      <c r="GI146" s="18"/>
      <c r="GJ146" s="18"/>
      <c r="GK146" s="18"/>
      <c r="GL146" s="18"/>
      <c r="GM146" s="18"/>
      <c r="GN146" s="18"/>
      <c r="GO146" s="18"/>
      <c r="GP146" s="18"/>
      <c r="GQ146" s="18"/>
      <c r="GR146" s="18"/>
      <c r="GS146" s="18"/>
      <c r="GT146" s="18"/>
      <c r="GU146" s="18"/>
      <c r="GV146" s="18"/>
      <c r="GW146" s="18"/>
      <c r="GX146" s="18"/>
      <c r="GY146" s="18"/>
      <c r="GZ146" s="18"/>
      <c r="HA146" s="18"/>
      <c r="HB146" s="18"/>
      <c r="HC146" s="18"/>
      <c r="HD146" s="18"/>
      <c r="HE146" s="18"/>
      <c r="HF146" s="18"/>
      <c r="HG146" s="18"/>
      <c r="HH146" s="18"/>
      <c r="HI146" s="18"/>
      <c r="HJ146" s="18"/>
      <c r="HK146" s="18"/>
      <c r="HL146" s="18"/>
      <c r="HM146" s="18"/>
      <c r="HN146" s="18"/>
      <c r="HO146" s="18"/>
      <c r="HP146" s="18"/>
      <c r="HQ146" s="18"/>
      <c r="HR146" s="18"/>
      <c r="HS146" s="18"/>
      <c r="HT146" s="18"/>
      <c r="HU146" s="18"/>
      <c r="HV146" s="18"/>
      <c r="HW146" s="18"/>
      <c r="HX146" s="18"/>
      <c r="HY146" s="18"/>
      <c r="HZ146" s="18"/>
      <c r="IA146" s="18"/>
      <c r="IB146" s="18"/>
      <c r="IC146" s="18"/>
      <c r="ID146" s="18"/>
      <c r="IE146" s="18"/>
      <c r="IF146" s="18"/>
      <c r="IG146" s="18"/>
      <c r="IH146" s="18"/>
      <c r="II146" s="18"/>
      <c r="IJ146" s="18"/>
      <c r="IK146" s="18"/>
      <c r="IL146" s="18"/>
      <c r="IM146" s="18"/>
      <c r="IN146" s="18"/>
      <c r="IO146" s="18"/>
      <c r="IP146" s="18"/>
      <c r="IQ146" s="18"/>
      <c r="IR146" s="18"/>
      <c r="IS146" s="18"/>
      <c r="IT146" s="18"/>
      <c r="IU146" s="18"/>
      <c r="IV146" s="18"/>
      <c r="IW146" s="18"/>
    </row>
    <row r="147" customFormat="false" ht="13.2" hidden="false" customHeight="false" outlineLevel="0" collapsed="false">
      <c r="A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CF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  <c r="DG147" s="18"/>
      <c r="DH147" s="18"/>
      <c r="DI147" s="18"/>
      <c r="DJ147" s="18"/>
      <c r="DK147" s="18"/>
      <c r="DL147" s="18"/>
      <c r="DM147" s="18"/>
      <c r="DN147" s="18"/>
      <c r="DO147" s="18"/>
      <c r="DP147" s="18"/>
      <c r="DQ147" s="18"/>
      <c r="DR147" s="18"/>
      <c r="DS147" s="18"/>
      <c r="DT147" s="18"/>
      <c r="DU147" s="18"/>
      <c r="DV147" s="18"/>
      <c r="DW147" s="18"/>
      <c r="DX147" s="18"/>
      <c r="DY147" s="18"/>
      <c r="DZ147" s="18"/>
      <c r="EA147" s="18"/>
      <c r="EB147" s="18"/>
      <c r="EC147" s="18"/>
      <c r="ED147" s="18"/>
      <c r="EE147" s="18"/>
      <c r="EF147" s="18"/>
      <c r="EG147" s="18"/>
      <c r="EH147" s="18"/>
      <c r="EI147" s="18"/>
      <c r="EJ147" s="18"/>
      <c r="EK147" s="18"/>
      <c r="EL147" s="18"/>
      <c r="EM147" s="18"/>
      <c r="EN147" s="18"/>
      <c r="EO147" s="18"/>
      <c r="EP147" s="18"/>
      <c r="EQ147" s="18"/>
      <c r="ER147" s="18"/>
      <c r="ES147" s="18"/>
      <c r="ET147" s="18"/>
      <c r="EU147" s="18"/>
      <c r="EV147" s="18"/>
      <c r="EW147" s="18"/>
      <c r="EX147" s="18"/>
      <c r="EY147" s="18"/>
      <c r="EZ147" s="18"/>
      <c r="FA147" s="18"/>
      <c r="FB147" s="18"/>
      <c r="FC147" s="18"/>
      <c r="FD147" s="18"/>
      <c r="FE147" s="18"/>
      <c r="FF147" s="18"/>
      <c r="FG147" s="18"/>
      <c r="FH147" s="18"/>
      <c r="FI147" s="18"/>
      <c r="FJ147" s="18"/>
      <c r="FK147" s="18"/>
      <c r="FL147" s="18"/>
      <c r="FM147" s="18"/>
      <c r="FN147" s="18"/>
      <c r="FO147" s="18"/>
      <c r="FP147" s="18"/>
      <c r="FQ147" s="18"/>
      <c r="FR147" s="18"/>
      <c r="FS147" s="18"/>
      <c r="FT147" s="18"/>
      <c r="FU147" s="18"/>
      <c r="FV147" s="18"/>
      <c r="FW147" s="18"/>
      <c r="FX147" s="18"/>
      <c r="FY147" s="18"/>
      <c r="FZ147" s="18"/>
      <c r="GA147" s="18"/>
      <c r="GB147" s="18"/>
      <c r="GC147" s="18"/>
      <c r="GD147" s="18"/>
      <c r="GE147" s="18"/>
      <c r="GF147" s="18"/>
      <c r="GG147" s="18"/>
      <c r="GH147" s="18"/>
      <c r="GI147" s="18"/>
      <c r="GJ147" s="18"/>
      <c r="GK147" s="18"/>
      <c r="GL147" s="18"/>
      <c r="GM147" s="18"/>
      <c r="GN147" s="18"/>
      <c r="GO147" s="18"/>
      <c r="GP147" s="18"/>
      <c r="GQ147" s="18"/>
      <c r="GR147" s="18"/>
      <c r="GS147" s="18"/>
      <c r="GT147" s="18"/>
      <c r="GU147" s="18"/>
      <c r="GV147" s="18"/>
      <c r="GW147" s="18"/>
      <c r="GX147" s="18"/>
      <c r="GY147" s="18"/>
      <c r="GZ147" s="18"/>
      <c r="HA147" s="18"/>
      <c r="HB147" s="18"/>
      <c r="HC147" s="18"/>
      <c r="HD147" s="18"/>
      <c r="HE147" s="18"/>
      <c r="HF147" s="18"/>
      <c r="HG147" s="18"/>
      <c r="HH147" s="18"/>
      <c r="HI147" s="18"/>
      <c r="HJ147" s="18"/>
      <c r="HK147" s="18"/>
      <c r="HL147" s="18"/>
      <c r="HM147" s="18"/>
      <c r="HN147" s="18"/>
      <c r="HO147" s="18"/>
      <c r="HP147" s="18"/>
      <c r="HQ147" s="18"/>
      <c r="HR147" s="18"/>
      <c r="HS147" s="18"/>
      <c r="HT147" s="18"/>
      <c r="HU147" s="18"/>
      <c r="HV147" s="18"/>
      <c r="HW147" s="18"/>
      <c r="HX147" s="18"/>
      <c r="HY147" s="18"/>
      <c r="HZ147" s="18"/>
      <c r="IA147" s="18"/>
      <c r="IB147" s="18"/>
      <c r="IC147" s="18"/>
      <c r="ID147" s="18"/>
      <c r="IE147" s="18"/>
      <c r="IF147" s="18"/>
      <c r="IG147" s="18"/>
      <c r="IH147" s="18"/>
      <c r="II147" s="18"/>
      <c r="IJ147" s="18"/>
      <c r="IK147" s="18"/>
      <c r="IL147" s="18"/>
      <c r="IM147" s="18"/>
      <c r="IN147" s="18"/>
      <c r="IO147" s="18"/>
      <c r="IP147" s="18"/>
      <c r="IQ147" s="18"/>
      <c r="IR147" s="18"/>
      <c r="IS147" s="18"/>
      <c r="IT147" s="18"/>
      <c r="IU147" s="18"/>
      <c r="IV147" s="18"/>
      <c r="IW147" s="18"/>
    </row>
    <row r="148" customFormat="false" ht="13.2" hidden="false" customHeight="false" outlineLevel="0" collapsed="false">
      <c r="A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CF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18"/>
      <c r="DH148" s="18"/>
      <c r="DI148" s="18"/>
      <c r="DJ148" s="18"/>
      <c r="DK148" s="18"/>
      <c r="DL148" s="18"/>
      <c r="DM148" s="18"/>
      <c r="DN148" s="18"/>
      <c r="DO148" s="18"/>
      <c r="DP148" s="18"/>
      <c r="DQ148" s="18"/>
      <c r="DR148" s="18"/>
      <c r="DS148" s="18"/>
      <c r="DT148" s="18"/>
      <c r="DU148" s="18"/>
      <c r="DV148" s="18"/>
      <c r="DW148" s="18"/>
      <c r="DX148" s="18"/>
      <c r="DY148" s="18"/>
      <c r="DZ148" s="18"/>
      <c r="EA148" s="18"/>
      <c r="EB148" s="18"/>
      <c r="EC148" s="18"/>
      <c r="ED148" s="18"/>
      <c r="EE148" s="18"/>
      <c r="EF148" s="18"/>
      <c r="EG148" s="18"/>
      <c r="EH148" s="18"/>
      <c r="EI148" s="18"/>
      <c r="EJ148" s="18"/>
      <c r="EK148" s="18"/>
      <c r="EL148" s="18"/>
      <c r="EM148" s="18"/>
      <c r="EN148" s="18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18"/>
      <c r="FB148" s="18"/>
      <c r="FC148" s="18"/>
      <c r="FD148" s="18"/>
      <c r="FE148" s="18"/>
      <c r="FF148" s="18"/>
      <c r="FG148" s="18"/>
      <c r="FH148" s="18"/>
      <c r="FI148" s="18"/>
      <c r="FJ148" s="18"/>
      <c r="FK148" s="18"/>
      <c r="FL148" s="18"/>
      <c r="FM148" s="18"/>
      <c r="FN148" s="18"/>
      <c r="FO148" s="18"/>
      <c r="FP148" s="18"/>
      <c r="FQ148" s="18"/>
      <c r="FR148" s="18"/>
      <c r="FS148" s="18"/>
      <c r="FT148" s="18"/>
      <c r="FU148" s="18"/>
      <c r="FV148" s="18"/>
      <c r="FW148" s="18"/>
      <c r="FX148" s="18"/>
      <c r="FY148" s="18"/>
      <c r="FZ148" s="18"/>
      <c r="GA148" s="18"/>
      <c r="GB148" s="18"/>
      <c r="GC148" s="18"/>
      <c r="GD148" s="18"/>
      <c r="GE148" s="18"/>
      <c r="GF148" s="18"/>
      <c r="GG148" s="18"/>
      <c r="GH148" s="18"/>
      <c r="GI148" s="18"/>
      <c r="GJ148" s="18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18"/>
      <c r="GV148" s="18"/>
      <c r="GW148" s="18"/>
      <c r="GX148" s="18"/>
      <c r="GY148" s="18"/>
      <c r="GZ148" s="18"/>
      <c r="HA148" s="18"/>
      <c r="HB148" s="18"/>
      <c r="HC148" s="18"/>
      <c r="HD148" s="18"/>
      <c r="HE148" s="18"/>
      <c r="HF148" s="18"/>
      <c r="HG148" s="18"/>
      <c r="HH148" s="18"/>
      <c r="HI148" s="18"/>
      <c r="HJ148" s="18"/>
      <c r="HK148" s="18"/>
      <c r="HL148" s="18"/>
      <c r="HM148" s="18"/>
      <c r="HN148" s="18"/>
      <c r="HO148" s="18"/>
      <c r="HP148" s="18"/>
      <c r="HQ148" s="18"/>
      <c r="HR148" s="18"/>
      <c r="HS148" s="18"/>
      <c r="HT148" s="18"/>
      <c r="HU148" s="18"/>
      <c r="HV148" s="18"/>
      <c r="HW148" s="18"/>
      <c r="HX148" s="18"/>
      <c r="HY148" s="18"/>
      <c r="HZ148" s="18"/>
      <c r="IA148" s="18"/>
      <c r="IB148" s="18"/>
      <c r="IC148" s="18"/>
      <c r="ID148" s="18"/>
      <c r="IE148" s="18"/>
      <c r="IF148" s="18"/>
      <c r="IG148" s="18"/>
      <c r="IH148" s="18"/>
      <c r="II148" s="18"/>
      <c r="IJ148" s="18"/>
      <c r="IK148" s="18"/>
      <c r="IL148" s="18"/>
      <c r="IM148" s="18"/>
      <c r="IN148" s="18"/>
      <c r="IO148" s="18"/>
      <c r="IP148" s="18"/>
      <c r="IQ148" s="18"/>
      <c r="IR148" s="18"/>
      <c r="IS148" s="18"/>
      <c r="IT148" s="18"/>
      <c r="IU148" s="18"/>
      <c r="IV148" s="18"/>
      <c r="IW148" s="18"/>
    </row>
    <row r="149" customFormat="false" ht="13.2" hidden="false" customHeight="false" outlineLevel="0" collapsed="false">
      <c r="A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CF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  <c r="DG149" s="18"/>
      <c r="DH149" s="18"/>
      <c r="DI149" s="18"/>
      <c r="DJ149" s="18"/>
      <c r="DK149" s="18"/>
      <c r="DL149" s="18"/>
      <c r="DM149" s="18"/>
      <c r="DN149" s="18"/>
      <c r="DO149" s="18"/>
      <c r="DP149" s="18"/>
      <c r="DQ149" s="18"/>
      <c r="DR149" s="18"/>
      <c r="DS149" s="18"/>
      <c r="DT149" s="18"/>
      <c r="DU149" s="18"/>
      <c r="DV149" s="18"/>
      <c r="DW149" s="18"/>
      <c r="DX149" s="18"/>
      <c r="DY149" s="18"/>
      <c r="DZ149" s="18"/>
      <c r="EA149" s="18"/>
      <c r="EB149" s="18"/>
      <c r="EC149" s="18"/>
      <c r="ED149" s="18"/>
      <c r="EE149" s="18"/>
      <c r="EF149" s="18"/>
      <c r="EG149" s="18"/>
      <c r="EH149" s="18"/>
      <c r="EI149" s="18"/>
      <c r="EJ149" s="18"/>
      <c r="EK149" s="18"/>
      <c r="EL149" s="18"/>
      <c r="EM149" s="18"/>
      <c r="EN149" s="18"/>
      <c r="EO149" s="18"/>
      <c r="EP149" s="18"/>
      <c r="EQ149" s="18"/>
      <c r="ER149" s="18"/>
      <c r="ES149" s="18"/>
      <c r="ET149" s="18"/>
      <c r="EU149" s="18"/>
      <c r="EV149" s="18"/>
      <c r="EW149" s="18"/>
      <c r="EX149" s="18"/>
      <c r="EY149" s="18"/>
      <c r="EZ149" s="18"/>
      <c r="FA149" s="18"/>
      <c r="FB149" s="18"/>
      <c r="FC149" s="18"/>
      <c r="FD149" s="18"/>
      <c r="FE149" s="18"/>
      <c r="FF149" s="18"/>
      <c r="FG149" s="18"/>
      <c r="FH149" s="18"/>
      <c r="FI149" s="18"/>
      <c r="FJ149" s="18"/>
      <c r="FK149" s="18"/>
      <c r="FL149" s="18"/>
      <c r="FM149" s="18"/>
      <c r="FN149" s="18"/>
      <c r="FO149" s="18"/>
      <c r="FP149" s="18"/>
      <c r="FQ149" s="18"/>
      <c r="FR149" s="18"/>
      <c r="FS149" s="18"/>
      <c r="FT149" s="18"/>
      <c r="FU149" s="18"/>
      <c r="FV149" s="18"/>
      <c r="FW149" s="18"/>
      <c r="FX149" s="18"/>
      <c r="FY149" s="18"/>
      <c r="FZ149" s="18"/>
      <c r="GA149" s="18"/>
      <c r="GB149" s="18"/>
      <c r="GC149" s="18"/>
      <c r="GD149" s="18"/>
      <c r="GE149" s="18"/>
      <c r="GF149" s="18"/>
      <c r="GG149" s="18"/>
      <c r="GH149" s="18"/>
      <c r="GI149" s="18"/>
      <c r="GJ149" s="18"/>
      <c r="GK149" s="18"/>
      <c r="GL149" s="18"/>
      <c r="GM149" s="18"/>
      <c r="GN149" s="18"/>
      <c r="GO149" s="18"/>
      <c r="GP149" s="18"/>
      <c r="GQ149" s="18"/>
      <c r="GR149" s="18"/>
      <c r="GS149" s="18"/>
      <c r="GT149" s="18"/>
      <c r="GU149" s="18"/>
      <c r="GV149" s="18"/>
      <c r="GW149" s="18"/>
      <c r="GX149" s="18"/>
      <c r="GY149" s="18"/>
      <c r="GZ149" s="18"/>
      <c r="HA149" s="18"/>
      <c r="HB149" s="18"/>
      <c r="HC149" s="18"/>
      <c r="HD149" s="18"/>
      <c r="HE149" s="18"/>
      <c r="HF149" s="18"/>
      <c r="HG149" s="18"/>
      <c r="HH149" s="18"/>
      <c r="HI149" s="18"/>
      <c r="HJ149" s="18"/>
      <c r="HK149" s="18"/>
      <c r="HL149" s="18"/>
      <c r="HM149" s="18"/>
      <c r="HN149" s="18"/>
      <c r="HO149" s="18"/>
      <c r="HP149" s="18"/>
      <c r="HQ149" s="18"/>
      <c r="HR149" s="18"/>
      <c r="HS149" s="18"/>
      <c r="HT149" s="18"/>
      <c r="HU149" s="18"/>
      <c r="HV149" s="18"/>
      <c r="HW149" s="18"/>
      <c r="HX149" s="18"/>
      <c r="HY149" s="18"/>
      <c r="HZ149" s="18"/>
      <c r="IA149" s="18"/>
      <c r="IB149" s="18"/>
      <c r="IC149" s="18"/>
      <c r="ID149" s="18"/>
      <c r="IE149" s="18"/>
      <c r="IF149" s="18"/>
      <c r="IG149" s="18"/>
      <c r="IH149" s="18"/>
      <c r="II149" s="18"/>
      <c r="IJ149" s="18"/>
      <c r="IK149" s="18"/>
      <c r="IL149" s="18"/>
      <c r="IM149" s="18"/>
      <c r="IN149" s="18"/>
      <c r="IO149" s="18"/>
      <c r="IP149" s="18"/>
      <c r="IQ149" s="18"/>
      <c r="IR149" s="18"/>
      <c r="IS149" s="18"/>
      <c r="IT149" s="18"/>
      <c r="IU149" s="18"/>
      <c r="IV149" s="18"/>
      <c r="IW149" s="18"/>
    </row>
    <row r="150" customFormat="false" ht="13.2" hidden="false" customHeight="false" outlineLevel="0" collapsed="false">
      <c r="A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CF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  <c r="DG150" s="18"/>
      <c r="DH150" s="18"/>
      <c r="DI150" s="18"/>
      <c r="DJ150" s="18"/>
      <c r="DK150" s="18"/>
      <c r="DL150" s="18"/>
      <c r="DM150" s="18"/>
      <c r="DN150" s="18"/>
      <c r="DO150" s="18"/>
      <c r="DP150" s="18"/>
      <c r="DQ150" s="18"/>
      <c r="DR150" s="18"/>
      <c r="DS150" s="18"/>
      <c r="DT150" s="18"/>
      <c r="DU150" s="18"/>
      <c r="DV150" s="18"/>
      <c r="DW150" s="18"/>
      <c r="DX150" s="18"/>
      <c r="DY150" s="18"/>
      <c r="DZ150" s="18"/>
      <c r="EA150" s="18"/>
      <c r="EB150" s="18"/>
      <c r="EC150" s="18"/>
      <c r="ED150" s="18"/>
      <c r="EE150" s="18"/>
      <c r="EF150" s="18"/>
      <c r="EG150" s="18"/>
      <c r="EH150" s="18"/>
      <c r="EI150" s="18"/>
      <c r="EJ150" s="18"/>
      <c r="EK150" s="18"/>
      <c r="EL150" s="18"/>
      <c r="EM150" s="18"/>
      <c r="EN150" s="18"/>
      <c r="EO150" s="18"/>
      <c r="EP150" s="18"/>
      <c r="EQ150" s="18"/>
      <c r="ER150" s="18"/>
      <c r="ES150" s="18"/>
      <c r="ET150" s="18"/>
      <c r="EU150" s="18"/>
      <c r="EV150" s="18"/>
      <c r="EW150" s="18"/>
      <c r="EX150" s="18"/>
      <c r="EY150" s="18"/>
      <c r="EZ150" s="18"/>
      <c r="FA150" s="18"/>
      <c r="FB150" s="18"/>
      <c r="FC150" s="18"/>
      <c r="FD150" s="18"/>
      <c r="FE150" s="18"/>
      <c r="FF150" s="18"/>
      <c r="FG150" s="18"/>
      <c r="FH150" s="18"/>
      <c r="FI150" s="18"/>
      <c r="FJ150" s="18"/>
      <c r="FK150" s="18"/>
      <c r="FL150" s="18"/>
      <c r="FM150" s="18"/>
      <c r="FN150" s="18"/>
      <c r="FO150" s="18"/>
      <c r="FP150" s="18"/>
      <c r="FQ150" s="18"/>
      <c r="FR150" s="18"/>
      <c r="FS150" s="18"/>
      <c r="FT150" s="18"/>
      <c r="FU150" s="18"/>
      <c r="FV150" s="18"/>
      <c r="FW150" s="18"/>
      <c r="FX150" s="18"/>
      <c r="FY150" s="18"/>
      <c r="FZ150" s="18"/>
      <c r="GA150" s="18"/>
      <c r="GB150" s="18"/>
      <c r="GC150" s="18"/>
      <c r="GD150" s="18"/>
      <c r="GE150" s="18"/>
      <c r="GF150" s="18"/>
      <c r="GG150" s="18"/>
      <c r="GH150" s="18"/>
      <c r="GI150" s="18"/>
      <c r="GJ150" s="18"/>
      <c r="GK150" s="18"/>
      <c r="GL150" s="18"/>
      <c r="GM150" s="18"/>
      <c r="GN150" s="18"/>
      <c r="GO150" s="18"/>
      <c r="GP150" s="18"/>
      <c r="GQ150" s="18"/>
      <c r="GR150" s="18"/>
      <c r="GS150" s="18"/>
      <c r="GT150" s="18"/>
      <c r="GU150" s="18"/>
      <c r="GV150" s="18"/>
      <c r="GW150" s="18"/>
      <c r="GX150" s="18"/>
      <c r="GY150" s="18"/>
      <c r="GZ150" s="18"/>
      <c r="HA150" s="18"/>
      <c r="HB150" s="18"/>
      <c r="HC150" s="18"/>
      <c r="HD150" s="18"/>
      <c r="HE150" s="18"/>
      <c r="HF150" s="18"/>
      <c r="HG150" s="18"/>
      <c r="HH150" s="18"/>
      <c r="HI150" s="18"/>
      <c r="HJ150" s="18"/>
      <c r="HK150" s="18"/>
      <c r="HL150" s="18"/>
      <c r="HM150" s="18"/>
      <c r="HN150" s="18"/>
      <c r="HO150" s="18"/>
      <c r="HP150" s="18"/>
      <c r="HQ150" s="18"/>
      <c r="HR150" s="18"/>
      <c r="HS150" s="18"/>
      <c r="HT150" s="18"/>
      <c r="HU150" s="18"/>
      <c r="HV150" s="18"/>
      <c r="HW150" s="18"/>
      <c r="HX150" s="18"/>
      <c r="HY150" s="18"/>
      <c r="HZ150" s="18"/>
      <c r="IA150" s="18"/>
      <c r="IB150" s="18"/>
      <c r="IC150" s="18"/>
      <c r="ID150" s="18"/>
      <c r="IE150" s="18"/>
      <c r="IF150" s="18"/>
      <c r="IG150" s="18"/>
      <c r="IH150" s="18"/>
      <c r="II150" s="18"/>
      <c r="IJ150" s="18"/>
      <c r="IK150" s="18"/>
      <c r="IL150" s="18"/>
      <c r="IM150" s="18"/>
      <c r="IN150" s="18"/>
      <c r="IO150" s="18"/>
      <c r="IP150" s="18"/>
      <c r="IQ150" s="18"/>
      <c r="IR150" s="18"/>
      <c r="IS150" s="18"/>
      <c r="IT150" s="18"/>
      <c r="IU150" s="18"/>
      <c r="IV150" s="18"/>
      <c r="IW150" s="18"/>
    </row>
    <row r="151" customFormat="false" ht="13.2" hidden="false" customHeight="false" outlineLevel="0" collapsed="false">
      <c r="A151" s="18"/>
      <c r="F151" s="18"/>
      <c r="G151" s="18"/>
      <c r="H151" s="18"/>
      <c r="I151" s="18"/>
      <c r="J151" s="18"/>
      <c r="K151" s="18"/>
      <c r="L151" s="18"/>
      <c r="M151" s="18"/>
      <c r="O151" s="18"/>
      <c r="P151" s="18"/>
      <c r="Q151" s="18"/>
      <c r="CF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  <c r="DG151" s="18"/>
      <c r="DH151" s="18"/>
      <c r="DI151" s="18"/>
      <c r="DJ151" s="18"/>
      <c r="DK151" s="18"/>
      <c r="DL151" s="18"/>
      <c r="DM151" s="18"/>
      <c r="DN151" s="18"/>
      <c r="DO151" s="18"/>
      <c r="DP151" s="18"/>
      <c r="DQ151" s="18"/>
      <c r="DR151" s="18"/>
      <c r="DS151" s="18"/>
      <c r="DT151" s="18"/>
      <c r="DU151" s="18"/>
      <c r="DV151" s="18"/>
      <c r="DW151" s="18"/>
      <c r="DX151" s="18"/>
      <c r="DY151" s="18"/>
      <c r="DZ151" s="18"/>
      <c r="EA151" s="18"/>
      <c r="EB151" s="18"/>
      <c r="EC151" s="18"/>
      <c r="ED151" s="18"/>
      <c r="EE151" s="18"/>
      <c r="EF151" s="18"/>
      <c r="EG151" s="18"/>
      <c r="EH151" s="18"/>
      <c r="EI151" s="18"/>
      <c r="EJ151" s="18"/>
      <c r="EK151" s="18"/>
      <c r="EL151" s="18"/>
      <c r="EM151" s="18"/>
      <c r="EN151" s="18"/>
      <c r="EO151" s="18"/>
      <c r="EP151" s="18"/>
      <c r="EQ151" s="18"/>
      <c r="ER151" s="18"/>
      <c r="ES151" s="18"/>
      <c r="ET151" s="18"/>
      <c r="EU151" s="18"/>
      <c r="EV151" s="18"/>
      <c r="EW151" s="18"/>
      <c r="EX151" s="18"/>
      <c r="EY151" s="18"/>
      <c r="EZ151" s="18"/>
      <c r="FA151" s="18"/>
      <c r="FB151" s="18"/>
      <c r="FC151" s="18"/>
      <c r="FD151" s="18"/>
      <c r="FE151" s="18"/>
      <c r="FF151" s="18"/>
      <c r="FG151" s="18"/>
      <c r="FH151" s="18"/>
      <c r="FI151" s="18"/>
      <c r="FJ151" s="18"/>
      <c r="FK151" s="18"/>
      <c r="FL151" s="18"/>
      <c r="FM151" s="18"/>
      <c r="FN151" s="18"/>
      <c r="FO151" s="18"/>
      <c r="FP151" s="18"/>
      <c r="FQ151" s="18"/>
      <c r="FR151" s="18"/>
      <c r="FS151" s="18"/>
      <c r="FT151" s="18"/>
      <c r="FU151" s="18"/>
      <c r="FV151" s="18"/>
      <c r="FW151" s="18"/>
      <c r="FX151" s="18"/>
      <c r="FY151" s="18"/>
      <c r="FZ151" s="18"/>
      <c r="GA151" s="18"/>
      <c r="GB151" s="18"/>
      <c r="GC151" s="18"/>
      <c r="GD151" s="18"/>
      <c r="GE151" s="18"/>
      <c r="GF151" s="18"/>
      <c r="GG151" s="18"/>
      <c r="GH151" s="18"/>
      <c r="GI151" s="18"/>
      <c r="GJ151" s="18"/>
      <c r="GK151" s="18"/>
      <c r="GL151" s="18"/>
      <c r="GM151" s="18"/>
      <c r="GN151" s="18"/>
      <c r="GO151" s="18"/>
      <c r="GP151" s="18"/>
      <c r="GQ151" s="18"/>
      <c r="GR151" s="18"/>
      <c r="GS151" s="18"/>
      <c r="GT151" s="18"/>
      <c r="GU151" s="18"/>
      <c r="GV151" s="18"/>
      <c r="GW151" s="18"/>
      <c r="GX151" s="18"/>
      <c r="GY151" s="18"/>
      <c r="GZ151" s="18"/>
      <c r="HA151" s="18"/>
      <c r="HB151" s="18"/>
      <c r="HC151" s="18"/>
      <c r="HD151" s="18"/>
      <c r="HE151" s="18"/>
      <c r="HF151" s="18"/>
      <c r="HG151" s="18"/>
      <c r="HH151" s="18"/>
      <c r="HI151" s="18"/>
      <c r="HJ151" s="18"/>
      <c r="HK151" s="18"/>
      <c r="HL151" s="18"/>
      <c r="HM151" s="18"/>
      <c r="HN151" s="18"/>
      <c r="HO151" s="18"/>
      <c r="HP151" s="18"/>
      <c r="HQ151" s="18"/>
      <c r="HR151" s="18"/>
      <c r="HS151" s="18"/>
      <c r="HT151" s="18"/>
      <c r="HU151" s="18"/>
      <c r="HV151" s="18"/>
      <c r="HW151" s="18"/>
      <c r="HX151" s="18"/>
      <c r="HY151" s="18"/>
      <c r="HZ151" s="18"/>
      <c r="IA151" s="18"/>
      <c r="IB151" s="18"/>
      <c r="IC151" s="18"/>
      <c r="ID151" s="18"/>
      <c r="IE151" s="18"/>
      <c r="IF151" s="18"/>
      <c r="IG151" s="18"/>
      <c r="IH151" s="18"/>
      <c r="II151" s="18"/>
      <c r="IJ151" s="18"/>
      <c r="IK151" s="18"/>
      <c r="IL151" s="18"/>
      <c r="IM151" s="18"/>
      <c r="IN151" s="18"/>
      <c r="IO151" s="18"/>
      <c r="IP151" s="18"/>
      <c r="IQ151" s="18"/>
      <c r="IR151" s="18"/>
      <c r="IS151" s="18"/>
      <c r="IT151" s="18"/>
      <c r="IU151" s="18"/>
      <c r="IV151" s="18"/>
      <c r="IW151" s="18"/>
    </row>
  </sheetData>
  <mergeCells count="62">
    <mergeCell ref="H5:H6"/>
    <mergeCell ref="I5:I6"/>
    <mergeCell ref="J5:J6"/>
    <mergeCell ref="K5:K6"/>
    <mergeCell ref="L5:N5"/>
    <mergeCell ref="O5:O6"/>
    <mergeCell ref="P5:R5"/>
    <mergeCell ref="S5:S6"/>
    <mergeCell ref="V5:V6"/>
    <mergeCell ref="W5:W6"/>
    <mergeCell ref="X5:X6"/>
    <mergeCell ref="Y5:Y6"/>
    <mergeCell ref="Z5:Z6"/>
    <mergeCell ref="AA5:AA6"/>
    <mergeCell ref="AB5:AB6"/>
    <mergeCell ref="AC5:AC6"/>
    <mergeCell ref="AD5:AY5"/>
    <mergeCell ref="AZ5:AZ6"/>
    <mergeCell ref="BA5:BA6"/>
    <mergeCell ref="BB5:BB6"/>
    <mergeCell ref="BC5:BC6"/>
    <mergeCell ref="BF5:BF6"/>
    <mergeCell ref="BG5:BG6"/>
    <mergeCell ref="BH5:BH6"/>
    <mergeCell ref="BI5:BI6"/>
    <mergeCell ref="BJ5:CG5"/>
    <mergeCell ref="CH5:CH6"/>
    <mergeCell ref="CJ5:CJ6"/>
    <mergeCell ref="CK5:CK6"/>
    <mergeCell ref="CL5:CL6"/>
    <mergeCell ref="CM5:CM6"/>
    <mergeCell ref="CN5:DI5"/>
    <mergeCell ref="DJ5:DJ6"/>
    <mergeCell ref="H38:H39"/>
    <mergeCell ref="I38:K38"/>
    <mergeCell ref="L38:N38"/>
    <mergeCell ref="O38:O39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Y52"/>
    <mergeCell ref="AZ52:AZ53"/>
    <mergeCell ref="BA52:BA53"/>
    <mergeCell ref="BB52:BB53"/>
    <mergeCell ref="BC52:BC53"/>
    <mergeCell ref="BF52:BF53"/>
    <mergeCell ref="BG52:BG53"/>
    <mergeCell ref="BH52:BH53"/>
    <mergeCell ref="BI52:BI53"/>
    <mergeCell ref="BJ52:CG52"/>
    <mergeCell ref="CH52:CH53"/>
    <mergeCell ref="CJ52:CJ53"/>
    <mergeCell ref="CK52:CK53"/>
    <mergeCell ref="CL52:CL53"/>
    <mergeCell ref="CM52:CM53"/>
    <mergeCell ref="CN52:DI52"/>
    <mergeCell ref="DJ52:DJ5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51"/>
  <sheetViews>
    <sheetView showFormulas="false" showGridLines="true" showRowColHeaders="true" showZeros="true" rightToLeft="false" tabSelected="false" showOutlineSymbols="true" defaultGridColor="true" view="normal" topLeftCell="G3" colorId="64" zoomScale="100" zoomScaleNormal="100" zoomScalePageLayoutView="100" workbookViewId="0">
      <selection pane="topLeft" activeCell="N10" activeCellId="0" sqref="N10"/>
    </sheetView>
  </sheetViews>
  <sheetFormatPr defaultColWidth="8.875" defaultRowHeight="13.2" customHeight="false" zeroHeight="false" outlineLevelRow="0" outlineLevelCol="0"/>
  <cols>
    <col collapsed="false" customWidth="true" hidden="false" outlineLevel="0" max="1" min="1" style="405" width="1.55"/>
    <col collapsed="false" customWidth="true" hidden="false" outlineLevel="0" max="2" min="2" style="405" width="3.87"/>
    <col collapsed="false" customWidth="true" hidden="false" outlineLevel="0" max="3" min="3" style="405" width="42.43"/>
    <col collapsed="false" customWidth="true" hidden="false" outlineLevel="0" max="4" min="4" style="405" width="10.55"/>
    <col collapsed="false" customWidth="true" hidden="false" outlineLevel="0" max="5" min="5" style="405" width="5.1"/>
    <col collapsed="false" customWidth="false" hidden="false" outlineLevel="0" max="7" min="6" style="1" width="8.87"/>
    <col collapsed="false" customWidth="true" hidden="false" outlineLevel="0" max="8" min="8" style="1" width="10.66"/>
    <col collapsed="false" customWidth="true" hidden="false" outlineLevel="0" max="9" min="9" style="1" width="9.87"/>
    <col collapsed="false" customWidth="true" hidden="false" outlineLevel="0" max="10" min="10" style="1" width="9.1"/>
    <col collapsed="false" customWidth="true" hidden="false" outlineLevel="0" max="11" min="11" style="1" width="14.87"/>
    <col collapsed="false" customWidth="false" hidden="false" outlineLevel="0" max="13" min="12" style="1" width="8.87"/>
    <col collapsed="false" customWidth="true" hidden="false" outlineLevel="0" max="14" min="14" style="1" width="9.55"/>
    <col collapsed="false" customWidth="true" hidden="false" outlineLevel="0" max="15" min="15" style="1" width="14.43"/>
    <col collapsed="false" customWidth="true" hidden="false" outlineLevel="0" max="16" min="16" style="1" width="14.33"/>
    <col collapsed="false" customWidth="false" hidden="false" outlineLevel="0" max="17" min="17" style="1" width="8.87"/>
    <col collapsed="false" customWidth="true" hidden="false" outlineLevel="0" max="18" min="18" style="1" width="9.55"/>
    <col collapsed="false" customWidth="false" hidden="false" outlineLevel="0" max="21" min="19" style="1" width="8.87"/>
    <col collapsed="false" customWidth="true" hidden="false" outlineLevel="0" max="22" min="22" style="1" width="18.33"/>
    <col collapsed="false" customWidth="true" hidden="false" outlineLevel="0" max="23" min="23" style="1" width="12.88"/>
    <col collapsed="false" customWidth="true" hidden="false" outlineLevel="0" max="24" min="24" style="1" width="14.99"/>
    <col collapsed="false" customWidth="true" hidden="false" outlineLevel="0" max="25" min="25" style="1" width="11.43"/>
    <col collapsed="false" customWidth="false" hidden="false" outlineLevel="0" max="26" min="26" style="1" width="8.87"/>
    <col collapsed="false" customWidth="true" hidden="false" outlineLevel="0" max="27" min="27" style="1" width="12.66"/>
    <col collapsed="false" customWidth="true" hidden="false" outlineLevel="0" max="28" min="28" style="1" width="14.99"/>
    <col collapsed="false" customWidth="true" hidden="false" outlineLevel="0" max="29" min="29" style="1" width="9.55"/>
    <col collapsed="false" customWidth="false" hidden="false" outlineLevel="0" max="257" min="30" style="1" width="8.87"/>
  </cols>
  <sheetData>
    <row r="1" customFormat="false" ht="13.2" hidden="false" customHeight="false" outlineLevel="0" collapsed="false">
      <c r="B1" s="1"/>
      <c r="C1" s="1"/>
      <c r="D1" s="1"/>
      <c r="E1" s="1"/>
    </row>
    <row r="2" customFormat="false" ht="13.2" hidden="false" customHeight="false" outlineLevel="0" collapsed="false">
      <c r="B2" s="571" t="s">
        <v>359</v>
      </c>
      <c r="C2" s="571"/>
      <c r="D2" s="571"/>
      <c r="E2" s="571"/>
      <c r="J2" s="405"/>
      <c r="K2" s="383" t="s">
        <v>360</v>
      </c>
      <c r="L2" s="405"/>
      <c r="N2" s="405"/>
      <c r="O2" s="405"/>
      <c r="P2" s="405"/>
      <c r="Q2" s="405"/>
      <c r="R2" s="405"/>
      <c r="Y2" s="383" t="s">
        <v>361</v>
      </c>
    </row>
    <row r="3" customFormat="false" ht="13.8" hidden="false" customHeight="false" outlineLevel="0" collapsed="false">
      <c r="C3" s="1"/>
      <c r="D3" s="1"/>
      <c r="E3" s="1"/>
      <c r="J3" s="405"/>
      <c r="K3" s="405"/>
      <c r="L3" s="405"/>
      <c r="N3" s="405"/>
      <c r="O3" s="405"/>
      <c r="P3" s="405"/>
      <c r="Q3" s="405"/>
      <c r="R3" s="405"/>
    </row>
    <row r="4" customFormat="false" ht="15.75" hidden="false" customHeight="true" outlineLevel="0" collapsed="false">
      <c r="B4" s="572"/>
      <c r="C4" s="573"/>
      <c r="D4" s="573"/>
      <c r="E4" s="574"/>
      <c r="G4" s="575" t="s">
        <v>96</v>
      </c>
      <c r="H4" s="575" t="s">
        <v>362</v>
      </c>
      <c r="I4" s="576" t="s">
        <v>363</v>
      </c>
      <c r="J4" s="577" t="s">
        <v>215</v>
      </c>
      <c r="K4" s="577"/>
      <c r="L4" s="577"/>
      <c r="M4" s="578" t="s">
        <v>311</v>
      </c>
      <c r="N4" s="575" t="s">
        <v>364</v>
      </c>
      <c r="O4" s="579" t="s">
        <v>216</v>
      </c>
      <c r="P4" s="579"/>
      <c r="Q4" s="579"/>
      <c r="R4" s="575" t="s">
        <v>365</v>
      </c>
      <c r="U4" s="580" t="s">
        <v>96</v>
      </c>
      <c r="V4" s="581" t="s">
        <v>362</v>
      </c>
      <c r="W4" s="577" t="s">
        <v>215</v>
      </c>
      <c r="X4" s="577"/>
      <c r="Y4" s="577"/>
      <c r="Z4" s="582" t="s">
        <v>311</v>
      </c>
      <c r="AA4" s="579" t="s">
        <v>216</v>
      </c>
      <c r="AB4" s="579"/>
      <c r="AC4" s="579"/>
    </row>
    <row r="5" customFormat="false" ht="42" hidden="false" customHeight="true" outlineLevel="0" collapsed="false">
      <c r="A5" s="7"/>
      <c r="B5" s="583" t="s">
        <v>160</v>
      </c>
      <c r="C5" s="584"/>
      <c r="D5" s="585"/>
      <c r="E5" s="586"/>
      <c r="F5" s="7"/>
      <c r="G5" s="575"/>
      <c r="H5" s="575"/>
      <c r="I5" s="576"/>
      <c r="J5" s="587" t="s">
        <v>366</v>
      </c>
      <c r="K5" s="588" t="s">
        <v>367</v>
      </c>
      <c r="L5" s="589" t="s">
        <v>368</v>
      </c>
      <c r="M5" s="578"/>
      <c r="N5" s="575"/>
      <c r="O5" s="588" t="s">
        <v>369</v>
      </c>
      <c r="P5" s="588" t="s">
        <v>370</v>
      </c>
      <c r="Q5" s="588" t="s">
        <v>368</v>
      </c>
      <c r="R5" s="575"/>
      <c r="S5" s="7"/>
      <c r="T5" s="7"/>
      <c r="U5" s="580"/>
      <c r="V5" s="581"/>
      <c r="W5" s="587" t="s">
        <v>371</v>
      </c>
      <c r="X5" s="588" t="s">
        <v>372</v>
      </c>
      <c r="Y5" s="590" t="s">
        <v>282</v>
      </c>
      <c r="Z5" s="582"/>
      <c r="AA5" s="588" t="s">
        <v>371</v>
      </c>
      <c r="AB5" s="588" t="s">
        <v>372</v>
      </c>
      <c r="AC5" s="591" t="s">
        <v>282</v>
      </c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</row>
    <row r="6" customFormat="false" ht="15.75" hidden="false" customHeight="true" outlineLevel="0" collapsed="false">
      <c r="B6" s="592"/>
      <c r="C6" s="74" t="s">
        <v>164</v>
      </c>
      <c r="D6" s="593" t="n">
        <f aca="false">'Input-Detail'!BV33</f>
        <v>1768</v>
      </c>
      <c r="E6" s="594"/>
      <c r="G6" s="537" t="s">
        <v>114</v>
      </c>
      <c r="H6" s="595" t="n">
        <f aca="false">Delay!W7</f>
        <v>19016173</v>
      </c>
      <c r="I6" s="596" t="n">
        <f aca="false">H6/365</f>
        <v>52099.104109589</v>
      </c>
      <c r="J6" s="597" t="n">
        <f aca="false">(Delay!AC7*Delay!AA7+Delay!AC54*Delay!AA54)*$Q$33</f>
        <v>4264000</v>
      </c>
      <c r="K6" s="598" t="n">
        <f aca="false">H6-J6</f>
        <v>14752173</v>
      </c>
      <c r="L6" s="599" t="n">
        <f aca="false">'Input-Detail'!BV35</f>
        <v>61.5</v>
      </c>
      <c r="M6" s="600" t="n">
        <f aca="false">Delay!X7</f>
        <v>0</v>
      </c>
      <c r="N6" s="598"/>
      <c r="O6" s="598" t="n">
        <f aca="false">J6*(1-M6)</f>
        <v>4264000</v>
      </c>
      <c r="P6" s="598" t="n">
        <f aca="false">K6*(1-M6)</f>
        <v>14752173</v>
      </c>
      <c r="Q6" s="601" t="n">
        <f aca="false">AC6</f>
        <v>61.5</v>
      </c>
      <c r="R6" s="602" t="n">
        <f aca="false">L6-Q6</f>
        <v>0</v>
      </c>
      <c r="U6" s="537" t="s">
        <v>114</v>
      </c>
      <c r="V6" s="603" t="n">
        <f aca="false">Delay!W7</f>
        <v>19016173</v>
      </c>
      <c r="W6" s="604" t="n">
        <f aca="false">(Delay!AA7+Delay!AA54)*$Q$33*$D$10/$D$6</f>
        <v>7.05882352941176</v>
      </c>
      <c r="X6" s="601" t="n">
        <f aca="false">Y6-W6</f>
        <v>54.4411764705882</v>
      </c>
      <c r="Y6" s="605" t="n">
        <f aca="false">L6</f>
        <v>61.5</v>
      </c>
      <c r="Z6" s="600" t="n">
        <f aca="false">Delay!X7</f>
        <v>0</v>
      </c>
      <c r="AA6" s="606" t="n">
        <f aca="false">W6</f>
        <v>7.05882352941176</v>
      </c>
      <c r="AB6" s="601" t="n">
        <f aca="false">AC6-AA6</f>
        <v>54.4411764705882</v>
      </c>
      <c r="AC6" s="607" t="n">
        <f aca="false">Y6</f>
        <v>61.5</v>
      </c>
    </row>
    <row r="7" customFormat="false" ht="13.2" hidden="false" customHeight="false" outlineLevel="0" collapsed="false">
      <c r="B7" s="592"/>
      <c r="C7" s="74" t="s">
        <v>373</v>
      </c>
      <c r="D7" s="608" t="n">
        <f aca="false">'Input-Detail'!BV34</f>
        <v>0.11</v>
      </c>
      <c r="E7" s="594"/>
      <c r="G7" s="537" t="n">
        <v>1</v>
      </c>
      <c r="H7" s="609" t="n">
        <f aca="false">Delay!W8</f>
        <v>19565364.35</v>
      </c>
      <c r="I7" s="596" t="n">
        <f aca="false">H7/365</f>
        <v>53603.7379452055</v>
      </c>
      <c r="J7" s="597" t="n">
        <f aca="false">(Delay!AC8*Delay!AA8+Delay!AC55*Delay!AA55)*$Q$33</f>
        <v>4387145.278306</v>
      </c>
      <c r="K7" s="598" t="n">
        <f aca="false">H7-J7</f>
        <v>15178219.071694</v>
      </c>
      <c r="L7" s="610" t="n">
        <f aca="false">Y7</f>
        <v>63.0722734117675</v>
      </c>
      <c r="M7" s="600" t="n">
        <f aca="false">Delay!X8</f>
        <v>0.06</v>
      </c>
      <c r="N7" s="598" t="n">
        <f aca="false">Delay!BB8</f>
        <v>1</v>
      </c>
      <c r="O7" s="598" t="n">
        <f aca="false">J7*(1-M7)</f>
        <v>4123916.56160764</v>
      </c>
      <c r="P7" s="598" t="n">
        <f aca="false">K7*(1-M7)</f>
        <v>14267525.9273924</v>
      </c>
      <c r="Q7" s="601" t="n">
        <f aca="false">AC7</f>
        <v>59.1232311247085</v>
      </c>
      <c r="R7" s="602" t="n">
        <f aca="false">L7-Q7</f>
        <v>3.94904228705899</v>
      </c>
      <c r="U7" s="537" t="n">
        <v>1</v>
      </c>
      <c r="V7" s="611" t="n">
        <f aca="false">Delay!W8</f>
        <v>19565364.35</v>
      </c>
      <c r="W7" s="604" t="n">
        <f aca="false">(Delay!AA8+Delay!AA55)*$Q$33*$D$10/$D$6</f>
        <v>7.05882352941176</v>
      </c>
      <c r="X7" s="601" t="n">
        <f aca="false">X$6*K7/K$6</f>
        <v>56.0134498823557</v>
      </c>
      <c r="Y7" s="612" t="n">
        <f aca="false">W7+X7</f>
        <v>63.0722734117675</v>
      </c>
      <c r="Z7" s="600" t="n">
        <f aca="false">Delay!X8</f>
        <v>0.06</v>
      </c>
      <c r="AA7" s="606" t="n">
        <f aca="false">(Delay!AA8+Delay!AA55)*(PY!$D$10-PY!$N7)*PY!$Q$33/PY!$D$6</f>
        <v>6.47058823529412</v>
      </c>
      <c r="AB7" s="601" t="n">
        <f aca="false">AB$6*P7/P$6</f>
        <v>52.6526428894144</v>
      </c>
      <c r="AC7" s="613" t="n">
        <f aca="false">AA7+AB7</f>
        <v>59.1232311247085</v>
      </c>
    </row>
    <row r="8" customFormat="false" ht="13.2" hidden="false" customHeight="false" outlineLevel="0" collapsed="false">
      <c r="B8" s="592"/>
      <c r="C8" s="74" t="s">
        <v>374</v>
      </c>
      <c r="D8" s="608" t="n">
        <f aca="false">'Input-Detail'!AF14/D9-D7</f>
        <v>61.5</v>
      </c>
      <c r="E8" s="594"/>
      <c r="G8" s="537" t="n">
        <v>2</v>
      </c>
      <c r="H8" s="609" t="n">
        <f aca="false">Delay!W9</f>
        <v>20114555.7</v>
      </c>
      <c r="I8" s="596" t="n">
        <f aca="false">H8/365</f>
        <v>55108.3717808219</v>
      </c>
      <c r="J8" s="597" t="n">
        <f aca="false">(Delay!AC9*Delay!AA9+Delay!AC56*Delay!AA56)*$Q$33</f>
        <v>4510290.556612</v>
      </c>
      <c r="K8" s="598" t="n">
        <f aca="false">H8-J8</f>
        <v>15604265.143388</v>
      </c>
      <c r="L8" s="610" t="n">
        <f aca="false">Y8</f>
        <v>64.644546823535</v>
      </c>
      <c r="M8" s="600" t="n">
        <f aca="false">Delay!X9</f>
        <v>0.15</v>
      </c>
      <c r="N8" s="598" t="n">
        <f aca="false">Delay!BB9</f>
        <v>1</v>
      </c>
      <c r="O8" s="598" t="n">
        <f aca="false">J8*(1-M8)</f>
        <v>3833746.9731202</v>
      </c>
      <c r="P8" s="598" t="n">
        <f aca="false">K8*(1-M8)</f>
        <v>13263625.3718798</v>
      </c>
      <c r="Q8" s="601" t="n">
        <f aca="false">AC8</f>
        <v>55.4184530352988</v>
      </c>
      <c r="R8" s="602" t="n">
        <f aca="false">L8-Q8</f>
        <v>9.22609378823614</v>
      </c>
      <c r="U8" s="537" t="n">
        <v>2</v>
      </c>
      <c r="V8" s="611" t="n">
        <f aca="false">Delay!W9</f>
        <v>20114555.7</v>
      </c>
      <c r="W8" s="604" t="n">
        <f aca="false">(Delay!AA9+Delay!AA56)*$Q$33*$D$10/$D$6</f>
        <v>7.05882352941176</v>
      </c>
      <c r="X8" s="601" t="n">
        <f aca="false">X$6*K8/K$6</f>
        <v>57.5857232941232</v>
      </c>
      <c r="Y8" s="612" t="n">
        <f aca="false">W8+X8</f>
        <v>64.644546823535</v>
      </c>
      <c r="Z8" s="600" t="n">
        <f aca="false">Delay!X9</f>
        <v>0.15</v>
      </c>
      <c r="AA8" s="606" t="n">
        <f aca="false">(Delay!AA9+Delay!AA56)*(PY!$D$10-PY!$N8)*PY!$Q$33/PY!$D$6</f>
        <v>6.47058823529412</v>
      </c>
      <c r="AB8" s="601" t="n">
        <f aca="false">AB$6*P8/P$6</f>
        <v>48.9478648000047</v>
      </c>
      <c r="AC8" s="613" t="n">
        <f aca="false">AA8+AB8</f>
        <v>55.4184530352988</v>
      </c>
    </row>
    <row r="9" customFormat="false" ht="13.2" hidden="false" customHeight="false" outlineLevel="0" collapsed="false">
      <c r="B9" s="592"/>
      <c r="C9" s="74" t="s">
        <v>170</v>
      </c>
      <c r="D9" s="614" t="n">
        <f aca="false">'Input-Detail'!BV36</f>
        <v>65000</v>
      </c>
      <c r="E9" s="594"/>
      <c r="G9" s="537" t="n">
        <v>3</v>
      </c>
      <c r="H9" s="609" t="n">
        <f aca="false">Delay!W10</f>
        <v>20663747.05</v>
      </c>
      <c r="I9" s="596" t="n">
        <f aca="false">H9/365</f>
        <v>56613.0056164384</v>
      </c>
      <c r="J9" s="597" t="n">
        <f aca="false">(Delay!AC10*Delay!AA10+Delay!AC57*Delay!AA57)*$Q$33</f>
        <v>4633435.83491799</v>
      </c>
      <c r="K9" s="598" t="n">
        <f aca="false">H9-J9</f>
        <v>16030311.215082</v>
      </c>
      <c r="L9" s="610" t="n">
        <f aca="false">Y9</f>
        <v>66.2168202353024</v>
      </c>
      <c r="M9" s="600" t="n">
        <f aca="false">Delay!X10</f>
        <v>0.2</v>
      </c>
      <c r="N9" s="598" t="n">
        <f aca="false">Delay!BB10</f>
        <v>1</v>
      </c>
      <c r="O9" s="598" t="n">
        <f aca="false">J9*(1-M9)</f>
        <v>3706748.6679344</v>
      </c>
      <c r="P9" s="598" t="n">
        <f aca="false">K9*(1-M9)</f>
        <v>12824248.9720656</v>
      </c>
      <c r="Q9" s="601" t="n">
        <f aca="false">AC9</f>
        <v>53.7969856000067</v>
      </c>
      <c r="R9" s="602" t="n">
        <f aca="false">L9-Q9</f>
        <v>12.4198346352958</v>
      </c>
      <c r="U9" s="537" t="n">
        <v>3</v>
      </c>
      <c r="V9" s="611" t="n">
        <f aca="false">Delay!W10</f>
        <v>20663747.05</v>
      </c>
      <c r="W9" s="604" t="n">
        <f aca="false">(Delay!AA10+Delay!AA57)*$Q$33*$D$10/$D$6</f>
        <v>7.05882352941176</v>
      </c>
      <c r="X9" s="601" t="n">
        <f aca="false">X$6*K9/K$6</f>
        <v>59.1579967058907</v>
      </c>
      <c r="Y9" s="612" t="n">
        <f aca="false">W9+X9</f>
        <v>66.2168202353024</v>
      </c>
      <c r="Z9" s="600" t="n">
        <f aca="false">Delay!X10</f>
        <v>0.2</v>
      </c>
      <c r="AA9" s="606" t="n">
        <f aca="false">(Delay!AA10+Delay!AA57)*(PY!$D$10-PY!$N9)*PY!$Q$33/PY!$D$6</f>
        <v>6.47058823529412</v>
      </c>
      <c r="AB9" s="601" t="n">
        <f aca="false">AB$6*P9/P$6</f>
        <v>47.3263973647125</v>
      </c>
      <c r="AC9" s="613" t="n">
        <f aca="false">AA9+AB9</f>
        <v>53.7969856000067</v>
      </c>
    </row>
    <row r="10" customFormat="false" ht="13.2" hidden="false" customHeight="false" outlineLevel="0" collapsed="false">
      <c r="B10" s="592" t="s">
        <v>233</v>
      </c>
      <c r="C10" s="74"/>
      <c r="D10" s="615" t="n">
        <f aca="false">'Input-Detail'!AZ25</f>
        <v>12</v>
      </c>
      <c r="E10" s="594"/>
      <c r="G10" s="537" t="n">
        <v>4</v>
      </c>
      <c r="H10" s="609" t="n">
        <f aca="false">Delay!W11</f>
        <v>21212938.4</v>
      </c>
      <c r="I10" s="596" t="n">
        <f aca="false">H10/365</f>
        <v>58117.6394520548</v>
      </c>
      <c r="J10" s="597" t="n">
        <f aca="false">(Delay!AC11*Delay!AA11+Delay!AC58*Delay!AA58)*$Q$33</f>
        <v>4756581.11322399</v>
      </c>
      <c r="K10" s="598" t="n">
        <f aca="false">H10-J10</f>
        <v>16456357.286776</v>
      </c>
      <c r="L10" s="610" t="n">
        <f aca="false">Y10</f>
        <v>67.7890936470699</v>
      </c>
      <c r="M10" s="600" t="n">
        <f aca="false">Delay!X11</f>
        <v>0.25</v>
      </c>
      <c r="N10" s="598" t="n">
        <f aca="false">Delay!BB11</f>
        <v>2</v>
      </c>
      <c r="O10" s="598" t="n">
        <f aca="false">J10*(1-M10)</f>
        <v>3567435.83491799</v>
      </c>
      <c r="P10" s="598" t="n">
        <f aca="false">K10*(1-M10)</f>
        <v>12342267.965082</v>
      </c>
      <c r="Q10" s="601" t="n">
        <f aca="false">AC10</f>
        <v>51.4300555294201</v>
      </c>
      <c r="R10" s="602" t="n">
        <f aca="false">L10-Q10</f>
        <v>16.3590381176498</v>
      </c>
      <c r="U10" s="537" t="n">
        <v>4</v>
      </c>
      <c r="V10" s="611" t="n">
        <f aca="false">Delay!W11</f>
        <v>21212938.4</v>
      </c>
      <c r="W10" s="604" t="n">
        <f aca="false">(Delay!AA11+Delay!AA58)*$Q$33*$D$10/$D$6</f>
        <v>7.05882352941176</v>
      </c>
      <c r="X10" s="601" t="n">
        <f aca="false">X$6*K10/K$6</f>
        <v>60.7302701176581</v>
      </c>
      <c r="Y10" s="612" t="n">
        <f aca="false">W10+X10</f>
        <v>67.7890936470699</v>
      </c>
      <c r="Z10" s="600" t="n">
        <f aca="false">Delay!X11</f>
        <v>0.25</v>
      </c>
      <c r="AA10" s="606" t="n">
        <f aca="false">(Delay!AA11+Delay!AA58)*(PY!$D$10-PY!$N10)*PY!$Q$33/PY!$D$6</f>
        <v>5.88235294117647</v>
      </c>
      <c r="AB10" s="601" t="n">
        <f aca="false">AB$6*P10/P$6</f>
        <v>45.5477025882436</v>
      </c>
      <c r="AC10" s="613" t="n">
        <f aca="false">AA10+AB10</f>
        <v>51.4300555294201</v>
      </c>
    </row>
    <row r="11" customFormat="false" ht="13.8" hidden="false" customHeight="false" outlineLevel="0" collapsed="false">
      <c r="B11" s="616"/>
      <c r="C11" s="617"/>
      <c r="D11" s="618"/>
      <c r="E11" s="619"/>
      <c r="G11" s="537" t="n">
        <v>5</v>
      </c>
      <c r="H11" s="609" t="n">
        <f aca="false">Delay!W12</f>
        <v>21762129.75</v>
      </c>
      <c r="I11" s="596" t="n">
        <f aca="false">H11/365</f>
        <v>59622.2732876712</v>
      </c>
      <c r="J11" s="597" t="n">
        <f aca="false">(Delay!AC12*Delay!AA12+Delay!AC59*Delay!AA59)*$Q$33</f>
        <v>4879726.39152999</v>
      </c>
      <c r="K11" s="598" t="n">
        <f aca="false">H11-J11</f>
        <v>16882403.35847</v>
      </c>
      <c r="L11" s="610" t="n">
        <f aca="false">Y11</f>
        <v>69.3613670588374</v>
      </c>
      <c r="M11" s="600" t="n">
        <f aca="false">Delay!X12</f>
        <v>0.3</v>
      </c>
      <c r="N11" s="598" t="n">
        <f aca="false">Delay!BB12</f>
        <v>2</v>
      </c>
      <c r="O11" s="598" t="n">
        <f aca="false">J11*(1-M11)</f>
        <v>3415808.47407099</v>
      </c>
      <c r="P11" s="598" t="n">
        <f aca="false">K11*(1-M11)</f>
        <v>11817682.350929</v>
      </c>
      <c r="Q11" s="601" t="n">
        <f aca="false">AC11</f>
        <v>49.4941334117744</v>
      </c>
      <c r="R11" s="602" t="n">
        <f aca="false">L11-Q11</f>
        <v>19.867233647063</v>
      </c>
      <c r="U11" s="537" t="n">
        <v>5</v>
      </c>
      <c r="V11" s="611" t="n">
        <f aca="false">Delay!W12</f>
        <v>21762129.75</v>
      </c>
      <c r="W11" s="604" t="n">
        <f aca="false">(Delay!AA12+Delay!AA59)*$Q$33*$D$10/$D$6</f>
        <v>7.05882352941176</v>
      </c>
      <c r="X11" s="601" t="n">
        <f aca="false">X$6*K11/K$6</f>
        <v>62.3025435294256</v>
      </c>
      <c r="Y11" s="612" t="n">
        <f aca="false">W11+X11</f>
        <v>69.3613670588374</v>
      </c>
      <c r="Z11" s="600" t="n">
        <f aca="false">Delay!X12</f>
        <v>0.3</v>
      </c>
      <c r="AA11" s="606" t="n">
        <f aca="false">(Delay!AA12+Delay!AA59)*(PY!$D$10-PY!$N11)*PY!$Q$33/PY!$D$6</f>
        <v>5.88235294117647</v>
      </c>
      <c r="AB11" s="601" t="n">
        <f aca="false">AB$6*P11/P$6</f>
        <v>43.6117804705979</v>
      </c>
      <c r="AC11" s="613" t="n">
        <f aca="false">AA11+AB11</f>
        <v>49.4941334117744</v>
      </c>
    </row>
    <row r="12" customFormat="false" ht="13.8" hidden="false" customHeight="false" outlineLevel="0" collapsed="false">
      <c r="G12" s="537" t="n">
        <v>6</v>
      </c>
      <c r="H12" s="609" t="n">
        <f aca="false">Delay!W13</f>
        <v>22311321.1</v>
      </c>
      <c r="I12" s="596" t="n">
        <f aca="false">H12/365</f>
        <v>61126.9071232877</v>
      </c>
      <c r="J12" s="597" t="n">
        <f aca="false">(Delay!AC13*Delay!AA13+Delay!AC60*Delay!AA60)*$Q$33</f>
        <v>5002871.66983599</v>
      </c>
      <c r="K12" s="598" t="n">
        <f aca="false">H12-J12</f>
        <v>17308449.430164</v>
      </c>
      <c r="L12" s="610" t="n">
        <f aca="false">Y12</f>
        <v>70.9336404706049</v>
      </c>
      <c r="M12" s="600" t="n">
        <f aca="false">Delay!X13</f>
        <v>0.35</v>
      </c>
      <c r="N12" s="598" t="n">
        <f aca="false">Delay!BB13</f>
        <v>2</v>
      </c>
      <c r="O12" s="598" t="n">
        <f aca="false">J12*(1-M12)</f>
        <v>3251866.58539339</v>
      </c>
      <c r="P12" s="598" t="n">
        <f aca="false">K12*(1-M12)</f>
        <v>11250492.1296066</v>
      </c>
      <c r="Q12" s="601" t="n">
        <f aca="false">AC12</f>
        <v>47.400983952952</v>
      </c>
      <c r="R12" s="602" t="n">
        <f aca="false">L12-Q12</f>
        <v>23.5326565176529</v>
      </c>
      <c r="U12" s="537" t="n">
        <v>6</v>
      </c>
      <c r="V12" s="611" t="n">
        <f aca="false">Delay!W13</f>
        <v>22311321.1</v>
      </c>
      <c r="W12" s="604" t="n">
        <f aca="false">(Delay!AA13+Delay!AA60)*$Q$33*$D$10/$D$6</f>
        <v>7.05882352941176</v>
      </c>
      <c r="X12" s="601" t="n">
        <f aca="false">X$6*K12/K$6</f>
        <v>63.8748169411931</v>
      </c>
      <c r="Y12" s="612" t="n">
        <f aca="false">W12+X12</f>
        <v>70.9336404706049</v>
      </c>
      <c r="Z12" s="600" t="n">
        <f aca="false">Delay!X13</f>
        <v>0.35</v>
      </c>
      <c r="AA12" s="606" t="n">
        <f aca="false">(Delay!AA13+Delay!AA60)*(PY!$D$10-PY!$N12)*PY!$Q$33/PY!$D$6</f>
        <v>5.88235294117647</v>
      </c>
      <c r="AB12" s="601" t="n">
        <f aca="false">AB$6*P12/P$6</f>
        <v>41.5186310117755</v>
      </c>
      <c r="AC12" s="613" t="n">
        <f aca="false">AA12+AB12</f>
        <v>47.400983952952</v>
      </c>
    </row>
    <row r="13" customFormat="false" ht="13.2" hidden="false" customHeight="false" outlineLevel="0" collapsed="false">
      <c r="G13" s="537" t="n">
        <v>7</v>
      </c>
      <c r="H13" s="609" t="n">
        <f aca="false">Delay!W14</f>
        <v>22860512.45</v>
      </c>
      <c r="I13" s="596" t="n">
        <f aca="false">H13/365</f>
        <v>62631.5409589041</v>
      </c>
      <c r="J13" s="597" t="n">
        <f aca="false">(Delay!AC14*Delay!AA14+Delay!AC61*Delay!AA61)*$Q$33</f>
        <v>5126016.94814198</v>
      </c>
      <c r="K13" s="598" t="n">
        <f aca="false">H13-J13</f>
        <v>17734495.501858</v>
      </c>
      <c r="L13" s="610" t="n">
        <f aca="false">Y13</f>
        <v>72.5059138823723</v>
      </c>
      <c r="M13" s="600" t="n">
        <f aca="false">Delay!X14</f>
        <v>0.4</v>
      </c>
      <c r="N13" s="598" t="n">
        <f aca="false">Delay!BB14</f>
        <v>3</v>
      </c>
      <c r="O13" s="598" t="n">
        <f aca="false">J13*(1-M13)</f>
        <v>3075610.16888519</v>
      </c>
      <c r="P13" s="598" t="n">
        <f aca="false">K13*(1-M13)</f>
        <v>10640697.3011148</v>
      </c>
      <c r="Q13" s="601" t="n">
        <f aca="false">AC13</f>
        <v>44.5623718588352</v>
      </c>
      <c r="R13" s="602" t="n">
        <f aca="false">L13-Q13</f>
        <v>27.9435420235372</v>
      </c>
      <c r="U13" s="537" t="n">
        <v>7</v>
      </c>
      <c r="V13" s="611" t="n">
        <f aca="false">Delay!W14</f>
        <v>22860512.45</v>
      </c>
      <c r="W13" s="604" t="n">
        <f aca="false">(Delay!AA14+Delay!AA61)*$Q$33*$D$10/$D$6</f>
        <v>7.05882352941176</v>
      </c>
      <c r="X13" s="601" t="n">
        <f aca="false">X$6*K13/K$6</f>
        <v>65.4470903529606</v>
      </c>
      <c r="Y13" s="612" t="n">
        <f aca="false">W13+X13</f>
        <v>72.5059138823723</v>
      </c>
      <c r="Z13" s="600" t="n">
        <f aca="false">Delay!X14</f>
        <v>0.4</v>
      </c>
      <c r="AA13" s="606" t="n">
        <f aca="false">(Delay!AA14+Delay!AA61)*(PY!$D$10-PY!$N13)*PY!$Q$33/PY!$D$6</f>
        <v>5.29411764705882</v>
      </c>
      <c r="AB13" s="601" t="n">
        <f aca="false">AB$6*P13/P$6</f>
        <v>39.2682542117763</v>
      </c>
      <c r="AC13" s="613" t="n">
        <f aca="false">AA13+AB13</f>
        <v>44.5623718588352</v>
      </c>
    </row>
    <row r="14" customFormat="false" ht="13.2" hidden="false" customHeight="false" outlineLevel="0" collapsed="false">
      <c r="G14" s="537" t="n">
        <v>8</v>
      </c>
      <c r="H14" s="609" t="n">
        <f aca="false">Delay!W15</f>
        <v>23409703.8</v>
      </c>
      <c r="I14" s="596" t="n">
        <f aca="false">H14/365</f>
        <v>64136.1747945206</v>
      </c>
      <c r="J14" s="597" t="n">
        <f aca="false">(Delay!AC15*Delay!AA15+Delay!AC62*Delay!AA62)*$Q$33</f>
        <v>5249162.22644798</v>
      </c>
      <c r="K14" s="598" t="n">
        <f aca="false">H14-J14</f>
        <v>18160541.573552</v>
      </c>
      <c r="L14" s="610" t="n">
        <f aca="false">Y14</f>
        <v>74.0781872941398</v>
      </c>
      <c r="M14" s="600" t="n">
        <f aca="false">Delay!X15</f>
        <v>0.45</v>
      </c>
      <c r="N14" s="598" t="n">
        <f aca="false">Delay!BB15</f>
        <v>3</v>
      </c>
      <c r="O14" s="598" t="n">
        <f aca="false">J14*(1-M14)</f>
        <v>2887039.22454639</v>
      </c>
      <c r="P14" s="598" t="n">
        <f aca="false">K14*(1-M14)</f>
        <v>9988297.86545361</v>
      </c>
      <c r="Q14" s="601" t="n">
        <f aca="false">AC14</f>
        <v>42.1547677176593</v>
      </c>
      <c r="R14" s="602" t="n">
        <f aca="false">L14-Q14</f>
        <v>31.9234195764806</v>
      </c>
      <c r="U14" s="537" t="n">
        <v>8</v>
      </c>
      <c r="V14" s="611" t="n">
        <f aca="false">Delay!W15</f>
        <v>23409703.8</v>
      </c>
      <c r="W14" s="604" t="n">
        <f aca="false">(Delay!AA15+Delay!AA62)*$Q$33*$D$10/$D$6</f>
        <v>7.05882352941176</v>
      </c>
      <c r="X14" s="601" t="n">
        <f aca="false">X$6*K14/K$6</f>
        <v>67.0193637647281</v>
      </c>
      <c r="Y14" s="612" t="n">
        <f aca="false">W14+X14</f>
        <v>74.0781872941398</v>
      </c>
      <c r="Z14" s="600" t="n">
        <f aca="false">Delay!X15</f>
        <v>0.45</v>
      </c>
      <c r="AA14" s="606" t="n">
        <f aca="false">(Delay!AA15+Delay!AA62)*(PY!$D$10-PY!$N14)*PY!$Q$33/PY!$D$6</f>
        <v>5.29411764705882</v>
      </c>
      <c r="AB14" s="601" t="n">
        <f aca="false">AB$6*P14/P$6</f>
        <v>36.8606500706004</v>
      </c>
      <c r="AC14" s="613" t="n">
        <f aca="false">AA14+AB14</f>
        <v>42.1547677176593</v>
      </c>
    </row>
    <row r="15" customFormat="false" ht="13.2" hidden="false" customHeight="false" outlineLevel="0" collapsed="false">
      <c r="G15" s="537" t="n">
        <v>9</v>
      </c>
      <c r="H15" s="609" t="n">
        <f aca="false">Delay!W16</f>
        <v>23958895.15</v>
      </c>
      <c r="I15" s="596" t="n">
        <f aca="false">H15/365</f>
        <v>65640.808630137</v>
      </c>
      <c r="J15" s="597" t="n">
        <f aca="false">(Delay!AC16*Delay!AA16+Delay!AC63*Delay!AA63)*$Q$33</f>
        <v>5372307.50475398</v>
      </c>
      <c r="K15" s="598" t="n">
        <f aca="false">H15-J15</f>
        <v>18586587.645246</v>
      </c>
      <c r="L15" s="610" t="n">
        <f aca="false">Y15</f>
        <v>75.6504607059073</v>
      </c>
      <c r="M15" s="600" t="n">
        <f aca="false">Delay!X16</f>
        <v>0.5</v>
      </c>
      <c r="N15" s="598" t="n">
        <f aca="false">Delay!BB16</f>
        <v>3</v>
      </c>
      <c r="O15" s="598" t="n">
        <f aca="false">J15*(1-M15)</f>
        <v>2686153.75237699</v>
      </c>
      <c r="P15" s="598" t="n">
        <f aca="false">K15*(1-M15)</f>
        <v>9293293.82262301</v>
      </c>
      <c r="Q15" s="601" t="n">
        <f aca="false">AC15</f>
        <v>39.5899362353066</v>
      </c>
      <c r="R15" s="602" t="n">
        <f aca="false">L15-Q15</f>
        <v>36.0605244706007</v>
      </c>
      <c r="U15" s="537" t="n">
        <v>9</v>
      </c>
      <c r="V15" s="611" t="n">
        <f aca="false">Delay!W16</f>
        <v>23958895.15</v>
      </c>
      <c r="W15" s="604" t="n">
        <f aca="false">(Delay!AA16+Delay!AA63)*$Q$33*$D$10/$D$6</f>
        <v>7.05882352941176</v>
      </c>
      <c r="X15" s="601" t="n">
        <f aca="false">X$6*K15/K$6</f>
        <v>68.5916371764955</v>
      </c>
      <c r="Y15" s="612" t="n">
        <f aca="false">W15+X15</f>
        <v>75.6504607059073</v>
      </c>
      <c r="Z15" s="600" t="n">
        <f aca="false">Delay!X16</f>
        <v>0.5</v>
      </c>
      <c r="AA15" s="606" t="n">
        <f aca="false">(Delay!AA16+Delay!AA63)*(PY!$D$10-PY!$N15)*PY!$Q$33/PY!$D$6</f>
        <v>5.29411764705882</v>
      </c>
      <c r="AB15" s="601" t="n">
        <f aca="false">AB$6*P15/P$6</f>
        <v>34.2958185882478</v>
      </c>
      <c r="AC15" s="613" t="n">
        <f aca="false">AA15+AB15</f>
        <v>39.5899362353066</v>
      </c>
    </row>
    <row r="16" customFormat="false" ht="13.2" hidden="false" customHeight="false" outlineLevel="0" collapsed="false">
      <c r="G16" s="537" t="n">
        <v>10</v>
      </c>
      <c r="H16" s="609" t="n">
        <f aca="false">Delay!W17</f>
        <v>24508086.5</v>
      </c>
      <c r="I16" s="596" t="n">
        <f aca="false">H16/365</f>
        <v>67145.4424657534</v>
      </c>
      <c r="J16" s="597" t="n">
        <f aca="false">(Delay!AC17*Delay!AA17+Delay!AC64*Delay!AA64)*$Q$33</f>
        <v>5495452.78305998</v>
      </c>
      <c r="K16" s="598" t="n">
        <f aca="false">H16-J16</f>
        <v>19012633.71694</v>
      </c>
      <c r="L16" s="610" t="n">
        <f aca="false">Y16</f>
        <v>77.2227341176748</v>
      </c>
      <c r="M16" s="600" t="n">
        <f aca="false">Delay!X17</f>
        <v>0.55</v>
      </c>
      <c r="N16" s="598" t="n">
        <f aca="false">Delay!BB17</f>
        <v>4</v>
      </c>
      <c r="O16" s="598" t="n">
        <f aca="false">J16*(1-M16)</f>
        <v>2472953.75237699</v>
      </c>
      <c r="P16" s="598" t="n">
        <f aca="false">K16*(1-M16)</f>
        <v>8555685.17262301</v>
      </c>
      <c r="Q16" s="601" t="n">
        <f aca="false">AC16</f>
        <v>36.2796421176595</v>
      </c>
      <c r="R16" s="602" t="n">
        <f aca="false">L16-Q16</f>
        <v>40.9430920000153</v>
      </c>
      <c r="U16" s="537" t="n">
        <v>10</v>
      </c>
      <c r="V16" s="611" t="n">
        <f aca="false">Delay!W17</f>
        <v>24508086.5</v>
      </c>
      <c r="W16" s="604" t="n">
        <f aca="false">(Delay!AA17+Delay!AA64)*$Q$33*$D$10/$D$6</f>
        <v>7.05882352941176</v>
      </c>
      <c r="X16" s="601" t="n">
        <f aca="false">X$6*K16/K$6</f>
        <v>70.163910588263</v>
      </c>
      <c r="Y16" s="612" t="n">
        <f aca="false">W16+X16</f>
        <v>77.2227341176748</v>
      </c>
      <c r="Z16" s="600" t="n">
        <f aca="false">Delay!X17</f>
        <v>0.55</v>
      </c>
      <c r="AA16" s="606" t="n">
        <f aca="false">(Delay!AA17+Delay!AA64)*(PY!$D$10-PY!$N16)*PY!$Q$33/PY!$D$6</f>
        <v>4.70588235294118</v>
      </c>
      <c r="AB16" s="601" t="n">
        <f aca="false">AB$6*P16/P$6</f>
        <v>31.5737597647184</v>
      </c>
      <c r="AC16" s="613" t="n">
        <f aca="false">AA16+AB16</f>
        <v>36.2796421176595</v>
      </c>
    </row>
    <row r="17" customFormat="false" ht="13.2" hidden="false" customHeight="false" outlineLevel="0" collapsed="false">
      <c r="G17" s="537" t="n">
        <v>11</v>
      </c>
      <c r="H17" s="609" t="n">
        <f aca="false">Delay!W18</f>
        <v>25057277.85</v>
      </c>
      <c r="I17" s="596" t="n">
        <f aca="false">H17/365</f>
        <v>68650.0763013699</v>
      </c>
      <c r="J17" s="597" t="n">
        <f aca="false">(Delay!AC18*Delay!AA18+Delay!AC65*Delay!AA65)*$Q$33</f>
        <v>5618598.06136598</v>
      </c>
      <c r="K17" s="598" t="n">
        <f aca="false">H17-J17</f>
        <v>19438679.788634</v>
      </c>
      <c r="L17" s="610" t="n">
        <f aca="false">Y17</f>
        <v>78.7950075294423</v>
      </c>
      <c r="M17" s="600" t="n">
        <f aca="false">Delay!X18</f>
        <v>0.6</v>
      </c>
      <c r="N17" s="598" t="n">
        <f aca="false">Delay!BB18</f>
        <v>4</v>
      </c>
      <c r="O17" s="598" t="n">
        <f aca="false">J17*(1-M17)</f>
        <v>2247439.22454639</v>
      </c>
      <c r="P17" s="598" t="n">
        <f aca="false">K17*(1-M17)</f>
        <v>7775471.91545361</v>
      </c>
      <c r="Q17" s="601" t="n">
        <f aca="false">AC17</f>
        <v>33.4003559529534</v>
      </c>
      <c r="R17" s="602" t="n">
        <f aca="false">L17-Q17</f>
        <v>45.3946515764889</v>
      </c>
      <c r="U17" s="537" t="n">
        <v>11</v>
      </c>
      <c r="V17" s="611" t="n">
        <f aca="false">Delay!W18</f>
        <v>25057277.85</v>
      </c>
      <c r="W17" s="604" t="n">
        <f aca="false">(Delay!AA18+Delay!AA65)*$Q$33*$D$10/$D$6</f>
        <v>7.05882352941176</v>
      </c>
      <c r="X17" s="601" t="n">
        <f aca="false">X$6*K17/K$6</f>
        <v>71.7361840000305</v>
      </c>
      <c r="Y17" s="612" t="n">
        <f aca="false">W17+X17</f>
        <v>78.7950075294423</v>
      </c>
      <c r="Z17" s="600" t="n">
        <f aca="false">Delay!X18</f>
        <v>0.6</v>
      </c>
      <c r="AA17" s="606" t="n">
        <f aca="false">(Delay!AA18+Delay!AA65)*(PY!$D$10-PY!$N17)*PY!$Q$33/PY!$D$6</f>
        <v>4.70588235294118</v>
      </c>
      <c r="AB17" s="601" t="n">
        <f aca="false">AB$6*P17/P$6</f>
        <v>28.6944736000122</v>
      </c>
      <c r="AC17" s="613" t="n">
        <f aca="false">AA17+AB17</f>
        <v>33.4003559529534</v>
      </c>
    </row>
    <row r="18" customFormat="false" ht="13.2" hidden="false" customHeight="false" outlineLevel="0" collapsed="false">
      <c r="G18" s="537" t="n">
        <v>12</v>
      </c>
      <c r="H18" s="609" t="n">
        <f aca="false">Delay!W19</f>
        <v>25606469.2</v>
      </c>
      <c r="I18" s="596" t="n">
        <f aca="false">H18/365</f>
        <v>70154.7101369863</v>
      </c>
      <c r="J18" s="597" t="n">
        <f aca="false">(Delay!AC19*Delay!AA19+Delay!AC66*Delay!AA66)*$Q$33</f>
        <v>5741743.33967197</v>
      </c>
      <c r="K18" s="598" t="n">
        <f aca="false">H18-J18</f>
        <v>19864725.860328</v>
      </c>
      <c r="L18" s="610" t="n">
        <f aca="false">Y18</f>
        <v>80.3672809412097</v>
      </c>
      <c r="M18" s="600" t="n">
        <f aca="false">Delay!X19</f>
        <v>0.65</v>
      </c>
      <c r="N18" s="598" t="n">
        <f aca="false">Delay!BB19</f>
        <v>5</v>
      </c>
      <c r="O18" s="598" t="n">
        <f aca="false">J18*(1-M18)</f>
        <v>2009610.16888519</v>
      </c>
      <c r="P18" s="598" t="n">
        <f aca="false">K18*(1-M18)</f>
        <v>6952654.05111481</v>
      </c>
      <c r="Q18" s="601" t="n">
        <f aca="false">AC18</f>
        <v>29.7756071529528</v>
      </c>
      <c r="R18" s="602" t="n">
        <f aca="false">L18-Q18</f>
        <v>50.5916737882569</v>
      </c>
      <c r="U18" s="537" t="n">
        <v>12</v>
      </c>
      <c r="V18" s="611" t="n">
        <f aca="false">Delay!W19</f>
        <v>25606469.2</v>
      </c>
      <c r="W18" s="604" t="n">
        <f aca="false">(Delay!AA19+Delay!AA66)*$Q$33*$D$10/$D$6</f>
        <v>7.05882352941176</v>
      </c>
      <c r="X18" s="601" t="n">
        <f aca="false">X$6*K18/K$6</f>
        <v>73.308457411798</v>
      </c>
      <c r="Y18" s="612" t="n">
        <f aca="false">W18+X18</f>
        <v>80.3672809412097</v>
      </c>
      <c r="Z18" s="600" t="n">
        <f aca="false">Delay!X19</f>
        <v>0.65</v>
      </c>
      <c r="AA18" s="606" t="n">
        <f aca="false">(Delay!AA19+Delay!AA66)*(PY!$D$10-PY!$N18)*PY!$Q$33/PY!$D$6</f>
        <v>4.11764705882353</v>
      </c>
      <c r="AB18" s="601" t="n">
        <f aca="false">AB$6*P18/P$6</f>
        <v>25.6579600941293</v>
      </c>
      <c r="AC18" s="613" t="n">
        <f aca="false">AA18+AB18</f>
        <v>29.7756071529528</v>
      </c>
    </row>
    <row r="19" customFormat="false" ht="13.2" hidden="false" customHeight="false" outlineLevel="0" collapsed="false">
      <c r="G19" s="537" t="n">
        <v>13</v>
      </c>
      <c r="H19" s="609" t="n">
        <f aca="false">Delay!W20</f>
        <v>26155660.55</v>
      </c>
      <c r="I19" s="596" t="n">
        <f aca="false">H19/365</f>
        <v>71659.3439726027</v>
      </c>
      <c r="J19" s="597" t="n">
        <f aca="false">(Delay!AC20*Delay!AA20+Delay!AC67*Delay!AA67)*$Q$33</f>
        <v>5864888.61797797</v>
      </c>
      <c r="K19" s="598" t="n">
        <f aca="false">H19-J19</f>
        <v>20290771.932022</v>
      </c>
      <c r="L19" s="610" t="n">
        <f aca="false">Y19</f>
        <v>81.9395543529772</v>
      </c>
      <c r="M19" s="600" t="n">
        <f aca="false">Delay!X20</f>
        <v>0.7</v>
      </c>
      <c r="N19" s="598" t="n">
        <f aca="false">Delay!BB20</f>
        <v>5</v>
      </c>
      <c r="O19" s="598" t="n">
        <f aca="false">J19*(1-M19)</f>
        <v>1759466.58539339</v>
      </c>
      <c r="P19" s="598" t="n">
        <f aca="false">K19*(1-M19)</f>
        <v>6087231.57960661</v>
      </c>
      <c r="Q19" s="601" t="n">
        <f aca="false">AC19</f>
        <v>26.5818663058932</v>
      </c>
      <c r="R19" s="602" t="n">
        <f aca="false">L19-Q19</f>
        <v>55.357688047084</v>
      </c>
      <c r="U19" s="537" t="n">
        <v>13</v>
      </c>
      <c r="V19" s="611" t="n">
        <f aca="false">Delay!W20</f>
        <v>26155660.55</v>
      </c>
      <c r="W19" s="604" t="n">
        <f aca="false">(Delay!AA20+Delay!AA67)*$Q$33*$D$10/$D$6</f>
        <v>7.05882352941176</v>
      </c>
      <c r="X19" s="601" t="n">
        <f aca="false">X$6*K19/K$6</f>
        <v>74.8807308235654</v>
      </c>
      <c r="Y19" s="612" t="n">
        <f aca="false">W19+X19</f>
        <v>81.9395543529772</v>
      </c>
      <c r="Z19" s="600" t="n">
        <f aca="false">Delay!X20</f>
        <v>0.7</v>
      </c>
      <c r="AA19" s="606" t="n">
        <f aca="false">(Delay!AA20+Delay!AA67)*(PY!$D$10-PY!$N19)*PY!$Q$33/PY!$D$6</f>
        <v>4.11764705882353</v>
      </c>
      <c r="AB19" s="601" t="n">
        <f aca="false">AB$6*P19/P$6</f>
        <v>22.4642192470696</v>
      </c>
      <c r="AC19" s="613" t="n">
        <f aca="false">AA19+AB19</f>
        <v>26.5818663058932</v>
      </c>
    </row>
    <row r="20" customFormat="false" ht="13.2" hidden="false" customHeight="false" outlineLevel="0" collapsed="false">
      <c r="G20" s="537" t="n">
        <v>14</v>
      </c>
      <c r="H20" s="609" t="n">
        <f aca="false">Delay!W21</f>
        <v>26704851.9</v>
      </c>
      <c r="I20" s="596" t="n">
        <f aca="false">H20/365</f>
        <v>73163.9778082192</v>
      </c>
      <c r="J20" s="597" t="n">
        <f aca="false">(Delay!AC21*Delay!AA21+Delay!AC68*Delay!AA68)*$Q$33</f>
        <v>5988033.89628397</v>
      </c>
      <c r="K20" s="598" t="n">
        <f aca="false">H20-J20</f>
        <v>20716818.003716</v>
      </c>
      <c r="L20" s="610" t="n">
        <f aca="false">Y20</f>
        <v>83.5118277647447</v>
      </c>
      <c r="M20" s="600" t="n">
        <f aca="false">Delay!X21</f>
        <v>0.75</v>
      </c>
      <c r="N20" s="598" t="n">
        <f aca="false">Delay!BB21</f>
        <v>6</v>
      </c>
      <c r="O20" s="598" t="n">
        <f aca="false">J20*(1-M20)</f>
        <v>1497008.47407099</v>
      </c>
      <c r="P20" s="598" t="n">
        <f aca="false">K20*(1-M20)</f>
        <v>5179204.50092901</v>
      </c>
      <c r="Q20" s="601" t="n">
        <f aca="false">AC20</f>
        <v>22.6426628235391</v>
      </c>
      <c r="R20" s="602" t="n">
        <f aca="false">L20-Q20</f>
        <v>60.8691649412056</v>
      </c>
      <c r="U20" s="537" t="n">
        <v>14</v>
      </c>
      <c r="V20" s="611" t="n">
        <f aca="false">Delay!W21</f>
        <v>26704851.9</v>
      </c>
      <c r="W20" s="604" t="n">
        <f aca="false">(Delay!AA21+Delay!AA68)*$Q$33*$D$10/$D$6</f>
        <v>7.05882352941176</v>
      </c>
      <c r="X20" s="601" t="n">
        <f aca="false">X$6*K20/K$6</f>
        <v>76.4530042353329</v>
      </c>
      <c r="Y20" s="612" t="n">
        <f aca="false">W20+X20</f>
        <v>83.5118277647447</v>
      </c>
      <c r="Z20" s="600" t="n">
        <f aca="false">Delay!X21</f>
        <v>0.75</v>
      </c>
      <c r="AA20" s="606" t="n">
        <f aca="false">(Delay!AA21+Delay!AA68)*(PY!$D$10-PY!$N20)*PY!$Q$33/PY!$D$6</f>
        <v>3.52941176470588</v>
      </c>
      <c r="AB20" s="601" t="n">
        <f aca="false">AB$6*P20/P$6</f>
        <v>19.1132510588332</v>
      </c>
      <c r="AC20" s="613" t="n">
        <f aca="false">AA20+AB20</f>
        <v>22.6426628235391</v>
      </c>
    </row>
    <row r="21" customFormat="false" ht="13.2" hidden="false" customHeight="false" outlineLevel="0" collapsed="false">
      <c r="G21" s="537" t="n">
        <v>15</v>
      </c>
      <c r="H21" s="609" t="n">
        <f aca="false">Delay!W22</f>
        <v>27254043.25</v>
      </c>
      <c r="I21" s="596" t="n">
        <f aca="false">H21/365</f>
        <v>74668.6116438356</v>
      </c>
      <c r="J21" s="597" t="n">
        <f aca="false">(Delay!AC22*Delay!AA22+Delay!AC69*Delay!AA69)*$Q$33</f>
        <v>6111179.17458997</v>
      </c>
      <c r="K21" s="598" t="n">
        <f aca="false">H21-J21</f>
        <v>21142864.07541</v>
      </c>
      <c r="L21" s="610" t="n">
        <f aca="false">Y21</f>
        <v>85.0841011765122</v>
      </c>
      <c r="M21" s="600" t="n">
        <f aca="false">Delay!X22</f>
        <v>0.8</v>
      </c>
      <c r="N21" s="598" t="n">
        <f aca="false">Delay!BB22</f>
        <v>7</v>
      </c>
      <c r="O21" s="598" t="n">
        <f aca="false">J21*(1-M21)</f>
        <v>1222235.83491799</v>
      </c>
      <c r="P21" s="598" t="n">
        <f aca="false">K21*(1-M21)</f>
        <v>4228572.81508201</v>
      </c>
      <c r="Q21" s="601" t="n">
        <f aca="false">AC21</f>
        <v>18.5462320000083</v>
      </c>
      <c r="R21" s="602" t="n">
        <f aca="false">L21-Q21</f>
        <v>66.5378691765039</v>
      </c>
      <c r="U21" s="537" t="n">
        <v>15</v>
      </c>
      <c r="V21" s="611" t="n">
        <f aca="false">Delay!W22</f>
        <v>27254043.25</v>
      </c>
      <c r="W21" s="604" t="n">
        <f aca="false">(Delay!AA22+Delay!AA69)*$Q$33*$D$10/$D$6</f>
        <v>7.05882352941176</v>
      </c>
      <c r="X21" s="601" t="n">
        <f aca="false">X$6*K21/K$6</f>
        <v>78.0252776471004</v>
      </c>
      <c r="Y21" s="612" t="n">
        <f aca="false">W21+X21</f>
        <v>85.0841011765122</v>
      </c>
      <c r="Z21" s="600" t="n">
        <f aca="false">Delay!X22</f>
        <v>0.8</v>
      </c>
      <c r="AA21" s="606" t="n">
        <f aca="false">(Delay!AA22+Delay!AA69)*(PY!$D$10-PY!$N21)*PY!$Q$33/PY!$D$6</f>
        <v>2.94117647058824</v>
      </c>
      <c r="AB21" s="601" t="n">
        <f aca="false">AB$6*P21/P$6</f>
        <v>15.6050555294201</v>
      </c>
      <c r="AC21" s="613" t="n">
        <f aca="false">AA21+AB21</f>
        <v>18.5462320000083</v>
      </c>
    </row>
    <row r="22" customFormat="false" ht="13.2" hidden="false" customHeight="false" outlineLevel="0" collapsed="false">
      <c r="G22" s="537" t="n">
        <v>16</v>
      </c>
      <c r="H22" s="609" t="n">
        <f aca="false">Delay!W23</f>
        <v>27803234.6</v>
      </c>
      <c r="I22" s="596" t="n">
        <f aca="false">H22/365</f>
        <v>76173.2454794521</v>
      </c>
      <c r="J22" s="597" t="n">
        <f aca="false">(Delay!AC23*Delay!AA23+Delay!AC70*Delay!AA70)*$Q$33</f>
        <v>6234324.45289596</v>
      </c>
      <c r="K22" s="598" t="n">
        <f aca="false">H22-J22</f>
        <v>21568910.147104</v>
      </c>
      <c r="L22" s="610" t="n">
        <f aca="false">Y22</f>
        <v>86.6563745882797</v>
      </c>
      <c r="M22" s="600" t="n">
        <f aca="false">Delay!X23</f>
        <v>0.85</v>
      </c>
      <c r="N22" s="598" t="n">
        <f aca="false">Delay!BB23</f>
        <v>8</v>
      </c>
      <c r="O22" s="598" t="n">
        <f aca="false">J22*(1-M22)</f>
        <v>935148.667934395</v>
      </c>
      <c r="P22" s="598" t="n">
        <f aca="false">K22*(1-M22)</f>
        <v>3235336.52206561</v>
      </c>
      <c r="Q22" s="601" t="n">
        <f aca="false">AC22</f>
        <v>14.2925738353008</v>
      </c>
      <c r="R22" s="602" t="n">
        <f aca="false">L22-Q22</f>
        <v>72.3638007529789</v>
      </c>
      <c r="U22" s="537" t="n">
        <v>16</v>
      </c>
      <c r="V22" s="611" t="n">
        <f aca="false">Delay!W23</f>
        <v>27803234.6</v>
      </c>
      <c r="W22" s="604" t="n">
        <f aca="false">(Delay!AA23+Delay!AA70)*$Q$33*$D$10/$D$6</f>
        <v>7.05882352941176</v>
      </c>
      <c r="X22" s="601" t="n">
        <f aca="false">X$6*K22/K$6</f>
        <v>79.5975510588679</v>
      </c>
      <c r="Y22" s="612" t="n">
        <f aca="false">W22+X22</f>
        <v>86.6563745882797</v>
      </c>
      <c r="Z22" s="600" t="n">
        <f aca="false">Delay!X23</f>
        <v>0.85</v>
      </c>
      <c r="AA22" s="606" t="n">
        <f aca="false">(Delay!AA23+Delay!AA70)*(PY!$D$10-PY!$N22)*PY!$Q$33/PY!$D$6</f>
        <v>2.35294117647059</v>
      </c>
      <c r="AB22" s="601" t="n">
        <f aca="false">AB$6*P22/P$6</f>
        <v>11.9396326588302</v>
      </c>
      <c r="AC22" s="613" t="n">
        <f aca="false">AA22+AB22</f>
        <v>14.2925738353008</v>
      </c>
    </row>
    <row r="23" customFormat="false" ht="13.2" hidden="false" customHeight="false" outlineLevel="0" collapsed="false">
      <c r="G23" s="537" t="n">
        <v>17</v>
      </c>
      <c r="H23" s="609" t="n">
        <f aca="false">Delay!W24</f>
        <v>28352425.95</v>
      </c>
      <c r="I23" s="596" t="n">
        <f aca="false">H23/365</f>
        <v>77677.8793150685</v>
      </c>
      <c r="J23" s="597" t="n">
        <f aca="false">(Delay!AC24*Delay!AA24+Delay!AC71*Delay!AA71)*$Q$33</f>
        <v>6357469.73120196</v>
      </c>
      <c r="K23" s="598" t="n">
        <f aca="false">H23-J23</f>
        <v>21994956.218798</v>
      </c>
      <c r="L23" s="610" t="n">
        <f aca="false">Y23</f>
        <v>88.2286480000471</v>
      </c>
      <c r="M23" s="600" t="n">
        <f aca="false">Delay!X24</f>
        <v>0.9</v>
      </c>
      <c r="N23" s="598" t="n">
        <f aca="false">Delay!BB24</f>
        <v>9</v>
      </c>
      <c r="O23" s="598" t="n">
        <f aca="false">J23*(1-M23)</f>
        <v>635746.973120196</v>
      </c>
      <c r="P23" s="598" t="n">
        <f aca="false">K23*(1-M23)</f>
        <v>2199495.6218798</v>
      </c>
      <c r="Q23" s="601" t="n">
        <f aca="false">AC23</f>
        <v>9.88168832941647</v>
      </c>
      <c r="R23" s="602" t="n">
        <f aca="false">L23-Q23</f>
        <v>78.3469596706306</v>
      </c>
      <c r="U23" s="537" t="n">
        <v>17</v>
      </c>
      <c r="V23" s="611" t="n">
        <f aca="false">Delay!W24</f>
        <v>28352425.95</v>
      </c>
      <c r="W23" s="604" t="n">
        <f aca="false">(Delay!AA24+Delay!AA71)*$Q$33*$D$10/$D$6</f>
        <v>7.05882352941176</v>
      </c>
      <c r="X23" s="601" t="n">
        <f aca="false">X$6*K23/K$6</f>
        <v>81.1698244706354</v>
      </c>
      <c r="Y23" s="612" t="n">
        <f aca="false">W23+X23</f>
        <v>88.2286480000471</v>
      </c>
      <c r="Z23" s="600" t="n">
        <f aca="false">Delay!X24</f>
        <v>0.9</v>
      </c>
      <c r="AA23" s="606" t="n">
        <f aca="false">(Delay!AA24+Delay!AA71)*(PY!$D$10-PY!$N23)*PY!$Q$33/PY!$D$6</f>
        <v>1.76470588235294</v>
      </c>
      <c r="AB23" s="601" t="n">
        <f aca="false">AB$6*P23/P$6</f>
        <v>8.11698244706353</v>
      </c>
      <c r="AC23" s="613" t="n">
        <f aca="false">AA23+AB23</f>
        <v>9.88168832941647</v>
      </c>
    </row>
    <row r="24" customFormat="false" ht="13.2" hidden="false" customHeight="false" outlineLevel="0" collapsed="false">
      <c r="G24" s="537" t="n">
        <v>18</v>
      </c>
      <c r="H24" s="609" t="n">
        <f aca="false">Delay!W25</f>
        <v>28901617.3</v>
      </c>
      <c r="I24" s="596" t="n">
        <f aca="false">H24/365</f>
        <v>79182.5131506849</v>
      </c>
      <c r="J24" s="597" t="n">
        <f aca="false">(Delay!AC25*Delay!AA25+Delay!AC72*Delay!AA72)*$Q$33</f>
        <v>6480615.00950796</v>
      </c>
      <c r="K24" s="598" t="n">
        <f aca="false">H24-J24</f>
        <v>22421002.290492</v>
      </c>
      <c r="L24" s="610" t="n">
        <f aca="false">Y24</f>
        <v>89.8009214118146</v>
      </c>
      <c r="M24" s="600" t="n">
        <f aca="false">Delay!X25</f>
        <v>0.95</v>
      </c>
      <c r="N24" s="598" t="n">
        <f aca="false">Delay!BB25</f>
        <v>10</v>
      </c>
      <c r="O24" s="598" t="n">
        <f aca="false">J24*(1-M24)</f>
        <v>324030.750475398</v>
      </c>
      <c r="P24" s="598" t="n">
        <f aca="false">K24*(1-M24)</f>
        <v>1121050.1145246</v>
      </c>
      <c r="Q24" s="601" t="n">
        <f aca="false">AC24</f>
        <v>5.31357548235544</v>
      </c>
      <c r="R24" s="602" t="n">
        <f aca="false">L24-Q24</f>
        <v>84.4873459294592</v>
      </c>
      <c r="U24" s="537" t="n">
        <v>18</v>
      </c>
      <c r="V24" s="611" t="n">
        <f aca="false">Delay!W25</f>
        <v>28901617.3</v>
      </c>
      <c r="W24" s="604" t="n">
        <f aca="false">(Delay!AA25+Delay!AA72)*$Q$33*$D$10/$D$6</f>
        <v>7.05882352941176</v>
      </c>
      <c r="X24" s="601" t="n">
        <f aca="false">X$6*K24/K$6</f>
        <v>82.7420978824028</v>
      </c>
      <c r="Y24" s="612" t="n">
        <f aca="false">W24+X24</f>
        <v>89.8009214118146</v>
      </c>
      <c r="Z24" s="600" t="n">
        <f aca="false">Delay!X25</f>
        <v>0.95</v>
      </c>
      <c r="AA24" s="606" t="n">
        <f aca="false">(Delay!AA25+Delay!AA72)*(PY!$D$10-PY!$N24)*PY!$Q$33/PY!$D$6</f>
        <v>1.17647058823529</v>
      </c>
      <c r="AB24" s="601" t="n">
        <f aca="false">AB$6*P24/P$6</f>
        <v>4.13710489412015</v>
      </c>
      <c r="AC24" s="613" t="n">
        <f aca="false">AA24+AB24</f>
        <v>5.31357548235544</v>
      </c>
    </row>
    <row r="25" customFormat="false" ht="13.2" hidden="false" customHeight="false" outlineLevel="0" collapsed="false">
      <c r="G25" s="537" t="n">
        <v>19</v>
      </c>
      <c r="H25" s="609" t="n">
        <f aca="false">Delay!W26</f>
        <v>29450808.65</v>
      </c>
      <c r="I25" s="596" t="n">
        <f aca="false">H25/365</f>
        <v>80687.1469863014</v>
      </c>
      <c r="J25" s="597" t="n">
        <f aca="false">(Delay!AC26*Delay!AA26+Delay!AC73*Delay!AA73)*$Q$33</f>
        <v>6603760.28781396</v>
      </c>
      <c r="K25" s="598" t="n">
        <f aca="false">H25-J25</f>
        <v>22847048.362186</v>
      </c>
      <c r="L25" s="610" t="n">
        <f aca="false">Y25</f>
        <v>91.3731948235821</v>
      </c>
      <c r="M25" s="600" t="n">
        <f aca="false">Delay!X26</f>
        <v>0.95</v>
      </c>
      <c r="N25" s="598" t="n">
        <f aca="false">Delay!BB26</f>
        <v>10</v>
      </c>
      <c r="O25" s="598" t="n">
        <f aca="false">J25*(1-M25)</f>
        <v>330188.014390698</v>
      </c>
      <c r="P25" s="598" t="n">
        <f aca="false">K25*(1-M25)</f>
        <v>1142352.4181093</v>
      </c>
      <c r="Q25" s="601" t="n">
        <f aca="false">AC25</f>
        <v>5.39218915294381</v>
      </c>
      <c r="R25" s="602" t="n">
        <f aca="false">L25-Q25</f>
        <v>85.9810056706382</v>
      </c>
      <c r="U25" s="537" t="n">
        <v>19</v>
      </c>
      <c r="V25" s="611" t="n">
        <f aca="false">Delay!W26</f>
        <v>29450808.65</v>
      </c>
      <c r="W25" s="604" t="n">
        <f aca="false">(Delay!AA26+Delay!AA73)*$Q$33*$D$10/$D$6</f>
        <v>7.05882352941176</v>
      </c>
      <c r="X25" s="601" t="n">
        <f aca="false">X$6*K25/K$6</f>
        <v>84.3143712941703</v>
      </c>
      <c r="Y25" s="612" t="n">
        <f aca="false">W25+X25</f>
        <v>91.3731948235821</v>
      </c>
      <c r="Z25" s="600" t="n">
        <f aca="false">Delay!X26</f>
        <v>0.95</v>
      </c>
      <c r="AA25" s="606" t="n">
        <f aca="false">(Delay!AA26+Delay!AA73)*(PY!$D$10-PY!$N25)*PY!$Q$33/PY!$D$6</f>
        <v>1.17647058823529</v>
      </c>
      <c r="AB25" s="601" t="n">
        <f aca="false">AB$6*P25/P$6</f>
        <v>4.21571856470852</v>
      </c>
      <c r="AC25" s="613" t="n">
        <f aca="false">AA25+AB25</f>
        <v>5.39218915294381</v>
      </c>
    </row>
    <row r="26" customFormat="false" ht="13.2" hidden="false" customHeight="false" outlineLevel="0" collapsed="false">
      <c r="B26" s="18"/>
      <c r="C26" s="18"/>
      <c r="D26" s="18"/>
      <c r="E26" s="18"/>
      <c r="G26" s="556" t="n">
        <v>20</v>
      </c>
      <c r="H26" s="620" t="n">
        <f aca="false">Delay!W27</f>
        <v>30000000</v>
      </c>
      <c r="I26" s="621" t="n">
        <f aca="false">H26/365</f>
        <v>82191.7808219178</v>
      </c>
      <c r="J26" s="622" t="n">
        <f aca="false">(Delay!AC27*Delay!AA27+Delay!AC74*Delay!AA74)*$Q$33</f>
        <v>6726905.56611996</v>
      </c>
      <c r="K26" s="623" t="n">
        <f aca="false">H26-J26</f>
        <v>23273094.43388</v>
      </c>
      <c r="L26" s="624" t="n">
        <f aca="false">Y26</f>
        <v>92.9454682353496</v>
      </c>
      <c r="M26" s="625" t="n">
        <f aca="false">Delay!X27</f>
        <v>0.95</v>
      </c>
      <c r="N26" s="623" t="n">
        <f aca="false">Delay!BB27</f>
        <v>10</v>
      </c>
      <c r="O26" s="623" t="n">
        <f aca="false">J26*(1-M26)</f>
        <v>336345.278305998</v>
      </c>
      <c r="P26" s="623" t="n">
        <f aca="false">K26*(1-M26)</f>
        <v>1163654.721694</v>
      </c>
      <c r="Q26" s="626" t="n">
        <f aca="false">AC26</f>
        <v>5.47080282353219</v>
      </c>
      <c r="R26" s="627" t="n">
        <f aca="false">L26-Q26</f>
        <v>87.4746654118174</v>
      </c>
      <c r="U26" s="556" t="n">
        <v>20</v>
      </c>
      <c r="V26" s="628" t="n">
        <f aca="false">Delay!W27</f>
        <v>30000000</v>
      </c>
      <c r="W26" s="629" t="n">
        <f aca="false">(Delay!AA27+Delay!AA74)*$Q$33*$D$10/$D$6</f>
        <v>7.05882352941176</v>
      </c>
      <c r="X26" s="626" t="n">
        <f aca="false">X$6*K26/K$6</f>
        <v>85.8866447059378</v>
      </c>
      <c r="Y26" s="630" t="n">
        <f aca="false">W26+X26</f>
        <v>92.9454682353496</v>
      </c>
      <c r="Z26" s="625" t="n">
        <f aca="false">Delay!X27</f>
        <v>0.95</v>
      </c>
      <c r="AA26" s="631" t="n">
        <f aca="false">(Delay!AA27+Delay!AA74)*(PY!$D$10-PY!$N26)*PY!$Q$33/PY!$D$6</f>
        <v>1.17647058823529</v>
      </c>
      <c r="AB26" s="626" t="n">
        <f aca="false">AB$6*P26/P$6</f>
        <v>4.29433223529689</v>
      </c>
      <c r="AC26" s="632" t="n">
        <f aca="false">AA26+AB26</f>
        <v>5.47080282353219</v>
      </c>
    </row>
    <row r="28" customFormat="false" ht="13.2" hidden="false" customHeight="false" outlineLevel="0" collapsed="false">
      <c r="B28" s="18"/>
      <c r="C28" s="18"/>
      <c r="D28" s="18"/>
      <c r="E28" s="18"/>
    </row>
    <row r="29" customFormat="false" ht="13.8" hidden="false" customHeight="false" outlineLevel="0" collapsed="false">
      <c r="B29" s="18"/>
      <c r="C29" s="18"/>
      <c r="D29" s="18"/>
      <c r="E29" s="18"/>
      <c r="G29" s="297" t="s">
        <v>234</v>
      </c>
      <c r="U29" s="297" t="s">
        <v>234</v>
      </c>
    </row>
    <row r="30" customFormat="false" ht="15" hidden="false" customHeight="false" outlineLevel="0" collapsed="false">
      <c r="B30" s="18"/>
      <c r="C30" s="18"/>
      <c r="D30" s="18"/>
      <c r="E30" s="18"/>
      <c r="G30" s="520" t="s">
        <v>329</v>
      </c>
      <c r="H30" s="521"/>
      <c r="I30" s="521"/>
      <c r="J30" s="521"/>
      <c r="K30" s="521"/>
      <c r="L30" s="521"/>
      <c r="M30" s="521"/>
      <c r="N30" s="521"/>
      <c r="O30" s="521"/>
      <c r="P30" s="521"/>
      <c r="Q30" s="522"/>
      <c r="U30" s="633" t="s">
        <v>375</v>
      </c>
      <c r="V30" s="634"/>
      <c r="W30" s="634"/>
      <c r="X30" s="634"/>
      <c r="Y30" s="634"/>
      <c r="Z30" s="634"/>
      <c r="AA30" s="634"/>
      <c r="AB30" s="634"/>
      <c r="AC30" s="635"/>
    </row>
    <row r="31" customFormat="false" ht="14.4" hidden="false" customHeight="false" outlineLevel="0" collapsed="false">
      <c r="B31" s="18"/>
      <c r="C31" s="18"/>
      <c r="D31" s="18"/>
      <c r="E31" s="18"/>
      <c r="G31" s="526" t="s">
        <v>331</v>
      </c>
      <c r="H31" s="527"/>
      <c r="I31" s="527"/>
      <c r="J31" s="527"/>
      <c r="K31" s="527"/>
      <c r="L31" s="527"/>
      <c r="M31" s="527"/>
      <c r="N31" s="527"/>
      <c r="O31" s="527"/>
      <c r="P31" s="527"/>
      <c r="Q31" s="528"/>
      <c r="U31" s="636" t="s">
        <v>376</v>
      </c>
      <c r="V31" s="637"/>
      <c r="W31" s="637"/>
      <c r="X31" s="637"/>
      <c r="Y31" s="637"/>
      <c r="Z31" s="637"/>
      <c r="AA31" s="637"/>
      <c r="AB31" s="637"/>
      <c r="AC31" s="638"/>
    </row>
    <row r="32" customFormat="false" ht="13.2" hidden="false" customHeight="false" outlineLevel="0" collapsed="false">
      <c r="B32" s="18"/>
      <c r="C32" s="18"/>
      <c r="D32" s="18"/>
      <c r="E32" s="18"/>
      <c r="G32" s="526" t="s">
        <v>333</v>
      </c>
      <c r="H32" s="527"/>
      <c r="I32" s="527"/>
      <c r="J32" s="527"/>
      <c r="K32" s="527"/>
      <c r="L32" s="530"/>
      <c r="M32" s="527"/>
      <c r="N32" s="527"/>
      <c r="O32" s="527"/>
      <c r="P32" s="530"/>
      <c r="Q32" s="639" t="n">
        <f aca="false">Delay!S33</f>
        <v>52</v>
      </c>
      <c r="U32" s="636" t="s">
        <v>377</v>
      </c>
      <c r="V32" s="637"/>
      <c r="W32" s="637"/>
      <c r="X32" s="637"/>
      <c r="Y32" s="637"/>
      <c r="Z32" s="637"/>
      <c r="AA32" s="637"/>
      <c r="AB32" s="637"/>
      <c r="AC32" s="638"/>
    </row>
    <row r="33" customFormat="false" ht="14.25" hidden="false" customHeight="true" outlineLevel="0" collapsed="false">
      <c r="A33" s="18"/>
      <c r="B33" s="18"/>
      <c r="C33" s="18"/>
      <c r="D33" s="18"/>
      <c r="E33" s="18"/>
      <c r="G33" s="308" t="s">
        <v>335</v>
      </c>
      <c r="H33" s="532"/>
      <c r="I33" s="532"/>
      <c r="J33" s="532"/>
      <c r="K33" s="532"/>
      <c r="L33" s="532"/>
      <c r="M33" s="532"/>
      <c r="N33" s="532"/>
      <c r="O33" s="532"/>
      <c r="P33" s="532"/>
      <c r="Q33" s="640" t="n">
        <f aca="false">Delay!S34</f>
        <v>260</v>
      </c>
      <c r="U33" s="636" t="s">
        <v>378</v>
      </c>
      <c r="V33" s="637"/>
      <c r="W33" s="637"/>
      <c r="X33" s="637"/>
      <c r="Y33" s="637"/>
      <c r="Z33" s="637"/>
      <c r="AA33" s="637"/>
      <c r="AB33" s="637"/>
      <c r="AC33" s="638"/>
    </row>
    <row r="34" customFormat="false" ht="15" hidden="false" customHeight="false" outlineLevel="0" collapsed="false">
      <c r="B34" s="18"/>
      <c r="C34" s="18"/>
      <c r="D34" s="18"/>
      <c r="E34" s="18"/>
      <c r="U34" s="636" t="s">
        <v>379</v>
      </c>
      <c r="V34" s="637"/>
      <c r="W34" s="637"/>
      <c r="X34" s="637"/>
      <c r="Y34" s="637"/>
      <c r="Z34" s="637"/>
      <c r="AA34" s="637"/>
      <c r="AB34" s="637"/>
      <c r="AC34" s="638"/>
    </row>
    <row r="35" customFormat="false" ht="14.4" hidden="false" customHeight="false" outlineLevel="0" collapsed="false">
      <c r="B35" s="18"/>
      <c r="C35" s="18"/>
      <c r="D35" s="18"/>
      <c r="E35" s="18"/>
      <c r="U35" s="636" t="s">
        <v>380</v>
      </c>
      <c r="V35" s="637"/>
      <c r="W35" s="637"/>
      <c r="X35" s="637"/>
      <c r="Y35" s="637"/>
      <c r="Z35" s="637"/>
      <c r="AA35" s="637"/>
      <c r="AB35" s="637"/>
      <c r="AC35" s="638"/>
    </row>
    <row r="36" customFormat="false" ht="14.4" hidden="false" customHeight="false" outlineLevel="0" collapsed="false">
      <c r="B36" s="18"/>
      <c r="C36" s="18"/>
      <c r="D36" s="18"/>
      <c r="E36" s="18"/>
      <c r="U36" s="636" t="s">
        <v>381</v>
      </c>
      <c r="V36" s="637"/>
      <c r="W36" s="637"/>
      <c r="X36" s="637"/>
      <c r="Y36" s="637"/>
      <c r="Z36" s="637"/>
      <c r="AA36" s="637"/>
      <c r="AB36" s="637"/>
      <c r="AC36" s="638"/>
    </row>
    <row r="37" customFormat="false" ht="14.4" hidden="false" customHeight="false" outlineLevel="0" collapsed="false">
      <c r="A37" s="18"/>
      <c r="B37" s="18"/>
      <c r="C37" s="18"/>
      <c r="D37" s="18"/>
      <c r="E37" s="18"/>
      <c r="U37" s="636" t="s">
        <v>382</v>
      </c>
      <c r="V37" s="637"/>
      <c r="W37" s="637"/>
      <c r="X37" s="637"/>
      <c r="Y37" s="637"/>
      <c r="Z37" s="637"/>
      <c r="AA37" s="637"/>
      <c r="AB37" s="637"/>
      <c r="AC37" s="638"/>
    </row>
    <row r="38" customFormat="false" ht="12.75" hidden="false" customHeight="true" outlineLevel="0" collapsed="false">
      <c r="A38" s="18"/>
      <c r="B38" s="18"/>
      <c r="C38" s="18"/>
      <c r="D38" s="18"/>
      <c r="E38" s="18"/>
      <c r="U38" s="636"/>
      <c r="V38" s="637"/>
      <c r="W38" s="637"/>
      <c r="X38" s="637"/>
      <c r="Y38" s="637"/>
      <c r="Z38" s="637"/>
      <c r="AA38" s="637"/>
      <c r="AB38" s="637"/>
      <c r="AC38" s="638"/>
    </row>
    <row r="39" customFormat="false" ht="14.4" hidden="false" customHeight="false" outlineLevel="0" collapsed="false">
      <c r="A39" s="18"/>
      <c r="B39" s="18"/>
      <c r="C39" s="18"/>
      <c r="D39" s="18"/>
      <c r="E39" s="18"/>
      <c r="U39" s="641" t="s">
        <v>383</v>
      </c>
      <c r="V39" s="637"/>
      <c r="W39" s="637"/>
      <c r="X39" s="637"/>
      <c r="Y39" s="637"/>
      <c r="Z39" s="637"/>
      <c r="AA39" s="637"/>
      <c r="AB39" s="637"/>
      <c r="AC39" s="638"/>
    </row>
    <row r="40" customFormat="false" ht="13.2" hidden="false" customHeight="false" outlineLevel="0" collapsed="false">
      <c r="A40" s="18"/>
      <c r="B40" s="18"/>
      <c r="C40" s="18"/>
      <c r="D40" s="18"/>
      <c r="E40" s="18"/>
      <c r="U40" s="636" t="s">
        <v>384</v>
      </c>
      <c r="V40" s="637"/>
      <c r="W40" s="637"/>
      <c r="X40" s="637"/>
      <c r="Y40" s="637"/>
      <c r="Z40" s="637"/>
      <c r="AA40" s="637"/>
      <c r="AB40" s="637"/>
      <c r="AC40" s="638"/>
    </row>
    <row r="41" customFormat="false" ht="13.2" hidden="false" customHeight="false" outlineLevel="0" collapsed="false">
      <c r="A41" s="18"/>
      <c r="B41" s="18"/>
      <c r="C41" s="18"/>
      <c r="D41" s="18"/>
      <c r="E41" s="18"/>
      <c r="U41" s="636" t="s">
        <v>385</v>
      </c>
      <c r="V41" s="637"/>
      <c r="W41" s="637"/>
      <c r="X41" s="637"/>
      <c r="Y41" s="637"/>
      <c r="Z41" s="637"/>
      <c r="AA41" s="637"/>
      <c r="AB41" s="637"/>
      <c r="AC41" s="638"/>
    </row>
    <row r="42" customFormat="false" ht="13.2" hidden="false" customHeight="false" outlineLevel="0" collapsed="false">
      <c r="A42" s="18"/>
      <c r="B42" s="18"/>
      <c r="C42" s="18"/>
      <c r="D42" s="18"/>
      <c r="E42" s="18"/>
      <c r="U42" s="636" t="s">
        <v>386</v>
      </c>
      <c r="V42" s="637"/>
      <c r="W42" s="637"/>
      <c r="X42" s="637"/>
      <c r="Y42" s="637"/>
      <c r="Z42" s="637"/>
      <c r="AA42" s="637"/>
      <c r="AB42" s="637"/>
      <c r="AC42" s="638"/>
    </row>
    <row r="43" customFormat="false" ht="13.2" hidden="false" customHeight="false" outlineLevel="0" collapsed="false">
      <c r="A43" s="18"/>
      <c r="B43" s="18"/>
      <c r="C43" s="18"/>
      <c r="D43" s="18"/>
      <c r="E43" s="18"/>
      <c r="U43" s="636" t="s">
        <v>387</v>
      </c>
      <c r="V43" s="637"/>
      <c r="W43" s="637"/>
      <c r="X43" s="637"/>
      <c r="Y43" s="637"/>
      <c r="Z43" s="637"/>
      <c r="AA43" s="637"/>
      <c r="AB43" s="637"/>
      <c r="AC43" s="638"/>
    </row>
    <row r="44" customFormat="false" ht="13.2" hidden="false" customHeight="false" outlineLevel="0" collapsed="false">
      <c r="A44" s="18"/>
      <c r="B44" s="18"/>
      <c r="C44" s="18"/>
      <c r="D44" s="18"/>
      <c r="E44" s="18"/>
      <c r="U44" s="636" t="s">
        <v>388</v>
      </c>
      <c r="V44" s="637"/>
      <c r="W44" s="637"/>
      <c r="X44" s="637"/>
      <c r="Y44" s="637"/>
      <c r="Z44" s="637"/>
      <c r="AA44" s="637"/>
      <c r="AB44" s="637"/>
      <c r="AC44" s="638"/>
    </row>
    <row r="45" customFormat="false" ht="14.4" hidden="false" customHeight="false" outlineLevel="0" collapsed="false">
      <c r="A45" s="18"/>
      <c r="B45" s="18"/>
      <c r="C45" s="18"/>
      <c r="D45" s="18"/>
      <c r="E45" s="18"/>
      <c r="U45" s="636" t="s">
        <v>389</v>
      </c>
      <c r="V45" s="637"/>
      <c r="W45" s="637"/>
      <c r="X45" s="637"/>
      <c r="Y45" s="637"/>
      <c r="Z45" s="637"/>
      <c r="AA45" s="637"/>
      <c r="AB45" s="637"/>
      <c r="AC45" s="638"/>
    </row>
    <row r="46" customFormat="false" ht="15" hidden="false" customHeight="false" outlineLevel="0" collapsed="false">
      <c r="A46" s="18"/>
      <c r="B46" s="18"/>
      <c r="C46" s="18"/>
      <c r="D46" s="18"/>
      <c r="E46" s="18"/>
      <c r="U46" s="642" t="s">
        <v>390</v>
      </c>
      <c r="V46" s="643"/>
      <c r="W46" s="643"/>
      <c r="X46" s="643"/>
      <c r="Y46" s="643"/>
      <c r="Z46" s="643"/>
      <c r="AA46" s="643"/>
      <c r="AB46" s="643"/>
      <c r="AC46" s="644"/>
    </row>
    <row r="47" customFormat="false" ht="13.8" hidden="false" customHeight="false" outlineLevel="0" collapsed="false">
      <c r="A47" s="18"/>
      <c r="B47" s="18"/>
      <c r="C47" s="18"/>
      <c r="D47" s="18"/>
      <c r="E47" s="18"/>
    </row>
    <row r="48" customFormat="false" ht="13.2" hidden="false" customHeight="false" outlineLevel="0" collapsed="false">
      <c r="A48" s="18"/>
      <c r="B48" s="18"/>
      <c r="C48" s="18"/>
      <c r="D48" s="18"/>
      <c r="E48" s="18"/>
    </row>
    <row r="49" customFormat="false" ht="13.2" hidden="false" customHeight="false" outlineLevel="0" collapsed="false">
      <c r="A49" s="18"/>
      <c r="B49" s="18"/>
      <c r="C49" s="18"/>
      <c r="D49" s="18"/>
      <c r="E49" s="18"/>
    </row>
    <row r="50" customFormat="false" ht="13.2" hidden="false" customHeight="false" outlineLevel="0" collapsed="false">
      <c r="A50" s="18"/>
      <c r="B50" s="18"/>
      <c r="C50" s="18"/>
      <c r="D50" s="18"/>
      <c r="E50" s="18"/>
    </row>
    <row r="51" customFormat="false" ht="13.2" hidden="false" customHeight="false" outlineLevel="0" collapsed="false">
      <c r="A51" s="18"/>
      <c r="B51" s="18"/>
      <c r="C51" s="18"/>
      <c r="D51" s="18"/>
      <c r="E51" s="18"/>
    </row>
    <row r="52" customFormat="false" ht="13.2" hidden="false" customHeight="false" outlineLevel="0" collapsed="false">
      <c r="A52" s="18"/>
      <c r="B52" s="18"/>
      <c r="C52" s="18"/>
      <c r="D52" s="18"/>
      <c r="E52" s="18"/>
    </row>
    <row r="53" customFormat="false" ht="13.2" hidden="false" customHeight="false" outlineLevel="0" collapsed="false">
      <c r="A53" s="18"/>
      <c r="B53" s="18"/>
      <c r="C53" s="18"/>
      <c r="D53" s="18"/>
      <c r="E53" s="18"/>
    </row>
    <row r="54" customFormat="false" ht="13.2" hidden="false" customHeight="false" outlineLevel="0" collapsed="false">
      <c r="A54" s="18"/>
      <c r="B54" s="18"/>
      <c r="C54" s="18"/>
      <c r="D54" s="18"/>
      <c r="E54" s="18"/>
    </row>
    <row r="55" customFormat="false" ht="13.2" hidden="false" customHeight="false" outlineLevel="0" collapsed="false">
      <c r="A55" s="18"/>
      <c r="B55" s="18"/>
      <c r="C55" s="18"/>
      <c r="D55" s="18"/>
      <c r="E55" s="18"/>
    </row>
    <row r="56" customFormat="false" ht="13.2" hidden="false" customHeight="false" outlineLevel="0" collapsed="false">
      <c r="A56" s="18"/>
      <c r="B56" s="18"/>
      <c r="C56" s="18"/>
      <c r="D56" s="18"/>
      <c r="E56" s="18"/>
    </row>
    <row r="57" customFormat="false" ht="13.2" hidden="false" customHeight="false" outlineLevel="0" collapsed="false">
      <c r="A57" s="18"/>
      <c r="B57" s="18"/>
      <c r="C57" s="18"/>
      <c r="D57" s="18"/>
      <c r="E57" s="18"/>
    </row>
    <row r="58" customFormat="false" ht="13.2" hidden="false" customHeight="false" outlineLevel="0" collapsed="false">
      <c r="A58" s="18"/>
      <c r="B58" s="18"/>
      <c r="C58" s="18"/>
      <c r="D58" s="18"/>
      <c r="E58" s="18"/>
    </row>
    <row r="59" customFormat="false" ht="13.2" hidden="false" customHeight="false" outlineLevel="0" collapsed="false">
      <c r="A59" s="18"/>
      <c r="B59" s="18"/>
      <c r="C59" s="18"/>
      <c r="D59" s="18"/>
      <c r="E59" s="18"/>
    </row>
    <row r="60" customFormat="false" ht="13.2" hidden="false" customHeight="false" outlineLevel="0" collapsed="false">
      <c r="A60" s="18"/>
      <c r="B60" s="18"/>
      <c r="C60" s="18"/>
      <c r="D60" s="18"/>
      <c r="E60" s="18"/>
    </row>
    <row r="61" customFormat="false" ht="13.2" hidden="false" customHeight="false" outlineLevel="0" collapsed="false">
      <c r="A61" s="18"/>
      <c r="B61" s="18"/>
      <c r="C61" s="18"/>
      <c r="D61" s="18"/>
      <c r="E61" s="18"/>
    </row>
    <row r="62" customFormat="false" ht="13.2" hidden="false" customHeight="false" outlineLevel="0" collapsed="false">
      <c r="A62" s="18"/>
      <c r="B62" s="18"/>
      <c r="C62" s="18"/>
      <c r="D62" s="18"/>
      <c r="E62" s="18"/>
    </row>
    <row r="63" customFormat="false" ht="13.2" hidden="false" customHeight="false" outlineLevel="0" collapsed="false">
      <c r="A63" s="18"/>
      <c r="B63" s="18"/>
      <c r="C63" s="18"/>
      <c r="D63" s="18"/>
      <c r="E63" s="18"/>
    </row>
    <row r="64" customFormat="false" ht="13.2" hidden="false" customHeight="false" outlineLevel="0" collapsed="false">
      <c r="A64" s="18"/>
      <c r="B64" s="18"/>
      <c r="C64" s="18"/>
      <c r="D64" s="18"/>
      <c r="E64" s="18"/>
    </row>
    <row r="65" customFormat="false" ht="13.2" hidden="false" customHeight="false" outlineLevel="0" collapsed="false">
      <c r="A65" s="18"/>
      <c r="B65" s="18"/>
      <c r="C65" s="18"/>
      <c r="D65" s="18"/>
      <c r="E65" s="18"/>
    </row>
    <row r="66" customFormat="false" ht="13.2" hidden="false" customHeight="false" outlineLevel="0" collapsed="false">
      <c r="A66" s="18"/>
      <c r="B66" s="18"/>
      <c r="C66" s="18"/>
      <c r="D66" s="18"/>
      <c r="E66" s="18"/>
    </row>
    <row r="67" customFormat="false" ht="13.2" hidden="false" customHeight="false" outlineLevel="0" collapsed="false">
      <c r="A67" s="18"/>
      <c r="B67" s="18"/>
      <c r="C67" s="18"/>
      <c r="D67" s="18"/>
      <c r="E67" s="18"/>
    </row>
    <row r="68" customFormat="false" ht="13.2" hidden="false" customHeight="false" outlineLevel="0" collapsed="false">
      <c r="A68" s="18"/>
      <c r="B68" s="18"/>
      <c r="C68" s="18"/>
      <c r="D68" s="18"/>
      <c r="E68" s="18"/>
    </row>
    <row r="69" customFormat="false" ht="13.2" hidden="false" customHeight="false" outlineLevel="0" collapsed="false">
      <c r="A69" s="18"/>
      <c r="B69" s="18"/>
      <c r="C69" s="18"/>
      <c r="D69" s="18"/>
      <c r="E69" s="18"/>
    </row>
    <row r="70" customFormat="false" ht="13.2" hidden="false" customHeight="false" outlineLevel="0" collapsed="false">
      <c r="A70" s="18"/>
      <c r="B70" s="18"/>
      <c r="C70" s="18"/>
      <c r="D70" s="18"/>
      <c r="E70" s="18"/>
    </row>
    <row r="71" customFormat="false" ht="13.2" hidden="false" customHeight="false" outlineLevel="0" collapsed="false">
      <c r="A71" s="18"/>
      <c r="B71" s="18"/>
      <c r="C71" s="18"/>
      <c r="D71" s="18"/>
      <c r="E71" s="18"/>
    </row>
    <row r="72" customFormat="false" ht="13.2" hidden="false" customHeight="false" outlineLevel="0" collapsed="false">
      <c r="A72" s="18"/>
      <c r="B72" s="18"/>
      <c r="C72" s="18"/>
      <c r="D72" s="18"/>
      <c r="E72" s="18"/>
    </row>
    <row r="73" customFormat="false" ht="13.2" hidden="false" customHeight="false" outlineLevel="0" collapsed="false">
      <c r="A73" s="18"/>
      <c r="B73" s="18"/>
      <c r="C73" s="18"/>
      <c r="D73" s="18"/>
      <c r="E73" s="18"/>
    </row>
    <row r="74" customFormat="false" ht="13.2" hidden="false" customHeight="false" outlineLevel="0" collapsed="false">
      <c r="A74" s="18"/>
      <c r="B74" s="18"/>
      <c r="C74" s="18"/>
      <c r="D74" s="18"/>
      <c r="E74" s="18"/>
    </row>
    <row r="75" customFormat="false" ht="13.2" hidden="false" customHeight="false" outlineLevel="0" collapsed="false">
      <c r="A75" s="18"/>
      <c r="B75" s="18"/>
      <c r="C75" s="18"/>
      <c r="D75" s="18"/>
      <c r="E75" s="18"/>
    </row>
    <row r="76" customFormat="false" ht="13.2" hidden="false" customHeight="false" outlineLevel="0" collapsed="false">
      <c r="A76" s="18"/>
      <c r="B76" s="18"/>
      <c r="C76" s="18"/>
      <c r="D76" s="18"/>
      <c r="E76" s="18"/>
    </row>
    <row r="77" customFormat="false" ht="13.2" hidden="false" customHeight="false" outlineLevel="0" collapsed="false">
      <c r="A77" s="18"/>
      <c r="B77" s="18"/>
      <c r="C77" s="18"/>
      <c r="D77" s="18"/>
      <c r="E77" s="18"/>
    </row>
    <row r="78" customFormat="false" ht="13.2" hidden="false" customHeight="false" outlineLevel="0" collapsed="false">
      <c r="A78" s="18"/>
      <c r="B78" s="18"/>
      <c r="C78" s="18"/>
      <c r="D78" s="18"/>
      <c r="E78" s="18"/>
    </row>
    <row r="79" customFormat="false" ht="13.2" hidden="false" customHeight="false" outlineLevel="0" collapsed="false">
      <c r="A79" s="18"/>
      <c r="B79" s="18"/>
      <c r="C79" s="18"/>
      <c r="D79" s="18"/>
      <c r="E79" s="18"/>
    </row>
    <row r="80" customFormat="false" ht="13.2" hidden="false" customHeight="false" outlineLevel="0" collapsed="false">
      <c r="A80" s="18"/>
      <c r="B80" s="18"/>
      <c r="C80" s="18"/>
      <c r="D80" s="18"/>
      <c r="E80" s="18"/>
    </row>
    <row r="81" customFormat="false" ht="13.2" hidden="false" customHeight="false" outlineLevel="0" collapsed="false">
      <c r="A81" s="18"/>
      <c r="B81" s="18"/>
      <c r="C81" s="18"/>
      <c r="D81" s="18"/>
      <c r="E81" s="18"/>
    </row>
    <row r="82" customFormat="false" ht="13.2" hidden="false" customHeight="false" outlineLevel="0" collapsed="false">
      <c r="A82" s="18"/>
      <c r="B82" s="18"/>
      <c r="C82" s="18"/>
      <c r="D82" s="18"/>
      <c r="E82" s="18"/>
    </row>
    <row r="83" customFormat="false" ht="13.2" hidden="false" customHeight="false" outlineLevel="0" collapsed="false">
      <c r="A83" s="18"/>
      <c r="B83" s="18"/>
      <c r="C83" s="18"/>
      <c r="D83" s="18"/>
      <c r="E83" s="18"/>
    </row>
    <row r="84" customFormat="false" ht="13.2" hidden="false" customHeight="false" outlineLevel="0" collapsed="false">
      <c r="A84" s="18"/>
      <c r="B84" s="18"/>
      <c r="C84" s="18"/>
      <c r="D84" s="18"/>
      <c r="E84" s="18"/>
    </row>
    <row r="85" customFormat="false" ht="13.2" hidden="false" customHeight="false" outlineLevel="0" collapsed="false">
      <c r="A85" s="18"/>
      <c r="B85" s="18"/>
      <c r="C85" s="18"/>
      <c r="D85" s="18"/>
      <c r="E85" s="18"/>
    </row>
    <row r="86" customFormat="false" ht="13.2" hidden="false" customHeight="false" outlineLevel="0" collapsed="false">
      <c r="A86" s="18"/>
      <c r="B86" s="18"/>
      <c r="C86" s="18"/>
      <c r="D86" s="18"/>
      <c r="E86" s="18"/>
    </row>
    <row r="87" customFormat="false" ht="13.2" hidden="false" customHeight="false" outlineLevel="0" collapsed="false">
      <c r="A87" s="18"/>
      <c r="B87" s="18"/>
      <c r="C87" s="18"/>
      <c r="D87" s="18"/>
      <c r="E87" s="18"/>
    </row>
    <row r="88" customFormat="false" ht="13.2" hidden="false" customHeight="false" outlineLevel="0" collapsed="false">
      <c r="A88" s="18"/>
      <c r="B88" s="18"/>
      <c r="C88" s="18"/>
      <c r="D88" s="18"/>
      <c r="E88" s="18"/>
    </row>
    <row r="89" customFormat="false" ht="13.2" hidden="false" customHeight="false" outlineLevel="0" collapsed="false">
      <c r="A89" s="18"/>
      <c r="B89" s="18"/>
      <c r="C89" s="18"/>
      <c r="D89" s="18"/>
      <c r="E89" s="18"/>
    </row>
    <row r="90" customFormat="false" ht="13.2" hidden="false" customHeight="false" outlineLevel="0" collapsed="false">
      <c r="A90" s="18"/>
      <c r="B90" s="18"/>
      <c r="C90" s="18"/>
      <c r="D90" s="18"/>
      <c r="E90" s="18"/>
    </row>
    <row r="91" customFormat="false" ht="13.2" hidden="false" customHeight="false" outlineLevel="0" collapsed="false">
      <c r="A91" s="18"/>
      <c r="B91" s="18"/>
      <c r="C91" s="18"/>
      <c r="D91" s="18"/>
      <c r="E91" s="18"/>
    </row>
    <row r="92" customFormat="false" ht="13.2" hidden="false" customHeight="false" outlineLevel="0" collapsed="false">
      <c r="A92" s="18"/>
      <c r="B92" s="18"/>
      <c r="C92" s="18"/>
      <c r="D92" s="18"/>
      <c r="E92" s="18"/>
    </row>
    <row r="93" customFormat="false" ht="13.2" hidden="false" customHeight="false" outlineLevel="0" collapsed="false">
      <c r="A93" s="18"/>
      <c r="B93" s="18"/>
      <c r="C93" s="18"/>
      <c r="D93" s="18"/>
      <c r="E93" s="18"/>
    </row>
    <row r="94" customFormat="false" ht="13.2" hidden="false" customHeight="false" outlineLevel="0" collapsed="false">
      <c r="A94" s="18"/>
      <c r="B94" s="18"/>
      <c r="C94" s="18"/>
      <c r="D94" s="18"/>
      <c r="E94" s="18"/>
    </row>
    <row r="95" customFormat="false" ht="13.2" hidden="false" customHeight="false" outlineLevel="0" collapsed="false">
      <c r="A95" s="18"/>
      <c r="B95" s="18"/>
      <c r="C95" s="18"/>
      <c r="D95" s="18"/>
      <c r="E95" s="18"/>
    </row>
    <row r="96" customFormat="false" ht="13.2" hidden="false" customHeight="false" outlineLevel="0" collapsed="false">
      <c r="A96" s="18"/>
      <c r="B96" s="18"/>
      <c r="C96" s="18"/>
      <c r="D96" s="18"/>
      <c r="E96" s="18"/>
    </row>
    <row r="97" customFormat="false" ht="13.2" hidden="false" customHeight="false" outlineLevel="0" collapsed="false">
      <c r="A97" s="18"/>
      <c r="B97" s="18"/>
      <c r="C97" s="18"/>
      <c r="D97" s="18"/>
      <c r="E97" s="18"/>
    </row>
    <row r="98" customFormat="false" ht="13.2" hidden="false" customHeight="false" outlineLevel="0" collapsed="false">
      <c r="A98" s="18"/>
      <c r="B98" s="18"/>
      <c r="C98" s="18"/>
      <c r="D98" s="18"/>
      <c r="E98" s="18"/>
    </row>
    <row r="99" customFormat="false" ht="13.2" hidden="false" customHeight="false" outlineLevel="0" collapsed="false">
      <c r="A99" s="18"/>
      <c r="B99" s="18"/>
      <c r="C99" s="18"/>
      <c r="D99" s="18"/>
      <c r="E99" s="18"/>
    </row>
    <row r="100" customFormat="false" ht="13.2" hidden="false" customHeight="false" outlineLevel="0" collapsed="false">
      <c r="A100" s="18"/>
      <c r="B100" s="18"/>
      <c r="C100" s="18"/>
      <c r="D100" s="18"/>
      <c r="E100" s="18"/>
    </row>
    <row r="101" customFormat="false" ht="13.2" hidden="false" customHeight="false" outlineLevel="0" collapsed="false">
      <c r="A101" s="18"/>
      <c r="B101" s="18"/>
      <c r="C101" s="18"/>
      <c r="D101" s="18"/>
      <c r="E101" s="18"/>
    </row>
    <row r="102" customFormat="false" ht="13.2" hidden="false" customHeight="false" outlineLevel="0" collapsed="false">
      <c r="A102" s="18"/>
      <c r="B102" s="18"/>
      <c r="C102" s="18"/>
      <c r="D102" s="18"/>
      <c r="E102" s="18"/>
    </row>
    <row r="103" customFormat="false" ht="13.2" hidden="false" customHeight="false" outlineLevel="0" collapsed="false">
      <c r="A103" s="18"/>
      <c r="B103" s="18"/>
      <c r="C103" s="18"/>
      <c r="D103" s="18"/>
      <c r="E103" s="18"/>
    </row>
    <row r="104" customFormat="false" ht="13.2" hidden="false" customHeight="false" outlineLevel="0" collapsed="false">
      <c r="A104" s="18"/>
      <c r="B104" s="18"/>
      <c r="C104" s="18"/>
      <c r="D104" s="18"/>
      <c r="E104" s="18"/>
    </row>
    <row r="105" customFormat="false" ht="13.2" hidden="false" customHeight="false" outlineLevel="0" collapsed="false">
      <c r="A105" s="18"/>
      <c r="B105" s="18"/>
      <c r="C105" s="18"/>
      <c r="D105" s="18"/>
      <c r="E105" s="18"/>
    </row>
    <row r="106" customFormat="false" ht="13.2" hidden="false" customHeight="false" outlineLevel="0" collapsed="false">
      <c r="A106" s="18"/>
      <c r="B106" s="18"/>
      <c r="C106" s="18"/>
      <c r="D106" s="18"/>
      <c r="E106" s="18"/>
    </row>
    <row r="107" customFormat="false" ht="13.2" hidden="false" customHeight="false" outlineLevel="0" collapsed="false">
      <c r="A107" s="18"/>
      <c r="B107" s="18"/>
      <c r="C107" s="18"/>
      <c r="D107" s="18"/>
      <c r="E107" s="18"/>
    </row>
    <row r="108" customFormat="false" ht="13.2" hidden="false" customHeight="false" outlineLevel="0" collapsed="false">
      <c r="A108" s="18"/>
      <c r="B108" s="18"/>
      <c r="C108" s="18"/>
      <c r="D108" s="18"/>
      <c r="E108" s="18"/>
    </row>
    <row r="109" customFormat="false" ht="13.2" hidden="false" customHeight="false" outlineLevel="0" collapsed="false">
      <c r="A109" s="18"/>
      <c r="B109" s="18"/>
      <c r="C109" s="18"/>
      <c r="D109" s="18"/>
      <c r="E109" s="18"/>
    </row>
    <row r="110" customFormat="false" ht="13.2" hidden="false" customHeight="false" outlineLevel="0" collapsed="false">
      <c r="A110" s="18"/>
      <c r="B110" s="18"/>
      <c r="C110" s="18"/>
      <c r="D110" s="18"/>
      <c r="E110" s="18"/>
    </row>
    <row r="111" customFormat="false" ht="13.2" hidden="false" customHeight="false" outlineLevel="0" collapsed="false">
      <c r="A111" s="18"/>
      <c r="B111" s="18"/>
      <c r="C111" s="18"/>
      <c r="D111" s="18"/>
      <c r="E111" s="18"/>
    </row>
    <row r="112" customFormat="false" ht="13.2" hidden="false" customHeight="false" outlineLevel="0" collapsed="false">
      <c r="A112" s="18"/>
      <c r="B112" s="18"/>
      <c r="C112" s="18"/>
      <c r="D112" s="18"/>
      <c r="E112" s="18"/>
    </row>
    <row r="113" customFormat="false" ht="13.2" hidden="false" customHeight="false" outlineLevel="0" collapsed="false">
      <c r="A113" s="18"/>
      <c r="B113" s="18"/>
      <c r="C113" s="18"/>
      <c r="D113" s="18"/>
      <c r="E113" s="18"/>
    </row>
    <row r="114" customFormat="false" ht="13.2" hidden="false" customHeight="false" outlineLevel="0" collapsed="false">
      <c r="A114" s="18"/>
      <c r="B114" s="18"/>
      <c r="C114" s="18"/>
      <c r="D114" s="18"/>
      <c r="E114" s="18"/>
    </row>
    <row r="115" customFormat="false" ht="13.2" hidden="false" customHeight="false" outlineLevel="0" collapsed="false">
      <c r="A115" s="18"/>
      <c r="B115" s="18"/>
      <c r="C115" s="18"/>
      <c r="D115" s="18"/>
      <c r="E115" s="18"/>
    </row>
    <row r="116" customFormat="false" ht="13.2" hidden="false" customHeight="false" outlineLevel="0" collapsed="false">
      <c r="A116" s="18"/>
      <c r="B116" s="18"/>
      <c r="C116" s="18"/>
      <c r="D116" s="18"/>
      <c r="E116" s="18"/>
    </row>
    <row r="117" customFormat="false" ht="13.2" hidden="false" customHeight="false" outlineLevel="0" collapsed="false">
      <c r="A117" s="18"/>
      <c r="B117" s="18"/>
      <c r="C117" s="18"/>
      <c r="D117" s="18"/>
      <c r="E117" s="18"/>
    </row>
    <row r="118" customFormat="false" ht="13.2" hidden="false" customHeight="false" outlineLevel="0" collapsed="false">
      <c r="A118" s="18"/>
      <c r="B118" s="18"/>
      <c r="C118" s="18"/>
      <c r="D118" s="18"/>
      <c r="E118" s="18"/>
    </row>
    <row r="119" customFormat="false" ht="13.2" hidden="false" customHeight="false" outlineLevel="0" collapsed="false">
      <c r="A119" s="18"/>
      <c r="B119" s="18"/>
      <c r="C119" s="18"/>
      <c r="D119" s="18"/>
      <c r="E119" s="18"/>
    </row>
    <row r="120" customFormat="false" ht="13.2" hidden="false" customHeight="false" outlineLevel="0" collapsed="false">
      <c r="A120" s="18"/>
      <c r="B120" s="18"/>
      <c r="C120" s="18"/>
      <c r="D120" s="18"/>
      <c r="E120" s="18"/>
    </row>
    <row r="121" customFormat="false" ht="13.2" hidden="false" customHeight="false" outlineLevel="0" collapsed="false">
      <c r="A121" s="18"/>
      <c r="B121" s="18"/>
      <c r="C121" s="18"/>
      <c r="D121" s="18"/>
      <c r="E121" s="18"/>
    </row>
    <row r="122" customFormat="false" ht="13.2" hidden="false" customHeight="false" outlineLevel="0" collapsed="false">
      <c r="A122" s="18"/>
      <c r="B122" s="18"/>
      <c r="C122" s="18"/>
      <c r="D122" s="18"/>
      <c r="E122" s="18"/>
    </row>
    <row r="123" customFormat="false" ht="13.2" hidden="false" customHeight="false" outlineLevel="0" collapsed="false">
      <c r="A123" s="18"/>
      <c r="B123" s="18"/>
      <c r="C123" s="18"/>
      <c r="D123" s="18"/>
      <c r="E123" s="18"/>
    </row>
    <row r="124" customFormat="false" ht="13.2" hidden="false" customHeight="false" outlineLevel="0" collapsed="false">
      <c r="A124" s="18"/>
      <c r="B124" s="18"/>
      <c r="C124" s="18"/>
      <c r="D124" s="18"/>
      <c r="E124" s="18"/>
    </row>
    <row r="125" customFormat="false" ht="13.2" hidden="false" customHeight="false" outlineLevel="0" collapsed="false">
      <c r="A125" s="18"/>
      <c r="B125" s="18"/>
      <c r="C125" s="18"/>
      <c r="D125" s="18"/>
      <c r="E125" s="18"/>
    </row>
    <row r="126" customFormat="false" ht="13.2" hidden="false" customHeight="false" outlineLevel="0" collapsed="false">
      <c r="A126" s="18"/>
      <c r="B126" s="18"/>
      <c r="C126" s="18"/>
      <c r="D126" s="18"/>
      <c r="E126" s="18"/>
    </row>
    <row r="127" customFormat="false" ht="13.2" hidden="false" customHeight="false" outlineLevel="0" collapsed="false">
      <c r="A127" s="18"/>
      <c r="B127" s="18"/>
      <c r="C127" s="18"/>
      <c r="D127" s="18"/>
      <c r="E127" s="18"/>
    </row>
    <row r="128" customFormat="false" ht="13.2" hidden="false" customHeight="false" outlineLevel="0" collapsed="false">
      <c r="A128" s="18"/>
      <c r="B128" s="18"/>
      <c r="C128" s="18"/>
      <c r="D128" s="18"/>
      <c r="E128" s="18"/>
    </row>
    <row r="129" customFormat="false" ht="13.2" hidden="false" customHeight="false" outlineLevel="0" collapsed="false">
      <c r="A129" s="18"/>
      <c r="B129" s="18"/>
      <c r="C129" s="18"/>
      <c r="D129" s="18"/>
      <c r="E129" s="18"/>
    </row>
    <row r="130" customFormat="false" ht="13.2" hidden="false" customHeight="false" outlineLevel="0" collapsed="false">
      <c r="A130" s="18"/>
      <c r="B130" s="18"/>
      <c r="C130" s="18"/>
      <c r="D130" s="18"/>
      <c r="E130" s="18"/>
    </row>
    <row r="131" customFormat="false" ht="13.2" hidden="false" customHeight="false" outlineLevel="0" collapsed="false">
      <c r="A131" s="18"/>
      <c r="B131" s="18"/>
      <c r="C131" s="18"/>
      <c r="D131" s="18"/>
      <c r="E131" s="18"/>
    </row>
    <row r="132" customFormat="false" ht="13.2" hidden="false" customHeight="false" outlineLevel="0" collapsed="false">
      <c r="A132" s="18"/>
      <c r="B132" s="18"/>
      <c r="C132" s="18"/>
      <c r="D132" s="18"/>
      <c r="E132" s="18"/>
    </row>
    <row r="133" customFormat="false" ht="13.2" hidden="false" customHeight="false" outlineLevel="0" collapsed="false">
      <c r="A133" s="18"/>
      <c r="B133" s="18"/>
      <c r="C133" s="18"/>
      <c r="D133" s="18"/>
      <c r="E133" s="18"/>
    </row>
    <row r="134" customFormat="false" ht="13.2" hidden="false" customHeight="false" outlineLevel="0" collapsed="false">
      <c r="A134" s="18"/>
      <c r="B134" s="18"/>
      <c r="C134" s="18"/>
      <c r="D134" s="18"/>
      <c r="E134" s="18"/>
    </row>
    <row r="135" customFormat="false" ht="13.2" hidden="false" customHeight="false" outlineLevel="0" collapsed="false">
      <c r="A135" s="18"/>
      <c r="B135" s="18"/>
      <c r="C135" s="18"/>
      <c r="D135" s="18"/>
      <c r="E135" s="18"/>
    </row>
    <row r="136" customFormat="false" ht="13.2" hidden="false" customHeight="false" outlineLevel="0" collapsed="false">
      <c r="A136" s="18"/>
      <c r="B136" s="18"/>
      <c r="C136" s="18"/>
      <c r="D136" s="18"/>
      <c r="E136" s="18"/>
    </row>
    <row r="137" customFormat="false" ht="13.2" hidden="false" customHeight="false" outlineLevel="0" collapsed="false">
      <c r="A137" s="18"/>
      <c r="B137" s="18"/>
      <c r="C137" s="18"/>
      <c r="D137" s="18"/>
      <c r="E137" s="18"/>
    </row>
    <row r="138" customFormat="false" ht="13.2" hidden="false" customHeight="false" outlineLevel="0" collapsed="false">
      <c r="A138" s="18"/>
      <c r="B138" s="18"/>
      <c r="C138" s="18"/>
      <c r="D138" s="18"/>
      <c r="E138" s="18"/>
    </row>
    <row r="139" customFormat="false" ht="13.2" hidden="false" customHeight="false" outlineLevel="0" collapsed="false">
      <c r="A139" s="18"/>
      <c r="B139" s="18"/>
      <c r="C139" s="18"/>
      <c r="D139" s="18"/>
      <c r="E139" s="18"/>
    </row>
    <row r="140" customFormat="false" ht="13.2" hidden="false" customHeight="false" outlineLevel="0" collapsed="false">
      <c r="A140" s="18"/>
      <c r="B140" s="18"/>
      <c r="C140" s="18"/>
      <c r="D140" s="18"/>
      <c r="E140" s="18"/>
    </row>
    <row r="141" customFormat="false" ht="13.2" hidden="false" customHeight="false" outlineLevel="0" collapsed="false">
      <c r="A141" s="18"/>
      <c r="B141" s="18"/>
      <c r="C141" s="18"/>
      <c r="D141" s="18"/>
      <c r="E141" s="18"/>
    </row>
    <row r="142" customFormat="false" ht="13.2" hidden="false" customHeight="false" outlineLevel="0" collapsed="false">
      <c r="A142" s="18"/>
      <c r="B142" s="18"/>
      <c r="C142" s="18"/>
      <c r="D142" s="18"/>
      <c r="E142" s="18"/>
    </row>
    <row r="143" customFormat="false" ht="13.2" hidden="false" customHeight="false" outlineLevel="0" collapsed="false">
      <c r="A143" s="18"/>
      <c r="B143" s="18"/>
      <c r="C143" s="18"/>
      <c r="D143" s="18"/>
      <c r="E143" s="18"/>
    </row>
    <row r="144" customFormat="false" ht="13.2" hidden="false" customHeight="false" outlineLevel="0" collapsed="false">
      <c r="A144" s="18"/>
      <c r="B144" s="18"/>
      <c r="C144" s="18"/>
      <c r="D144" s="18"/>
      <c r="E144" s="18"/>
    </row>
    <row r="145" customFormat="false" ht="13.2" hidden="false" customHeight="false" outlineLevel="0" collapsed="false">
      <c r="A145" s="18"/>
      <c r="B145" s="18"/>
      <c r="C145" s="18"/>
      <c r="D145" s="18"/>
      <c r="E145" s="18"/>
    </row>
    <row r="146" customFormat="false" ht="13.2" hidden="false" customHeight="false" outlineLevel="0" collapsed="false">
      <c r="A146" s="18"/>
      <c r="B146" s="18"/>
      <c r="C146" s="18"/>
      <c r="D146" s="18"/>
      <c r="E146" s="18"/>
    </row>
    <row r="147" customFormat="false" ht="13.2" hidden="false" customHeight="false" outlineLevel="0" collapsed="false">
      <c r="A147" s="18"/>
    </row>
    <row r="148" customFormat="false" ht="13.2" hidden="false" customHeight="false" outlineLevel="0" collapsed="false">
      <c r="A148" s="18"/>
    </row>
    <row r="149" customFormat="false" ht="13.2" hidden="false" customHeight="false" outlineLevel="0" collapsed="false">
      <c r="A149" s="18"/>
    </row>
    <row r="150" customFormat="false" ht="13.2" hidden="false" customHeight="false" outlineLevel="0" collapsed="false">
      <c r="A150" s="18"/>
    </row>
    <row r="151" customFormat="false" ht="13.2" hidden="false" customHeight="false" outlineLevel="0" collapsed="false">
      <c r="A151" s="18"/>
    </row>
  </sheetData>
  <sheetProtection sheet="true" password="ea2e" objects="true" scenarios="true"/>
  <mergeCells count="14">
    <mergeCell ref="B2:E2"/>
    <mergeCell ref="G4:G5"/>
    <mergeCell ref="H4:H5"/>
    <mergeCell ref="I4:I5"/>
    <mergeCell ref="J4:L4"/>
    <mergeCell ref="M4:M5"/>
    <mergeCell ref="N4:N5"/>
    <mergeCell ref="O4:Q4"/>
    <mergeCell ref="R4:R5"/>
    <mergeCell ref="U4:U5"/>
    <mergeCell ref="V4:V5"/>
    <mergeCell ref="W4:Y4"/>
    <mergeCell ref="Z4:Z5"/>
    <mergeCell ref="AA4:AC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51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H4" activeCellId="0" sqref="H4:T26"/>
    </sheetView>
  </sheetViews>
  <sheetFormatPr defaultColWidth="8.875" defaultRowHeight="13.2" customHeight="false" zeroHeight="false" outlineLevelRow="0" outlineLevelCol="0"/>
  <cols>
    <col collapsed="false" customWidth="true" hidden="false" outlineLevel="0" max="1" min="1" style="405" width="3.43"/>
    <col collapsed="false" customWidth="true" hidden="false" outlineLevel="0" max="2" min="2" style="405" width="10.32"/>
    <col collapsed="false" customWidth="true" hidden="false" outlineLevel="0" max="3" min="3" style="405" width="26.99"/>
    <col collapsed="false" customWidth="true" hidden="false" outlineLevel="0" max="4" min="4" style="405" width="1.87"/>
    <col collapsed="false" customWidth="true" hidden="false" outlineLevel="0" max="5" min="5" style="405" width="6.1"/>
    <col collapsed="false" customWidth="true" hidden="false" outlineLevel="0" max="6" min="6" style="405" width="1.99"/>
    <col collapsed="false" customWidth="false" hidden="false" outlineLevel="0" max="8" min="7" style="405" width="8.87"/>
    <col collapsed="false" customWidth="true" hidden="false" outlineLevel="0" max="9" min="9" style="405" width="10.55"/>
    <col collapsed="false" customWidth="false" hidden="false" outlineLevel="0" max="10" min="10" style="405" width="8.87"/>
    <col collapsed="false" customWidth="true" hidden="false" outlineLevel="0" max="11" min="11" style="405" width="12.43"/>
    <col collapsed="false" customWidth="true" hidden="false" outlineLevel="0" max="12" min="12" style="405" width="12.99"/>
    <col collapsed="false" customWidth="true" hidden="false" outlineLevel="0" max="13" min="13" style="405" width="13.87"/>
    <col collapsed="false" customWidth="true" hidden="false" outlineLevel="0" max="14" min="14" style="405" width="13.43"/>
    <col collapsed="false" customWidth="true" hidden="false" outlineLevel="0" max="15" min="15" style="405" width="10.66"/>
    <col collapsed="false" customWidth="true" hidden="false" outlineLevel="0" max="16" min="16" style="405" width="13.43"/>
    <col collapsed="false" customWidth="true" hidden="false" outlineLevel="0" max="17" min="17" style="405" width="10.66"/>
    <col collapsed="false" customWidth="true" hidden="false" outlineLevel="0" max="18" min="18" style="405" width="13.43"/>
    <col collapsed="false" customWidth="true" hidden="false" outlineLevel="0" max="19" min="19" style="405" width="10.66"/>
    <col collapsed="false" customWidth="false" hidden="false" outlineLevel="0" max="257" min="20" style="405" width="8.87"/>
  </cols>
  <sheetData>
    <row r="2" customFormat="false" ht="13.2" hidden="false" customHeight="false" outlineLevel="0" collapsed="false">
      <c r="B2" s="354" t="s">
        <v>391</v>
      </c>
      <c r="H2" s="354" t="s">
        <v>392</v>
      </c>
    </row>
    <row r="3" customFormat="false" ht="13.2" hidden="false" customHeight="false" outlineLevel="0" collapsed="false">
      <c r="F3" s="645"/>
      <c r="G3" s="645"/>
    </row>
    <row r="4" customFormat="false" ht="15" hidden="false" customHeight="true" outlineLevel="0" collapsed="false">
      <c r="B4" s="646"/>
      <c r="C4" s="647"/>
      <c r="D4" s="647"/>
      <c r="E4" s="647"/>
      <c r="F4" s="648"/>
      <c r="G4" s="645"/>
      <c r="H4" s="420" t="s">
        <v>96</v>
      </c>
      <c r="I4" s="420" t="s">
        <v>222</v>
      </c>
      <c r="J4" s="421" t="s">
        <v>311</v>
      </c>
      <c r="K4" s="422" t="s">
        <v>393</v>
      </c>
      <c r="L4" s="534" t="s">
        <v>394</v>
      </c>
      <c r="M4" s="534"/>
      <c r="N4" s="649" t="s">
        <v>393</v>
      </c>
      <c r="O4" s="649"/>
      <c r="P4" s="543" t="s">
        <v>395</v>
      </c>
      <c r="Q4" s="543"/>
      <c r="R4" s="543" t="s">
        <v>396</v>
      </c>
      <c r="S4" s="543"/>
      <c r="T4" s="420" t="s">
        <v>397</v>
      </c>
    </row>
    <row r="5" customFormat="false" ht="13.8" hidden="false" customHeight="false" outlineLevel="0" collapsed="false">
      <c r="B5" s="486" t="s">
        <v>150</v>
      </c>
      <c r="C5" s="172"/>
      <c r="D5" s="172"/>
      <c r="E5" s="650"/>
      <c r="F5" s="76"/>
      <c r="G5" s="645"/>
      <c r="H5" s="420"/>
      <c r="I5" s="420"/>
      <c r="J5" s="421"/>
      <c r="K5" s="422"/>
      <c r="L5" s="651" t="s">
        <v>221</v>
      </c>
      <c r="M5" s="652" t="s">
        <v>148</v>
      </c>
      <c r="N5" s="653" t="s">
        <v>398</v>
      </c>
      <c r="O5" s="654" t="s">
        <v>148</v>
      </c>
      <c r="P5" s="654" t="s">
        <v>398</v>
      </c>
      <c r="Q5" s="654" t="s">
        <v>148</v>
      </c>
      <c r="R5" s="654" t="s">
        <v>398</v>
      </c>
      <c r="S5" s="654" t="s">
        <v>148</v>
      </c>
      <c r="T5" s="420"/>
    </row>
    <row r="6" customFormat="false" ht="13.8" hidden="false" customHeight="false" outlineLevel="0" collapsed="false">
      <c r="B6" s="66" t="s">
        <v>228</v>
      </c>
      <c r="C6" s="172"/>
      <c r="D6" s="172"/>
      <c r="E6" s="650"/>
      <c r="F6" s="76"/>
      <c r="G6" s="645"/>
      <c r="H6" s="537" t="s">
        <v>114</v>
      </c>
      <c r="I6" s="595" t="n">
        <f aca="false">'Input-Detail'!E14</f>
        <v>19016173</v>
      </c>
      <c r="J6" s="600" t="n">
        <f aca="false">'Input-Detail'!F14</f>
        <v>0</v>
      </c>
      <c r="K6" s="655" t="n">
        <f aca="false">I6*J6</f>
        <v>0</v>
      </c>
      <c r="L6" s="656" t="n">
        <f aca="false">'Input-Detail'!BL13</f>
        <v>0.64</v>
      </c>
      <c r="M6" s="657" t="n">
        <f aca="false">'Input-Detail'!BM13</f>
        <v>0.36</v>
      </c>
      <c r="N6" s="658" t="n">
        <f aca="false">K6*L6</f>
        <v>0</v>
      </c>
      <c r="O6" s="659" t="n">
        <f aca="false">K6*M6</f>
        <v>0</v>
      </c>
      <c r="P6" s="659" t="n">
        <f aca="false">N6/$E$8</f>
        <v>0</v>
      </c>
      <c r="Q6" s="659" t="n">
        <f aca="false">O6/$E$13</f>
        <v>0</v>
      </c>
      <c r="R6" s="660" t="n">
        <f aca="false">($E$7*$E$9+$E$10)*P6</f>
        <v>0</v>
      </c>
      <c r="S6" s="660" t="n">
        <f aca="false">($E$12*$E$14+$E$15)*Q6</f>
        <v>0</v>
      </c>
      <c r="T6" s="661" t="n">
        <f aca="false">(R6+S6)*$E$17</f>
        <v>0</v>
      </c>
    </row>
    <row r="7" customFormat="false" ht="13.2" hidden="false" customHeight="false" outlineLevel="0" collapsed="false">
      <c r="B7" s="438"/>
      <c r="C7" s="171" t="s">
        <v>156</v>
      </c>
      <c r="D7" s="172"/>
      <c r="E7" s="662" t="n">
        <f aca="false">'Input-Detail'!AZ15</f>
        <v>1.35</v>
      </c>
      <c r="F7" s="76"/>
      <c r="G7" s="645"/>
      <c r="H7" s="537" t="n">
        <v>1</v>
      </c>
      <c r="I7" s="595" t="n">
        <f aca="false">'Input-Detail'!E15</f>
        <v>19565364.35</v>
      </c>
      <c r="J7" s="600" t="n">
        <f aca="false">'Input-Detail'!F15</f>
        <v>0.06</v>
      </c>
      <c r="K7" s="655" t="n">
        <f aca="false">I7*J7</f>
        <v>1173921.861</v>
      </c>
      <c r="L7" s="663" t="n">
        <f aca="false">'Input-Detail'!BL14</f>
        <v>0.64</v>
      </c>
      <c r="M7" s="664" t="n">
        <f aca="false">'Input-Detail'!BM14</f>
        <v>0.36</v>
      </c>
      <c r="N7" s="658" t="n">
        <f aca="false">K7*L7</f>
        <v>751309.99104</v>
      </c>
      <c r="O7" s="659" t="n">
        <f aca="false">K7*M7</f>
        <v>422611.86996</v>
      </c>
      <c r="P7" s="659" t="n">
        <f aca="false">N7/$E$8</f>
        <v>4695.687444</v>
      </c>
      <c r="Q7" s="659" t="n">
        <f aca="false">O7/$E$13</f>
        <v>2641.32418725</v>
      </c>
      <c r="R7" s="660" t="n">
        <f aca="false">($E$7*$E$9+$E$10)*P7</f>
        <v>284089.090362</v>
      </c>
      <c r="S7" s="660" t="n">
        <f aca="false">($E$12*$E$14+$E$15)*Q7</f>
        <v>52826.483745</v>
      </c>
      <c r="T7" s="661" t="n">
        <f aca="false">(R7+S7)*$E$17</f>
        <v>20214.93444642</v>
      </c>
    </row>
    <row r="8" customFormat="false" ht="13.2" hidden="false" customHeight="false" outlineLevel="0" collapsed="false">
      <c r="B8" s="438"/>
      <c r="C8" s="171" t="s">
        <v>159</v>
      </c>
      <c r="D8" s="172"/>
      <c r="E8" s="665" t="n">
        <f aca="false">'Input-Detail'!AZ16</f>
        <v>160</v>
      </c>
      <c r="F8" s="76"/>
      <c r="G8" s="645"/>
      <c r="H8" s="537" t="n">
        <v>2</v>
      </c>
      <c r="I8" s="595" t="n">
        <f aca="false">'Input-Detail'!E16</f>
        <v>20114555.7</v>
      </c>
      <c r="J8" s="600" t="n">
        <f aca="false">'Input-Detail'!F16</f>
        <v>0.15</v>
      </c>
      <c r="K8" s="655" t="n">
        <f aca="false">I8*J8</f>
        <v>3017183.355</v>
      </c>
      <c r="L8" s="663" t="n">
        <f aca="false">'Input-Detail'!BL15</f>
        <v>0.64</v>
      </c>
      <c r="M8" s="664" t="n">
        <f aca="false">'Input-Detail'!BM15</f>
        <v>0.36</v>
      </c>
      <c r="N8" s="658" t="n">
        <f aca="false">K8*L8</f>
        <v>1930997.3472</v>
      </c>
      <c r="O8" s="659" t="n">
        <f aca="false">K8*M8</f>
        <v>1086186.0078</v>
      </c>
      <c r="P8" s="659" t="n">
        <f aca="false">N8/$E$8</f>
        <v>12068.73342</v>
      </c>
      <c r="Q8" s="659" t="n">
        <f aca="false">O8/$E$13</f>
        <v>6788.66254875</v>
      </c>
      <c r="R8" s="660" t="n">
        <f aca="false">($E$7*$E$9+$E$10)*P8</f>
        <v>730158.37191</v>
      </c>
      <c r="S8" s="660" t="n">
        <f aca="false">($E$12*$E$14+$E$15)*Q8</f>
        <v>135773.250975</v>
      </c>
      <c r="T8" s="661" t="n">
        <f aca="false">(R8+S8)*$E$17</f>
        <v>51955.8973731</v>
      </c>
    </row>
    <row r="9" customFormat="false" ht="13.2" hidden="false" customHeight="false" outlineLevel="0" collapsed="false">
      <c r="B9" s="438"/>
      <c r="C9" s="171" t="s">
        <v>162</v>
      </c>
      <c r="D9" s="172"/>
      <c r="E9" s="666" t="n">
        <f aca="false">'Input-Detail'!AZ17</f>
        <v>30</v>
      </c>
      <c r="F9" s="76"/>
      <c r="G9" s="645"/>
      <c r="H9" s="537" t="n">
        <v>3</v>
      </c>
      <c r="I9" s="595" t="n">
        <f aca="false">'Input-Detail'!E17</f>
        <v>20663747.05</v>
      </c>
      <c r="J9" s="600" t="n">
        <f aca="false">'Input-Detail'!F17</f>
        <v>0.2</v>
      </c>
      <c r="K9" s="655" t="n">
        <f aca="false">I9*J9</f>
        <v>4132749.41</v>
      </c>
      <c r="L9" s="663" t="n">
        <f aca="false">'Input-Detail'!BL16</f>
        <v>0.64</v>
      </c>
      <c r="M9" s="664" t="n">
        <f aca="false">'Input-Detail'!BM16</f>
        <v>0.36</v>
      </c>
      <c r="N9" s="658" t="n">
        <f aca="false">K9*L9</f>
        <v>2644959.6224</v>
      </c>
      <c r="O9" s="659" t="n">
        <f aca="false">K9*M9</f>
        <v>1487789.7876</v>
      </c>
      <c r="P9" s="659" t="n">
        <f aca="false">N9/$E$8</f>
        <v>16530.99764</v>
      </c>
      <c r="Q9" s="659" t="n">
        <f aca="false">O9/$E$13</f>
        <v>9298.6861725</v>
      </c>
      <c r="R9" s="660" t="n">
        <f aca="false">($E$7*$E$9+$E$10)*P9</f>
        <v>1000125.35722</v>
      </c>
      <c r="S9" s="660" t="n">
        <f aca="false">($E$12*$E$14+$E$15)*Q9</f>
        <v>185973.72345</v>
      </c>
      <c r="T9" s="661" t="n">
        <f aca="false">(R9+S9)*$E$17</f>
        <v>71165.9448402</v>
      </c>
    </row>
    <row r="10" customFormat="false" ht="13.2" hidden="false" customHeight="false" outlineLevel="0" collapsed="false">
      <c r="B10" s="438"/>
      <c r="C10" s="171" t="s">
        <v>166</v>
      </c>
      <c r="D10" s="172"/>
      <c r="E10" s="666" t="n">
        <f aca="false">'Input-Detail'!AZ18</f>
        <v>20</v>
      </c>
      <c r="F10" s="76"/>
      <c r="G10" s="645"/>
      <c r="H10" s="537" t="n">
        <v>4</v>
      </c>
      <c r="I10" s="595" t="n">
        <f aca="false">'Input-Detail'!E18</f>
        <v>21212938.4</v>
      </c>
      <c r="J10" s="600" t="n">
        <f aca="false">'Input-Detail'!F18</f>
        <v>0.25</v>
      </c>
      <c r="K10" s="655" t="n">
        <f aca="false">I10*J10</f>
        <v>5303234.6</v>
      </c>
      <c r="L10" s="663" t="n">
        <f aca="false">'Input-Detail'!BL17</f>
        <v>0.64</v>
      </c>
      <c r="M10" s="664" t="n">
        <f aca="false">'Input-Detail'!BM17</f>
        <v>0.36</v>
      </c>
      <c r="N10" s="658" t="n">
        <f aca="false">K10*L10</f>
        <v>3394070.144</v>
      </c>
      <c r="O10" s="659" t="n">
        <f aca="false">K10*M10</f>
        <v>1909164.456</v>
      </c>
      <c r="P10" s="659" t="n">
        <f aca="false">N10/$E$8</f>
        <v>21212.9384</v>
      </c>
      <c r="Q10" s="659" t="n">
        <f aca="false">O10/$E$13</f>
        <v>11932.27785</v>
      </c>
      <c r="R10" s="660" t="n">
        <f aca="false">($E$7*$E$9+$E$10)*P10</f>
        <v>1283382.7732</v>
      </c>
      <c r="S10" s="660" t="n">
        <f aca="false">($E$12*$E$14+$E$15)*Q10</f>
        <v>238645.557</v>
      </c>
      <c r="T10" s="661" t="n">
        <f aca="false">(R10+S10)*$E$17</f>
        <v>91321.699812</v>
      </c>
    </row>
    <row r="11" customFormat="false" ht="13.2" hidden="false" customHeight="false" outlineLevel="0" collapsed="false">
      <c r="B11" s="66" t="s">
        <v>232</v>
      </c>
      <c r="C11" s="172"/>
      <c r="D11" s="172"/>
      <c r="E11" s="650"/>
      <c r="F11" s="76"/>
      <c r="G11" s="645"/>
      <c r="H11" s="537" t="n">
        <v>5</v>
      </c>
      <c r="I11" s="595" t="n">
        <f aca="false">'Input-Detail'!E19</f>
        <v>21762129.75</v>
      </c>
      <c r="J11" s="600" t="n">
        <f aca="false">'Input-Detail'!F19</f>
        <v>0.3</v>
      </c>
      <c r="K11" s="655" t="n">
        <f aca="false">I11*J11</f>
        <v>6528638.925</v>
      </c>
      <c r="L11" s="663" t="n">
        <f aca="false">'Input-Detail'!BL18</f>
        <v>0.64</v>
      </c>
      <c r="M11" s="664" t="n">
        <f aca="false">'Input-Detail'!BM18</f>
        <v>0.36</v>
      </c>
      <c r="N11" s="658" t="n">
        <f aca="false">K11*L11</f>
        <v>4178328.912</v>
      </c>
      <c r="O11" s="659" t="n">
        <f aca="false">K11*M11</f>
        <v>2350310.013</v>
      </c>
      <c r="P11" s="659" t="n">
        <f aca="false">N11/$E$8</f>
        <v>26114.5557</v>
      </c>
      <c r="Q11" s="659" t="n">
        <f aca="false">O11/$E$13</f>
        <v>14689.43758125</v>
      </c>
      <c r="R11" s="660" t="n">
        <f aca="false">($E$7*$E$9+$E$10)*P11</f>
        <v>1579930.61985</v>
      </c>
      <c r="S11" s="660" t="n">
        <f aca="false">($E$12*$E$14+$E$15)*Q11</f>
        <v>293788.751625</v>
      </c>
      <c r="T11" s="661" t="n">
        <f aca="false">(R11+S11)*$E$17</f>
        <v>112423.1622885</v>
      </c>
    </row>
    <row r="12" customFormat="false" ht="13.2" hidden="false" customHeight="false" outlineLevel="0" collapsed="false">
      <c r="B12" s="486"/>
      <c r="C12" s="171" t="s">
        <v>156</v>
      </c>
      <c r="D12" s="172"/>
      <c r="E12" s="662" t="n">
        <f aca="false">'Input-Detail'!AZ20</f>
        <v>1.35</v>
      </c>
      <c r="F12" s="76"/>
      <c r="G12" s="645"/>
      <c r="H12" s="537" t="n">
        <v>6</v>
      </c>
      <c r="I12" s="595" t="n">
        <f aca="false">'Input-Detail'!E20</f>
        <v>22311321.1</v>
      </c>
      <c r="J12" s="600" t="n">
        <f aca="false">'Input-Detail'!F20</f>
        <v>0.35</v>
      </c>
      <c r="K12" s="655" t="n">
        <f aca="false">I12*J12</f>
        <v>7808962.385</v>
      </c>
      <c r="L12" s="663" t="n">
        <f aca="false">'Input-Detail'!BL19</f>
        <v>0.64</v>
      </c>
      <c r="M12" s="664" t="n">
        <f aca="false">'Input-Detail'!BM19</f>
        <v>0.36</v>
      </c>
      <c r="N12" s="658" t="n">
        <f aca="false">K12*L12</f>
        <v>4997735.9264</v>
      </c>
      <c r="O12" s="659" t="n">
        <f aca="false">K12*M12</f>
        <v>2811226.4586</v>
      </c>
      <c r="P12" s="659" t="n">
        <f aca="false">N12/$E$8</f>
        <v>31235.84954</v>
      </c>
      <c r="Q12" s="659" t="n">
        <f aca="false">O12/$E$13</f>
        <v>17570.16536625</v>
      </c>
      <c r="R12" s="660" t="n">
        <f aca="false">($E$7*$E$9+$E$10)*P12</f>
        <v>1889768.89717</v>
      </c>
      <c r="S12" s="660" t="n">
        <f aca="false">($E$12*$E$14+$E$15)*Q12</f>
        <v>351403.307325</v>
      </c>
      <c r="T12" s="661" t="n">
        <f aca="false">(R12+S12)*$E$17</f>
        <v>134470.3322697</v>
      </c>
    </row>
    <row r="13" customFormat="false" ht="13.2" hidden="false" customHeight="false" outlineLevel="0" collapsed="false">
      <c r="B13" s="486"/>
      <c r="C13" s="171" t="s">
        <v>159</v>
      </c>
      <c r="D13" s="172"/>
      <c r="E13" s="665" t="n">
        <f aca="false">'Input-Detail'!AZ21</f>
        <v>160</v>
      </c>
      <c r="F13" s="76"/>
      <c r="G13" s="645"/>
      <c r="H13" s="537" t="n">
        <v>7</v>
      </c>
      <c r="I13" s="595" t="n">
        <f aca="false">'Input-Detail'!E21</f>
        <v>22860512.45</v>
      </c>
      <c r="J13" s="600" t="n">
        <f aca="false">'Input-Detail'!F21</f>
        <v>0.4</v>
      </c>
      <c r="K13" s="655" t="n">
        <f aca="false">I13*J13</f>
        <v>9144204.98</v>
      </c>
      <c r="L13" s="663" t="n">
        <f aca="false">'Input-Detail'!BL20</f>
        <v>0.64</v>
      </c>
      <c r="M13" s="664" t="n">
        <f aca="false">'Input-Detail'!BM20</f>
        <v>0.36</v>
      </c>
      <c r="N13" s="658" t="n">
        <f aca="false">K13*L13</f>
        <v>5852291.1872</v>
      </c>
      <c r="O13" s="659" t="n">
        <f aca="false">K13*M13</f>
        <v>3291913.7928</v>
      </c>
      <c r="P13" s="659" t="n">
        <f aca="false">N13/$E$8</f>
        <v>36576.81992</v>
      </c>
      <c r="Q13" s="659" t="n">
        <f aca="false">O13/$E$13</f>
        <v>20574.461205</v>
      </c>
      <c r="R13" s="660" t="n">
        <f aca="false">($E$7*$E$9+$E$10)*P13</f>
        <v>2212897.60516</v>
      </c>
      <c r="S13" s="660" t="n">
        <f aca="false">($E$12*$E$14+$E$15)*Q13</f>
        <v>411489.2241</v>
      </c>
      <c r="T13" s="661" t="n">
        <f aca="false">(R13+S13)*$E$17</f>
        <v>157463.2097556</v>
      </c>
    </row>
    <row r="14" customFormat="false" ht="13.2" hidden="false" customHeight="false" outlineLevel="0" collapsed="false">
      <c r="B14" s="438"/>
      <c r="C14" s="171" t="s">
        <v>162</v>
      </c>
      <c r="D14" s="172"/>
      <c r="E14" s="666" t="n">
        <f aca="false">'Input-Detail'!AZ22</f>
        <v>0</v>
      </c>
      <c r="F14" s="76"/>
      <c r="H14" s="537" t="n">
        <v>8</v>
      </c>
      <c r="I14" s="595" t="n">
        <f aca="false">'Input-Detail'!E22</f>
        <v>23409703.8</v>
      </c>
      <c r="J14" s="600" t="n">
        <f aca="false">'Input-Detail'!F22</f>
        <v>0.45</v>
      </c>
      <c r="K14" s="655" t="n">
        <f aca="false">I14*J14</f>
        <v>10534366.71</v>
      </c>
      <c r="L14" s="663" t="n">
        <f aca="false">'Input-Detail'!BL21</f>
        <v>0.64</v>
      </c>
      <c r="M14" s="664" t="n">
        <f aca="false">'Input-Detail'!BM21</f>
        <v>0.36</v>
      </c>
      <c r="N14" s="658" t="n">
        <f aca="false">K14*L14</f>
        <v>6741994.6944</v>
      </c>
      <c r="O14" s="659" t="n">
        <f aca="false">K14*M14</f>
        <v>3792372.0156</v>
      </c>
      <c r="P14" s="659" t="n">
        <f aca="false">N14/$E$8</f>
        <v>42137.46684</v>
      </c>
      <c r="Q14" s="659" t="n">
        <f aca="false">O14/$E$13</f>
        <v>23702.3250975</v>
      </c>
      <c r="R14" s="660" t="n">
        <f aca="false">($E$7*$E$9+$E$10)*P14</f>
        <v>2549316.74382</v>
      </c>
      <c r="S14" s="660" t="n">
        <f aca="false">($E$12*$E$14+$E$15)*Q14</f>
        <v>474046.50195</v>
      </c>
      <c r="T14" s="661" t="n">
        <f aca="false">(R14+S14)*$E$17</f>
        <v>181401.7947462</v>
      </c>
    </row>
    <row r="15" customFormat="false" ht="13.2" hidden="false" customHeight="false" outlineLevel="0" collapsed="false">
      <c r="A15" s="667"/>
      <c r="B15" s="486"/>
      <c r="C15" s="171" t="s">
        <v>166</v>
      </c>
      <c r="D15" s="172"/>
      <c r="E15" s="666" t="n">
        <f aca="false">'Input-Detail'!AZ23</f>
        <v>20</v>
      </c>
      <c r="F15" s="76"/>
      <c r="H15" s="537" t="n">
        <v>9</v>
      </c>
      <c r="I15" s="595" t="n">
        <f aca="false">'Input-Detail'!E23</f>
        <v>23958895.15</v>
      </c>
      <c r="J15" s="600" t="n">
        <f aca="false">'Input-Detail'!F23</f>
        <v>0.5</v>
      </c>
      <c r="K15" s="655" t="n">
        <f aca="false">I15*J15</f>
        <v>11979447.575</v>
      </c>
      <c r="L15" s="663" t="n">
        <f aca="false">'Input-Detail'!BL22</f>
        <v>0.64</v>
      </c>
      <c r="M15" s="664" t="n">
        <f aca="false">'Input-Detail'!BM22</f>
        <v>0.36</v>
      </c>
      <c r="N15" s="658" t="n">
        <f aca="false">K15*L15</f>
        <v>7666846.448</v>
      </c>
      <c r="O15" s="659" t="n">
        <f aca="false">K15*M15</f>
        <v>4312601.127</v>
      </c>
      <c r="P15" s="659" t="n">
        <f aca="false">N15/$E$8</f>
        <v>47917.7903</v>
      </c>
      <c r="Q15" s="659" t="n">
        <f aca="false">O15/$E$13</f>
        <v>26953.75704375</v>
      </c>
      <c r="R15" s="660" t="n">
        <f aca="false">($E$7*$E$9+$E$10)*P15</f>
        <v>2899026.31315</v>
      </c>
      <c r="S15" s="660" t="n">
        <f aca="false">($E$12*$E$14+$E$15)*Q15</f>
        <v>539075.140875</v>
      </c>
      <c r="T15" s="661" t="n">
        <f aca="false">(R15+S15)*$E$17</f>
        <v>206286.0872415</v>
      </c>
    </row>
    <row r="16" customFormat="false" ht="13.2" hidden="false" customHeight="false" outlineLevel="0" collapsed="false">
      <c r="B16" s="486"/>
      <c r="C16" s="171"/>
      <c r="D16" s="172"/>
      <c r="E16" s="668"/>
      <c r="F16" s="76"/>
      <c r="H16" s="537" t="n">
        <v>10</v>
      </c>
      <c r="I16" s="595" t="n">
        <f aca="false">'Input-Detail'!E24</f>
        <v>24508086.5</v>
      </c>
      <c r="J16" s="600" t="n">
        <f aca="false">'Input-Detail'!F24</f>
        <v>0.55</v>
      </c>
      <c r="K16" s="655" t="n">
        <f aca="false">I16*J16</f>
        <v>13479447.575</v>
      </c>
      <c r="L16" s="663" t="n">
        <f aca="false">'Input-Detail'!BL23</f>
        <v>0.64</v>
      </c>
      <c r="M16" s="664" t="n">
        <f aca="false">'Input-Detail'!BM23</f>
        <v>0.36</v>
      </c>
      <c r="N16" s="658" t="n">
        <f aca="false">K16*L16</f>
        <v>8626846.448</v>
      </c>
      <c r="O16" s="659" t="n">
        <f aca="false">K16*M16</f>
        <v>4852601.127</v>
      </c>
      <c r="P16" s="659" t="n">
        <f aca="false">N16/$E$8</f>
        <v>53917.7903</v>
      </c>
      <c r="Q16" s="659" t="n">
        <f aca="false">O16/$E$13</f>
        <v>30328.75704375</v>
      </c>
      <c r="R16" s="660" t="n">
        <f aca="false">($E$7*$E$9+$E$10)*P16</f>
        <v>3262026.31315</v>
      </c>
      <c r="S16" s="660" t="n">
        <f aca="false">($E$12*$E$14+$E$15)*Q16</f>
        <v>606575.140875</v>
      </c>
      <c r="T16" s="661" t="n">
        <f aca="false">(R16+S16)*$E$17</f>
        <v>232116.0872415</v>
      </c>
    </row>
    <row r="17" customFormat="false" ht="13.2" hidden="false" customHeight="false" outlineLevel="0" collapsed="false">
      <c r="B17" s="486" t="s">
        <v>155</v>
      </c>
      <c r="C17" s="171"/>
      <c r="D17" s="172"/>
      <c r="E17" s="669" t="n">
        <f aca="false">'Input-Detail'!BV30</f>
        <v>0.06</v>
      </c>
      <c r="F17" s="76"/>
      <c r="H17" s="537" t="n">
        <v>11</v>
      </c>
      <c r="I17" s="595" t="n">
        <f aca="false">'Input-Detail'!E25</f>
        <v>25057277.85</v>
      </c>
      <c r="J17" s="600" t="n">
        <f aca="false">'Input-Detail'!F25</f>
        <v>0.6</v>
      </c>
      <c r="K17" s="655" t="n">
        <f aca="false">I17*J17</f>
        <v>15034366.71</v>
      </c>
      <c r="L17" s="663" t="n">
        <f aca="false">'Input-Detail'!BL24</f>
        <v>0.64</v>
      </c>
      <c r="M17" s="664" t="n">
        <f aca="false">'Input-Detail'!BM24</f>
        <v>0.36</v>
      </c>
      <c r="N17" s="658" t="n">
        <f aca="false">K17*L17</f>
        <v>9621994.6944</v>
      </c>
      <c r="O17" s="659" t="n">
        <f aca="false">K17*M17</f>
        <v>5412372.0156</v>
      </c>
      <c r="P17" s="659" t="n">
        <f aca="false">N17/$E$8</f>
        <v>60137.46684</v>
      </c>
      <c r="Q17" s="659" t="n">
        <f aca="false">O17/$E$13</f>
        <v>33827.3250975</v>
      </c>
      <c r="R17" s="660" t="n">
        <f aca="false">($E$7*$E$9+$E$10)*P17</f>
        <v>3638316.74382</v>
      </c>
      <c r="S17" s="660" t="n">
        <f aca="false">($E$12*$E$14+$E$15)*Q17</f>
        <v>676546.50195</v>
      </c>
      <c r="T17" s="661" t="n">
        <f aca="false">(R17+S17)*$E$17</f>
        <v>258891.7947462</v>
      </c>
    </row>
    <row r="18" customFormat="false" ht="13.2" hidden="false" customHeight="false" outlineLevel="0" collapsed="false">
      <c r="B18" s="670"/>
      <c r="C18" s="671"/>
      <c r="D18" s="671"/>
      <c r="E18" s="672"/>
      <c r="F18" s="149"/>
      <c r="H18" s="537" t="n">
        <v>12</v>
      </c>
      <c r="I18" s="595" t="n">
        <f aca="false">'Input-Detail'!E26</f>
        <v>25606469.2</v>
      </c>
      <c r="J18" s="600" t="n">
        <f aca="false">'Input-Detail'!F26</f>
        <v>0.65</v>
      </c>
      <c r="K18" s="655" t="n">
        <f aca="false">I18*J18</f>
        <v>16644204.98</v>
      </c>
      <c r="L18" s="663" t="n">
        <f aca="false">'Input-Detail'!BL25</f>
        <v>0.64</v>
      </c>
      <c r="M18" s="664" t="n">
        <f aca="false">'Input-Detail'!BM25</f>
        <v>0.36</v>
      </c>
      <c r="N18" s="658" t="n">
        <f aca="false">K18*L18</f>
        <v>10652291.1872</v>
      </c>
      <c r="O18" s="659" t="n">
        <f aca="false">K18*M18</f>
        <v>5991913.7928</v>
      </c>
      <c r="P18" s="659" t="n">
        <f aca="false">N18/$E$8</f>
        <v>66576.81992</v>
      </c>
      <c r="Q18" s="659" t="n">
        <f aca="false">O18/$E$13</f>
        <v>37449.461205</v>
      </c>
      <c r="R18" s="660" t="n">
        <f aca="false">($E$7*$E$9+$E$10)*P18</f>
        <v>4027897.60516</v>
      </c>
      <c r="S18" s="660" t="n">
        <f aca="false">($E$12*$E$14+$E$15)*Q18</f>
        <v>748989.2241</v>
      </c>
      <c r="T18" s="661" t="n">
        <f aca="false">(R18+S18)*$E$17</f>
        <v>286613.2097556</v>
      </c>
    </row>
    <row r="19" customFormat="false" ht="13.2" hidden="false" customHeight="false" outlineLevel="0" collapsed="false">
      <c r="H19" s="537" t="n">
        <v>13</v>
      </c>
      <c r="I19" s="595" t="n">
        <f aca="false">'Input-Detail'!E27</f>
        <v>26155660.55</v>
      </c>
      <c r="J19" s="600" t="n">
        <f aca="false">'Input-Detail'!F27</f>
        <v>0.7</v>
      </c>
      <c r="K19" s="655" t="n">
        <f aca="false">I19*J19</f>
        <v>18308962.385</v>
      </c>
      <c r="L19" s="663" t="n">
        <f aca="false">'Input-Detail'!BL26</f>
        <v>0.64</v>
      </c>
      <c r="M19" s="664" t="n">
        <f aca="false">'Input-Detail'!BM26</f>
        <v>0.36</v>
      </c>
      <c r="N19" s="658" t="n">
        <f aca="false">K19*L19</f>
        <v>11717735.9264</v>
      </c>
      <c r="O19" s="659" t="n">
        <f aca="false">K19*M19</f>
        <v>6591226.4586</v>
      </c>
      <c r="P19" s="659" t="n">
        <f aca="false">N19/$E$8</f>
        <v>73235.84954</v>
      </c>
      <c r="Q19" s="659" t="n">
        <f aca="false">O19/$E$13</f>
        <v>41195.16536625</v>
      </c>
      <c r="R19" s="660" t="n">
        <f aca="false">($E$7*$E$9+$E$10)*P19</f>
        <v>4430768.89717</v>
      </c>
      <c r="S19" s="660" t="n">
        <f aca="false">($E$12*$E$14+$E$15)*Q19</f>
        <v>823903.307325</v>
      </c>
      <c r="T19" s="661" t="n">
        <f aca="false">(R19+S19)*$E$17</f>
        <v>315280.3322697</v>
      </c>
    </row>
    <row r="20" customFormat="false" ht="13.2" hidden="false" customHeight="false" outlineLevel="0" collapsed="false">
      <c r="H20" s="537" t="n">
        <v>14</v>
      </c>
      <c r="I20" s="595" t="n">
        <f aca="false">'Input-Detail'!E28</f>
        <v>26704851.9</v>
      </c>
      <c r="J20" s="600" t="n">
        <f aca="false">'Input-Detail'!F28</f>
        <v>0.75</v>
      </c>
      <c r="K20" s="655" t="n">
        <f aca="false">I20*J20</f>
        <v>20028638.925</v>
      </c>
      <c r="L20" s="663" t="n">
        <f aca="false">'Input-Detail'!BL27</f>
        <v>0.64</v>
      </c>
      <c r="M20" s="664" t="n">
        <f aca="false">'Input-Detail'!BM27</f>
        <v>0.36</v>
      </c>
      <c r="N20" s="658" t="n">
        <f aca="false">K20*L20</f>
        <v>12818328.912</v>
      </c>
      <c r="O20" s="659" t="n">
        <f aca="false">K20*M20</f>
        <v>7210310.013</v>
      </c>
      <c r="P20" s="659" t="n">
        <f aca="false">N20/$E$8</f>
        <v>80114.5557</v>
      </c>
      <c r="Q20" s="659" t="n">
        <f aca="false">O20/$E$13</f>
        <v>45064.43758125</v>
      </c>
      <c r="R20" s="660" t="n">
        <f aca="false">($E$7*$E$9+$E$10)*P20</f>
        <v>4846930.61985</v>
      </c>
      <c r="S20" s="660" t="n">
        <f aca="false">($E$12*$E$14+$E$15)*Q20</f>
        <v>901288.751625</v>
      </c>
      <c r="T20" s="661" t="n">
        <f aca="false">(R20+S20)*$E$17</f>
        <v>344893.1622885</v>
      </c>
    </row>
    <row r="21" customFormat="false" ht="13.2" hidden="false" customHeight="false" outlineLevel="0" collapsed="false">
      <c r="H21" s="537" t="n">
        <v>15</v>
      </c>
      <c r="I21" s="595" t="n">
        <f aca="false">'Input-Detail'!E29</f>
        <v>27254043.25</v>
      </c>
      <c r="J21" s="600" t="n">
        <f aca="false">'Input-Detail'!F29</f>
        <v>0.8</v>
      </c>
      <c r="K21" s="655" t="n">
        <f aca="false">I21*J21</f>
        <v>21803234.6</v>
      </c>
      <c r="L21" s="663" t="n">
        <f aca="false">'Input-Detail'!BL28</f>
        <v>0.64</v>
      </c>
      <c r="M21" s="664" t="n">
        <f aca="false">'Input-Detail'!BM28</f>
        <v>0.36</v>
      </c>
      <c r="N21" s="658" t="n">
        <f aca="false">K21*L21</f>
        <v>13954070.144</v>
      </c>
      <c r="O21" s="659" t="n">
        <f aca="false">K21*M21</f>
        <v>7849164.456</v>
      </c>
      <c r="P21" s="659" t="n">
        <f aca="false">N21/$E$8</f>
        <v>87212.9384</v>
      </c>
      <c r="Q21" s="659" t="n">
        <f aca="false">O21/$E$13</f>
        <v>49057.27785</v>
      </c>
      <c r="R21" s="660" t="n">
        <f aca="false">($E$7*$E$9+$E$10)*P21</f>
        <v>5276382.7732</v>
      </c>
      <c r="S21" s="660" t="n">
        <f aca="false">($E$12*$E$14+$E$15)*Q21</f>
        <v>981145.557</v>
      </c>
      <c r="T21" s="661" t="n">
        <f aca="false">(R21+S21)*$E$17</f>
        <v>375451.699812</v>
      </c>
    </row>
    <row r="22" customFormat="false" ht="13.2" hidden="false" customHeight="false" outlineLevel="0" collapsed="false">
      <c r="H22" s="537" t="n">
        <v>16</v>
      </c>
      <c r="I22" s="595" t="n">
        <f aca="false">'Input-Detail'!E30</f>
        <v>27803234.6</v>
      </c>
      <c r="J22" s="600" t="n">
        <f aca="false">'Input-Detail'!F30</f>
        <v>0.85</v>
      </c>
      <c r="K22" s="655" t="n">
        <f aca="false">I22*J22</f>
        <v>23632749.41</v>
      </c>
      <c r="L22" s="663" t="n">
        <f aca="false">'Input-Detail'!BL29</f>
        <v>0.64</v>
      </c>
      <c r="M22" s="664" t="n">
        <f aca="false">'Input-Detail'!BM29</f>
        <v>0.36</v>
      </c>
      <c r="N22" s="658" t="n">
        <f aca="false">K22*L22</f>
        <v>15124959.6224</v>
      </c>
      <c r="O22" s="659" t="n">
        <f aca="false">K22*M22</f>
        <v>8507789.7876</v>
      </c>
      <c r="P22" s="659" t="n">
        <f aca="false">N22/$E$8</f>
        <v>94530.99764</v>
      </c>
      <c r="Q22" s="659" t="n">
        <f aca="false">O22/$E$13</f>
        <v>53173.6861725</v>
      </c>
      <c r="R22" s="660" t="n">
        <f aca="false">($E$7*$E$9+$E$10)*P22</f>
        <v>5719125.35722</v>
      </c>
      <c r="S22" s="660" t="n">
        <f aca="false">($E$12*$E$14+$E$15)*Q22</f>
        <v>1063473.72345</v>
      </c>
      <c r="T22" s="661" t="n">
        <f aca="false">(R22+S22)*$E$17</f>
        <v>406955.9448402</v>
      </c>
    </row>
    <row r="23" customFormat="false" ht="13.2" hidden="false" customHeight="false" outlineLevel="0" collapsed="false">
      <c r="H23" s="537" t="n">
        <v>17</v>
      </c>
      <c r="I23" s="595" t="n">
        <f aca="false">'Input-Detail'!E31</f>
        <v>28352425.95</v>
      </c>
      <c r="J23" s="600" t="n">
        <f aca="false">'Input-Detail'!F31</f>
        <v>0.9</v>
      </c>
      <c r="K23" s="655" t="n">
        <f aca="false">I23*J23</f>
        <v>25517183.355</v>
      </c>
      <c r="L23" s="663" t="n">
        <f aca="false">'Input-Detail'!BL30</f>
        <v>0.64</v>
      </c>
      <c r="M23" s="664" t="n">
        <f aca="false">'Input-Detail'!BM30</f>
        <v>0.36</v>
      </c>
      <c r="N23" s="658" t="n">
        <f aca="false">K23*L23</f>
        <v>16330997.3472</v>
      </c>
      <c r="O23" s="659" t="n">
        <f aca="false">K23*M23</f>
        <v>9186186.0078</v>
      </c>
      <c r="P23" s="659" t="n">
        <f aca="false">N23/$E$8</f>
        <v>102068.73342</v>
      </c>
      <c r="Q23" s="659" t="n">
        <f aca="false">O23/$E$13</f>
        <v>57413.66254875</v>
      </c>
      <c r="R23" s="660" t="n">
        <f aca="false">($E$7*$E$9+$E$10)*P23</f>
        <v>6175158.37191</v>
      </c>
      <c r="S23" s="660" t="n">
        <f aca="false">($E$12*$E$14+$E$15)*Q23</f>
        <v>1148273.250975</v>
      </c>
      <c r="T23" s="661" t="n">
        <f aca="false">(R23+S23)*$E$17</f>
        <v>439405.8973731</v>
      </c>
    </row>
    <row r="24" customFormat="false" ht="13.2" hidden="false" customHeight="false" outlineLevel="0" collapsed="false">
      <c r="H24" s="537" t="n">
        <v>18</v>
      </c>
      <c r="I24" s="595" t="n">
        <f aca="false">'Input-Detail'!E32</f>
        <v>28901617.3</v>
      </c>
      <c r="J24" s="600" t="n">
        <f aca="false">'Input-Detail'!F32</f>
        <v>0.95</v>
      </c>
      <c r="K24" s="655" t="n">
        <f aca="false">I24*J24</f>
        <v>27456536.435</v>
      </c>
      <c r="L24" s="663" t="n">
        <f aca="false">'Input-Detail'!BL31</f>
        <v>0.64</v>
      </c>
      <c r="M24" s="664" t="n">
        <f aca="false">'Input-Detail'!BM31</f>
        <v>0.36</v>
      </c>
      <c r="N24" s="658" t="n">
        <f aca="false">K24*L24</f>
        <v>17572183.3184</v>
      </c>
      <c r="O24" s="659" t="n">
        <f aca="false">K24*M24</f>
        <v>9884353.1166</v>
      </c>
      <c r="P24" s="659" t="n">
        <f aca="false">N24/$E$8</f>
        <v>109826.14574</v>
      </c>
      <c r="Q24" s="659" t="n">
        <f aca="false">O24/$E$13</f>
        <v>61777.20697875</v>
      </c>
      <c r="R24" s="660" t="n">
        <f aca="false">($E$7*$E$9+$E$10)*P24</f>
        <v>6644481.81727</v>
      </c>
      <c r="S24" s="660" t="n">
        <f aca="false">($E$12*$E$14+$E$15)*Q24</f>
        <v>1235544.139575</v>
      </c>
      <c r="T24" s="661" t="n">
        <f aca="false">(R24+S24)*$E$17</f>
        <v>472801.5574107</v>
      </c>
    </row>
    <row r="25" customFormat="false" ht="13.2" hidden="false" customHeight="false" outlineLevel="0" collapsed="false">
      <c r="H25" s="537" t="n">
        <v>19</v>
      </c>
      <c r="I25" s="595" t="n">
        <f aca="false">'Input-Detail'!E33</f>
        <v>29450808.65</v>
      </c>
      <c r="J25" s="600" t="n">
        <f aca="false">'Input-Detail'!F33</f>
        <v>0.95</v>
      </c>
      <c r="K25" s="655" t="n">
        <f aca="false">I25*J25</f>
        <v>27978268.2175</v>
      </c>
      <c r="L25" s="663" t="n">
        <f aca="false">'Input-Detail'!BL32</f>
        <v>0.64</v>
      </c>
      <c r="M25" s="664" t="n">
        <f aca="false">'Input-Detail'!BM32</f>
        <v>0.36</v>
      </c>
      <c r="N25" s="658" t="n">
        <f aca="false">K25*L25</f>
        <v>17906091.6592</v>
      </c>
      <c r="O25" s="659" t="n">
        <f aca="false">K25*M25</f>
        <v>10072176.5583</v>
      </c>
      <c r="P25" s="659" t="n">
        <f aca="false">N25/$E$8</f>
        <v>111913.07287</v>
      </c>
      <c r="Q25" s="659" t="n">
        <f aca="false">O25/$E$13</f>
        <v>62951.103489375</v>
      </c>
      <c r="R25" s="660" t="n">
        <f aca="false">($E$7*$E$9+$E$10)*P25</f>
        <v>6770740.908635</v>
      </c>
      <c r="S25" s="660" t="n">
        <f aca="false">($E$12*$E$14+$E$15)*Q25</f>
        <v>1259022.0697875</v>
      </c>
      <c r="T25" s="661" t="n">
        <f aca="false">(R25+S25)*$E$17</f>
        <v>481785.77870535</v>
      </c>
    </row>
    <row r="26" customFormat="false" ht="13.2" hidden="false" customHeight="false" outlineLevel="0" collapsed="false">
      <c r="H26" s="556" t="n">
        <v>20</v>
      </c>
      <c r="I26" s="620" t="n">
        <f aca="false">'Input-Detail'!E34</f>
        <v>30000000</v>
      </c>
      <c r="J26" s="625" t="n">
        <f aca="false">'Input-Detail'!F34</f>
        <v>0.95</v>
      </c>
      <c r="K26" s="673" t="n">
        <f aca="false">I26*J26</f>
        <v>28500000</v>
      </c>
      <c r="L26" s="674" t="n">
        <f aca="false">'Input-Detail'!BL33</f>
        <v>0.64</v>
      </c>
      <c r="M26" s="675" t="n">
        <f aca="false">'Input-Detail'!BM33</f>
        <v>0.36</v>
      </c>
      <c r="N26" s="676" t="n">
        <f aca="false">K26*L26</f>
        <v>18240000</v>
      </c>
      <c r="O26" s="677" t="n">
        <f aca="false">K26*M26</f>
        <v>10260000</v>
      </c>
      <c r="P26" s="677" t="n">
        <f aca="false">N26/$E$8</f>
        <v>114000</v>
      </c>
      <c r="Q26" s="677" t="n">
        <f aca="false">O26/$E$13</f>
        <v>64125</v>
      </c>
      <c r="R26" s="678" t="n">
        <f aca="false">($E$7*$E$9+$E$10)*P26</f>
        <v>6897000</v>
      </c>
      <c r="S26" s="678" t="n">
        <f aca="false">($E$12*$E$14+$E$15)*Q26</f>
        <v>1282500</v>
      </c>
      <c r="T26" s="679" t="n">
        <f aca="false">(R26+S26)*$E$17</f>
        <v>490770</v>
      </c>
    </row>
    <row r="29" customFormat="false" ht="13.8" hidden="false" customHeight="false" outlineLevel="0" collapsed="false">
      <c r="H29" s="297" t="s">
        <v>234</v>
      </c>
      <c r="I29" s="1"/>
      <c r="J29" s="1"/>
      <c r="K29" s="1"/>
      <c r="L29" s="1"/>
      <c r="M29" s="1"/>
      <c r="N29" s="1"/>
      <c r="O29" s="1"/>
      <c r="P29" s="1"/>
      <c r="R29" s="1"/>
    </row>
    <row r="30" customFormat="false" ht="13.8" hidden="false" customHeight="false" outlineLevel="0" collapsed="false">
      <c r="H30" s="680" t="s">
        <v>399</v>
      </c>
      <c r="I30" s="634"/>
      <c r="J30" s="634"/>
      <c r="K30" s="634"/>
      <c r="L30" s="634"/>
      <c r="M30" s="634"/>
      <c r="N30" s="634"/>
      <c r="O30" s="634"/>
      <c r="P30" s="634"/>
      <c r="Q30" s="521"/>
      <c r="R30" s="635"/>
    </row>
    <row r="31" customFormat="false" ht="14.4" hidden="false" customHeight="false" outlineLevel="0" collapsed="false">
      <c r="H31" s="681" t="s">
        <v>400</v>
      </c>
      <c r="I31" s="682"/>
      <c r="J31" s="682"/>
      <c r="K31" s="682"/>
      <c r="L31" s="682"/>
      <c r="M31" s="682"/>
      <c r="N31" s="682"/>
      <c r="O31" s="682"/>
      <c r="P31" s="682"/>
      <c r="Q31" s="527"/>
      <c r="R31" s="683"/>
    </row>
    <row r="32" customFormat="false" ht="14.4" hidden="false" customHeight="false" outlineLevel="0" collapsed="false">
      <c r="H32" s="636" t="s">
        <v>401</v>
      </c>
      <c r="I32" s="637"/>
      <c r="J32" s="637"/>
      <c r="K32" s="637"/>
      <c r="L32" s="637"/>
      <c r="M32" s="637"/>
      <c r="N32" s="637"/>
      <c r="O32" s="637"/>
      <c r="P32" s="637"/>
      <c r="Q32" s="527"/>
      <c r="R32" s="638"/>
    </row>
    <row r="33" customFormat="false" ht="13.2" hidden="false" customHeight="false" outlineLevel="0" collapsed="false">
      <c r="H33" s="636" t="s">
        <v>377</v>
      </c>
      <c r="I33" s="637"/>
      <c r="J33" s="637"/>
      <c r="K33" s="637"/>
      <c r="L33" s="637"/>
      <c r="M33" s="637"/>
      <c r="N33" s="637"/>
      <c r="O33" s="637"/>
      <c r="P33" s="637"/>
      <c r="Q33" s="527"/>
      <c r="R33" s="638"/>
    </row>
    <row r="34" customFormat="false" ht="14.4" hidden="false" customHeight="false" outlineLevel="0" collapsed="false">
      <c r="H34" s="636" t="s">
        <v>402</v>
      </c>
      <c r="I34" s="637"/>
      <c r="J34" s="637"/>
      <c r="K34" s="637"/>
      <c r="L34" s="637"/>
      <c r="M34" s="637"/>
      <c r="N34" s="637"/>
      <c r="O34" s="637"/>
      <c r="P34" s="637"/>
      <c r="Q34" s="527"/>
      <c r="R34" s="638"/>
    </row>
    <row r="35" customFormat="false" ht="14.4" hidden="false" customHeight="false" outlineLevel="0" collapsed="false">
      <c r="H35" s="636" t="s">
        <v>403</v>
      </c>
      <c r="I35" s="637"/>
      <c r="J35" s="637"/>
      <c r="K35" s="637"/>
      <c r="L35" s="637"/>
      <c r="M35" s="637"/>
      <c r="N35" s="637"/>
      <c r="O35" s="637"/>
      <c r="P35" s="637"/>
      <c r="Q35" s="527"/>
      <c r="R35" s="638"/>
    </row>
    <row r="36" customFormat="false" ht="13.2" hidden="false" customHeight="false" outlineLevel="0" collapsed="false">
      <c r="H36" s="636" t="s">
        <v>404</v>
      </c>
      <c r="I36" s="637"/>
      <c r="J36" s="637"/>
      <c r="K36" s="637"/>
      <c r="L36" s="637"/>
      <c r="M36" s="637"/>
      <c r="N36" s="637"/>
      <c r="O36" s="637"/>
      <c r="P36" s="637"/>
      <c r="Q36" s="527"/>
      <c r="R36" s="638"/>
    </row>
    <row r="37" customFormat="false" ht="13.2" hidden="false" customHeight="false" outlineLevel="0" collapsed="false">
      <c r="H37" s="636"/>
      <c r="I37" s="637"/>
      <c r="J37" s="637"/>
      <c r="K37" s="637"/>
      <c r="L37" s="637"/>
      <c r="M37" s="637"/>
      <c r="N37" s="637"/>
      <c r="O37" s="637"/>
      <c r="P37" s="637"/>
      <c r="Q37" s="527"/>
      <c r="R37" s="638"/>
    </row>
    <row r="38" customFormat="false" ht="15" hidden="false" customHeight="false" outlineLevel="0" collapsed="false">
      <c r="H38" s="684" t="s">
        <v>405</v>
      </c>
      <c r="I38" s="637"/>
      <c r="J38" s="637"/>
      <c r="K38" s="637"/>
      <c r="L38" s="637"/>
      <c r="M38" s="637"/>
      <c r="N38" s="637"/>
      <c r="O38" s="637"/>
      <c r="P38" s="637"/>
      <c r="Q38" s="527"/>
      <c r="R38" s="638"/>
    </row>
    <row r="39" customFormat="false" ht="14.4" hidden="false" customHeight="false" outlineLevel="0" collapsed="false">
      <c r="H39" s="641" t="s">
        <v>406</v>
      </c>
      <c r="I39" s="637"/>
      <c r="J39" s="637"/>
      <c r="K39" s="637"/>
      <c r="L39" s="637"/>
      <c r="M39" s="637"/>
      <c r="N39" s="637"/>
      <c r="O39" s="637"/>
      <c r="P39" s="637"/>
      <c r="Q39" s="527"/>
      <c r="R39" s="638"/>
    </row>
    <row r="40" customFormat="false" ht="14.4" hidden="false" customHeight="false" outlineLevel="0" collapsed="false">
      <c r="H40" s="300" t="s">
        <v>407</v>
      </c>
      <c r="I40" s="637"/>
      <c r="J40" s="637"/>
      <c r="K40" s="637"/>
      <c r="L40" s="637"/>
      <c r="M40" s="637"/>
      <c r="N40" s="637"/>
      <c r="O40" s="637"/>
      <c r="P40" s="637"/>
      <c r="Q40" s="527"/>
      <c r="R40" s="638"/>
    </row>
    <row r="41" customFormat="false" ht="15" hidden="false" customHeight="false" outlineLevel="0" collapsed="false">
      <c r="H41" s="641" t="s">
        <v>408</v>
      </c>
      <c r="I41" s="637"/>
      <c r="J41" s="637"/>
      <c r="K41" s="637"/>
      <c r="L41" s="637"/>
      <c r="M41" s="637"/>
      <c r="N41" s="637"/>
      <c r="O41" s="637"/>
      <c r="P41" s="637"/>
      <c r="Q41" s="527"/>
      <c r="R41" s="638"/>
    </row>
    <row r="42" customFormat="false" ht="15" hidden="false" customHeight="false" outlineLevel="0" collapsed="false">
      <c r="H42" s="641" t="s">
        <v>409</v>
      </c>
      <c r="I42" s="637"/>
      <c r="J42" s="637"/>
      <c r="K42" s="637"/>
      <c r="L42" s="637"/>
      <c r="M42" s="637"/>
      <c r="N42" s="637"/>
      <c r="O42" s="637"/>
      <c r="P42" s="637"/>
      <c r="Q42" s="527"/>
      <c r="R42" s="638"/>
    </row>
    <row r="43" customFormat="false" ht="13.2" hidden="false" customHeight="false" outlineLevel="0" collapsed="false">
      <c r="H43" s="636"/>
      <c r="I43" s="637"/>
      <c r="J43" s="637"/>
      <c r="K43" s="637"/>
      <c r="L43" s="637"/>
      <c r="M43" s="637"/>
      <c r="N43" s="637"/>
      <c r="O43" s="637"/>
      <c r="P43" s="637"/>
      <c r="Q43" s="527"/>
      <c r="R43" s="638"/>
    </row>
    <row r="44" customFormat="false" ht="15" hidden="false" customHeight="false" outlineLevel="0" collapsed="false">
      <c r="H44" s="684" t="s">
        <v>410</v>
      </c>
      <c r="I44" s="637"/>
      <c r="J44" s="637"/>
      <c r="K44" s="637"/>
      <c r="L44" s="637"/>
      <c r="M44" s="637"/>
      <c r="N44" s="637"/>
      <c r="O44" s="637"/>
      <c r="P44" s="637"/>
      <c r="Q44" s="527"/>
      <c r="R44" s="638"/>
    </row>
    <row r="45" customFormat="false" ht="13.2" hidden="false" customHeight="false" outlineLevel="0" collapsed="false">
      <c r="H45" s="636" t="s">
        <v>377</v>
      </c>
      <c r="I45" s="637"/>
      <c r="J45" s="637"/>
      <c r="K45" s="637"/>
      <c r="L45" s="637"/>
      <c r="M45" s="637"/>
      <c r="N45" s="637"/>
      <c r="O45" s="637"/>
      <c r="P45" s="637"/>
      <c r="Q45" s="527"/>
      <c r="R45" s="638"/>
    </row>
    <row r="46" customFormat="false" ht="14.4" hidden="false" customHeight="false" outlineLevel="0" collapsed="false">
      <c r="H46" s="300" t="s">
        <v>411</v>
      </c>
      <c r="I46" s="637"/>
      <c r="J46" s="637"/>
      <c r="K46" s="637"/>
      <c r="L46" s="637"/>
      <c r="M46" s="637"/>
      <c r="N46" s="637"/>
      <c r="O46" s="637"/>
      <c r="P46" s="637"/>
      <c r="Q46" s="527"/>
      <c r="R46" s="638"/>
    </row>
    <row r="47" customFormat="false" ht="14.4" hidden="false" customHeight="false" outlineLevel="0" collapsed="false">
      <c r="H47" s="300" t="s">
        <v>412</v>
      </c>
      <c r="I47" s="637"/>
      <c r="J47" s="637"/>
      <c r="K47" s="637"/>
      <c r="L47" s="637"/>
      <c r="M47" s="637"/>
      <c r="N47" s="637"/>
      <c r="O47" s="637"/>
      <c r="P47" s="637"/>
      <c r="Q47" s="527"/>
      <c r="R47" s="638"/>
    </row>
    <row r="48" customFormat="false" ht="14.4" hidden="false" customHeight="false" outlineLevel="0" collapsed="false">
      <c r="H48" s="300" t="s">
        <v>413</v>
      </c>
      <c r="I48" s="637"/>
      <c r="J48" s="637"/>
      <c r="K48" s="637"/>
      <c r="L48" s="637"/>
      <c r="M48" s="637"/>
      <c r="N48" s="637"/>
      <c r="O48" s="637"/>
      <c r="P48" s="637"/>
      <c r="Q48" s="527"/>
      <c r="R48" s="638"/>
    </row>
    <row r="49" customFormat="false" ht="15" hidden="false" customHeight="false" outlineLevel="0" collapsed="false">
      <c r="H49" s="684" t="s">
        <v>414</v>
      </c>
      <c r="I49" s="637"/>
      <c r="J49" s="637"/>
      <c r="K49" s="637"/>
      <c r="L49" s="637"/>
      <c r="M49" s="637"/>
      <c r="N49" s="637"/>
      <c r="O49" s="637"/>
      <c r="P49" s="637"/>
      <c r="Q49" s="527"/>
      <c r="R49" s="638"/>
    </row>
    <row r="50" customFormat="false" ht="13.8" hidden="false" customHeight="false" outlineLevel="0" collapsed="false">
      <c r="H50" s="642"/>
      <c r="I50" s="643"/>
      <c r="J50" s="643"/>
      <c r="K50" s="643"/>
      <c r="L50" s="643"/>
      <c r="M50" s="643"/>
      <c r="N50" s="643"/>
      <c r="O50" s="643"/>
      <c r="P50" s="643"/>
      <c r="Q50" s="532"/>
      <c r="R50" s="644"/>
    </row>
    <row r="51" customFormat="false" ht="13.8" hidden="false" customHeight="false" outlineLevel="0" collapsed="false"/>
  </sheetData>
  <sheetProtection sheet="true" password="ea2e" objects="true" scenarios="true"/>
  <mergeCells count="9">
    <mergeCell ref="H4:H5"/>
    <mergeCell ref="I4:I5"/>
    <mergeCell ref="J4:J5"/>
    <mergeCell ref="K4:K5"/>
    <mergeCell ref="L4:M4"/>
    <mergeCell ref="N4:O4"/>
    <mergeCell ref="P4:Q4"/>
    <mergeCell ref="R4:S4"/>
    <mergeCell ref="T4:T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67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M14" activeCellId="0" sqref="M14"/>
    </sheetView>
  </sheetViews>
  <sheetFormatPr defaultColWidth="9.1015625" defaultRowHeight="13.2" customHeight="false" zeroHeight="false" outlineLevelRow="0" outlineLevelCol="0"/>
  <cols>
    <col collapsed="false" customWidth="true" hidden="false" outlineLevel="0" max="1" min="1" style="405" width="7.99"/>
    <col collapsed="false" customWidth="true" hidden="false" outlineLevel="0" max="2" min="2" style="405" width="5.66"/>
    <col collapsed="false" customWidth="true" hidden="false" outlineLevel="0" max="3" min="3" style="405" width="47.55"/>
    <col collapsed="false" customWidth="false" hidden="false" outlineLevel="0" max="4" min="4" style="405" width="9.1"/>
    <col collapsed="false" customWidth="true" hidden="false" outlineLevel="0" max="5" min="5" style="405" width="5.1"/>
    <col collapsed="false" customWidth="true" hidden="false" outlineLevel="0" max="6" min="6" style="405" width="7.55"/>
    <col collapsed="false" customWidth="true" hidden="false" outlineLevel="0" max="7" min="7" style="405" width="8.55"/>
    <col collapsed="false" customWidth="true" hidden="false" outlineLevel="0" max="8" min="8" style="405" width="5.87"/>
    <col collapsed="false" customWidth="true" hidden="false" outlineLevel="0" max="9" min="9" style="405" width="11.32"/>
    <col collapsed="false" customWidth="true" hidden="false" outlineLevel="0" max="10" min="10" style="405" width="8.99"/>
    <col collapsed="false" customWidth="true" hidden="false" outlineLevel="0" max="12" min="11" style="405" width="11.66"/>
    <col collapsed="false" customWidth="true" hidden="false" outlineLevel="0" max="13" min="13" style="405" width="12.1"/>
    <col collapsed="false" customWidth="true" hidden="false" outlineLevel="0" max="14" min="14" style="405" width="9.99"/>
    <col collapsed="false" customWidth="true" hidden="false" outlineLevel="0" max="15" min="15" style="405" width="13.1"/>
    <col collapsed="false" customWidth="true" hidden="false" outlineLevel="0" max="16" min="16" style="405" width="14.55"/>
    <col collapsed="false" customWidth="true" hidden="false" outlineLevel="0" max="17" min="17" style="405" width="11.32"/>
    <col collapsed="false" customWidth="true" hidden="false" outlineLevel="0" max="18" min="18" style="405" width="10.87"/>
    <col collapsed="false" customWidth="true" hidden="false" outlineLevel="0" max="19" min="19" style="405" width="11.99"/>
    <col collapsed="false" customWidth="true" hidden="false" outlineLevel="0" max="20" min="20" style="405" width="11.32"/>
    <col collapsed="false" customWidth="false" hidden="false" outlineLevel="0" max="21" min="21" style="360" width="9.1"/>
    <col collapsed="false" customWidth="true" hidden="false" outlineLevel="0" max="22" min="22" style="360" width="10.55"/>
    <col collapsed="false" customWidth="true" hidden="false" outlineLevel="0" max="23" min="23" style="360" width="10.1"/>
    <col collapsed="false" customWidth="true" hidden="false" outlineLevel="0" max="24" min="24" style="360" width="13.1"/>
    <col collapsed="false" customWidth="true" hidden="false" outlineLevel="0" max="25" min="25" style="360" width="8.99"/>
    <col collapsed="false" customWidth="true" hidden="false" outlineLevel="0" max="26" min="26" style="360" width="13.1"/>
    <col collapsed="false" customWidth="true" hidden="false" outlineLevel="0" max="27" min="27" style="360" width="9.55"/>
    <col collapsed="false" customWidth="true" hidden="false" outlineLevel="0" max="28" min="28" style="360" width="11.55"/>
    <col collapsed="false" customWidth="true" hidden="false" outlineLevel="0" max="29" min="29" style="360" width="9.99"/>
    <col collapsed="false" customWidth="true" hidden="false" outlineLevel="0" max="30" min="30" style="360" width="12.1"/>
    <col collapsed="false" customWidth="true" hidden="false" outlineLevel="0" max="31" min="31" style="360" width="9.66"/>
    <col collapsed="false" customWidth="true" hidden="false" outlineLevel="0" max="32" min="32" style="360" width="12.32"/>
    <col collapsed="false" customWidth="true" hidden="false" outlineLevel="0" max="33" min="33" style="360" width="10.32"/>
    <col collapsed="false" customWidth="true" hidden="false" outlineLevel="0" max="34" min="34" style="360" width="13.33"/>
    <col collapsed="false" customWidth="true" hidden="false" outlineLevel="0" max="35" min="35" style="360" width="9.43"/>
    <col collapsed="false" customWidth="true" hidden="false" outlineLevel="0" max="36" min="36" style="360" width="12.88"/>
    <col collapsed="false" customWidth="true" hidden="false" outlineLevel="0" max="37" min="37" style="360" width="16.99"/>
    <col collapsed="false" customWidth="true" hidden="false" outlineLevel="0" max="38" min="38" style="360" width="8.87"/>
    <col collapsed="false" customWidth="false" hidden="false" outlineLevel="0" max="257" min="39" style="405" width="9.1"/>
  </cols>
  <sheetData>
    <row r="1" customFormat="false" ht="13.2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customFormat="false" ht="14.25" hidden="false" customHeight="true" outlineLevel="0" collapsed="false">
      <c r="B2" s="354" t="s">
        <v>415</v>
      </c>
      <c r="C2" s="1"/>
      <c r="D2" s="1"/>
      <c r="E2" s="1"/>
      <c r="F2" s="1"/>
      <c r="G2" s="1"/>
      <c r="I2" s="1"/>
      <c r="J2" s="1"/>
      <c r="K2" s="354" t="s">
        <v>416</v>
      </c>
      <c r="L2" s="1"/>
      <c r="M2" s="1"/>
      <c r="N2" s="1"/>
      <c r="O2" s="1"/>
      <c r="P2" s="1"/>
      <c r="Q2" s="1"/>
      <c r="R2" s="1"/>
      <c r="S2" s="1"/>
      <c r="T2" s="1"/>
      <c r="U2" s="1" t="s">
        <v>417</v>
      </c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</row>
    <row r="3" customFormat="false" ht="13.2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W3" s="409"/>
    </row>
    <row r="4" customFormat="false" ht="18.75" hidden="false" customHeight="true" outlineLevel="0" collapsed="false">
      <c r="B4" s="685" t="s">
        <v>91</v>
      </c>
      <c r="C4" s="88"/>
      <c r="D4" s="154"/>
      <c r="E4" s="155"/>
      <c r="H4" s="420" t="s">
        <v>96</v>
      </c>
      <c r="I4" s="420" t="s">
        <v>222</v>
      </c>
      <c r="J4" s="420" t="s">
        <v>311</v>
      </c>
      <c r="K4" s="686" t="s">
        <v>418</v>
      </c>
      <c r="L4" s="686"/>
      <c r="M4" s="686"/>
      <c r="N4" s="686"/>
      <c r="O4" s="419" t="s">
        <v>419</v>
      </c>
      <c r="P4" s="420" t="s">
        <v>420</v>
      </c>
      <c r="S4" s="420" t="s">
        <v>96</v>
      </c>
      <c r="T4" s="420" t="s">
        <v>222</v>
      </c>
      <c r="U4" s="420" t="s">
        <v>311</v>
      </c>
      <c r="V4" s="422" t="s">
        <v>421</v>
      </c>
      <c r="W4" s="687" t="s">
        <v>422</v>
      </c>
      <c r="X4" s="687"/>
      <c r="Y4" s="687"/>
      <c r="Z4" s="534" t="s">
        <v>423</v>
      </c>
      <c r="AA4" s="534"/>
      <c r="AB4" s="534"/>
      <c r="AC4" s="534"/>
      <c r="AD4" s="534" t="s">
        <v>424</v>
      </c>
      <c r="AE4" s="534"/>
      <c r="AF4" s="534"/>
      <c r="AG4" s="534"/>
      <c r="AH4" s="420" t="s">
        <v>425</v>
      </c>
      <c r="AK4" s="405"/>
      <c r="AL4" s="405"/>
    </row>
    <row r="5" customFormat="false" ht="33.75" hidden="false" customHeight="true" outlineLevel="0" collapsed="false">
      <c r="B5" s="438"/>
      <c r="C5" s="74" t="s">
        <v>99</v>
      </c>
      <c r="D5" s="439" t="n">
        <f aca="false">'Input-Detail'!AZ10</f>
        <v>7</v>
      </c>
      <c r="E5" s="76"/>
      <c r="H5" s="420"/>
      <c r="I5" s="420"/>
      <c r="J5" s="420"/>
      <c r="K5" s="688" t="s">
        <v>426</v>
      </c>
      <c r="L5" s="688" t="s">
        <v>427</v>
      </c>
      <c r="M5" s="688" t="s">
        <v>428</v>
      </c>
      <c r="N5" s="689" t="s">
        <v>429</v>
      </c>
      <c r="O5" s="419"/>
      <c r="P5" s="420"/>
      <c r="S5" s="420"/>
      <c r="T5" s="420"/>
      <c r="U5" s="420"/>
      <c r="V5" s="422"/>
      <c r="W5" s="690" t="s">
        <v>215</v>
      </c>
      <c r="X5" s="691" t="s">
        <v>216</v>
      </c>
      <c r="Y5" s="692" t="s">
        <v>430</v>
      </c>
      <c r="Z5" s="693" t="s">
        <v>431</v>
      </c>
      <c r="AA5" s="694" t="s">
        <v>215</v>
      </c>
      <c r="AB5" s="694" t="s">
        <v>216</v>
      </c>
      <c r="AC5" s="692" t="s">
        <v>432</v>
      </c>
      <c r="AD5" s="694" t="s">
        <v>431</v>
      </c>
      <c r="AE5" s="694" t="s">
        <v>215</v>
      </c>
      <c r="AF5" s="694" t="s">
        <v>216</v>
      </c>
      <c r="AG5" s="692" t="s">
        <v>432</v>
      </c>
      <c r="AH5" s="420"/>
      <c r="AK5" s="405"/>
      <c r="AL5" s="405"/>
    </row>
    <row r="6" customFormat="false" ht="13.8" hidden="false" customHeight="false" outlineLevel="0" collapsed="false">
      <c r="B6" s="438"/>
      <c r="C6" s="74" t="s">
        <v>109</v>
      </c>
      <c r="D6" s="439" t="n">
        <f aca="false">'Input-Detail'!AZ11</f>
        <v>4.5</v>
      </c>
      <c r="E6" s="76"/>
      <c r="H6" s="537" t="s">
        <v>114</v>
      </c>
      <c r="I6" s="595" t="n">
        <f aca="false">'Input-Detail'!E14</f>
        <v>19016173</v>
      </c>
      <c r="J6" s="600" t="n">
        <f aca="false">'Input-Detail'!F14</f>
        <v>0</v>
      </c>
      <c r="K6" s="695"/>
      <c r="L6" s="695"/>
      <c r="M6" s="695"/>
      <c r="N6" s="696"/>
      <c r="O6" s="696"/>
      <c r="P6" s="540"/>
      <c r="S6" s="440" t="s">
        <v>114</v>
      </c>
      <c r="T6" s="441" t="n">
        <f aca="false">'Input-Detail'!E14</f>
        <v>19016173</v>
      </c>
      <c r="U6" s="442" t="n">
        <f aca="false">'Input-Detail'!F14</f>
        <v>0</v>
      </c>
      <c r="V6" s="451" t="n">
        <f aca="false">T6*U6</f>
        <v>0</v>
      </c>
      <c r="W6" s="697"/>
      <c r="X6" s="698"/>
      <c r="Y6" s="548"/>
      <c r="Z6" s="699"/>
      <c r="AA6" s="699"/>
      <c r="AB6" s="699"/>
      <c r="AC6" s="548"/>
      <c r="AD6" s="699"/>
      <c r="AE6" s="699"/>
      <c r="AF6" s="699"/>
      <c r="AG6" s="548"/>
      <c r="AH6" s="700"/>
      <c r="AK6" s="405"/>
      <c r="AL6" s="405"/>
    </row>
    <row r="7" customFormat="false" ht="13.2" hidden="false" customHeight="false" outlineLevel="0" collapsed="false">
      <c r="B7" s="438"/>
      <c r="C7" s="74" t="s">
        <v>328</v>
      </c>
      <c r="D7" s="439" t="n">
        <f aca="false">'Input-Detail'!AZ12</f>
        <v>2.4</v>
      </c>
      <c r="E7" s="76"/>
      <c r="H7" s="537" t="n">
        <v>1</v>
      </c>
      <c r="I7" s="595" t="n">
        <f aca="false">'Input-Detail'!E15</f>
        <v>19565364.35</v>
      </c>
      <c r="J7" s="600" t="n">
        <f aca="false">'Input-Detail'!F15</f>
        <v>0.06</v>
      </c>
      <c r="K7" s="658" t="n">
        <f aca="false">Y7</f>
        <v>-2821.82077693353</v>
      </c>
      <c r="L7" s="658" t="n">
        <f aca="false">AC7</f>
        <v>3379.47202409094</v>
      </c>
      <c r="M7" s="658" t="n">
        <f aca="false">AG7</f>
        <v>3379.47202409094</v>
      </c>
      <c r="N7" s="701" t="n">
        <f aca="false">AH7</f>
        <v>3937.12327124834</v>
      </c>
      <c r="O7" s="702" t="n">
        <f aca="false">($D$22*$D$18*$D$14+$D$23*$D$19*$D$15+$D$24*$D$16*$D$20)*(1+$D$25)^$H7</f>
        <v>24.675602983</v>
      </c>
      <c r="P7" s="661" t="n">
        <f aca="false">N7*O7</f>
        <v>97150.8907364543</v>
      </c>
      <c r="S7" s="440" t="n">
        <v>1</v>
      </c>
      <c r="T7" s="609" t="n">
        <f aca="false">T$6+(T$26-T$6)*$S7/20</f>
        <v>19565364.35</v>
      </c>
      <c r="U7" s="600" t="n">
        <f aca="false">U$6+(U$26-U$6)*$S7/20</f>
        <v>0.0475</v>
      </c>
      <c r="V7" s="451" t="n">
        <f aca="false">T7*U7</f>
        <v>929354.806625</v>
      </c>
      <c r="W7" s="703" t="n">
        <f aca="false">Delay!O8</f>
        <v>10667.2114071064</v>
      </c>
      <c r="X7" s="704" t="n">
        <f aca="false">Delay!S8</f>
        <v>13489.0321840399</v>
      </c>
      <c r="Y7" s="658" t="n">
        <f aca="false">W7-X7</f>
        <v>-2821.82077693353</v>
      </c>
      <c r="Z7" s="659" t="n">
        <f aca="false">($D$12+0)/2</f>
        <v>27.5</v>
      </c>
      <c r="AA7" s="705" t="n">
        <f aca="false">($D$10/Z7)*T7</f>
        <v>142293.558909091</v>
      </c>
      <c r="AB7" s="705" t="n">
        <f aca="false">($T7-V7)*($D$10/$Z7)+V7*$D$10/$D$12</f>
        <v>138914.086885</v>
      </c>
      <c r="AC7" s="706" t="n">
        <f aca="false">AA7-AB7</f>
        <v>3379.47202409094</v>
      </c>
      <c r="AD7" s="659" t="n">
        <f aca="false">($D$12+0)/2</f>
        <v>27.5</v>
      </c>
      <c r="AE7" s="705" t="n">
        <f aca="false">T7*$D$11/AD7</f>
        <v>142293.558909091</v>
      </c>
      <c r="AF7" s="705" t="n">
        <f aca="false">($T7-V7)*($D$11/$AD7)+V7*$D$11/$D$12</f>
        <v>138914.086885</v>
      </c>
      <c r="AG7" s="706" t="n">
        <f aca="false">AE7-AF7</f>
        <v>3379.47202409094</v>
      </c>
      <c r="AH7" s="476" t="n">
        <f aca="false">Y7+AC7+AG7</f>
        <v>3937.12327124834</v>
      </c>
      <c r="AK7" s="405"/>
      <c r="AL7" s="405"/>
    </row>
    <row r="8" customFormat="false" ht="14.25" hidden="false" customHeight="true" outlineLevel="0" collapsed="false">
      <c r="B8" s="486" t="s">
        <v>87</v>
      </c>
      <c r="C8" s="74"/>
      <c r="D8" s="707"/>
      <c r="E8" s="488"/>
      <c r="H8" s="537" t="n">
        <v>2</v>
      </c>
      <c r="I8" s="595" t="n">
        <f aca="false">'Input-Detail'!E16</f>
        <v>20114555.7</v>
      </c>
      <c r="J8" s="600" t="n">
        <f aca="false">'Input-Detail'!F16</f>
        <v>0.15</v>
      </c>
      <c r="K8" s="658" t="n">
        <f aca="false">Y8</f>
        <v>-365.920592152033</v>
      </c>
      <c r="L8" s="658" t="n">
        <f aca="false">AC8</f>
        <v>6948.66469636362</v>
      </c>
      <c r="M8" s="658" t="n">
        <f aca="false">AG8</f>
        <v>6948.66469636365</v>
      </c>
      <c r="N8" s="701" t="n">
        <f aca="false">AH8</f>
        <v>13531.4088005752</v>
      </c>
      <c r="O8" s="702" t="n">
        <f aca="false">($D$22*$D$18*$D$14+$D$23*$D$19*$D$15+$D$24*$D$16*$D$20)*(1+$D$25)^$H8</f>
        <v>25.41587107249</v>
      </c>
      <c r="P8" s="661" t="n">
        <f aca="false">N8*O8</f>
        <v>343912.541504576</v>
      </c>
      <c r="S8" s="440" t="n">
        <v>2</v>
      </c>
      <c r="T8" s="609" t="n">
        <f aca="false">T$6+(T$26-T$6)*$S8/20</f>
        <v>20114555.7</v>
      </c>
      <c r="U8" s="600" t="n">
        <f aca="false">U$6+(U$26-U$6)*$S8/20</f>
        <v>0.095</v>
      </c>
      <c r="V8" s="451" t="n">
        <f aca="false">T8*U8</f>
        <v>1910882.7915</v>
      </c>
      <c r="W8" s="703" t="n">
        <f aca="false">Delay!O9</f>
        <v>10112.840617253</v>
      </c>
      <c r="X8" s="704" t="n">
        <f aca="false">Delay!S9</f>
        <v>10478.761209405</v>
      </c>
      <c r="Y8" s="658" t="n">
        <f aca="false">W8-X8</f>
        <v>-365.920592152033</v>
      </c>
      <c r="Z8" s="659" t="n">
        <f aca="false">($D$12+0)/2</f>
        <v>27.5</v>
      </c>
      <c r="AA8" s="705" t="n">
        <f aca="false">($D$10/Z8)*T8</f>
        <v>146287.677818182</v>
      </c>
      <c r="AB8" s="705" t="n">
        <f aca="false">($T8-V8)*($D$10/$Z8)+V8*$D$10/$D$12</f>
        <v>139339.013121818</v>
      </c>
      <c r="AC8" s="706" t="n">
        <f aca="false">AA8-AB8</f>
        <v>6948.66469636362</v>
      </c>
      <c r="AD8" s="659" t="n">
        <f aca="false">($D$12+0)/2</f>
        <v>27.5</v>
      </c>
      <c r="AE8" s="705" t="n">
        <f aca="false">T8*$D$11/AD8</f>
        <v>146287.677818182</v>
      </c>
      <c r="AF8" s="705" t="n">
        <f aca="false">($T8-V8)*($D$11/$AD8)+V8*$D$11/$D$12</f>
        <v>139339.013121818</v>
      </c>
      <c r="AG8" s="706" t="n">
        <f aca="false">AE8-AF8</f>
        <v>6948.66469636365</v>
      </c>
      <c r="AH8" s="476" t="n">
        <f aca="false">Y8+AC8+AG8</f>
        <v>13531.4088005752</v>
      </c>
      <c r="AK8" s="405"/>
      <c r="AL8" s="405"/>
    </row>
    <row r="9" customFormat="false" ht="13.2" hidden="false" customHeight="false" outlineLevel="0" collapsed="false">
      <c r="B9" s="486"/>
      <c r="C9" s="74" t="s">
        <v>233</v>
      </c>
      <c r="D9" s="487" t="n">
        <f aca="false">'Input-Detail'!AZ25</f>
        <v>12</v>
      </c>
      <c r="E9" s="488"/>
      <c r="H9" s="537" t="n">
        <v>3</v>
      </c>
      <c r="I9" s="595" t="n">
        <f aca="false">'Input-Detail'!E17</f>
        <v>20663747.05</v>
      </c>
      <c r="J9" s="600" t="n">
        <f aca="false">'Input-Detail'!F17</f>
        <v>0.2</v>
      </c>
      <c r="K9" s="658" t="n">
        <f aca="false">Y9</f>
        <v>-1154.99263193075</v>
      </c>
      <c r="L9" s="658" t="n">
        <f aca="false">AC9</f>
        <v>10707.5780168182</v>
      </c>
      <c r="M9" s="658" t="n">
        <f aca="false">AG9</f>
        <v>10707.5780168182</v>
      </c>
      <c r="N9" s="701" t="n">
        <f aca="false">AH9</f>
        <v>20260.1634017056</v>
      </c>
      <c r="O9" s="702" t="n">
        <f aca="false">($D$22*$D$18*$D$14+$D$23*$D$19*$D$15+$D$24*$D$16*$D$20)*(1+$D$25)^$H9</f>
        <v>26.1783472046647</v>
      </c>
      <c r="P9" s="661" t="n">
        <f aca="false">N9*O9</f>
        <v>530377.59195309</v>
      </c>
      <c r="S9" s="440" t="n">
        <v>3</v>
      </c>
      <c r="T9" s="609" t="n">
        <f aca="false">T$6+(T$26-T$6)*$S9/20</f>
        <v>20663747.05</v>
      </c>
      <c r="U9" s="600" t="n">
        <f aca="false">U$6+(U$26-U$6)*$S9/20</f>
        <v>0.1425</v>
      </c>
      <c r="V9" s="451" t="n">
        <f aca="false">T9*U9</f>
        <v>2944583.954625</v>
      </c>
      <c r="W9" s="703" t="n">
        <f aca="false">Delay!O10</f>
        <v>10144.5550068915</v>
      </c>
      <c r="X9" s="704" t="n">
        <f aca="false">Delay!S10</f>
        <v>11299.5476388223</v>
      </c>
      <c r="Y9" s="658" t="n">
        <f aca="false">W9-X9</f>
        <v>-1154.99263193075</v>
      </c>
      <c r="Z9" s="659" t="n">
        <f aca="false">($D$12+0)/2</f>
        <v>27.5</v>
      </c>
      <c r="AA9" s="705" t="n">
        <f aca="false">($D$10/Z9)*T9</f>
        <v>150281.796727273</v>
      </c>
      <c r="AB9" s="705" t="n">
        <f aca="false">($T9-V9)*($D$10/$Z9)+V9*$D$10/$D$12</f>
        <v>139574.218710455</v>
      </c>
      <c r="AC9" s="706" t="n">
        <f aca="false">AA9-AB9</f>
        <v>10707.5780168182</v>
      </c>
      <c r="AD9" s="659" t="n">
        <f aca="false">($D$12+0)/2</f>
        <v>27.5</v>
      </c>
      <c r="AE9" s="705" t="n">
        <f aca="false">T9*$D$11/AD9</f>
        <v>150281.796727273</v>
      </c>
      <c r="AF9" s="705" t="n">
        <f aca="false">($T9-V9)*($D$11/$AD9)+V9*$D$11/$D$12</f>
        <v>139574.218710455</v>
      </c>
      <c r="AG9" s="706" t="n">
        <f aca="false">AE9-AF9</f>
        <v>10707.5780168182</v>
      </c>
      <c r="AH9" s="476" t="n">
        <f aca="false">Y9+AC9+AG9</f>
        <v>20260.1634017056</v>
      </c>
      <c r="AK9" s="405"/>
      <c r="AL9" s="405"/>
    </row>
    <row r="10" customFormat="false" ht="13.2" hidden="false" customHeight="false" outlineLevel="0" collapsed="false">
      <c r="B10" s="486"/>
      <c r="C10" s="74" t="s">
        <v>100</v>
      </c>
      <c r="D10" s="708" t="n">
        <f aca="false">'Input-Detail'!AZ26</f>
        <v>0.2</v>
      </c>
      <c r="E10" s="488"/>
      <c r="F10" s="50"/>
      <c r="G10" s="50"/>
      <c r="H10" s="537" t="n">
        <v>4</v>
      </c>
      <c r="I10" s="595" t="n">
        <f aca="false">'Input-Detail'!E18</f>
        <v>21212938.4</v>
      </c>
      <c r="J10" s="600" t="n">
        <f aca="false">'Input-Detail'!F18</f>
        <v>0.25</v>
      </c>
      <c r="K10" s="658" t="n">
        <f aca="false">Y10</f>
        <v>-510.80787939451</v>
      </c>
      <c r="L10" s="658" t="n">
        <f aca="false">AC10</f>
        <v>14656.2119854545</v>
      </c>
      <c r="M10" s="658" t="n">
        <f aca="false">AG10</f>
        <v>14656.2119854545</v>
      </c>
      <c r="N10" s="701" t="n">
        <f aca="false">AH10</f>
        <v>28801.6160915146</v>
      </c>
      <c r="O10" s="702" t="n">
        <f aca="false">($D$22*$D$18*$D$14+$D$23*$D$19*$D$15+$D$24*$D$16*$D$20)*(1+$D$25)^$H10</f>
        <v>26.9636976208046</v>
      </c>
      <c r="P10" s="661" t="n">
        <f aca="false">N10*O10</f>
        <v>776598.0672821</v>
      </c>
      <c r="Q10" s="50"/>
      <c r="R10" s="50"/>
      <c r="S10" s="440" t="n">
        <v>4</v>
      </c>
      <c r="T10" s="609" t="n">
        <f aca="false">T$6+(T$26-T$6)*$S10/20</f>
        <v>21212938.4</v>
      </c>
      <c r="U10" s="600" t="n">
        <f aca="false">U$6+(U$26-U$6)*$S10/20</f>
        <v>0.19</v>
      </c>
      <c r="V10" s="451" t="n">
        <f aca="false">T10*U10</f>
        <v>4030458.296</v>
      </c>
      <c r="W10" s="703" t="n">
        <f aca="false">Delay!O11</f>
        <v>10194.4768965092</v>
      </c>
      <c r="X10" s="704" t="n">
        <f aca="false">Delay!S11</f>
        <v>10705.2847759037</v>
      </c>
      <c r="Y10" s="658" t="n">
        <f aca="false">W10-X10</f>
        <v>-510.80787939451</v>
      </c>
      <c r="Z10" s="659" t="n">
        <f aca="false">($D$12+0)/2</f>
        <v>27.5</v>
      </c>
      <c r="AA10" s="705" t="n">
        <f aca="false">($D$10/Z10)*T10</f>
        <v>154275.915636364</v>
      </c>
      <c r="AB10" s="705" t="n">
        <f aca="false">($T10-V10)*($D$10/$Z10)+V10*$D$10/$D$12</f>
        <v>139619.703650909</v>
      </c>
      <c r="AC10" s="706" t="n">
        <f aca="false">AA10-AB10</f>
        <v>14656.2119854545</v>
      </c>
      <c r="AD10" s="659" t="n">
        <f aca="false">($D$12+0)/2</f>
        <v>27.5</v>
      </c>
      <c r="AE10" s="705" t="n">
        <f aca="false">T10*$D$11/AD10</f>
        <v>154275.915636364</v>
      </c>
      <c r="AF10" s="705" t="n">
        <f aca="false">($T10-V10)*($D$11/$AD10)+V10*$D$11/$D$12</f>
        <v>139619.703650909</v>
      </c>
      <c r="AG10" s="706" t="n">
        <f aca="false">AE10-AF10</f>
        <v>14656.2119854545</v>
      </c>
      <c r="AH10" s="476" t="n">
        <f aca="false">Y10+AC10+AG10</f>
        <v>28801.6160915146</v>
      </c>
      <c r="AK10" s="405"/>
      <c r="AL10" s="405"/>
    </row>
    <row r="11" customFormat="false" ht="13.2" hidden="false" customHeight="false" outlineLevel="0" collapsed="false">
      <c r="B11" s="486"/>
      <c r="C11" s="74" t="s">
        <v>110</v>
      </c>
      <c r="D11" s="708" t="n">
        <f aca="false">'Input-Detail'!AZ27</f>
        <v>0.2</v>
      </c>
      <c r="E11" s="488"/>
      <c r="H11" s="537" t="n">
        <v>5</v>
      </c>
      <c r="I11" s="595" t="n">
        <f aca="false">'Input-Detail'!E19</f>
        <v>21762129.75</v>
      </c>
      <c r="J11" s="600" t="n">
        <f aca="false">'Input-Detail'!F19</f>
        <v>0.3</v>
      </c>
      <c r="K11" s="658" t="n">
        <f aca="false">Y11</f>
        <v>538.392091686275</v>
      </c>
      <c r="L11" s="658" t="n">
        <f aca="false">AC11</f>
        <v>18794.5666022727</v>
      </c>
      <c r="M11" s="658" t="n">
        <f aca="false">AG11</f>
        <v>18794.5666022727</v>
      </c>
      <c r="N11" s="701" t="n">
        <f aca="false">AH11</f>
        <v>38127.5252962318</v>
      </c>
      <c r="O11" s="702" t="n">
        <f aca="false">($D$22*$D$18*$D$14+$D$23*$D$19*$D$15+$D$24*$D$16*$D$20)*(1+$D$25)^$H11</f>
        <v>27.7726085494288</v>
      </c>
      <c r="P11" s="661" t="n">
        <f aca="false">N11*O11</f>
        <v>1058900.83501069</v>
      </c>
      <c r="S11" s="440" t="n">
        <v>5</v>
      </c>
      <c r="T11" s="609" t="n">
        <f aca="false">T$6+(T$26-T$6)*$S11/20</f>
        <v>21762129.75</v>
      </c>
      <c r="U11" s="600" t="n">
        <f aca="false">U$6+(U$26-U$6)*$S11/20</f>
        <v>0.2375</v>
      </c>
      <c r="V11" s="451" t="n">
        <f aca="false">T11*U11</f>
        <v>5168505.815625</v>
      </c>
      <c r="W11" s="703" t="n">
        <f aca="false">Delay!O12</f>
        <v>10261.6532322835</v>
      </c>
      <c r="X11" s="704" t="n">
        <f aca="false">Delay!S12</f>
        <v>9723.26114059718</v>
      </c>
      <c r="Y11" s="658" t="n">
        <f aca="false">W11-X11</f>
        <v>538.392091686275</v>
      </c>
      <c r="Z11" s="659" t="n">
        <f aca="false">($D$12+0)/2</f>
        <v>27.5</v>
      </c>
      <c r="AA11" s="705" t="n">
        <f aca="false">($D$10/Z11)*T11</f>
        <v>158270.034545455</v>
      </c>
      <c r="AB11" s="705" t="n">
        <f aca="false">($T11-V11)*($D$10/$Z11)+V11*$D$10/$D$12</f>
        <v>139475.467943182</v>
      </c>
      <c r="AC11" s="706" t="n">
        <f aca="false">AA11-AB11</f>
        <v>18794.5666022727</v>
      </c>
      <c r="AD11" s="659" t="n">
        <f aca="false">($D$12+0)/2</f>
        <v>27.5</v>
      </c>
      <c r="AE11" s="705" t="n">
        <f aca="false">T11*$D$11/AD11</f>
        <v>158270.034545455</v>
      </c>
      <c r="AF11" s="705" t="n">
        <f aca="false">($T11-V11)*($D$11/$AD11)+V11*$D$11/$D$12</f>
        <v>139475.467943182</v>
      </c>
      <c r="AG11" s="706" t="n">
        <f aca="false">AE11-AF11</f>
        <v>18794.5666022727</v>
      </c>
      <c r="AH11" s="476" t="n">
        <f aca="false">Y11+AC11+AG11</f>
        <v>38127.5252962318</v>
      </c>
      <c r="AK11" s="405"/>
      <c r="AL11" s="405"/>
    </row>
    <row r="12" customFormat="false" ht="13.2" hidden="false" customHeight="false" outlineLevel="0" collapsed="false">
      <c r="B12" s="486" t="s">
        <v>433</v>
      </c>
      <c r="C12" s="74"/>
      <c r="D12" s="709" t="n">
        <f aca="false">'Input-Detail'!AZ29</f>
        <v>55</v>
      </c>
      <c r="E12" s="710"/>
      <c r="H12" s="537" t="n">
        <v>6</v>
      </c>
      <c r="I12" s="595" t="n">
        <f aca="false">'Input-Detail'!E20</f>
        <v>22311321.1</v>
      </c>
      <c r="J12" s="600" t="n">
        <f aca="false">'Input-Detail'!F20</f>
        <v>0.35</v>
      </c>
      <c r="K12" s="658" t="n">
        <f aca="false">Y12</f>
        <v>780.093085449047</v>
      </c>
      <c r="L12" s="658" t="n">
        <f aca="false">AC12</f>
        <v>23122.6418672727</v>
      </c>
      <c r="M12" s="658" t="n">
        <f aca="false">AG12</f>
        <v>23122.6418672727</v>
      </c>
      <c r="N12" s="701" t="n">
        <f aca="false">AH12</f>
        <v>47025.3768199945</v>
      </c>
      <c r="O12" s="702" t="n">
        <f aca="false">($D$22*$D$18*$D$14+$D$23*$D$19*$D$15+$D$24*$D$16*$D$20)*(1+$D$25)^$H12</f>
        <v>28.6057868059116</v>
      </c>
      <c r="P12" s="661" t="n">
        <f aca="false">N12*O12</f>
        <v>1345197.90378042</v>
      </c>
      <c r="S12" s="440" t="n">
        <v>6</v>
      </c>
      <c r="T12" s="609" t="n">
        <f aca="false">T$6+(T$26-T$6)*$S12/20</f>
        <v>22311321.1</v>
      </c>
      <c r="U12" s="600" t="n">
        <f aca="false">U$6+(U$26-U$6)*$S12/20</f>
        <v>0.285</v>
      </c>
      <c r="V12" s="451" t="n">
        <f aca="false">T12*U12</f>
        <v>6358726.5135</v>
      </c>
      <c r="W12" s="703" t="n">
        <f aca="false">Delay!O13</f>
        <v>10344.6880103139</v>
      </c>
      <c r="X12" s="704" t="n">
        <f aca="false">Delay!S13</f>
        <v>9564.59492486486</v>
      </c>
      <c r="Y12" s="658" t="n">
        <f aca="false">W12-X12</f>
        <v>780.093085449047</v>
      </c>
      <c r="Z12" s="659" t="n">
        <f aca="false">($D$12+0)/2</f>
        <v>27.5</v>
      </c>
      <c r="AA12" s="705" t="n">
        <f aca="false">($D$10/Z12)*T12</f>
        <v>162264.153454545</v>
      </c>
      <c r="AB12" s="705" t="n">
        <f aca="false">($T12-V12)*($D$10/$Z12)+V12*$D$10/$D$12</f>
        <v>139141.511587273</v>
      </c>
      <c r="AC12" s="706" t="n">
        <f aca="false">AA12-AB12</f>
        <v>23122.6418672727</v>
      </c>
      <c r="AD12" s="659" t="n">
        <f aca="false">($D$12+0)/2</f>
        <v>27.5</v>
      </c>
      <c r="AE12" s="705" t="n">
        <f aca="false">T12*$D$11/AD12</f>
        <v>162264.153454545</v>
      </c>
      <c r="AF12" s="705" t="n">
        <f aca="false">($T12-V12)*($D$11/$AD12)+V12*$D$11/$D$12</f>
        <v>139141.511587273</v>
      </c>
      <c r="AG12" s="706" t="n">
        <f aca="false">AE12-AF12</f>
        <v>23122.6418672727</v>
      </c>
      <c r="AH12" s="476" t="n">
        <f aca="false">Y12+AC12+AG12</f>
        <v>47025.3768199945</v>
      </c>
      <c r="AK12" s="405"/>
      <c r="AL12" s="405"/>
    </row>
    <row r="13" customFormat="false" ht="13.2" hidden="false" customHeight="false" outlineLevel="0" collapsed="false">
      <c r="B13" s="486" t="s">
        <v>434</v>
      </c>
      <c r="C13" s="74"/>
      <c r="D13" s="711"/>
      <c r="E13" s="488"/>
      <c r="H13" s="537" t="n">
        <v>7</v>
      </c>
      <c r="I13" s="595" t="n">
        <f aca="false">'Input-Detail'!E21</f>
        <v>22860512.45</v>
      </c>
      <c r="J13" s="600" t="n">
        <f aca="false">'Input-Detail'!F21</f>
        <v>0.4</v>
      </c>
      <c r="K13" s="658" t="n">
        <f aca="false">Y13</f>
        <v>1329.59755716194</v>
      </c>
      <c r="L13" s="658" t="n">
        <f aca="false">AC13</f>
        <v>27640.4377804545</v>
      </c>
      <c r="M13" s="658" t="n">
        <f aca="false">AG13</f>
        <v>27640.4377804546</v>
      </c>
      <c r="N13" s="701" t="n">
        <f aca="false">AH13</f>
        <v>56610.473118071</v>
      </c>
      <c r="O13" s="702" t="n">
        <f aca="false">($D$22*$D$18*$D$14+$D$23*$D$19*$D$15+$D$24*$D$16*$D$20)*(1+$D$25)^$H13</f>
        <v>29.463960410089</v>
      </c>
      <c r="P13" s="661" t="n">
        <f aca="false">N13*O13</f>
        <v>1667968.73874725</v>
      </c>
      <c r="S13" s="440" t="n">
        <v>7</v>
      </c>
      <c r="T13" s="609" t="n">
        <f aca="false">T$6+(T$26-T$6)*$S13/20</f>
        <v>22860512.45</v>
      </c>
      <c r="U13" s="600" t="n">
        <f aca="false">U$6+(U$26-U$6)*$S13/20</f>
        <v>0.3325</v>
      </c>
      <c r="V13" s="451" t="n">
        <f aca="false">T13*U13</f>
        <v>7601120.389625</v>
      </c>
      <c r="W13" s="703" t="n">
        <f aca="false">Delay!O14</f>
        <v>10442.0260064975</v>
      </c>
      <c r="X13" s="704" t="n">
        <f aca="false">Delay!S14</f>
        <v>9112.42844933554</v>
      </c>
      <c r="Y13" s="658" t="n">
        <f aca="false">W13-X13</f>
        <v>1329.59755716194</v>
      </c>
      <c r="Z13" s="659" t="n">
        <f aca="false">($D$12+0)/2</f>
        <v>27.5</v>
      </c>
      <c r="AA13" s="705" t="n">
        <f aca="false">($D$10/Z13)*T13</f>
        <v>166258.272363636</v>
      </c>
      <c r="AB13" s="705" t="n">
        <f aca="false">($T13-V13)*($D$10/$Z13)+V13*$D$10/$D$12</f>
        <v>138617.834583182</v>
      </c>
      <c r="AC13" s="706" t="n">
        <f aca="false">AA13-AB13</f>
        <v>27640.4377804545</v>
      </c>
      <c r="AD13" s="659" t="n">
        <f aca="false">($D$12+0)/2</f>
        <v>27.5</v>
      </c>
      <c r="AE13" s="705" t="n">
        <f aca="false">T13*$D$11/AD13</f>
        <v>166258.272363636</v>
      </c>
      <c r="AF13" s="705" t="n">
        <f aca="false">($T13-V13)*($D$11/$AD13)+V13*$D$11/$D$12</f>
        <v>138617.834583182</v>
      </c>
      <c r="AG13" s="706" t="n">
        <f aca="false">AE13-AF13</f>
        <v>27640.4377804546</v>
      </c>
      <c r="AH13" s="476" t="n">
        <f aca="false">Y13+AC13+AG13</f>
        <v>56610.473118071</v>
      </c>
      <c r="AK13" s="405"/>
      <c r="AL13" s="405"/>
    </row>
    <row r="14" customFormat="false" ht="13.2" hidden="false" customHeight="false" outlineLevel="0" collapsed="false">
      <c r="B14" s="712"/>
      <c r="C14" s="74" t="s">
        <v>130</v>
      </c>
      <c r="D14" s="713" t="n">
        <f aca="false">'Input-Detail'!AZ31</f>
        <v>0.9476</v>
      </c>
      <c r="E14" s="488"/>
      <c r="H14" s="537" t="n">
        <v>8</v>
      </c>
      <c r="I14" s="595" t="n">
        <f aca="false">'Input-Detail'!E22</f>
        <v>23409703.8</v>
      </c>
      <c r="J14" s="600" t="n">
        <f aca="false">'Input-Detail'!F22</f>
        <v>0.45</v>
      </c>
      <c r="K14" s="658" t="n">
        <f aca="false">Y14</f>
        <v>2320.87332126685</v>
      </c>
      <c r="L14" s="658" t="n">
        <f aca="false">AC14</f>
        <v>32347.9543418182</v>
      </c>
      <c r="M14" s="658" t="n">
        <f aca="false">AG14</f>
        <v>32347.9543418182</v>
      </c>
      <c r="N14" s="701" t="n">
        <f aca="false">AH14</f>
        <v>67016.7820049032</v>
      </c>
      <c r="O14" s="702" t="n">
        <f aca="false">($D$22*$D$18*$D$14+$D$23*$D$19*$D$15+$D$24*$D$16*$D$20)*(1+$D$25)^$H14</f>
        <v>30.3478792223917</v>
      </c>
      <c r="P14" s="661" t="n">
        <f aca="false">N14*O14</f>
        <v>2033817.20615815</v>
      </c>
      <c r="S14" s="440" t="n">
        <v>8</v>
      </c>
      <c r="T14" s="609" t="n">
        <f aca="false">T$6+(T$26-T$6)*$S14/20</f>
        <v>23409703.8</v>
      </c>
      <c r="U14" s="600" t="n">
        <f aca="false">U$6+(U$26-U$6)*$S14/20</f>
        <v>0.38</v>
      </c>
      <c r="V14" s="451" t="n">
        <f aca="false">T14*U14</f>
        <v>8895687.444</v>
      </c>
      <c r="W14" s="703" t="n">
        <f aca="false">Delay!O15</f>
        <v>10552.1170225148</v>
      </c>
      <c r="X14" s="704" t="n">
        <f aca="false">Delay!S15</f>
        <v>8231.24370124793</v>
      </c>
      <c r="Y14" s="658" t="n">
        <f aca="false">W14-X14</f>
        <v>2320.87332126685</v>
      </c>
      <c r="Z14" s="659" t="n">
        <f aca="false">($D$12+0)/2</f>
        <v>27.5</v>
      </c>
      <c r="AA14" s="705" t="n">
        <f aca="false">($D$10/Z14)*T14</f>
        <v>170252.391272727</v>
      </c>
      <c r="AB14" s="705" t="n">
        <f aca="false">($T14-V14)*($D$10/$Z14)+V14*$D$10/$D$12</f>
        <v>137904.436930909</v>
      </c>
      <c r="AC14" s="706" t="n">
        <f aca="false">AA14-AB14</f>
        <v>32347.9543418182</v>
      </c>
      <c r="AD14" s="659" t="n">
        <f aca="false">($D$12+0)/2</f>
        <v>27.5</v>
      </c>
      <c r="AE14" s="705" t="n">
        <f aca="false">T14*$D$11/AD14</f>
        <v>170252.391272727</v>
      </c>
      <c r="AF14" s="705" t="n">
        <f aca="false">($T14-V14)*($D$11/$AD14)+V14*$D$11/$D$12</f>
        <v>137904.436930909</v>
      </c>
      <c r="AG14" s="706" t="n">
        <f aca="false">AE14-AF14</f>
        <v>32347.9543418182</v>
      </c>
      <c r="AH14" s="476" t="n">
        <f aca="false">Y14+AC14+AG14</f>
        <v>67016.7820049032</v>
      </c>
      <c r="AK14" s="405"/>
      <c r="AL14" s="405"/>
    </row>
    <row r="15" customFormat="false" ht="13.2" hidden="false" customHeight="false" outlineLevel="0" collapsed="false">
      <c r="B15" s="712"/>
      <c r="C15" s="74" t="s">
        <v>132</v>
      </c>
      <c r="D15" s="713" t="n">
        <f aca="false">'Input-Detail'!AZ32</f>
        <v>0.0511</v>
      </c>
      <c r="E15" s="488"/>
      <c r="H15" s="537" t="n">
        <v>9</v>
      </c>
      <c r="I15" s="595" t="n">
        <f aca="false">'Input-Detail'!E23</f>
        <v>23958895.15</v>
      </c>
      <c r="J15" s="600" t="n">
        <f aca="false">'Input-Detail'!F23</f>
        <v>0.5</v>
      </c>
      <c r="K15" s="658" t="n">
        <f aca="false">Y15</f>
        <v>2560.55872373675</v>
      </c>
      <c r="L15" s="658" t="n">
        <f aca="false">AC15</f>
        <v>37245.1915513636</v>
      </c>
      <c r="M15" s="658" t="n">
        <f aca="false">AG15</f>
        <v>37245.1915513637</v>
      </c>
      <c r="N15" s="701" t="n">
        <f aca="false">AH15</f>
        <v>77050.941826464</v>
      </c>
      <c r="O15" s="702" t="n">
        <f aca="false">($D$22*$D$18*$D$14+$D$23*$D$19*$D$15+$D$24*$D$16*$D$20)*(1+$D$25)^$H15</f>
        <v>31.2583155990634</v>
      </c>
      <c r="P15" s="661" t="n">
        <f aca="false">N15*O15</f>
        <v>2408482.65681669</v>
      </c>
      <c r="S15" s="440" t="n">
        <v>9</v>
      </c>
      <c r="T15" s="609" t="n">
        <f aca="false">T$6+(T$26-T$6)*$S15/20</f>
        <v>23958895.15</v>
      </c>
      <c r="U15" s="600" t="n">
        <f aca="false">U$6+(U$26-U$6)*$S15/20</f>
        <v>0.4275</v>
      </c>
      <c r="V15" s="451" t="n">
        <f aca="false">T15*U15</f>
        <v>10242427.676625</v>
      </c>
      <c r="W15" s="703" t="n">
        <f aca="false">Delay!O16</f>
        <v>10673.5033878836</v>
      </c>
      <c r="X15" s="704" t="n">
        <f aca="false">Delay!S16</f>
        <v>8112.9446641468</v>
      </c>
      <c r="Y15" s="658" t="n">
        <f aca="false">W15-X15</f>
        <v>2560.55872373675</v>
      </c>
      <c r="Z15" s="659" t="n">
        <f aca="false">($D$12+0)/2</f>
        <v>27.5</v>
      </c>
      <c r="AA15" s="705" t="n">
        <f aca="false">($D$10/Z15)*T15</f>
        <v>174246.510181818</v>
      </c>
      <c r="AB15" s="705" t="n">
        <f aca="false">($T15-V15)*($D$10/$Z15)+V15*$D$10/$D$12</f>
        <v>137001.318630455</v>
      </c>
      <c r="AC15" s="706" t="n">
        <f aca="false">AA15-AB15</f>
        <v>37245.1915513636</v>
      </c>
      <c r="AD15" s="659" t="n">
        <f aca="false">($D$12+0)/2</f>
        <v>27.5</v>
      </c>
      <c r="AE15" s="705" t="n">
        <f aca="false">T15*$D$11/AD15</f>
        <v>174246.510181818</v>
      </c>
      <c r="AF15" s="705" t="n">
        <f aca="false">($T15-V15)*($D$11/$AD15)+V15*$D$11/$D$12</f>
        <v>137001.318630455</v>
      </c>
      <c r="AG15" s="706" t="n">
        <f aca="false">AE15-AF15</f>
        <v>37245.1915513637</v>
      </c>
      <c r="AH15" s="476" t="n">
        <f aca="false">Y15+AC15+AG15</f>
        <v>77050.941826464</v>
      </c>
      <c r="AK15" s="405"/>
      <c r="AL15" s="405"/>
    </row>
    <row r="16" customFormat="false" ht="13.2" hidden="false" customHeight="false" outlineLevel="0" collapsed="false">
      <c r="B16" s="712"/>
      <c r="C16" s="74" t="s">
        <v>135</v>
      </c>
      <c r="D16" s="713" t="n">
        <f aca="false">'Input-Detail'!AZ33</f>
        <v>0.0013</v>
      </c>
      <c r="E16" s="488"/>
      <c r="H16" s="537" t="n">
        <v>10</v>
      </c>
      <c r="I16" s="595" t="n">
        <f aca="false">'Input-Detail'!E24</f>
        <v>24508086.5</v>
      </c>
      <c r="J16" s="600" t="n">
        <f aca="false">'Input-Detail'!F24</f>
        <v>0.55</v>
      </c>
      <c r="K16" s="658" t="n">
        <f aca="false">Y16</f>
        <v>3769.89040832092</v>
      </c>
      <c r="L16" s="658" t="n">
        <f aca="false">AC16</f>
        <v>42332.1494090909</v>
      </c>
      <c r="M16" s="658" t="n">
        <f aca="false">AG16</f>
        <v>42332.1494090909</v>
      </c>
      <c r="N16" s="701" t="n">
        <f aca="false">AH16</f>
        <v>88434.1892265028</v>
      </c>
      <c r="O16" s="702" t="n">
        <f aca="false">($D$22*$D$18*$D$14+$D$23*$D$19*$D$15+$D$24*$D$16*$D$20)*(1+$D$25)^$H16</f>
        <v>32.1960650670353</v>
      </c>
      <c r="P16" s="661" t="n">
        <f aca="false">N16*O16</f>
        <v>2847232.910487</v>
      </c>
      <c r="S16" s="440" t="n">
        <v>10</v>
      </c>
      <c r="T16" s="609" t="n">
        <f aca="false">T$6+(T$26-T$6)*$S16/20</f>
        <v>24508086.5</v>
      </c>
      <c r="U16" s="600" t="n">
        <f aca="false">U$6+(U$26-U$6)*$S16/20</f>
        <v>0.475</v>
      </c>
      <c r="V16" s="451" t="n">
        <f aca="false">T16*U16</f>
        <v>11641341.0875</v>
      </c>
      <c r="W16" s="703" t="n">
        <f aca="false">Delay!O17</f>
        <v>10804.8604619578</v>
      </c>
      <c r="X16" s="704" t="n">
        <f aca="false">Delay!S17</f>
        <v>7034.97005363684</v>
      </c>
      <c r="Y16" s="658" t="n">
        <f aca="false">W16-X16</f>
        <v>3769.89040832092</v>
      </c>
      <c r="Z16" s="659" t="n">
        <f aca="false">($D$12+0)/2</f>
        <v>27.5</v>
      </c>
      <c r="AA16" s="705" t="n">
        <f aca="false">($D$10/Z16)*T16</f>
        <v>178240.629090909</v>
      </c>
      <c r="AB16" s="705" t="n">
        <f aca="false">($T16-V16)*($D$10/$Z16)+V16*$D$10/$D$12</f>
        <v>135908.479681818</v>
      </c>
      <c r="AC16" s="706" t="n">
        <f aca="false">AA16-AB16</f>
        <v>42332.1494090909</v>
      </c>
      <c r="AD16" s="659" t="n">
        <f aca="false">($D$12+0)/2</f>
        <v>27.5</v>
      </c>
      <c r="AE16" s="705" t="n">
        <f aca="false">T16*$D$11/AD16</f>
        <v>178240.629090909</v>
      </c>
      <c r="AF16" s="705" t="n">
        <f aca="false">($T16-V16)*($D$11/$AD16)+V16*$D$11/$D$12</f>
        <v>135908.479681818</v>
      </c>
      <c r="AG16" s="706" t="n">
        <f aca="false">AE16-AF16</f>
        <v>42332.1494090909</v>
      </c>
      <c r="AH16" s="476" t="n">
        <f aca="false">Y16+AC16+AG16</f>
        <v>88434.1892265028</v>
      </c>
      <c r="AK16" s="405"/>
      <c r="AL16" s="405"/>
    </row>
    <row r="17" customFormat="false" ht="13.2" hidden="false" customHeight="false" outlineLevel="0" collapsed="false">
      <c r="B17" s="486" t="s">
        <v>139</v>
      </c>
      <c r="C17" s="74"/>
      <c r="D17" s="711"/>
      <c r="E17" s="488"/>
      <c r="H17" s="537" t="n">
        <v>11</v>
      </c>
      <c r="I17" s="595" t="n">
        <f aca="false">'Input-Detail'!E25</f>
        <v>25057277.85</v>
      </c>
      <c r="J17" s="600" t="n">
        <f aca="false">'Input-Detail'!F25</f>
        <v>0.6</v>
      </c>
      <c r="K17" s="658" t="n">
        <f aca="false">Y17</f>
        <v>4398.35264525378</v>
      </c>
      <c r="L17" s="658" t="n">
        <f aca="false">AC17</f>
        <v>47608.827915</v>
      </c>
      <c r="M17" s="658" t="n">
        <f aca="false">AG17</f>
        <v>47608.827915</v>
      </c>
      <c r="N17" s="701" t="n">
        <f aca="false">AH17</f>
        <v>99616.0084752538</v>
      </c>
      <c r="O17" s="702" t="n">
        <f aca="false">($D$22*$D$18*$D$14+$D$23*$D$19*$D$15+$D$24*$D$16*$D$20)*(1+$D$25)^$H17</f>
        <v>33.1619470190464</v>
      </c>
      <c r="P17" s="661" t="n">
        <f aca="false">N17*O17</f>
        <v>3303460.79530524</v>
      </c>
      <c r="S17" s="440" t="n">
        <v>11</v>
      </c>
      <c r="T17" s="609" t="n">
        <f aca="false">T$6+(T$26-T$6)*$S17/20</f>
        <v>25057277.85</v>
      </c>
      <c r="U17" s="600" t="n">
        <f aca="false">U$6+(U$26-U$6)*$S17/20</f>
        <v>0.5225</v>
      </c>
      <c r="V17" s="451" t="n">
        <f aca="false">T17*U17</f>
        <v>13092427.676625</v>
      </c>
      <c r="W17" s="703" t="n">
        <f aca="false">Delay!O18</f>
        <v>10945.0096388168</v>
      </c>
      <c r="X17" s="704" t="n">
        <f aca="false">Delay!S18</f>
        <v>6546.65699356306</v>
      </c>
      <c r="Y17" s="658" t="n">
        <f aca="false">W17-X17</f>
        <v>4398.35264525378</v>
      </c>
      <c r="Z17" s="659" t="n">
        <f aca="false">($D$12+0)/2</f>
        <v>27.5</v>
      </c>
      <c r="AA17" s="705" t="n">
        <f aca="false">($D$10/Z17)*T17</f>
        <v>182234.748</v>
      </c>
      <c r="AB17" s="705" t="n">
        <f aca="false">($T17-V17)*($D$10/$Z17)+V17*$D$10/$D$12</f>
        <v>134625.920085</v>
      </c>
      <c r="AC17" s="706" t="n">
        <f aca="false">AA17-AB17</f>
        <v>47608.827915</v>
      </c>
      <c r="AD17" s="659" t="n">
        <f aca="false">($D$12+0)/2</f>
        <v>27.5</v>
      </c>
      <c r="AE17" s="705" t="n">
        <f aca="false">T17*$D$11/AD17</f>
        <v>182234.748</v>
      </c>
      <c r="AF17" s="705" t="n">
        <f aca="false">($T17-V17)*($D$11/$AD17)+V17*$D$11/$D$12</f>
        <v>134625.920085</v>
      </c>
      <c r="AG17" s="706" t="n">
        <f aca="false">AE17-AF17</f>
        <v>47608.827915</v>
      </c>
      <c r="AH17" s="476" t="n">
        <f aca="false">Y17+AC17+AG17</f>
        <v>99616.0084752538</v>
      </c>
      <c r="AK17" s="405"/>
      <c r="AL17" s="405"/>
    </row>
    <row r="18" customFormat="false" ht="13.2" hidden="false" customHeight="false" outlineLevel="0" collapsed="false">
      <c r="B18" s="712"/>
      <c r="C18" s="74" t="s">
        <v>130</v>
      </c>
      <c r="D18" s="709" t="n">
        <f aca="false">'Input-Detail'!AZ35</f>
        <v>1.8</v>
      </c>
      <c r="E18" s="488"/>
      <c r="H18" s="537" t="n">
        <v>12</v>
      </c>
      <c r="I18" s="595" t="n">
        <f aca="false">'Input-Detail'!E26</f>
        <v>25606469.2</v>
      </c>
      <c r="J18" s="600" t="n">
        <f aca="false">'Input-Detail'!F26</f>
        <v>0.65</v>
      </c>
      <c r="K18" s="658" t="n">
        <f aca="false">Y18</f>
        <v>5394.1401244686</v>
      </c>
      <c r="L18" s="658" t="n">
        <f aca="false">AC18</f>
        <v>53075.2270690909</v>
      </c>
      <c r="M18" s="658" t="n">
        <f aca="false">AG18</f>
        <v>53075.2270690909</v>
      </c>
      <c r="N18" s="701" t="n">
        <f aca="false">AH18</f>
        <v>111544.59426265</v>
      </c>
      <c r="O18" s="702" t="n">
        <f aca="false">($D$22*$D$18*$D$14+$D$23*$D$19*$D$15+$D$24*$D$16*$D$20)*(1+$D$25)^$H18</f>
        <v>34.1568054296178</v>
      </c>
      <c r="P18" s="661" t="n">
        <f aca="false">N18*O18</f>
        <v>3810007.00295501</v>
      </c>
      <c r="S18" s="440" t="n">
        <v>12</v>
      </c>
      <c r="T18" s="609" t="n">
        <f aca="false">T$6+(T$26-T$6)*$S18/20</f>
        <v>25606469.2</v>
      </c>
      <c r="U18" s="600" t="n">
        <f aca="false">U$6+(U$26-U$6)*$S18/20</f>
        <v>0.57</v>
      </c>
      <c r="V18" s="451" t="n">
        <f aca="false">T18*U18</f>
        <v>14595687.444</v>
      </c>
      <c r="W18" s="703" t="n">
        <f aca="false">Delay!O19</f>
        <v>11092.9161223915</v>
      </c>
      <c r="X18" s="704" t="n">
        <f aca="false">Delay!S19</f>
        <v>5698.77599792294</v>
      </c>
      <c r="Y18" s="658" t="n">
        <f aca="false">W18-X18</f>
        <v>5394.1401244686</v>
      </c>
      <c r="Z18" s="659" t="n">
        <f aca="false">($D$12+0)/2</f>
        <v>27.5</v>
      </c>
      <c r="AA18" s="705" t="n">
        <f aca="false">($D$10/Z18)*T18</f>
        <v>186228.866909091</v>
      </c>
      <c r="AB18" s="705" t="n">
        <f aca="false">($T18-V18)*($D$10/$Z18)+V18*$D$10/$D$12</f>
        <v>133153.63984</v>
      </c>
      <c r="AC18" s="706" t="n">
        <f aca="false">AA18-AB18</f>
        <v>53075.2270690909</v>
      </c>
      <c r="AD18" s="659" t="n">
        <f aca="false">($D$12+0)/2</f>
        <v>27.5</v>
      </c>
      <c r="AE18" s="705" t="n">
        <f aca="false">T18*$D$11/AD18</f>
        <v>186228.866909091</v>
      </c>
      <c r="AF18" s="705" t="n">
        <f aca="false">($T18-V18)*($D$11/$AD18)+V18*$D$11/$D$12</f>
        <v>133153.63984</v>
      </c>
      <c r="AG18" s="706" t="n">
        <f aca="false">AE18-AF18</f>
        <v>53075.2270690909</v>
      </c>
      <c r="AH18" s="476" t="n">
        <f aca="false">Y18+AC18+AG18</f>
        <v>111544.59426265</v>
      </c>
      <c r="AK18" s="405"/>
      <c r="AL18" s="405"/>
    </row>
    <row r="19" customFormat="false" ht="13.2" hidden="false" customHeight="false" outlineLevel="0" collapsed="false">
      <c r="B19" s="712"/>
      <c r="C19" s="74" t="s">
        <v>132</v>
      </c>
      <c r="D19" s="709" t="n">
        <f aca="false">'Input-Detail'!AZ36</f>
        <v>1.1</v>
      </c>
      <c r="E19" s="488"/>
      <c r="H19" s="537" t="n">
        <v>13</v>
      </c>
      <c r="I19" s="595" t="n">
        <f aca="false">'Input-Detail'!E27</f>
        <v>26155660.55</v>
      </c>
      <c r="J19" s="600" t="n">
        <f aca="false">'Input-Detail'!F27</f>
        <v>0.7</v>
      </c>
      <c r="K19" s="658" t="n">
        <f aca="false">Y19</f>
        <v>6094.56845576016</v>
      </c>
      <c r="L19" s="658" t="n">
        <f aca="false">AC19</f>
        <v>58731.3468713636</v>
      </c>
      <c r="M19" s="658" t="n">
        <f aca="false">AG19</f>
        <v>58731.3468713636</v>
      </c>
      <c r="N19" s="701" t="n">
        <f aca="false">AH19</f>
        <v>123557.262198487</v>
      </c>
      <c r="O19" s="702" t="n">
        <f aca="false">($D$22*$D$18*$D$14+$D$23*$D$19*$D$15+$D$24*$D$16*$D$20)*(1+$D$25)^$H19</f>
        <v>35.1815095925063</v>
      </c>
      <c r="P19" s="661" t="n">
        <f aca="false">N19*O19</f>
        <v>4346931.0052599</v>
      </c>
      <c r="S19" s="440" t="n">
        <v>13</v>
      </c>
      <c r="T19" s="609" t="n">
        <f aca="false">T$6+(T$26-T$6)*$S19/20</f>
        <v>26155660.55</v>
      </c>
      <c r="U19" s="600" t="n">
        <f aca="false">U$6+(U$26-U$6)*$S19/20</f>
        <v>0.6175</v>
      </c>
      <c r="V19" s="451" t="n">
        <f aca="false">T19*U19</f>
        <v>16151120.389625</v>
      </c>
      <c r="W19" s="703" t="n">
        <f aca="false">Delay!O20</f>
        <v>11247.6789334101</v>
      </c>
      <c r="X19" s="704" t="n">
        <f aca="false">Delay!S20</f>
        <v>5153.11047764997</v>
      </c>
      <c r="Y19" s="658" t="n">
        <f aca="false">W19-X19</f>
        <v>6094.56845576016</v>
      </c>
      <c r="Z19" s="659" t="n">
        <f aca="false">($D$12+0)/2</f>
        <v>27.5</v>
      </c>
      <c r="AA19" s="705" t="n">
        <f aca="false">($D$10/Z19)*T19</f>
        <v>190222.985818182</v>
      </c>
      <c r="AB19" s="705" t="n">
        <f aca="false">($T19-V19)*($D$10/$Z19)+V19*$D$10/$D$12</f>
        <v>131491.638946818</v>
      </c>
      <c r="AC19" s="706" t="n">
        <f aca="false">AA19-AB19</f>
        <v>58731.3468713636</v>
      </c>
      <c r="AD19" s="659" t="n">
        <f aca="false">($D$12+0)/2</f>
        <v>27.5</v>
      </c>
      <c r="AE19" s="705" t="n">
        <f aca="false">T19*$D$11/AD19</f>
        <v>190222.985818182</v>
      </c>
      <c r="AF19" s="705" t="n">
        <f aca="false">($T19-V19)*($D$11/$AD19)+V19*$D$11/$D$12</f>
        <v>131491.638946818</v>
      </c>
      <c r="AG19" s="706" t="n">
        <f aca="false">AE19-AF19</f>
        <v>58731.3468713636</v>
      </c>
      <c r="AH19" s="476" t="n">
        <f aca="false">Y19+AC19+AG19</f>
        <v>123557.262198487</v>
      </c>
      <c r="AK19" s="405"/>
      <c r="AL19" s="405"/>
    </row>
    <row r="20" customFormat="false" ht="13.2" hidden="false" customHeight="false" outlineLevel="0" collapsed="false">
      <c r="B20" s="712"/>
      <c r="C20" s="74" t="s">
        <v>135</v>
      </c>
      <c r="D20" s="709" t="n">
        <f aca="false">'Input-Detail'!AZ37</f>
        <v>20</v>
      </c>
      <c r="E20" s="714"/>
      <c r="H20" s="537" t="n">
        <v>14</v>
      </c>
      <c r="I20" s="595" t="n">
        <f aca="false">'Input-Detail'!E28</f>
        <v>26704851.9</v>
      </c>
      <c r="J20" s="600" t="n">
        <f aca="false">'Input-Detail'!F28</f>
        <v>0.75</v>
      </c>
      <c r="K20" s="658" t="n">
        <f aca="false">Y20</f>
        <v>7126.90901321191</v>
      </c>
      <c r="L20" s="658" t="n">
        <f aca="false">AC20</f>
        <v>64577.1873218182</v>
      </c>
      <c r="M20" s="658" t="n">
        <f aca="false">AG20</f>
        <v>64577.1873218182</v>
      </c>
      <c r="N20" s="701" t="n">
        <f aca="false">AH20</f>
        <v>136281.283656848</v>
      </c>
      <c r="O20" s="702" t="n">
        <f aca="false">($D$22*$D$18*$D$14+$D$23*$D$19*$D$15+$D$24*$D$16*$D$20)*(1+$D$25)^$H20</f>
        <v>36.2369548802815</v>
      </c>
      <c r="P20" s="661" t="n">
        <f aca="false">N20*O20</f>
        <v>4938418.72690006</v>
      </c>
      <c r="S20" s="440" t="n">
        <v>14</v>
      </c>
      <c r="T20" s="609" t="n">
        <f aca="false">T$6+(T$26-T$6)*$S20/20</f>
        <v>26704851.9</v>
      </c>
      <c r="U20" s="600" t="n">
        <f aca="false">U$6+(U$26-U$6)*$S20/20</f>
        <v>0.665</v>
      </c>
      <c r="V20" s="451" t="n">
        <f aca="false">T20*U20</f>
        <v>17758726.5135</v>
      </c>
      <c r="W20" s="703" t="n">
        <f aca="false">Delay!O21</f>
        <v>11408.5175421554</v>
      </c>
      <c r="X20" s="704" t="n">
        <f aca="false">Delay!S21</f>
        <v>4281.60852894352</v>
      </c>
      <c r="Y20" s="658" t="n">
        <f aca="false">W20-X20</f>
        <v>7126.90901321191</v>
      </c>
      <c r="Z20" s="659" t="n">
        <f aca="false">($D$12+0)/2</f>
        <v>27.5</v>
      </c>
      <c r="AA20" s="705" t="n">
        <f aca="false">($D$10/Z20)*T20</f>
        <v>194217.104727273</v>
      </c>
      <c r="AB20" s="705" t="n">
        <f aca="false">($T20-V20)*($D$10/$Z20)+V20*$D$10/$D$12</f>
        <v>129639.917405455</v>
      </c>
      <c r="AC20" s="706" t="n">
        <f aca="false">AA20-AB20</f>
        <v>64577.1873218182</v>
      </c>
      <c r="AD20" s="659" t="n">
        <f aca="false">($D$12+0)/2</f>
        <v>27.5</v>
      </c>
      <c r="AE20" s="705" t="n">
        <f aca="false">T20*$D$11/AD20</f>
        <v>194217.104727273</v>
      </c>
      <c r="AF20" s="705" t="n">
        <f aca="false">($T20-V20)*($D$11/$AD20)+V20*$D$11/$D$12</f>
        <v>129639.917405455</v>
      </c>
      <c r="AG20" s="706" t="n">
        <f aca="false">AE20-AF20</f>
        <v>64577.1873218182</v>
      </c>
      <c r="AH20" s="476" t="n">
        <f aca="false">Y20+AC20+AG20</f>
        <v>136281.283656848</v>
      </c>
      <c r="AK20" s="405"/>
      <c r="AL20" s="405"/>
    </row>
    <row r="21" customFormat="false" ht="13.2" hidden="false" customHeight="false" outlineLevel="0" collapsed="false">
      <c r="B21" s="486" t="s">
        <v>154</v>
      </c>
      <c r="C21" s="74"/>
      <c r="D21" s="711"/>
      <c r="E21" s="488"/>
      <c r="H21" s="537" t="n">
        <v>15</v>
      </c>
      <c r="I21" s="595" t="n">
        <f aca="false">'Input-Detail'!E29</f>
        <v>27254043.25</v>
      </c>
      <c r="J21" s="600" t="n">
        <f aca="false">'Input-Detail'!F29</f>
        <v>0.8</v>
      </c>
      <c r="K21" s="658" t="n">
        <f aca="false">Y21</f>
        <v>8026.60746911309</v>
      </c>
      <c r="L21" s="658" t="n">
        <f aca="false">AC21</f>
        <v>70612.7484204546</v>
      </c>
      <c r="M21" s="658" t="n">
        <f aca="false">AG21</f>
        <v>70612.7484204546</v>
      </c>
      <c r="N21" s="701" t="n">
        <f aca="false">AH21</f>
        <v>149252.104310022</v>
      </c>
      <c r="O21" s="702" t="n">
        <f aca="false">($D$22*$D$18*$D$14+$D$23*$D$19*$D$15+$D$24*$D$16*$D$20)*(1+$D$25)^$H21</f>
        <v>37.3240635266899</v>
      </c>
      <c r="P21" s="661" t="n">
        <f aca="false">N21*O21</f>
        <v>5570695.02275942</v>
      </c>
      <c r="S21" s="440" t="n">
        <v>15</v>
      </c>
      <c r="T21" s="609" t="n">
        <f aca="false">T$6+(T$26-T$6)*$S21/20</f>
        <v>27254043.25</v>
      </c>
      <c r="U21" s="600" t="n">
        <f aca="false">U$6+(U$26-U$6)*$S21/20</f>
        <v>0.7125</v>
      </c>
      <c r="V21" s="451" t="n">
        <f aca="false">T21*U21</f>
        <v>19418505.815625</v>
      </c>
      <c r="W21" s="703" t="n">
        <f aca="false">Delay!O22</f>
        <v>11574.7576181588</v>
      </c>
      <c r="X21" s="704" t="n">
        <f aca="false">Delay!S22</f>
        <v>3548.15014904567</v>
      </c>
      <c r="Y21" s="658" t="n">
        <f aca="false">W21-X21</f>
        <v>8026.60746911309</v>
      </c>
      <c r="Z21" s="659" t="n">
        <f aca="false">($D$12+0)/2</f>
        <v>27.5</v>
      </c>
      <c r="AA21" s="705" t="n">
        <f aca="false">($D$10/Z21)*T21</f>
        <v>198211.223636364</v>
      </c>
      <c r="AB21" s="705" t="n">
        <f aca="false">($T21-V21)*($D$10/$Z21)+V21*$D$10/$D$12</f>
        <v>127598.475215909</v>
      </c>
      <c r="AC21" s="706" t="n">
        <f aca="false">AA21-AB21</f>
        <v>70612.7484204546</v>
      </c>
      <c r="AD21" s="659" t="n">
        <f aca="false">($D$12+0)/2</f>
        <v>27.5</v>
      </c>
      <c r="AE21" s="705" t="n">
        <f aca="false">T21*$D$11/AD21</f>
        <v>198211.223636364</v>
      </c>
      <c r="AF21" s="705" t="n">
        <f aca="false">($T21-V21)*($D$11/$AD21)+V21*$D$11/$D$12</f>
        <v>127598.475215909</v>
      </c>
      <c r="AG21" s="706" t="n">
        <f aca="false">AE21-AF21</f>
        <v>70612.7484204546</v>
      </c>
      <c r="AH21" s="476" t="n">
        <f aca="false">Y21+AC21+AG21</f>
        <v>149252.104310022</v>
      </c>
      <c r="AK21" s="405"/>
      <c r="AL21" s="405"/>
    </row>
    <row r="22" customFormat="false" ht="13.2" hidden="false" customHeight="false" outlineLevel="0" collapsed="false">
      <c r="B22" s="712"/>
      <c r="C22" s="74" t="s">
        <v>130</v>
      </c>
      <c r="D22" s="715" t="n">
        <f aca="false">'Input-Detail'!AZ39</f>
        <v>12.75</v>
      </c>
      <c r="E22" s="488"/>
      <c r="H22" s="537" t="n">
        <v>16</v>
      </c>
      <c r="I22" s="595" t="n">
        <f aca="false">'Input-Detail'!E30</f>
        <v>27803234.6</v>
      </c>
      <c r="J22" s="600" t="n">
        <f aca="false">'Input-Detail'!F30</f>
        <v>0.85</v>
      </c>
      <c r="K22" s="658" t="n">
        <f aca="false">Y22</f>
        <v>8926.61069561513</v>
      </c>
      <c r="L22" s="658" t="n">
        <f aca="false">AC22</f>
        <v>76838.0301672727</v>
      </c>
      <c r="M22" s="658" t="n">
        <f aca="false">AG22</f>
        <v>76838.0301672727</v>
      </c>
      <c r="N22" s="701" t="n">
        <f aca="false">AH22</f>
        <v>162602.671030161</v>
      </c>
      <c r="O22" s="702" t="n">
        <f aca="false">($D$22*$D$18*$D$14+$D$23*$D$19*$D$15+$D$24*$D$16*$D$20)*(1+$D$25)^$H22</f>
        <v>38.4437854324906</v>
      </c>
      <c r="P22" s="661" t="n">
        <f aca="false">N22*O22</f>
        <v>6251062.19583336</v>
      </c>
      <c r="S22" s="440" t="n">
        <v>16</v>
      </c>
      <c r="T22" s="609" t="n">
        <f aca="false">T$6+(T$26-T$6)*$S22/20</f>
        <v>27803234.6</v>
      </c>
      <c r="U22" s="600" t="n">
        <f aca="false">U$6+(U$26-U$6)*$S22/20</f>
        <v>0.76</v>
      </c>
      <c r="V22" s="451" t="n">
        <f aca="false">T22*U22</f>
        <v>21130458.296</v>
      </c>
      <c r="W22" s="703" t="n">
        <f aca="false">Delay!O23</f>
        <v>11745.8172351504</v>
      </c>
      <c r="X22" s="704" t="n">
        <f aca="false">Delay!S23</f>
        <v>2819.20653953523</v>
      </c>
      <c r="Y22" s="658" t="n">
        <f aca="false">W22-X22</f>
        <v>8926.61069561513</v>
      </c>
      <c r="Z22" s="659" t="n">
        <f aca="false">($D$12+0)/2</f>
        <v>27.5</v>
      </c>
      <c r="AA22" s="705" t="n">
        <f aca="false">($D$10/Z22)*T22</f>
        <v>202205.342545455</v>
      </c>
      <c r="AB22" s="705" t="n">
        <f aca="false">($T22-V22)*($D$10/$Z22)+V22*$D$10/$D$12</f>
        <v>125367.312378182</v>
      </c>
      <c r="AC22" s="706" t="n">
        <f aca="false">AA22-AB22</f>
        <v>76838.0301672727</v>
      </c>
      <c r="AD22" s="659" t="n">
        <f aca="false">($D$12+0)/2</f>
        <v>27.5</v>
      </c>
      <c r="AE22" s="705" t="n">
        <f aca="false">T22*$D$11/AD22</f>
        <v>202205.342545455</v>
      </c>
      <c r="AF22" s="705" t="n">
        <f aca="false">($T22-V22)*($D$11/$AD22)+V22*$D$11/$D$12</f>
        <v>125367.312378182</v>
      </c>
      <c r="AG22" s="706" t="n">
        <f aca="false">AE22-AF22</f>
        <v>76838.0301672727</v>
      </c>
      <c r="AH22" s="476" t="n">
        <f aca="false">Y22+AC22+AG22</f>
        <v>162602.671030161</v>
      </c>
      <c r="AK22" s="405"/>
      <c r="AL22" s="405"/>
    </row>
    <row r="23" customFormat="false" ht="13.2" hidden="false" customHeight="false" outlineLevel="0" collapsed="false">
      <c r="B23" s="712"/>
      <c r="C23" s="74" t="s">
        <v>132</v>
      </c>
      <c r="D23" s="715" t="n">
        <f aca="false">'Input-Detail'!AZ40</f>
        <v>33.41</v>
      </c>
      <c r="E23" s="488"/>
      <c r="H23" s="537" t="n">
        <v>17</v>
      </c>
      <c r="I23" s="595" t="n">
        <f aca="false">'Input-Detail'!E31</f>
        <v>28352425.95</v>
      </c>
      <c r="J23" s="600" t="n">
        <f aca="false">'Input-Detail'!F31</f>
        <v>0.9</v>
      </c>
      <c r="K23" s="658" t="n">
        <f aca="false">Y23</f>
        <v>9880.01377147564</v>
      </c>
      <c r="L23" s="658" t="n">
        <f aca="false">AC23</f>
        <v>83253.0325622727</v>
      </c>
      <c r="M23" s="658" t="n">
        <f aca="false">AG23</f>
        <v>83253.0325622727</v>
      </c>
      <c r="N23" s="701" t="n">
        <f aca="false">AH23</f>
        <v>176386.078896021</v>
      </c>
      <c r="O23" s="702" t="n">
        <f aca="false">($D$22*$D$18*$D$14+$D$23*$D$19*$D$15+$D$24*$D$16*$D$20)*(1+$D$25)^$H23</f>
        <v>39.5970989954654</v>
      </c>
      <c r="P23" s="661" t="n">
        <f aca="false">N23*O23</f>
        <v>6984377.02746771</v>
      </c>
      <c r="S23" s="440" t="n">
        <v>17</v>
      </c>
      <c r="T23" s="609" t="n">
        <f aca="false">T$6+(T$26-T$6)*$S23/20</f>
        <v>28352425.95</v>
      </c>
      <c r="U23" s="600" t="n">
        <f aca="false">U$6+(U$26-U$6)*$S23/20</f>
        <v>0.8075</v>
      </c>
      <c r="V23" s="451" t="n">
        <f aca="false">T23*U23</f>
        <v>22894583.954625</v>
      </c>
      <c r="W23" s="703" t="n">
        <f aca="false">Delay!O24</f>
        <v>11921.1941871764</v>
      </c>
      <c r="X23" s="704" t="n">
        <f aca="false">Delay!S24</f>
        <v>2041.18041570075</v>
      </c>
      <c r="Y23" s="658" t="n">
        <f aca="false">W23-X23</f>
        <v>9880.01377147564</v>
      </c>
      <c r="Z23" s="659" t="n">
        <f aca="false">($D$12+0)/2</f>
        <v>27.5</v>
      </c>
      <c r="AA23" s="705" t="n">
        <f aca="false">($D$10/Z23)*T23</f>
        <v>206199.461454545</v>
      </c>
      <c r="AB23" s="705" t="n">
        <f aca="false">($T23-V23)*($D$10/$Z23)+V23*$D$10/$D$12</f>
        <v>122946.428892273</v>
      </c>
      <c r="AC23" s="706" t="n">
        <f aca="false">AA23-AB23</f>
        <v>83253.0325622727</v>
      </c>
      <c r="AD23" s="659" t="n">
        <f aca="false">($D$12+0)/2</f>
        <v>27.5</v>
      </c>
      <c r="AE23" s="705" t="n">
        <f aca="false">T23*$D$11/AD23</f>
        <v>206199.461454545</v>
      </c>
      <c r="AF23" s="705" t="n">
        <f aca="false">($T23-V23)*($D$11/$AD23)+V23*$D$11/$D$12</f>
        <v>122946.428892273</v>
      </c>
      <c r="AG23" s="706" t="n">
        <f aca="false">AE23-AF23</f>
        <v>83253.0325622727</v>
      </c>
      <c r="AH23" s="476" t="n">
        <f aca="false">Y23+AC23+AG23</f>
        <v>176386.078896021</v>
      </c>
      <c r="AK23" s="405"/>
      <c r="AL23" s="405"/>
    </row>
    <row r="24" customFormat="false" ht="13.2" hidden="false" customHeight="false" outlineLevel="0" collapsed="false">
      <c r="B24" s="712"/>
      <c r="C24" s="74" t="s">
        <v>135</v>
      </c>
      <c r="D24" s="715" t="n">
        <f aca="false">'Input-Detail'!AZ41</f>
        <v>12.75</v>
      </c>
      <c r="E24" s="714"/>
      <c r="H24" s="537" t="n">
        <v>18</v>
      </c>
      <c r="I24" s="595" t="n">
        <f aca="false">'Input-Detail'!E32</f>
        <v>28901617.3</v>
      </c>
      <c r="J24" s="600" t="n">
        <f aca="false">'Input-Detail'!F32</f>
        <v>0.95</v>
      </c>
      <c r="K24" s="658" t="n">
        <f aca="false">Y24</f>
        <v>10902.6193239537</v>
      </c>
      <c r="L24" s="658" t="n">
        <f aca="false">AC24</f>
        <v>89857.7556054545</v>
      </c>
      <c r="M24" s="658" t="n">
        <f aca="false">AG24</f>
        <v>89857.7556054546</v>
      </c>
      <c r="N24" s="701" t="n">
        <f aca="false">AH24</f>
        <v>190618.130534863</v>
      </c>
      <c r="O24" s="702" t="n">
        <f aca="false">($D$22*$D$18*$D$14+$D$23*$D$19*$D$15+$D$24*$D$16*$D$20)*(1+$D$25)^$H24</f>
        <v>40.7850119653293</v>
      </c>
      <c r="P24" s="661" t="n">
        <f aca="false">N24*O24</f>
        <v>7774362.73467309</v>
      </c>
      <c r="S24" s="440" t="n">
        <v>18</v>
      </c>
      <c r="T24" s="609" t="n">
        <f aca="false">T$6+(T$26-T$6)*$S24/20</f>
        <v>28901617.3</v>
      </c>
      <c r="U24" s="600" t="n">
        <f aca="false">U$6+(U$26-U$6)*$S24/20</f>
        <v>0.855</v>
      </c>
      <c r="V24" s="451" t="n">
        <f aca="false">T24*U24</f>
        <v>24710882.7915</v>
      </c>
      <c r="W24" s="703" t="n">
        <f aca="false">Delay!O25</f>
        <v>12100.4546786136</v>
      </c>
      <c r="X24" s="704" t="n">
        <f aca="false">Delay!S25</f>
        <v>1197.83535465987</v>
      </c>
      <c r="Y24" s="658" t="n">
        <f aca="false">W24-X24</f>
        <v>10902.6193239537</v>
      </c>
      <c r="Z24" s="659" t="n">
        <f aca="false">($D$12+0)/2</f>
        <v>27.5</v>
      </c>
      <c r="AA24" s="705" t="n">
        <f aca="false">($D$10/Z24)*T24</f>
        <v>210193.580363636</v>
      </c>
      <c r="AB24" s="705" t="n">
        <f aca="false">($T24-V24)*($D$10/$Z24)+V24*$D$10/$D$12</f>
        <v>120335.824758182</v>
      </c>
      <c r="AC24" s="706" t="n">
        <f aca="false">AA24-AB24</f>
        <v>89857.7556054545</v>
      </c>
      <c r="AD24" s="659" t="n">
        <f aca="false">($D$12+0)/2</f>
        <v>27.5</v>
      </c>
      <c r="AE24" s="705" t="n">
        <f aca="false">T24*$D$11/AD24</f>
        <v>210193.580363636</v>
      </c>
      <c r="AF24" s="705" t="n">
        <f aca="false">($T24-V24)*($D$11/$AD24)+V24*$D$11/$D$12</f>
        <v>120335.824758182</v>
      </c>
      <c r="AG24" s="706" t="n">
        <f aca="false">AE24-AF24</f>
        <v>89857.7556054546</v>
      </c>
      <c r="AH24" s="476" t="n">
        <f aca="false">Y24+AC24+AG24</f>
        <v>190618.130534863</v>
      </c>
      <c r="AK24" s="405"/>
      <c r="AL24" s="405"/>
    </row>
    <row r="25" customFormat="false" ht="13.2" hidden="false" customHeight="false" outlineLevel="0" collapsed="false">
      <c r="B25" s="486" t="s">
        <v>151</v>
      </c>
      <c r="C25" s="74"/>
      <c r="D25" s="716" t="n">
        <f aca="false">'Input-Detail'!BV29</f>
        <v>0.03</v>
      </c>
      <c r="E25" s="710"/>
      <c r="H25" s="537" t="n">
        <v>19</v>
      </c>
      <c r="I25" s="595" t="n">
        <f aca="false">'Input-Detail'!E33</f>
        <v>29450808.65</v>
      </c>
      <c r="J25" s="600" t="n">
        <f aca="false">'Input-Detail'!F33</f>
        <v>0.95</v>
      </c>
      <c r="K25" s="658" t="n">
        <f aca="false">Y25</f>
        <v>11096.6598134702</v>
      </c>
      <c r="L25" s="658" t="n">
        <f aca="false">AC25</f>
        <v>96652.1992968182</v>
      </c>
      <c r="M25" s="658" t="n">
        <f aca="false">AG25</f>
        <v>96652.1992968182</v>
      </c>
      <c r="N25" s="701" t="n">
        <f aca="false">AH25</f>
        <v>204401.058407107</v>
      </c>
      <c r="O25" s="702" t="n">
        <f aca="false">($D$22*$D$18*$D$14+$D$23*$D$19*$D$15+$D$24*$D$16*$D$20)*(1+$D$25)^$H25</f>
        <v>42.0085623242892</v>
      </c>
      <c r="P25" s="661" t="n">
        <f aca="false">N25*O25</f>
        <v>8586594.60124561</v>
      </c>
      <c r="S25" s="440" t="n">
        <v>19</v>
      </c>
      <c r="T25" s="609" t="n">
        <f aca="false">T$6+(T$26-T$6)*$S25/20</f>
        <v>29450808.65</v>
      </c>
      <c r="U25" s="600" t="n">
        <f aca="false">U$6+(U$26-U$6)*$S25/20</f>
        <v>0.9025</v>
      </c>
      <c r="V25" s="451" t="n">
        <f aca="false">T25*U25</f>
        <v>26579354.806625</v>
      </c>
      <c r="W25" s="703" t="n">
        <f aca="false">Delay!O26</f>
        <v>12343.2752845038</v>
      </c>
      <c r="X25" s="704" t="n">
        <f aca="false">Delay!S26</f>
        <v>1246.61547103358</v>
      </c>
      <c r="Y25" s="658" t="n">
        <f aca="false">W25-X25</f>
        <v>11096.6598134702</v>
      </c>
      <c r="Z25" s="659" t="n">
        <f aca="false">($D$12+0)/2</f>
        <v>27.5</v>
      </c>
      <c r="AA25" s="705" t="n">
        <f aca="false">($D$10/Z25)*T25</f>
        <v>214187.699272727</v>
      </c>
      <c r="AB25" s="705" t="n">
        <f aca="false">($T25-V25)*($D$10/$Z25)+V25*$D$10/$D$12</f>
        <v>117535.499975909</v>
      </c>
      <c r="AC25" s="706" t="n">
        <f aca="false">AA25-AB25</f>
        <v>96652.1992968182</v>
      </c>
      <c r="AD25" s="659" t="n">
        <f aca="false">($D$12+0)/2</f>
        <v>27.5</v>
      </c>
      <c r="AE25" s="705" t="n">
        <f aca="false">T25*$D$11/AD25</f>
        <v>214187.699272727</v>
      </c>
      <c r="AF25" s="705" t="n">
        <f aca="false">($T25-V25)*($D$11/$AD25)+V25*$D$11/$D$12</f>
        <v>117535.499975909</v>
      </c>
      <c r="AG25" s="706" t="n">
        <f aca="false">AE25-AF25</f>
        <v>96652.1992968182</v>
      </c>
      <c r="AH25" s="476" t="n">
        <f aca="false">Y25+AC25+AG25</f>
        <v>204401.058407107</v>
      </c>
      <c r="AK25" s="405"/>
      <c r="AL25" s="405"/>
    </row>
    <row r="26" customFormat="false" ht="13.2" hidden="false" customHeight="false" outlineLevel="0" collapsed="false">
      <c r="B26" s="717"/>
      <c r="C26" s="718"/>
      <c r="D26" s="718"/>
      <c r="E26" s="719"/>
      <c r="H26" s="556" t="n">
        <v>20</v>
      </c>
      <c r="I26" s="620" t="n">
        <f aca="false">'Input-Detail'!E34</f>
        <v>30000000</v>
      </c>
      <c r="J26" s="625" t="n">
        <f aca="false">'Input-Detail'!F34</f>
        <v>0.95</v>
      </c>
      <c r="K26" s="676" t="n">
        <f aca="false">Y26</f>
        <v>11289.1155243017</v>
      </c>
      <c r="L26" s="676" t="n">
        <f aca="false">AC26</f>
        <v>103636.363636364</v>
      </c>
      <c r="M26" s="676" t="n">
        <f aca="false">AG26</f>
        <v>103636.363636364</v>
      </c>
      <c r="N26" s="720" t="n">
        <f aca="false">AH26</f>
        <v>218561.842797029</v>
      </c>
      <c r="O26" s="721" t="n">
        <f aca="false">($D$22*$D$18*$D$14+$D$23*$D$19*$D$15+$D$24*$D$16*$D$20)*(1+$D$25)^$H26</f>
        <v>43.2688191940179</v>
      </c>
      <c r="P26" s="679" t="n">
        <f aca="false">N26*O26</f>
        <v>9456912.85869601</v>
      </c>
      <c r="S26" s="490" t="n">
        <v>20</v>
      </c>
      <c r="T26" s="499" t="n">
        <f aca="false">'Input-Detail'!E34</f>
        <v>30000000</v>
      </c>
      <c r="U26" s="500" t="n">
        <f aca="false">'Input-Detail'!F34</f>
        <v>0.95</v>
      </c>
      <c r="V26" s="493" t="n">
        <f aca="false">T26*U26</f>
        <v>28500000</v>
      </c>
      <c r="W26" s="722" t="n">
        <f aca="false">Delay!O27</f>
        <v>12586.5795121123</v>
      </c>
      <c r="X26" s="723" t="n">
        <f aca="false">Delay!S27</f>
        <v>1297.46398781064</v>
      </c>
      <c r="Y26" s="676" t="n">
        <f aca="false">W26-X26</f>
        <v>11289.1155243017</v>
      </c>
      <c r="Z26" s="677" t="n">
        <f aca="false">($D$12+0)/2</f>
        <v>27.5</v>
      </c>
      <c r="AA26" s="724" t="n">
        <f aca="false">($D$10/Z26)*T26</f>
        <v>218181.818181818</v>
      </c>
      <c r="AB26" s="724" t="n">
        <f aca="false">($T26-V26)*($D$10/$Z26)+V26*$D$10/$D$12</f>
        <v>114545.454545455</v>
      </c>
      <c r="AC26" s="725" t="n">
        <f aca="false">AA26-AB26</f>
        <v>103636.363636364</v>
      </c>
      <c r="AD26" s="677" t="n">
        <f aca="false">($D$12+0)/2</f>
        <v>27.5</v>
      </c>
      <c r="AE26" s="724" t="n">
        <f aca="false">T26*$D$11/AD26</f>
        <v>218181.818181818</v>
      </c>
      <c r="AF26" s="724" t="n">
        <f aca="false">($T26-V26)*($D$11/$AD26)+V26*$D$11/$D$12</f>
        <v>114545.454545455</v>
      </c>
      <c r="AG26" s="725" t="n">
        <f aca="false">AE26-AF26</f>
        <v>103636.363636364</v>
      </c>
      <c r="AH26" s="507" t="n">
        <f aca="false">Y26+AC26+AG26</f>
        <v>218561.842797029</v>
      </c>
      <c r="AK26" s="405"/>
      <c r="AL26" s="405"/>
    </row>
    <row r="27" customFormat="false" ht="13.2" hidden="false" customHeight="fals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18"/>
    </row>
    <row r="28" customFormat="false" ht="13.2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18"/>
      <c r="IW28" s="18"/>
    </row>
    <row r="29" customFormat="false" ht="13.8" hidden="false" customHeight="false" outlineLevel="0" collapsed="false">
      <c r="A29" s="726"/>
      <c r="B29" s="726"/>
      <c r="C29" s="726"/>
      <c r="D29" s="726"/>
      <c r="E29" s="726"/>
      <c r="F29" s="726"/>
      <c r="G29" s="726"/>
      <c r="H29" s="297" t="s">
        <v>234</v>
      </c>
      <c r="I29" s="726"/>
      <c r="J29" s="726"/>
      <c r="K29" s="726"/>
      <c r="L29" s="726"/>
      <c r="M29" s="726"/>
      <c r="N29" s="726"/>
      <c r="O29" s="726"/>
      <c r="P29" s="726"/>
      <c r="Q29" s="726"/>
      <c r="R29" s="726"/>
      <c r="S29" s="297" t="s">
        <v>234</v>
      </c>
      <c r="T29" s="726"/>
      <c r="U29" s="726"/>
      <c r="V29" s="726"/>
      <c r="W29" s="726"/>
      <c r="X29" s="726"/>
      <c r="Y29" s="726"/>
      <c r="Z29" s="726"/>
      <c r="AA29" s="726"/>
      <c r="AB29" s="726"/>
      <c r="AC29" s="726"/>
      <c r="AD29" s="726"/>
      <c r="AE29" s="726"/>
      <c r="AF29" s="726"/>
      <c r="AG29" s="726"/>
      <c r="AH29" s="726"/>
      <c r="AI29" s="726"/>
      <c r="AJ29" s="726"/>
      <c r="AK29" s="726"/>
      <c r="AL29" s="726"/>
      <c r="AM29" s="726"/>
      <c r="AN29" s="726"/>
      <c r="AO29" s="726"/>
      <c r="AP29" s="726"/>
      <c r="AQ29" s="726"/>
      <c r="AR29" s="726"/>
      <c r="AS29" s="726"/>
      <c r="AT29" s="726"/>
      <c r="AU29" s="726"/>
      <c r="AV29" s="726"/>
      <c r="AW29" s="726"/>
      <c r="AX29" s="726"/>
      <c r="AY29" s="726"/>
      <c r="AZ29" s="726"/>
      <c r="BA29" s="726"/>
      <c r="BB29" s="726"/>
      <c r="BC29" s="726"/>
      <c r="BD29" s="726"/>
      <c r="BE29" s="726"/>
      <c r="BF29" s="726"/>
      <c r="BG29" s="726"/>
      <c r="BH29" s="726"/>
      <c r="BI29" s="726"/>
      <c r="BJ29" s="726"/>
      <c r="BK29" s="726"/>
      <c r="BL29" s="726"/>
      <c r="BM29" s="726"/>
      <c r="BN29" s="726"/>
      <c r="BO29" s="726"/>
      <c r="BP29" s="726"/>
      <c r="BQ29" s="726"/>
      <c r="BR29" s="726"/>
      <c r="BS29" s="726"/>
      <c r="BT29" s="726"/>
      <c r="BU29" s="726"/>
      <c r="BV29" s="726"/>
      <c r="BW29" s="726"/>
      <c r="BX29" s="726"/>
      <c r="BY29" s="726"/>
      <c r="BZ29" s="726"/>
      <c r="CA29" s="726"/>
      <c r="CB29" s="726"/>
      <c r="CC29" s="726"/>
      <c r="CD29" s="726"/>
      <c r="CE29" s="726"/>
      <c r="CF29" s="726"/>
      <c r="CG29" s="726"/>
      <c r="CH29" s="726"/>
      <c r="CI29" s="726"/>
      <c r="CJ29" s="726"/>
      <c r="CK29" s="726"/>
      <c r="CL29" s="726"/>
      <c r="CM29" s="726"/>
      <c r="CN29" s="726"/>
      <c r="CO29" s="726"/>
      <c r="CP29" s="726"/>
      <c r="CQ29" s="726"/>
      <c r="CR29" s="726"/>
      <c r="CS29" s="726"/>
      <c r="CT29" s="726"/>
      <c r="CU29" s="726"/>
      <c r="CV29" s="726"/>
      <c r="CW29" s="726"/>
      <c r="CX29" s="726"/>
      <c r="CY29" s="726"/>
      <c r="CZ29" s="726"/>
      <c r="DA29" s="726"/>
      <c r="DB29" s="726"/>
      <c r="DC29" s="726"/>
      <c r="DD29" s="726"/>
      <c r="DE29" s="726"/>
      <c r="DF29" s="726"/>
      <c r="DG29" s="726"/>
      <c r="DH29" s="726"/>
      <c r="DI29" s="726"/>
      <c r="DJ29" s="726"/>
      <c r="DK29" s="726"/>
      <c r="DL29" s="726"/>
      <c r="DM29" s="726"/>
      <c r="DN29" s="726"/>
      <c r="DO29" s="726"/>
      <c r="DP29" s="726"/>
      <c r="DQ29" s="726"/>
      <c r="DR29" s="726"/>
      <c r="DS29" s="726"/>
      <c r="DT29" s="726"/>
      <c r="DU29" s="726"/>
      <c r="DV29" s="726"/>
      <c r="DW29" s="726"/>
      <c r="DX29" s="726"/>
      <c r="DY29" s="726"/>
      <c r="DZ29" s="726"/>
      <c r="EA29" s="726"/>
      <c r="EB29" s="726"/>
      <c r="EC29" s="726"/>
      <c r="ED29" s="726"/>
      <c r="EE29" s="726"/>
      <c r="EF29" s="726"/>
      <c r="EG29" s="726"/>
      <c r="EH29" s="726"/>
      <c r="EI29" s="726"/>
      <c r="EJ29" s="726"/>
      <c r="EK29" s="726"/>
      <c r="EL29" s="726"/>
      <c r="EM29" s="726"/>
      <c r="EN29" s="726"/>
      <c r="EO29" s="726"/>
      <c r="EP29" s="726"/>
      <c r="EQ29" s="726"/>
      <c r="ER29" s="726"/>
      <c r="ES29" s="726"/>
      <c r="ET29" s="726"/>
      <c r="EU29" s="726"/>
      <c r="EV29" s="726"/>
      <c r="EW29" s="726"/>
      <c r="EX29" s="726"/>
      <c r="EY29" s="726"/>
      <c r="EZ29" s="726"/>
      <c r="FA29" s="726"/>
      <c r="FB29" s="726"/>
      <c r="FC29" s="726"/>
      <c r="FD29" s="726"/>
      <c r="FE29" s="726"/>
      <c r="FF29" s="726"/>
      <c r="FG29" s="726"/>
      <c r="FH29" s="726"/>
      <c r="FI29" s="726"/>
      <c r="FJ29" s="726"/>
      <c r="FK29" s="726"/>
      <c r="FL29" s="726"/>
      <c r="FM29" s="726"/>
      <c r="FN29" s="726"/>
      <c r="FO29" s="726"/>
      <c r="FP29" s="726"/>
      <c r="FQ29" s="726"/>
      <c r="FR29" s="726"/>
      <c r="FS29" s="726"/>
      <c r="FT29" s="726"/>
      <c r="FU29" s="726"/>
      <c r="FV29" s="726"/>
      <c r="FW29" s="726"/>
      <c r="FX29" s="726"/>
      <c r="FY29" s="726"/>
      <c r="FZ29" s="726"/>
      <c r="GA29" s="726"/>
      <c r="GB29" s="726"/>
      <c r="GC29" s="726"/>
      <c r="GD29" s="726"/>
      <c r="GE29" s="726"/>
      <c r="GF29" s="726"/>
      <c r="GG29" s="726"/>
      <c r="GH29" s="726"/>
      <c r="GI29" s="726"/>
      <c r="GJ29" s="726"/>
      <c r="GK29" s="726"/>
      <c r="GL29" s="726"/>
      <c r="GM29" s="726"/>
      <c r="GN29" s="726"/>
      <c r="GO29" s="726"/>
      <c r="GP29" s="726"/>
      <c r="GQ29" s="726"/>
      <c r="GR29" s="726"/>
      <c r="GS29" s="726"/>
      <c r="GT29" s="726"/>
      <c r="GU29" s="726"/>
      <c r="GV29" s="726"/>
      <c r="GW29" s="726"/>
      <c r="GX29" s="726"/>
      <c r="GY29" s="726"/>
      <c r="GZ29" s="726"/>
      <c r="HA29" s="726"/>
      <c r="HB29" s="726"/>
      <c r="HC29" s="726"/>
      <c r="HD29" s="726"/>
      <c r="HE29" s="726"/>
      <c r="HF29" s="726"/>
      <c r="HG29" s="726"/>
      <c r="HH29" s="726"/>
      <c r="HI29" s="726"/>
      <c r="HJ29" s="726"/>
      <c r="HK29" s="726"/>
      <c r="HL29" s="726"/>
      <c r="HM29" s="726"/>
      <c r="HN29" s="726"/>
      <c r="HO29" s="726"/>
      <c r="HP29" s="726"/>
      <c r="HQ29" s="726"/>
      <c r="HR29" s="726"/>
      <c r="HS29" s="726"/>
      <c r="HT29" s="726"/>
      <c r="HU29" s="726"/>
      <c r="HV29" s="726"/>
      <c r="HW29" s="726"/>
      <c r="HX29" s="726"/>
      <c r="HY29" s="726"/>
      <c r="HZ29" s="726"/>
      <c r="IA29" s="726"/>
      <c r="IB29" s="726"/>
      <c r="IC29" s="726"/>
      <c r="ID29" s="726"/>
      <c r="IE29" s="726"/>
      <c r="IF29" s="726"/>
      <c r="IG29" s="726"/>
      <c r="IH29" s="726"/>
      <c r="II29" s="726"/>
      <c r="IJ29" s="726"/>
      <c r="IK29" s="726"/>
      <c r="IL29" s="726"/>
      <c r="IM29" s="726"/>
      <c r="IN29" s="726"/>
      <c r="IO29" s="726"/>
      <c r="IP29" s="726"/>
      <c r="IQ29" s="726"/>
      <c r="IR29" s="726"/>
      <c r="IS29" s="726"/>
      <c r="IT29" s="726"/>
      <c r="IU29" s="726"/>
      <c r="IV29" s="726"/>
      <c r="IW29" s="726"/>
    </row>
    <row r="30" customFormat="false" ht="13.8" hidden="false" customHeight="false" outlineLevel="0" collapsed="false">
      <c r="A30" s="18"/>
      <c r="B30" s="18"/>
      <c r="C30" s="18"/>
      <c r="D30" s="18"/>
      <c r="E30" s="18"/>
      <c r="F30" s="18"/>
      <c r="G30" s="18"/>
      <c r="H30" s="727" t="s">
        <v>435</v>
      </c>
      <c r="I30" s="728"/>
      <c r="J30" s="728"/>
      <c r="K30" s="728"/>
      <c r="L30" s="728"/>
      <c r="M30" s="728"/>
      <c r="N30" s="728"/>
      <c r="O30" s="728"/>
      <c r="P30" s="729"/>
      <c r="Q30" s="18"/>
      <c r="R30" s="18"/>
      <c r="S30" s="730" t="s">
        <v>436</v>
      </c>
      <c r="T30" s="728"/>
      <c r="U30" s="728"/>
      <c r="V30" s="728"/>
      <c r="W30" s="728"/>
      <c r="X30" s="728"/>
      <c r="Y30" s="728"/>
      <c r="Z30" s="728"/>
      <c r="AA30" s="728"/>
      <c r="AB30" s="728"/>
      <c r="AC30" s="728"/>
      <c r="AD30" s="728"/>
      <c r="AE30" s="728"/>
      <c r="AF30" s="728"/>
      <c r="AG30" s="728"/>
      <c r="AH30" s="729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  <c r="IW30" s="18"/>
    </row>
    <row r="31" customFormat="false" ht="14.4" hidden="false" customHeight="false" outlineLevel="0" collapsed="false">
      <c r="A31" s="18"/>
      <c r="B31" s="18"/>
      <c r="C31" s="18"/>
      <c r="D31" s="18"/>
      <c r="E31" s="18"/>
      <c r="F31" s="18"/>
      <c r="G31" s="18"/>
      <c r="H31" s="731" t="s">
        <v>437</v>
      </c>
      <c r="I31" s="159"/>
      <c r="J31" s="159"/>
      <c r="K31" s="159"/>
      <c r="L31" s="159"/>
      <c r="M31" s="159"/>
      <c r="N31" s="159"/>
      <c r="O31" s="159"/>
      <c r="P31" s="732"/>
      <c r="Q31" s="18"/>
      <c r="R31" s="18"/>
      <c r="S31" s="733" t="s">
        <v>438</v>
      </c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732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18"/>
    </row>
    <row r="32" customFormat="false" ht="13.2" hidden="false" customHeight="false" outlineLevel="0" collapsed="false">
      <c r="A32" s="18"/>
      <c r="B32" s="18"/>
      <c r="C32" s="18"/>
      <c r="D32" s="18"/>
      <c r="E32" s="18"/>
      <c r="F32" s="18"/>
      <c r="G32" s="18"/>
      <c r="H32" s="734" t="s">
        <v>439</v>
      </c>
      <c r="I32" s="159"/>
      <c r="J32" s="159"/>
      <c r="K32" s="159"/>
      <c r="L32" s="159"/>
      <c r="M32" s="159"/>
      <c r="N32" s="159"/>
      <c r="O32" s="159"/>
      <c r="P32" s="732"/>
      <c r="Q32" s="18"/>
      <c r="R32" s="18"/>
      <c r="S32" s="735" t="s">
        <v>440</v>
      </c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732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</row>
    <row r="33" customFormat="false" ht="13.2" hidden="false" customHeight="false" outlineLevel="0" collapsed="false">
      <c r="A33" s="18"/>
      <c r="B33" s="18"/>
      <c r="C33" s="18"/>
      <c r="D33" s="18"/>
      <c r="E33" s="18"/>
      <c r="F33" s="18"/>
      <c r="G33" s="18"/>
      <c r="H33" s="735" t="s">
        <v>441</v>
      </c>
      <c r="I33" s="159"/>
      <c r="J33" s="159"/>
      <c r="K33" s="159"/>
      <c r="L33" s="159"/>
      <c r="M33" s="159"/>
      <c r="N33" s="159"/>
      <c r="O33" s="159"/>
      <c r="P33" s="732"/>
      <c r="Q33" s="18"/>
      <c r="R33" s="18"/>
      <c r="S33" s="735" t="s">
        <v>442</v>
      </c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732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  <c r="IW33" s="18"/>
    </row>
    <row r="34" customFormat="false" ht="13.2" hidden="false" customHeight="false" outlineLevel="0" collapsed="false">
      <c r="A34" s="18"/>
      <c r="B34" s="18"/>
      <c r="C34" s="18"/>
      <c r="D34" s="18"/>
      <c r="E34" s="18"/>
      <c r="F34" s="18"/>
      <c r="G34" s="18"/>
      <c r="H34" s="735" t="s">
        <v>443</v>
      </c>
      <c r="I34" s="159"/>
      <c r="J34" s="159"/>
      <c r="K34" s="159"/>
      <c r="L34" s="159"/>
      <c r="M34" s="159"/>
      <c r="N34" s="159"/>
      <c r="O34" s="159"/>
      <c r="P34" s="732"/>
      <c r="Q34" s="18"/>
      <c r="R34" s="18"/>
      <c r="S34" s="735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732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18"/>
    </row>
    <row r="35" customFormat="false" ht="14.4" hidden="false" customHeight="false" outlineLevel="0" collapsed="false">
      <c r="A35" s="18"/>
      <c r="B35" s="18"/>
      <c r="C35" s="18"/>
      <c r="D35" s="18"/>
      <c r="E35" s="18"/>
      <c r="F35" s="18"/>
      <c r="G35" s="18"/>
      <c r="H35" s="735" t="s">
        <v>444</v>
      </c>
      <c r="I35" s="159"/>
      <c r="J35" s="159"/>
      <c r="K35" s="159"/>
      <c r="L35" s="159"/>
      <c r="M35" s="159"/>
      <c r="N35" s="159"/>
      <c r="O35" s="159"/>
      <c r="P35" s="732"/>
      <c r="Q35" s="18"/>
      <c r="R35" s="18"/>
      <c r="S35" s="733" t="s">
        <v>445</v>
      </c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732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8"/>
      <c r="G36" s="18"/>
      <c r="H36" s="735" t="s">
        <v>446</v>
      </c>
      <c r="I36" s="159"/>
      <c r="J36" s="159"/>
      <c r="K36" s="159"/>
      <c r="L36" s="159"/>
      <c r="M36" s="159"/>
      <c r="N36" s="159"/>
      <c r="O36" s="159"/>
      <c r="P36" s="732"/>
      <c r="Q36" s="18"/>
      <c r="R36" s="18"/>
      <c r="S36" s="735" t="s">
        <v>447</v>
      </c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732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</row>
    <row r="37" customFormat="false" ht="13.2" hidden="false" customHeight="false" outlineLevel="0" collapsed="false">
      <c r="A37" s="18"/>
      <c r="B37" s="18"/>
      <c r="C37" s="18"/>
      <c r="D37" s="18"/>
      <c r="E37" s="18"/>
      <c r="F37" s="18"/>
      <c r="G37" s="18"/>
      <c r="H37" s="735" t="s">
        <v>448</v>
      </c>
      <c r="I37" s="159"/>
      <c r="J37" s="159"/>
      <c r="K37" s="159"/>
      <c r="L37" s="159"/>
      <c r="M37" s="159"/>
      <c r="N37" s="159"/>
      <c r="O37" s="159"/>
      <c r="P37" s="732"/>
      <c r="Q37" s="18"/>
      <c r="R37" s="18"/>
      <c r="S37" s="735" t="s">
        <v>449</v>
      </c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732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  <c r="IS37" s="18"/>
      <c r="IT37" s="18"/>
      <c r="IU37" s="18"/>
      <c r="IV37" s="18"/>
      <c r="IW37" s="18"/>
    </row>
    <row r="38" customFormat="false" ht="14.4" hidden="false" customHeight="false" outlineLevel="0" collapsed="false">
      <c r="A38" s="18"/>
      <c r="B38" s="18"/>
      <c r="C38" s="18"/>
      <c r="D38" s="18"/>
      <c r="E38" s="18"/>
      <c r="F38" s="18"/>
      <c r="G38" s="18"/>
      <c r="H38" s="735" t="s">
        <v>450</v>
      </c>
      <c r="I38" s="159"/>
      <c r="J38" s="159"/>
      <c r="K38" s="159"/>
      <c r="L38" s="159"/>
      <c r="M38" s="159"/>
      <c r="N38" s="159"/>
      <c r="O38" s="159"/>
      <c r="P38" s="732"/>
      <c r="Q38" s="18"/>
      <c r="R38" s="18"/>
      <c r="S38" s="735" t="s">
        <v>451</v>
      </c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732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  <c r="IW38" s="18"/>
    </row>
    <row r="39" customFormat="false" ht="14.4" hidden="false" customHeight="false" outlineLevel="0" collapsed="false">
      <c r="A39" s="18"/>
      <c r="B39" s="18"/>
      <c r="C39" s="18"/>
      <c r="D39" s="18"/>
      <c r="E39" s="18"/>
      <c r="F39" s="18"/>
      <c r="G39" s="18"/>
      <c r="H39" s="735" t="s">
        <v>452</v>
      </c>
      <c r="I39" s="159"/>
      <c r="J39" s="159"/>
      <c r="K39" s="159"/>
      <c r="L39" s="159"/>
      <c r="M39" s="159"/>
      <c r="N39" s="159"/>
      <c r="O39" s="159"/>
      <c r="P39" s="732"/>
      <c r="Q39" s="18"/>
      <c r="R39" s="18"/>
      <c r="S39" s="735" t="s">
        <v>453</v>
      </c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732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  <c r="IO39" s="18"/>
      <c r="IP39" s="18"/>
      <c r="IQ39" s="18"/>
      <c r="IR39" s="18"/>
      <c r="IS39" s="18"/>
      <c r="IT39" s="18"/>
      <c r="IU39" s="18"/>
      <c r="IV39" s="18"/>
      <c r="IW39" s="18"/>
    </row>
    <row r="40" customFormat="false" ht="14.4" hidden="false" customHeight="false" outlineLevel="0" collapsed="false">
      <c r="A40" s="18"/>
      <c r="B40" s="18"/>
      <c r="C40" s="18"/>
      <c r="D40" s="18"/>
      <c r="E40" s="18"/>
      <c r="F40" s="18"/>
      <c r="G40" s="18"/>
      <c r="H40" s="735" t="s">
        <v>454</v>
      </c>
      <c r="I40" s="159"/>
      <c r="J40" s="159"/>
      <c r="K40" s="159"/>
      <c r="L40" s="159"/>
      <c r="M40" s="159"/>
      <c r="N40" s="159"/>
      <c r="O40" s="159"/>
      <c r="P40" s="732"/>
      <c r="Q40" s="18"/>
      <c r="R40" s="18"/>
      <c r="S40" s="735" t="s">
        <v>455</v>
      </c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732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18"/>
      <c r="IK40" s="18"/>
      <c r="IL40" s="18"/>
      <c r="IM40" s="18"/>
      <c r="IN40" s="18"/>
      <c r="IO40" s="18"/>
      <c r="IP40" s="18"/>
      <c r="IQ40" s="18"/>
      <c r="IR40" s="18"/>
      <c r="IS40" s="18"/>
      <c r="IT40" s="18"/>
      <c r="IU40" s="18"/>
      <c r="IV40" s="18"/>
      <c r="IW40" s="18"/>
    </row>
    <row r="41" customFormat="false" ht="15" hidden="false" customHeight="false" outlineLevel="0" collapsed="false">
      <c r="A41" s="18"/>
      <c r="B41" s="18"/>
      <c r="C41" s="18"/>
      <c r="D41" s="18"/>
      <c r="E41" s="18"/>
      <c r="F41" s="18"/>
      <c r="G41" s="18"/>
      <c r="H41" s="736" t="s">
        <v>456</v>
      </c>
      <c r="I41" s="737"/>
      <c r="J41" s="737"/>
      <c r="K41" s="737"/>
      <c r="L41" s="737"/>
      <c r="M41" s="737"/>
      <c r="N41" s="737"/>
      <c r="O41" s="737"/>
      <c r="P41" s="738"/>
      <c r="Q41" s="18"/>
      <c r="R41" s="18"/>
      <c r="S41" s="735" t="s">
        <v>457</v>
      </c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732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18"/>
      <c r="IS41" s="18"/>
      <c r="IT41" s="18"/>
      <c r="IU41" s="18"/>
      <c r="IV41" s="18"/>
      <c r="IW41" s="18"/>
    </row>
    <row r="42" customFormat="false" ht="13.8" hidden="false" customHeight="fals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735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732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18"/>
      <c r="IQ42" s="18"/>
      <c r="IR42" s="18"/>
      <c r="IS42" s="18"/>
      <c r="IT42" s="18"/>
      <c r="IU42" s="18"/>
      <c r="IV42" s="18"/>
      <c r="IW42" s="18"/>
    </row>
    <row r="43" customFormat="false" ht="13.2" hidden="false" customHeight="false" outlineLevel="0" collapsed="false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735" t="s">
        <v>448</v>
      </c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732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18"/>
      <c r="IS43" s="18"/>
      <c r="IT43" s="18"/>
      <c r="IU43" s="18"/>
      <c r="IV43" s="18"/>
      <c r="IW43" s="18"/>
    </row>
    <row r="44" customFormat="false" ht="14.4" hidden="false" customHeight="fals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735" t="s">
        <v>458</v>
      </c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732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18"/>
      <c r="IQ44" s="18"/>
      <c r="IR44" s="18"/>
      <c r="IS44" s="18"/>
      <c r="IT44" s="18"/>
      <c r="IU44" s="18"/>
      <c r="IV44" s="18"/>
      <c r="IW44" s="18"/>
    </row>
    <row r="45" customFormat="false" ht="14.4" hidden="false" customHeight="false" outlineLevel="0" collapsed="false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735" t="s">
        <v>459</v>
      </c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732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IK45" s="18"/>
      <c r="IL45" s="18"/>
      <c r="IM45" s="18"/>
      <c r="IN45" s="18"/>
      <c r="IO45" s="18"/>
      <c r="IP45" s="18"/>
      <c r="IQ45" s="18"/>
      <c r="IR45" s="18"/>
      <c r="IS45" s="18"/>
      <c r="IT45" s="18"/>
      <c r="IU45" s="18"/>
      <c r="IV45" s="18"/>
      <c r="IW45" s="18"/>
    </row>
    <row r="46" customFormat="false" ht="14.4" hidden="false" customHeight="fals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735" t="s">
        <v>460</v>
      </c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732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18"/>
      <c r="IK46" s="18"/>
      <c r="IL46" s="18"/>
      <c r="IM46" s="18"/>
      <c r="IN46" s="18"/>
      <c r="IO46" s="18"/>
      <c r="IP46" s="18"/>
      <c r="IQ46" s="18"/>
      <c r="IR46" s="18"/>
      <c r="IS46" s="18"/>
      <c r="IT46" s="18"/>
      <c r="IU46" s="18"/>
      <c r="IV46" s="18"/>
      <c r="IW46" s="18"/>
    </row>
    <row r="47" customFormat="false" ht="14.4" hidden="false" customHeight="false" outlineLevel="0" collapsed="false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735" t="s">
        <v>461</v>
      </c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732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</row>
    <row r="48" customFormat="false" ht="14.4" hidden="false" customHeight="fals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735" t="s">
        <v>462</v>
      </c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732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18"/>
      <c r="IK48" s="18"/>
      <c r="IL48" s="18"/>
      <c r="IM48" s="18"/>
      <c r="IN48" s="18"/>
      <c r="IO48" s="18"/>
      <c r="IP48" s="18"/>
      <c r="IQ48" s="18"/>
      <c r="IR48" s="18"/>
      <c r="IS48" s="18"/>
      <c r="IT48" s="18"/>
      <c r="IU48" s="18"/>
      <c r="IV48" s="18"/>
      <c r="IW48" s="18"/>
    </row>
    <row r="49" customFormat="false" ht="13.2" hidden="false" customHeight="false" outlineLevel="0" collapsed="false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739" t="s">
        <v>463</v>
      </c>
      <c r="T49" s="740"/>
      <c r="U49" s="740"/>
      <c r="V49" s="740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732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8"/>
      <c r="IG49" s="18"/>
      <c r="IH49" s="18"/>
      <c r="II49" s="18"/>
      <c r="IJ49" s="18"/>
      <c r="IK49" s="18"/>
      <c r="IL49" s="18"/>
      <c r="IM49" s="18"/>
      <c r="IN49" s="18"/>
      <c r="IO49" s="18"/>
      <c r="IP49" s="18"/>
      <c r="IQ49" s="18"/>
      <c r="IR49" s="18"/>
      <c r="IS49" s="18"/>
      <c r="IT49" s="18"/>
      <c r="IU49" s="18"/>
      <c r="IV49" s="18"/>
      <c r="IW49" s="18"/>
    </row>
    <row r="50" customFormat="false" ht="14.4" hidden="false" customHeight="fals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735" t="s">
        <v>464</v>
      </c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732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18"/>
      <c r="IK50" s="18"/>
      <c r="IL50" s="18"/>
      <c r="IM50" s="18"/>
      <c r="IN50" s="18"/>
      <c r="IO50" s="18"/>
      <c r="IP50" s="18"/>
      <c r="IQ50" s="18"/>
      <c r="IR50" s="18"/>
      <c r="IS50" s="18"/>
      <c r="IT50" s="18"/>
      <c r="IU50" s="18"/>
      <c r="IV50" s="18"/>
      <c r="IW50" s="18"/>
    </row>
    <row r="51" customFormat="false" ht="13.2" hidden="false" customHeight="false" outlineLevel="0" collapsed="false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735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732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18"/>
      <c r="HR51" s="18"/>
      <c r="HS51" s="18"/>
      <c r="HT51" s="18"/>
      <c r="HU51" s="18"/>
      <c r="HV51" s="18"/>
      <c r="HW51" s="18"/>
      <c r="HX51" s="18"/>
      <c r="HY51" s="18"/>
      <c r="HZ51" s="18"/>
      <c r="IA51" s="18"/>
      <c r="IB51" s="18"/>
      <c r="IC51" s="18"/>
      <c r="ID51" s="18"/>
      <c r="IE51" s="18"/>
      <c r="IF51" s="18"/>
      <c r="IG51" s="18"/>
      <c r="IH51" s="18"/>
      <c r="II51" s="18"/>
      <c r="IJ51" s="18"/>
      <c r="IK51" s="18"/>
      <c r="IL51" s="18"/>
      <c r="IM51" s="18"/>
      <c r="IN51" s="18"/>
      <c r="IO51" s="18"/>
      <c r="IP51" s="18"/>
      <c r="IQ51" s="18"/>
      <c r="IR51" s="18"/>
      <c r="IS51" s="18"/>
      <c r="IT51" s="18"/>
      <c r="IU51" s="18"/>
      <c r="IV51" s="18"/>
      <c r="IW51" s="18"/>
    </row>
    <row r="52" customFormat="false" ht="14.4" hidden="false" customHeight="fals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733" t="s">
        <v>465</v>
      </c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732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18"/>
      <c r="IA52" s="18"/>
      <c r="IB52" s="18"/>
      <c r="IC52" s="18"/>
      <c r="ID52" s="18"/>
      <c r="IE52" s="18"/>
      <c r="IF52" s="18"/>
      <c r="IG52" s="18"/>
      <c r="IH52" s="18"/>
      <c r="II52" s="18"/>
      <c r="IJ52" s="18"/>
      <c r="IK52" s="18"/>
      <c r="IL52" s="18"/>
      <c r="IM52" s="18"/>
      <c r="IN52" s="18"/>
      <c r="IO52" s="18"/>
      <c r="IP52" s="18"/>
      <c r="IQ52" s="18"/>
      <c r="IR52" s="18"/>
      <c r="IS52" s="18"/>
      <c r="IT52" s="18"/>
      <c r="IU52" s="18"/>
      <c r="IV52" s="18"/>
      <c r="IW52" s="18"/>
    </row>
    <row r="53" customFormat="false" ht="13.2" hidden="false" customHeight="false" outlineLevel="0" collapsed="false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735" t="s">
        <v>466</v>
      </c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732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  <c r="HT53" s="18"/>
      <c r="HU53" s="18"/>
      <c r="HV53" s="18"/>
      <c r="HW53" s="18"/>
      <c r="HX53" s="18"/>
      <c r="HY53" s="18"/>
      <c r="HZ53" s="18"/>
      <c r="IA53" s="18"/>
      <c r="IB53" s="18"/>
      <c r="IC53" s="18"/>
      <c r="ID53" s="18"/>
      <c r="IE53" s="18"/>
      <c r="IF53" s="18"/>
      <c r="IG53" s="18"/>
      <c r="IH53" s="18"/>
      <c r="II53" s="18"/>
      <c r="IJ53" s="18"/>
      <c r="IK53" s="18"/>
      <c r="IL53" s="18"/>
      <c r="IM53" s="18"/>
      <c r="IN53" s="18"/>
      <c r="IO53" s="18"/>
      <c r="IP53" s="18"/>
      <c r="IQ53" s="18"/>
      <c r="IR53" s="18"/>
      <c r="IS53" s="18"/>
      <c r="IT53" s="18"/>
      <c r="IU53" s="18"/>
      <c r="IV53" s="18"/>
      <c r="IW53" s="18"/>
    </row>
    <row r="54" customFormat="false" ht="13.2" hidden="false" customHeight="fals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735" t="s">
        <v>449</v>
      </c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732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8"/>
      <c r="IG54" s="18"/>
      <c r="IH54" s="18"/>
      <c r="II54" s="18"/>
      <c r="IJ54" s="18"/>
      <c r="IK54" s="18"/>
      <c r="IL54" s="18"/>
      <c r="IM54" s="18"/>
      <c r="IN54" s="18"/>
      <c r="IO54" s="18"/>
      <c r="IP54" s="18"/>
      <c r="IQ54" s="18"/>
      <c r="IR54" s="18"/>
      <c r="IS54" s="18"/>
      <c r="IT54" s="18"/>
      <c r="IU54" s="18"/>
      <c r="IV54" s="18"/>
      <c r="IW54" s="18"/>
    </row>
    <row r="55" customFormat="false" ht="13.2" hidden="false" customHeight="false" outlineLevel="0" collapsed="false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735" t="s">
        <v>467</v>
      </c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732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  <c r="IF55" s="18"/>
      <c r="IG55" s="18"/>
      <c r="IH55" s="18"/>
      <c r="II55" s="18"/>
      <c r="IJ55" s="18"/>
      <c r="IK55" s="18"/>
      <c r="IL55" s="18"/>
      <c r="IM55" s="18"/>
      <c r="IN55" s="18"/>
      <c r="IO55" s="18"/>
      <c r="IP55" s="18"/>
      <c r="IQ55" s="18"/>
      <c r="IR55" s="18"/>
      <c r="IS55" s="18"/>
      <c r="IT55" s="18"/>
      <c r="IU55" s="18"/>
      <c r="IV55" s="18"/>
      <c r="IW55" s="18"/>
    </row>
    <row r="56" customFormat="false" ht="14.4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735" t="s">
        <v>468</v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732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  <c r="HM56" s="18"/>
      <c r="HN56" s="18"/>
      <c r="HO56" s="18"/>
      <c r="HP56" s="18"/>
      <c r="HQ56" s="18"/>
      <c r="HR56" s="18"/>
      <c r="HS56" s="18"/>
      <c r="HT56" s="18"/>
      <c r="HU56" s="18"/>
      <c r="HV56" s="18"/>
      <c r="HW56" s="18"/>
      <c r="HX56" s="18"/>
      <c r="HY56" s="18"/>
      <c r="HZ56" s="18"/>
      <c r="IA56" s="18"/>
      <c r="IB56" s="18"/>
      <c r="IC56" s="18"/>
      <c r="ID56" s="18"/>
      <c r="IE56" s="18"/>
      <c r="IF56" s="18"/>
      <c r="IG56" s="18"/>
      <c r="IH56" s="18"/>
      <c r="II56" s="18"/>
      <c r="IJ56" s="18"/>
      <c r="IK56" s="18"/>
      <c r="IL56" s="18"/>
      <c r="IM56" s="18"/>
      <c r="IN56" s="18"/>
      <c r="IO56" s="18"/>
      <c r="IP56" s="18"/>
      <c r="IQ56" s="18"/>
      <c r="IR56" s="18"/>
      <c r="IS56" s="18"/>
      <c r="IT56" s="18"/>
      <c r="IU56" s="18"/>
      <c r="IV56" s="18"/>
      <c r="IW56" s="18"/>
    </row>
    <row r="57" customFormat="false" ht="13.2" hidden="false" customHeight="fals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735" t="s">
        <v>448</v>
      </c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732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  <c r="HT57" s="18"/>
      <c r="HU57" s="18"/>
      <c r="HV57" s="18"/>
      <c r="HW57" s="18"/>
      <c r="HX57" s="18"/>
      <c r="HY57" s="18"/>
      <c r="HZ57" s="18"/>
      <c r="IA57" s="18"/>
      <c r="IB57" s="18"/>
      <c r="IC57" s="18"/>
      <c r="ID57" s="18"/>
      <c r="IE57" s="18"/>
      <c r="IF57" s="18"/>
      <c r="IG57" s="18"/>
      <c r="IH57" s="18"/>
      <c r="II57" s="18"/>
      <c r="IJ57" s="18"/>
      <c r="IK57" s="18"/>
      <c r="IL57" s="18"/>
      <c r="IM57" s="18"/>
      <c r="IN57" s="18"/>
      <c r="IO57" s="18"/>
      <c r="IP57" s="18"/>
      <c r="IQ57" s="18"/>
      <c r="IR57" s="18"/>
      <c r="IS57" s="18"/>
      <c r="IT57" s="18"/>
      <c r="IU57" s="18"/>
      <c r="IV57" s="18"/>
      <c r="IW57" s="18"/>
    </row>
    <row r="58" customFormat="false" ht="14.4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735" t="s">
        <v>469</v>
      </c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732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  <c r="HT58" s="18"/>
      <c r="HU58" s="18"/>
      <c r="HV58" s="18"/>
      <c r="HW58" s="18"/>
      <c r="HX58" s="18"/>
      <c r="HY58" s="18"/>
      <c r="HZ58" s="18"/>
      <c r="IA58" s="18"/>
      <c r="IB58" s="18"/>
      <c r="IC58" s="18"/>
      <c r="ID58" s="18"/>
      <c r="IE58" s="18"/>
      <c r="IF58" s="18"/>
      <c r="IG58" s="18"/>
      <c r="IH58" s="18"/>
      <c r="II58" s="18"/>
      <c r="IJ58" s="18"/>
      <c r="IK58" s="18"/>
      <c r="IL58" s="18"/>
      <c r="IM58" s="18"/>
      <c r="IN58" s="18"/>
      <c r="IO58" s="18"/>
      <c r="IP58" s="18"/>
      <c r="IQ58" s="18"/>
      <c r="IR58" s="18"/>
      <c r="IS58" s="18"/>
      <c r="IT58" s="18"/>
      <c r="IU58" s="18"/>
      <c r="IV58" s="18"/>
      <c r="IW58" s="18"/>
    </row>
    <row r="59" customFormat="false" ht="14.4" hidden="false" customHeight="fals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735" t="s">
        <v>470</v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732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  <c r="FR59" s="18"/>
      <c r="FS59" s="18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18"/>
      <c r="GH59" s="18"/>
      <c r="GI59" s="18"/>
      <c r="GJ59" s="18"/>
      <c r="GK59" s="18"/>
      <c r="GL59" s="18"/>
      <c r="GM59" s="18"/>
      <c r="GN59" s="18"/>
      <c r="GO59" s="18"/>
      <c r="GP59" s="18"/>
      <c r="GQ59" s="18"/>
      <c r="GR59" s="18"/>
      <c r="GS59" s="18"/>
      <c r="GT59" s="18"/>
      <c r="GU59" s="18"/>
      <c r="GV59" s="18"/>
      <c r="GW59" s="18"/>
      <c r="GX59" s="18"/>
      <c r="GY59" s="18"/>
      <c r="GZ59" s="18"/>
      <c r="HA59" s="18"/>
      <c r="HB59" s="18"/>
      <c r="HC59" s="18"/>
      <c r="HD59" s="18"/>
      <c r="HE59" s="18"/>
      <c r="HF59" s="18"/>
      <c r="HG59" s="18"/>
      <c r="HH59" s="18"/>
      <c r="HI59" s="18"/>
      <c r="HJ59" s="18"/>
      <c r="HK59" s="18"/>
      <c r="HL59" s="18"/>
      <c r="HM59" s="18"/>
      <c r="HN59" s="18"/>
      <c r="HO59" s="18"/>
      <c r="HP59" s="18"/>
      <c r="HQ59" s="18"/>
      <c r="HR59" s="18"/>
      <c r="HS59" s="18"/>
      <c r="HT59" s="18"/>
      <c r="HU59" s="18"/>
      <c r="HV59" s="18"/>
      <c r="HW59" s="18"/>
      <c r="HX59" s="18"/>
      <c r="HY59" s="18"/>
      <c r="HZ59" s="18"/>
      <c r="IA59" s="18"/>
      <c r="IB59" s="18"/>
      <c r="IC59" s="18"/>
      <c r="ID59" s="18"/>
      <c r="IE59" s="18"/>
      <c r="IF59" s="18"/>
      <c r="IG59" s="18"/>
      <c r="IH59" s="18"/>
      <c r="II59" s="18"/>
      <c r="IJ59" s="18"/>
      <c r="IK59" s="18"/>
      <c r="IL59" s="18"/>
      <c r="IM59" s="18"/>
      <c r="IN59" s="18"/>
      <c r="IO59" s="18"/>
      <c r="IP59" s="18"/>
      <c r="IQ59" s="18"/>
      <c r="IR59" s="18"/>
      <c r="IS59" s="18"/>
      <c r="IT59" s="18"/>
      <c r="IU59" s="18"/>
      <c r="IV59" s="18"/>
      <c r="IW59" s="18"/>
    </row>
    <row r="60" customFormat="false" ht="13.2" hidden="false" customHeight="fals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739" t="s">
        <v>471</v>
      </c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732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18"/>
      <c r="HR60" s="18"/>
      <c r="HS60" s="18"/>
      <c r="HT60" s="18"/>
      <c r="HU60" s="18"/>
      <c r="HV60" s="18"/>
      <c r="HW60" s="18"/>
      <c r="HX60" s="18"/>
      <c r="HY60" s="18"/>
      <c r="HZ60" s="18"/>
      <c r="IA60" s="18"/>
      <c r="IB60" s="18"/>
      <c r="IC60" s="18"/>
      <c r="ID60" s="18"/>
      <c r="IE60" s="18"/>
      <c r="IF60" s="18"/>
      <c r="IG60" s="18"/>
      <c r="IH60" s="18"/>
      <c r="II60" s="18"/>
      <c r="IJ60" s="18"/>
      <c r="IK60" s="18"/>
      <c r="IL60" s="18"/>
      <c r="IM60" s="18"/>
      <c r="IN60" s="18"/>
      <c r="IO60" s="18"/>
      <c r="IP60" s="18"/>
      <c r="IQ60" s="18"/>
      <c r="IR60" s="18"/>
      <c r="IS60" s="18"/>
      <c r="IT60" s="18"/>
      <c r="IU60" s="18"/>
      <c r="IV60" s="18"/>
      <c r="IW60" s="18"/>
    </row>
    <row r="61" customFormat="false" ht="15" hidden="false" customHeight="false" outlineLevel="0" collapsed="false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736" t="s">
        <v>472</v>
      </c>
      <c r="T61" s="737"/>
      <c r="U61" s="737"/>
      <c r="V61" s="737"/>
      <c r="W61" s="737"/>
      <c r="X61" s="737"/>
      <c r="Y61" s="737"/>
      <c r="Z61" s="737"/>
      <c r="AA61" s="737"/>
      <c r="AB61" s="737"/>
      <c r="AC61" s="737"/>
      <c r="AD61" s="737"/>
      <c r="AE61" s="737"/>
      <c r="AF61" s="737"/>
      <c r="AG61" s="737"/>
      <c r="AH61" s="73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8"/>
      <c r="HQ61" s="18"/>
      <c r="HR61" s="18"/>
      <c r="HS61" s="18"/>
      <c r="HT61" s="18"/>
      <c r="HU61" s="18"/>
      <c r="HV61" s="18"/>
      <c r="HW61" s="18"/>
      <c r="HX61" s="18"/>
      <c r="HY61" s="18"/>
      <c r="HZ61" s="18"/>
      <c r="IA61" s="18"/>
      <c r="IB61" s="18"/>
      <c r="IC61" s="18"/>
      <c r="ID61" s="18"/>
      <c r="IE61" s="18"/>
      <c r="IF61" s="18"/>
      <c r="IG61" s="18"/>
      <c r="IH61" s="18"/>
      <c r="II61" s="18"/>
      <c r="IJ61" s="18"/>
      <c r="IK61" s="18"/>
      <c r="IL61" s="18"/>
      <c r="IM61" s="18"/>
      <c r="IN61" s="18"/>
      <c r="IO61" s="18"/>
      <c r="IP61" s="18"/>
      <c r="IQ61" s="18"/>
      <c r="IR61" s="18"/>
      <c r="IS61" s="18"/>
      <c r="IT61" s="18"/>
      <c r="IU61" s="18"/>
      <c r="IV61" s="18"/>
      <c r="IW61" s="18"/>
    </row>
    <row r="62" customFormat="false" ht="13.8" hidden="false" customHeight="fals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8"/>
      <c r="HQ62" s="18"/>
      <c r="HR62" s="18"/>
      <c r="HS62" s="18"/>
      <c r="HT62" s="18"/>
      <c r="HU62" s="18"/>
      <c r="HV62" s="18"/>
      <c r="HW62" s="18"/>
      <c r="HX62" s="18"/>
      <c r="HY62" s="18"/>
      <c r="HZ62" s="18"/>
      <c r="IA62" s="18"/>
      <c r="IB62" s="18"/>
      <c r="IC62" s="18"/>
      <c r="ID62" s="18"/>
      <c r="IE62" s="18"/>
      <c r="IF62" s="18"/>
      <c r="IG62" s="18"/>
      <c r="IH62" s="18"/>
      <c r="II62" s="18"/>
      <c r="IJ62" s="18"/>
      <c r="IK62" s="18"/>
      <c r="IL62" s="18"/>
      <c r="IM62" s="18"/>
      <c r="IN62" s="18"/>
      <c r="IO62" s="18"/>
      <c r="IP62" s="18"/>
      <c r="IQ62" s="18"/>
      <c r="IR62" s="18"/>
      <c r="IS62" s="18"/>
      <c r="IT62" s="18"/>
      <c r="IU62" s="18"/>
      <c r="IV62" s="18"/>
      <c r="IW62" s="18"/>
    </row>
    <row r="63" customFormat="false" ht="13.2" hidden="false" customHeight="false" outlineLevel="0" collapsed="false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18"/>
      <c r="HR63" s="18"/>
      <c r="HS63" s="18"/>
      <c r="HT63" s="18"/>
      <c r="HU63" s="18"/>
      <c r="HV63" s="18"/>
      <c r="HW63" s="18"/>
      <c r="HX63" s="18"/>
      <c r="HY63" s="18"/>
      <c r="HZ63" s="18"/>
      <c r="IA63" s="18"/>
      <c r="IB63" s="18"/>
      <c r="IC63" s="18"/>
      <c r="ID63" s="18"/>
      <c r="IE63" s="18"/>
      <c r="IF63" s="18"/>
      <c r="IG63" s="18"/>
      <c r="IH63" s="18"/>
      <c r="II63" s="18"/>
      <c r="IJ63" s="18"/>
      <c r="IK63" s="18"/>
      <c r="IL63" s="18"/>
      <c r="IM63" s="18"/>
      <c r="IN63" s="18"/>
      <c r="IO63" s="18"/>
      <c r="IP63" s="18"/>
      <c r="IQ63" s="18"/>
      <c r="IR63" s="18"/>
      <c r="IS63" s="18"/>
      <c r="IT63" s="18"/>
      <c r="IU63" s="18"/>
      <c r="IV63" s="18"/>
      <c r="IW63" s="18"/>
    </row>
    <row r="64" customFormat="false" ht="13.2" hidden="false" customHeight="fals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8"/>
      <c r="IG64" s="18"/>
      <c r="IH64" s="18"/>
      <c r="II64" s="18"/>
      <c r="IJ64" s="18"/>
      <c r="IK64" s="18"/>
      <c r="IL64" s="18"/>
      <c r="IM64" s="18"/>
      <c r="IN64" s="18"/>
      <c r="IO64" s="18"/>
      <c r="IP64" s="18"/>
      <c r="IQ64" s="18"/>
      <c r="IR64" s="18"/>
      <c r="IS64" s="18"/>
      <c r="IT64" s="18"/>
      <c r="IU64" s="18"/>
      <c r="IV64" s="18"/>
      <c r="IW64" s="18"/>
    </row>
    <row r="65" customFormat="false" ht="13.2" hidden="false" customHeight="false" outlineLevel="0" collapsed="false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18"/>
      <c r="IQ65" s="18"/>
      <c r="IR65" s="18"/>
      <c r="IS65" s="18"/>
      <c r="IT65" s="18"/>
      <c r="IU65" s="18"/>
      <c r="IV65" s="18"/>
      <c r="IW65" s="18"/>
    </row>
    <row r="66" customFormat="false" ht="13.2" hidden="false" customHeight="fals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8"/>
      <c r="HQ66" s="18"/>
      <c r="HR66" s="18"/>
      <c r="HS66" s="18"/>
      <c r="HT66" s="18"/>
      <c r="HU66" s="18"/>
      <c r="HV66" s="18"/>
      <c r="HW66" s="18"/>
      <c r="HX66" s="18"/>
      <c r="HY66" s="18"/>
      <c r="HZ66" s="18"/>
      <c r="IA66" s="18"/>
      <c r="IB66" s="18"/>
      <c r="IC66" s="18"/>
      <c r="ID66" s="18"/>
      <c r="IE66" s="18"/>
      <c r="IF66" s="18"/>
      <c r="IG66" s="18"/>
      <c r="IH66" s="18"/>
      <c r="II66" s="18"/>
      <c r="IJ66" s="18"/>
      <c r="IK66" s="18"/>
      <c r="IL66" s="18"/>
      <c r="IM66" s="18"/>
      <c r="IN66" s="18"/>
      <c r="IO66" s="18"/>
      <c r="IP66" s="18"/>
      <c r="IQ66" s="18"/>
      <c r="IR66" s="18"/>
      <c r="IS66" s="18"/>
      <c r="IT66" s="18"/>
      <c r="IU66" s="18"/>
      <c r="IV66" s="18"/>
      <c r="IW66" s="18"/>
    </row>
    <row r="67" customFormat="false" ht="13.2" hidden="false" customHeight="false" outlineLevel="0" collapsed="false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8"/>
      <c r="HQ67" s="18"/>
      <c r="HR67" s="18"/>
      <c r="HS67" s="18"/>
      <c r="HT67" s="18"/>
      <c r="HU67" s="18"/>
      <c r="HV67" s="18"/>
      <c r="HW67" s="18"/>
      <c r="HX67" s="18"/>
      <c r="HY67" s="18"/>
      <c r="HZ67" s="18"/>
      <c r="IA67" s="18"/>
      <c r="IB67" s="18"/>
      <c r="IC67" s="18"/>
      <c r="ID67" s="18"/>
      <c r="IE67" s="18"/>
      <c r="IF67" s="18"/>
      <c r="IG67" s="18"/>
      <c r="IH67" s="18"/>
      <c r="II67" s="18"/>
      <c r="IJ67" s="18"/>
      <c r="IK67" s="18"/>
      <c r="IL67" s="18"/>
      <c r="IM67" s="18"/>
      <c r="IN67" s="18"/>
      <c r="IO67" s="18"/>
      <c r="IP67" s="18"/>
      <c r="IQ67" s="18"/>
      <c r="IR67" s="18"/>
      <c r="IS67" s="18"/>
      <c r="IT67" s="18"/>
      <c r="IU67" s="18"/>
      <c r="IV67" s="18"/>
      <c r="IW67" s="18"/>
    </row>
    <row r="68" customFormat="false" ht="13.2" hidden="false" customHeight="fals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  <c r="HO68" s="18"/>
      <c r="HP68" s="18"/>
      <c r="HQ68" s="18"/>
      <c r="HR68" s="18"/>
      <c r="HS68" s="18"/>
      <c r="HT68" s="18"/>
      <c r="HU68" s="18"/>
      <c r="HV68" s="18"/>
      <c r="HW68" s="18"/>
      <c r="HX68" s="18"/>
      <c r="HY68" s="18"/>
      <c r="HZ68" s="18"/>
      <c r="IA68" s="18"/>
      <c r="IB68" s="18"/>
      <c r="IC68" s="18"/>
      <c r="ID68" s="18"/>
      <c r="IE68" s="18"/>
      <c r="IF68" s="18"/>
      <c r="IG68" s="18"/>
      <c r="IH68" s="18"/>
      <c r="II68" s="18"/>
      <c r="IJ68" s="18"/>
      <c r="IK68" s="18"/>
      <c r="IL68" s="18"/>
      <c r="IM68" s="18"/>
      <c r="IN68" s="18"/>
      <c r="IO68" s="18"/>
      <c r="IP68" s="18"/>
      <c r="IQ68" s="18"/>
      <c r="IR68" s="18"/>
      <c r="IS68" s="18"/>
      <c r="IT68" s="18"/>
      <c r="IU68" s="18"/>
      <c r="IV68" s="18"/>
      <c r="IW68" s="18"/>
    </row>
    <row r="69" customFormat="false" ht="13.2" hidden="false" customHeight="false" outlineLevel="0" collapsed="false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  <c r="GX69" s="18"/>
      <c r="GY69" s="18"/>
      <c r="GZ69" s="18"/>
      <c r="HA69" s="18"/>
      <c r="HB69" s="18"/>
      <c r="HC69" s="18"/>
      <c r="HD69" s="18"/>
      <c r="HE69" s="18"/>
      <c r="HF69" s="18"/>
      <c r="HG69" s="18"/>
      <c r="HH69" s="18"/>
      <c r="HI69" s="18"/>
      <c r="HJ69" s="18"/>
      <c r="HK69" s="18"/>
      <c r="HL69" s="18"/>
      <c r="HM69" s="18"/>
      <c r="HN69" s="18"/>
      <c r="HO69" s="18"/>
      <c r="HP69" s="18"/>
      <c r="HQ69" s="18"/>
      <c r="HR69" s="18"/>
      <c r="HS69" s="18"/>
      <c r="HT69" s="18"/>
      <c r="HU69" s="18"/>
      <c r="HV69" s="18"/>
      <c r="HW69" s="18"/>
      <c r="HX69" s="18"/>
      <c r="HY69" s="18"/>
      <c r="HZ69" s="18"/>
      <c r="IA69" s="18"/>
      <c r="IB69" s="18"/>
      <c r="IC69" s="18"/>
      <c r="ID69" s="18"/>
      <c r="IE69" s="18"/>
      <c r="IF69" s="18"/>
      <c r="IG69" s="18"/>
      <c r="IH69" s="18"/>
      <c r="II69" s="18"/>
      <c r="IJ69" s="18"/>
      <c r="IK69" s="18"/>
      <c r="IL69" s="18"/>
      <c r="IM69" s="18"/>
      <c r="IN69" s="18"/>
      <c r="IO69" s="18"/>
      <c r="IP69" s="18"/>
      <c r="IQ69" s="18"/>
      <c r="IR69" s="18"/>
      <c r="IS69" s="18"/>
      <c r="IT69" s="18"/>
      <c r="IU69" s="18"/>
      <c r="IV69" s="18"/>
      <c r="IW69" s="18"/>
    </row>
    <row r="70" customFormat="false" ht="13.2" hidden="false" customHeight="fals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8"/>
      <c r="HU70" s="18"/>
      <c r="HV70" s="18"/>
      <c r="HW70" s="18"/>
      <c r="HX70" s="18"/>
      <c r="HY70" s="18"/>
      <c r="HZ70" s="18"/>
      <c r="IA70" s="18"/>
      <c r="IB70" s="18"/>
      <c r="IC70" s="18"/>
      <c r="ID70" s="18"/>
      <c r="IE70" s="18"/>
      <c r="IF70" s="18"/>
      <c r="IG70" s="18"/>
      <c r="IH70" s="18"/>
      <c r="II70" s="18"/>
      <c r="IJ70" s="18"/>
      <c r="IK70" s="18"/>
      <c r="IL70" s="18"/>
      <c r="IM70" s="18"/>
      <c r="IN70" s="18"/>
      <c r="IO70" s="18"/>
      <c r="IP70" s="18"/>
      <c r="IQ70" s="18"/>
      <c r="IR70" s="18"/>
      <c r="IS70" s="18"/>
      <c r="IT70" s="18"/>
      <c r="IU70" s="18"/>
      <c r="IV70" s="18"/>
      <c r="IW70" s="18"/>
    </row>
    <row r="71" customFormat="false" ht="13.2" hidden="false" customHeight="false" outlineLevel="0" collapsed="false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18"/>
      <c r="HC71" s="18"/>
      <c r="HD71" s="18"/>
      <c r="HE71" s="18"/>
      <c r="HF71" s="18"/>
      <c r="HG71" s="18"/>
      <c r="HH71" s="18"/>
      <c r="HI71" s="18"/>
      <c r="HJ71" s="18"/>
      <c r="HK71" s="18"/>
      <c r="HL71" s="18"/>
      <c r="HM71" s="18"/>
      <c r="HN71" s="18"/>
      <c r="HO71" s="18"/>
      <c r="HP71" s="18"/>
      <c r="HQ71" s="18"/>
      <c r="HR71" s="18"/>
      <c r="HS71" s="18"/>
      <c r="HT71" s="18"/>
      <c r="HU71" s="18"/>
      <c r="HV71" s="18"/>
      <c r="HW71" s="18"/>
      <c r="HX71" s="18"/>
      <c r="HY71" s="18"/>
      <c r="HZ71" s="18"/>
      <c r="IA71" s="18"/>
      <c r="IB71" s="18"/>
      <c r="IC71" s="18"/>
      <c r="ID71" s="18"/>
      <c r="IE71" s="18"/>
      <c r="IF71" s="18"/>
      <c r="IG71" s="18"/>
      <c r="IH71" s="18"/>
      <c r="II71" s="18"/>
      <c r="IJ71" s="18"/>
      <c r="IK71" s="18"/>
      <c r="IL71" s="18"/>
      <c r="IM71" s="18"/>
      <c r="IN71" s="18"/>
      <c r="IO71" s="18"/>
      <c r="IP71" s="18"/>
      <c r="IQ71" s="18"/>
      <c r="IR71" s="18"/>
      <c r="IS71" s="18"/>
      <c r="IT71" s="18"/>
      <c r="IU71" s="18"/>
      <c r="IV71" s="18"/>
      <c r="IW71" s="18"/>
    </row>
    <row r="72" customFormat="false" ht="13.2" hidden="false" customHeight="fals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  <c r="HO72" s="18"/>
      <c r="HP72" s="18"/>
      <c r="HQ72" s="18"/>
      <c r="HR72" s="18"/>
      <c r="HS72" s="18"/>
      <c r="HT72" s="18"/>
      <c r="HU72" s="18"/>
      <c r="HV72" s="18"/>
      <c r="HW72" s="18"/>
      <c r="HX72" s="18"/>
      <c r="HY72" s="18"/>
      <c r="HZ72" s="18"/>
      <c r="IA72" s="18"/>
      <c r="IB72" s="18"/>
      <c r="IC72" s="18"/>
      <c r="ID72" s="18"/>
      <c r="IE72" s="18"/>
      <c r="IF72" s="18"/>
      <c r="IG72" s="18"/>
      <c r="IH72" s="18"/>
      <c r="II72" s="18"/>
      <c r="IJ72" s="18"/>
      <c r="IK72" s="18"/>
      <c r="IL72" s="18"/>
      <c r="IM72" s="18"/>
      <c r="IN72" s="18"/>
      <c r="IO72" s="18"/>
      <c r="IP72" s="18"/>
      <c r="IQ72" s="18"/>
      <c r="IR72" s="18"/>
      <c r="IS72" s="18"/>
      <c r="IT72" s="18"/>
      <c r="IU72" s="18"/>
      <c r="IV72" s="18"/>
      <c r="IW72" s="18"/>
    </row>
    <row r="73" customFormat="false" ht="13.2" hidden="false" customHeight="false" outlineLevel="0" collapsed="false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  <c r="HO73" s="18"/>
      <c r="HP73" s="18"/>
      <c r="HQ73" s="18"/>
      <c r="HR73" s="18"/>
      <c r="HS73" s="18"/>
      <c r="HT73" s="18"/>
      <c r="HU73" s="18"/>
      <c r="HV73" s="18"/>
      <c r="HW73" s="18"/>
      <c r="HX73" s="18"/>
      <c r="HY73" s="18"/>
      <c r="HZ73" s="18"/>
      <c r="IA73" s="18"/>
      <c r="IB73" s="18"/>
      <c r="IC73" s="18"/>
      <c r="ID73" s="18"/>
      <c r="IE73" s="18"/>
      <c r="IF73" s="18"/>
      <c r="IG73" s="18"/>
      <c r="IH73" s="18"/>
      <c r="II73" s="18"/>
      <c r="IJ73" s="18"/>
      <c r="IK73" s="18"/>
      <c r="IL73" s="18"/>
      <c r="IM73" s="18"/>
      <c r="IN73" s="18"/>
      <c r="IO73" s="18"/>
      <c r="IP73" s="18"/>
      <c r="IQ73" s="18"/>
      <c r="IR73" s="18"/>
      <c r="IS73" s="18"/>
      <c r="IT73" s="18"/>
      <c r="IU73" s="18"/>
      <c r="IV73" s="18"/>
      <c r="IW73" s="18"/>
    </row>
    <row r="74" customFormat="false" ht="13.2" hidden="false" customHeight="fals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18"/>
      <c r="GF74" s="18"/>
      <c r="GG74" s="18"/>
      <c r="GH74" s="18"/>
      <c r="GI74" s="18"/>
      <c r="GJ74" s="18"/>
      <c r="GK74" s="18"/>
      <c r="GL74" s="18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18"/>
      <c r="HC74" s="18"/>
      <c r="HD74" s="18"/>
      <c r="HE74" s="18"/>
      <c r="HF74" s="18"/>
      <c r="HG74" s="18"/>
      <c r="HH74" s="18"/>
      <c r="HI74" s="18"/>
      <c r="HJ74" s="18"/>
      <c r="HK74" s="18"/>
      <c r="HL74" s="18"/>
      <c r="HM74" s="18"/>
      <c r="HN74" s="18"/>
      <c r="HO74" s="18"/>
      <c r="HP74" s="18"/>
      <c r="HQ74" s="18"/>
      <c r="HR74" s="18"/>
      <c r="HS74" s="18"/>
      <c r="HT74" s="18"/>
      <c r="HU74" s="18"/>
      <c r="HV74" s="18"/>
      <c r="HW74" s="18"/>
      <c r="HX74" s="18"/>
      <c r="HY74" s="18"/>
      <c r="HZ74" s="18"/>
      <c r="IA74" s="18"/>
      <c r="IB74" s="18"/>
      <c r="IC74" s="18"/>
      <c r="ID74" s="18"/>
      <c r="IE74" s="18"/>
      <c r="IF74" s="18"/>
      <c r="IG74" s="18"/>
      <c r="IH74" s="18"/>
      <c r="II74" s="18"/>
      <c r="IJ74" s="18"/>
      <c r="IK74" s="18"/>
      <c r="IL74" s="18"/>
      <c r="IM74" s="18"/>
      <c r="IN74" s="18"/>
      <c r="IO74" s="18"/>
      <c r="IP74" s="18"/>
      <c r="IQ74" s="18"/>
      <c r="IR74" s="18"/>
      <c r="IS74" s="18"/>
      <c r="IT74" s="18"/>
      <c r="IU74" s="18"/>
      <c r="IV74" s="18"/>
      <c r="IW74" s="18"/>
    </row>
    <row r="75" customFormat="false" ht="13.2" hidden="false" customHeight="false" outlineLevel="0" collapsed="false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  <c r="GX75" s="18"/>
      <c r="GY75" s="18"/>
      <c r="GZ75" s="18"/>
      <c r="HA75" s="18"/>
      <c r="HB75" s="18"/>
      <c r="HC75" s="18"/>
      <c r="HD75" s="18"/>
      <c r="HE75" s="18"/>
      <c r="HF75" s="18"/>
      <c r="HG75" s="18"/>
      <c r="HH75" s="18"/>
      <c r="HI75" s="18"/>
      <c r="HJ75" s="18"/>
      <c r="HK75" s="18"/>
      <c r="HL75" s="18"/>
      <c r="HM75" s="18"/>
      <c r="HN75" s="18"/>
      <c r="HO75" s="18"/>
      <c r="HP75" s="18"/>
      <c r="HQ75" s="18"/>
      <c r="HR75" s="18"/>
      <c r="HS75" s="18"/>
      <c r="HT75" s="18"/>
      <c r="HU75" s="18"/>
      <c r="HV75" s="18"/>
      <c r="HW75" s="18"/>
      <c r="HX75" s="18"/>
      <c r="HY75" s="18"/>
      <c r="HZ75" s="18"/>
      <c r="IA75" s="18"/>
      <c r="IB75" s="18"/>
      <c r="IC75" s="18"/>
      <c r="ID75" s="18"/>
      <c r="IE75" s="18"/>
      <c r="IF75" s="18"/>
      <c r="IG75" s="18"/>
      <c r="IH75" s="18"/>
      <c r="II75" s="18"/>
      <c r="IJ75" s="18"/>
      <c r="IK75" s="18"/>
      <c r="IL75" s="18"/>
      <c r="IM75" s="18"/>
      <c r="IN75" s="18"/>
      <c r="IO75" s="18"/>
      <c r="IP75" s="18"/>
      <c r="IQ75" s="18"/>
      <c r="IR75" s="18"/>
      <c r="IS75" s="18"/>
      <c r="IT75" s="18"/>
      <c r="IU75" s="18"/>
      <c r="IV75" s="18"/>
      <c r="IW75" s="18"/>
    </row>
    <row r="76" customFormat="false" ht="13.2" hidden="false" customHeight="fals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  <c r="GX76" s="18"/>
      <c r="GY76" s="18"/>
      <c r="GZ76" s="18"/>
      <c r="HA76" s="18"/>
      <c r="HB76" s="18"/>
      <c r="HC76" s="18"/>
      <c r="HD76" s="18"/>
      <c r="HE76" s="18"/>
      <c r="HF76" s="18"/>
      <c r="HG76" s="18"/>
      <c r="HH76" s="18"/>
      <c r="HI76" s="18"/>
      <c r="HJ76" s="18"/>
      <c r="HK76" s="18"/>
      <c r="HL76" s="18"/>
      <c r="HM76" s="18"/>
      <c r="HN76" s="18"/>
      <c r="HO76" s="18"/>
      <c r="HP76" s="18"/>
      <c r="HQ76" s="18"/>
      <c r="HR76" s="18"/>
      <c r="HS76" s="18"/>
      <c r="HT76" s="18"/>
      <c r="HU76" s="18"/>
      <c r="HV76" s="18"/>
      <c r="HW76" s="18"/>
      <c r="HX76" s="18"/>
      <c r="HY76" s="18"/>
      <c r="HZ76" s="18"/>
      <c r="IA76" s="18"/>
      <c r="IB76" s="18"/>
      <c r="IC76" s="18"/>
      <c r="ID76" s="18"/>
      <c r="IE76" s="18"/>
      <c r="IF76" s="18"/>
      <c r="IG76" s="18"/>
      <c r="IH76" s="18"/>
      <c r="II76" s="18"/>
      <c r="IJ76" s="18"/>
      <c r="IK76" s="18"/>
      <c r="IL76" s="18"/>
      <c r="IM76" s="18"/>
      <c r="IN76" s="18"/>
      <c r="IO76" s="18"/>
      <c r="IP76" s="18"/>
      <c r="IQ76" s="18"/>
      <c r="IR76" s="18"/>
      <c r="IS76" s="18"/>
      <c r="IT76" s="18"/>
      <c r="IU76" s="18"/>
      <c r="IV76" s="18"/>
      <c r="IW76" s="18"/>
    </row>
    <row r="77" customFormat="false" ht="13.2" hidden="false" customHeight="false" outlineLevel="0" collapsed="false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18"/>
      <c r="HC77" s="18"/>
      <c r="HD77" s="18"/>
      <c r="HE77" s="18"/>
      <c r="HF77" s="18"/>
      <c r="HG77" s="18"/>
      <c r="HH77" s="18"/>
      <c r="HI77" s="18"/>
      <c r="HJ77" s="18"/>
      <c r="HK77" s="18"/>
      <c r="HL77" s="18"/>
      <c r="HM77" s="18"/>
      <c r="HN77" s="18"/>
      <c r="HO77" s="18"/>
      <c r="HP77" s="18"/>
      <c r="HQ77" s="18"/>
      <c r="HR77" s="18"/>
      <c r="HS77" s="18"/>
      <c r="HT77" s="18"/>
      <c r="HU77" s="18"/>
      <c r="HV77" s="18"/>
      <c r="HW77" s="18"/>
      <c r="HX77" s="18"/>
      <c r="HY77" s="18"/>
      <c r="HZ77" s="18"/>
      <c r="IA77" s="18"/>
      <c r="IB77" s="18"/>
      <c r="IC77" s="18"/>
      <c r="ID77" s="18"/>
      <c r="IE77" s="18"/>
      <c r="IF77" s="18"/>
      <c r="IG77" s="18"/>
      <c r="IH77" s="18"/>
      <c r="II77" s="18"/>
      <c r="IJ77" s="18"/>
      <c r="IK77" s="18"/>
      <c r="IL77" s="18"/>
      <c r="IM77" s="18"/>
      <c r="IN77" s="18"/>
      <c r="IO77" s="18"/>
      <c r="IP77" s="18"/>
      <c r="IQ77" s="18"/>
      <c r="IR77" s="18"/>
      <c r="IS77" s="18"/>
      <c r="IT77" s="18"/>
      <c r="IU77" s="18"/>
      <c r="IV77" s="18"/>
      <c r="IW77" s="18"/>
    </row>
    <row r="78" customFormat="false" ht="13.2" hidden="false" customHeight="fals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8"/>
      <c r="HQ78" s="18"/>
      <c r="HR78" s="18"/>
      <c r="HS78" s="18"/>
      <c r="HT78" s="18"/>
      <c r="HU78" s="18"/>
      <c r="HV78" s="18"/>
      <c r="HW78" s="18"/>
      <c r="HX78" s="18"/>
      <c r="HY78" s="18"/>
      <c r="HZ78" s="18"/>
      <c r="IA78" s="18"/>
      <c r="IB78" s="18"/>
      <c r="IC78" s="18"/>
      <c r="ID78" s="18"/>
      <c r="IE78" s="18"/>
      <c r="IF78" s="18"/>
      <c r="IG78" s="18"/>
      <c r="IH78" s="18"/>
      <c r="II78" s="18"/>
      <c r="IJ78" s="18"/>
      <c r="IK78" s="18"/>
      <c r="IL78" s="18"/>
      <c r="IM78" s="18"/>
      <c r="IN78" s="18"/>
      <c r="IO78" s="18"/>
      <c r="IP78" s="18"/>
      <c r="IQ78" s="18"/>
      <c r="IR78" s="18"/>
      <c r="IS78" s="18"/>
      <c r="IT78" s="18"/>
      <c r="IU78" s="18"/>
      <c r="IV78" s="18"/>
      <c r="IW78" s="18"/>
    </row>
    <row r="79" customFormat="false" ht="13.2" hidden="false" customHeight="false" outlineLevel="0" collapsed="false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18"/>
      <c r="HC79" s="18"/>
      <c r="HD79" s="18"/>
      <c r="HE79" s="18"/>
      <c r="HF79" s="18"/>
      <c r="HG79" s="18"/>
      <c r="HH79" s="18"/>
      <c r="HI79" s="18"/>
      <c r="HJ79" s="18"/>
      <c r="HK79" s="18"/>
      <c r="HL79" s="18"/>
      <c r="HM79" s="18"/>
      <c r="HN79" s="18"/>
      <c r="HO79" s="18"/>
      <c r="HP79" s="18"/>
      <c r="HQ79" s="18"/>
      <c r="HR79" s="18"/>
      <c r="HS79" s="18"/>
      <c r="HT79" s="18"/>
      <c r="HU79" s="18"/>
      <c r="HV79" s="18"/>
      <c r="HW79" s="18"/>
      <c r="HX79" s="18"/>
      <c r="HY79" s="18"/>
      <c r="HZ79" s="18"/>
      <c r="IA79" s="18"/>
      <c r="IB79" s="18"/>
      <c r="IC79" s="18"/>
      <c r="ID79" s="18"/>
      <c r="IE79" s="18"/>
      <c r="IF79" s="18"/>
      <c r="IG79" s="18"/>
      <c r="IH79" s="18"/>
      <c r="II79" s="18"/>
      <c r="IJ79" s="18"/>
      <c r="IK79" s="18"/>
      <c r="IL79" s="18"/>
      <c r="IM79" s="18"/>
      <c r="IN79" s="18"/>
      <c r="IO79" s="18"/>
      <c r="IP79" s="18"/>
      <c r="IQ79" s="18"/>
      <c r="IR79" s="18"/>
      <c r="IS79" s="18"/>
      <c r="IT79" s="18"/>
      <c r="IU79" s="18"/>
      <c r="IV79" s="18"/>
      <c r="IW79" s="18"/>
    </row>
    <row r="80" customFormat="false" ht="13.2" hidden="false" customHeight="fals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8"/>
      <c r="HQ80" s="18"/>
      <c r="HR80" s="18"/>
      <c r="HS80" s="18"/>
      <c r="HT80" s="18"/>
      <c r="HU80" s="18"/>
      <c r="HV80" s="18"/>
      <c r="HW80" s="18"/>
      <c r="HX80" s="18"/>
      <c r="HY80" s="18"/>
      <c r="HZ80" s="18"/>
      <c r="IA80" s="18"/>
      <c r="IB80" s="18"/>
      <c r="IC80" s="18"/>
      <c r="ID80" s="18"/>
      <c r="IE80" s="18"/>
      <c r="IF80" s="18"/>
      <c r="IG80" s="18"/>
      <c r="IH80" s="18"/>
      <c r="II80" s="18"/>
      <c r="IJ80" s="18"/>
      <c r="IK80" s="18"/>
      <c r="IL80" s="18"/>
      <c r="IM80" s="18"/>
      <c r="IN80" s="18"/>
      <c r="IO80" s="18"/>
      <c r="IP80" s="18"/>
      <c r="IQ80" s="18"/>
      <c r="IR80" s="18"/>
      <c r="IS80" s="18"/>
      <c r="IT80" s="18"/>
      <c r="IU80" s="18"/>
      <c r="IV80" s="18"/>
      <c r="IW80" s="18"/>
    </row>
    <row r="81" customFormat="false" ht="13.2" hidden="false" customHeight="false" outlineLevel="0" collapsed="false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  <c r="HM81" s="18"/>
      <c r="HN81" s="18"/>
      <c r="HO81" s="18"/>
      <c r="HP81" s="18"/>
      <c r="HQ81" s="18"/>
      <c r="HR81" s="18"/>
      <c r="HS81" s="18"/>
      <c r="HT81" s="18"/>
      <c r="HU81" s="18"/>
      <c r="HV81" s="18"/>
      <c r="HW81" s="18"/>
      <c r="HX81" s="18"/>
      <c r="HY81" s="18"/>
      <c r="HZ81" s="18"/>
      <c r="IA81" s="18"/>
      <c r="IB81" s="18"/>
      <c r="IC81" s="18"/>
      <c r="ID81" s="18"/>
      <c r="IE81" s="18"/>
      <c r="IF81" s="18"/>
      <c r="IG81" s="18"/>
      <c r="IH81" s="18"/>
      <c r="II81" s="18"/>
      <c r="IJ81" s="18"/>
      <c r="IK81" s="18"/>
      <c r="IL81" s="18"/>
      <c r="IM81" s="18"/>
      <c r="IN81" s="18"/>
      <c r="IO81" s="18"/>
      <c r="IP81" s="18"/>
      <c r="IQ81" s="18"/>
      <c r="IR81" s="18"/>
      <c r="IS81" s="18"/>
      <c r="IT81" s="18"/>
      <c r="IU81" s="18"/>
      <c r="IV81" s="18"/>
      <c r="IW81" s="18"/>
    </row>
    <row r="82" customFormat="false" ht="13.2" hidden="false" customHeight="fals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18"/>
      <c r="GO82" s="18"/>
      <c r="GP82" s="18"/>
      <c r="GQ82" s="18"/>
      <c r="GR82" s="18"/>
      <c r="GS82" s="18"/>
      <c r="GT82" s="18"/>
      <c r="GU82" s="18"/>
      <c r="GV82" s="18"/>
      <c r="GW82" s="18"/>
      <c r="GX82" s="18"/>
      <c r="GY82" s="18"/>
      <c r="GZ82" s="18"/>
      <c r="HA82" s="18"/>
      <c r="HB82" s="18"/>
      <c r="HC82" s="18"/>
      <c r="HD82" s="18"/>
      <c r="HE82" s="18"/>
      <c r="HF82" s="18"/>
      <c r="HG82" s="18"/>
      <c r="HH82" s="18"/>
      <c r="HI82" s="18"/>
      <c r="HJ82" s="18"/>
      <c r="HK82" s="18"/>
      <c r="HL82" s="18"/>
      <c r="HM82" s="18"/>
      <c r="HN82" s="18"/>
      <c r="HO82" s="18"/>
      <c r="HP82" s="18"/>
      <c r="HQ82" s="18"/>
      <c r="HR82" s="18"/>
      <c r="HS82" s="18"/>
      <c r="HT82" s="18"/>
      <c r="HU82" s="18"/>
      <c r="HV82" s="18"/>
      <c r="HW82" s="18"/>
      <c r="HX82" s="18"/>
      <c r="HY82" s="18"/>
      <c r="HZ82" s="18"/>
      <c r="IA82" s="18"/>
      <c r="IB82" s="18"/>
      <c r="IC82" s="18"/>
      <c r="ID82" s="18"/>
      <c r="IE82" s="18"/>
      <c r="IF82" s="18"/>
      <c r="IG82" s="18"/>
      <c r="IH82" s="18"/>
      <c r="II82" s="18"/>
      <c r="IJ82" s="18"/>
      <c r="IK82" s="18"/>
      <c r="IL82" s="18"/>
      <c r="IM82" s="18"/>
      <c r="IN82" s="18"/>
      <c r="IO82" s="18"/>
      <c r="IP82" s="18"/>
      <c r="IQ82" s="18"/>
      <c r="IR82" s="18"/>
      <c r="IS82" s="18"/>
      <c r="IT82" s="18"/>
      <c r="IU82" s="18"/>
      <c r="IV82" s="18"/>
      <c r="IW82" s="18"/>
    </row>
    <row r="83" customFormat="false" ht="13.2" hidden="false" customHeight="false" outlineLevel="0" collapsed="false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  <c r="GX83" s="18"/>
      <c r="GY83" s="18"/>
      <c r="GZ83" s="18"/>
      <c r="HA83" s="18"/>
      <c r="HB83" s="18"/>
      <c r="HC83" s="18"/>
      <c r="HD83" s="18"/>
      <c r="HE83" s="18"/>
      <c r="HF83" s="18"/>
      <c r="HG83" s="18"/>
      <c r="HH83" s="18"/>
      <c r="HI83" s="18"/>
      <c r="HJ83" s="18"/>
      <c r="HK83" s="18"/>
      <c r="HL83" s="18"/>
      <c r="HM83" s="18"/>
      <c r="HN83" s="18"/>
      <c r="HO83" s="18"/>
      <c r="HP83" s="18"/>
      <c r="HQ83" s="18"/>
      <c r="HR83" s="18"/>
      <c r="HS83" s="18"/>
      <c r="HT83" s="18"/>
      <c r="HU83" s="18"/>
      <c r="HV83" s="18"/>
      <c r="HW83" s="18"/>
      <c r="HX83" s="18"/>
      <c r="HY83" s="18"/>
      <c r="HZ83" s="18"/>
      <c r="IA83" s="18"/>
      <c r="IB83" s="18"/>
      <c r="IC83" s="18"/>
      <c r="ID83" s="18"/>
      <c r="IE83" s="18"/>
      <c r="IF83" s="18"/>
      <c r="IG83" s="18"/>
      <c r="IH83" s="18"/>
      <c r="II83" s="18"/>
      <c r="IJ83" s="18"/>
      <c r="IK83" s="18"/>
      <c r="IL83" s="18"/>
      <c r="IM83" s="18"/>
      <c r="IN83" s="18"/>
      <c r="IO83" s="18"/>
      <c r="IP83" s="18"/>
      <c r="IQ83" s="18"/>
      <c r="IR83" s="18"/>
      <c r="IS83" s="18"/>
      <c r="IT83" s="18"/>
      <c r="IU83" s="18"/>
      <c r="IV83" s="18"/>
      <c r="IW83" s="18"/>
    </row>
    <row r="84" customFormat="false" ht="13.2" hidden="false" customHeight="fals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18"/>
      <c r="GH84" s="18"/>
      <c r="GI84" s="1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18"/>
      <c r="GW84" s="18"/>
      <c r="GX84" s="18"/>
      <c r="GY84" s="18"/>
      <c r="GZ84" s="18"/>
      <c r="HA84" s="18"/>
      <c r="HB84" s="18"/>
      <c r="HC84" s="18"/>
      <c r="HD84" s="18"/>
      <c r="HE84" s="18"/>
      <c r="HF84" s="18"/>
      <c r="HG84" s="18"/>
      <c r="HH84" s="18"/>
      <c r="HI84" s="18"/>
      <c r="HJ84" s="18"/>
      <c r="HK84" s="18"/>
      <c r="HL84" s="18"/>
      <c r="HM84" s="18"/>
      <c r="HN84" s="18"/>
      <c r="HO84" s="18"/>
      <c r="HP84" s="18"/>
      <c r="HQ84" s="18"/>
      <c r="HR84" s="18"/>
      <c r="HS84" s="18"/>
      <c r="HT84" s="18"/>
      <c r="HU84" s="18"/>
      <c r="HV84" s="18"/>
      <c r="HW84" s="18"/>
      <c r="HX84" s="18"/>
      <c r="HY84" s="18"/>
      <c r="HZ84" s="18"/>
      <c r="IA84" s="18"/>
      <c r="IB84" s="18"/>
      <c r="IC84" s="18"/>
      <c r="ID84" s="18"/>
      <c r="IE84" s="18"/>
      <c r="IF84" s="18"/>
      <c r="IG84" s="18"/>
      <c r="IH84" s="18"/>
      <c r="II84" s="18"/>
      <c r="IJ84" s="18"/>
      <c r="IK84" s="18"/>
      <c r="IL84" s="18"/>
      <c r="IM84" s="18"/>
      <c r="IN84" s="18"/>
      <c r="IO84" s="18"/>
      <c r="IP84" s="18"/>
      <c r="IQ84" s="18"/>
      <c r="IR84" s="18"/>
      <c r="IS84" s="18"/>
      <c r="IT84" s="18"/>
      <c r="IU84" s="18"/>
      <c r="IV84" s="18"/>
      <c r="IW84" s="18"/>
    </row>
    <row r="85" customFormat="false" ht="13.2" hidden="false" customHeight="false" outlineLevel="0" collapsed="false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18"/>
      <c r="HC85" s="18"/>
      <c r="HD85" s="18"/>
      <c r="HE85" s="18"/>
      <c r="HF85" s="18"/>
      <c r="HG85" s="18"/>
      <c r="HH85" s="18"/>
      <c r="HI85" s="18"/>
      <c r="HJ85" s="18"/>
      <c r="HK85" s="18"/>
      <c r="HL85" s="18"/>
      <c r="HM85" s="18"/>
      <c r="HN85" s="18"/>
      <c r="HO85" s="18"/>
      <c r="HP85" s="18"/>
      <c r="HQ85" s="18"/>
      <c r="HR85" s="18"/>
      <c r="HS85" s="18"/>
      <c r="HT85" s="18"/>
      <c r="HU85" s="18"/>
      <c r="HV85" s="18"/>
      <c r="HW85" s="18"/>
      <c r="HX85" s="18"/>
      <c r="HY85" s="18"/>
      <c r="HZ85" s="18"/>
      <c r="IA85" s="18"/>
      <c r="IB85" s="18"/>
      <c r="IC85" s="18"/>
      <c r="ID85" s="18"/>
      <c r="IE85" s="18"/>
      <c r="IF85" s="18"/>
      <c r="IG85" s="18"/>
      <c r="IH85" s="18"/>
      <c r="II85" s="18"/>
      <c r="IJ85" s="18"/>
      <c r="IK85" s="18"/>
      <c r="IL85" s="18"/>
      <c r="IM85" s="18"/>
      <c r="IN85" s="18"/>
      <c r="IO85" s="18"/>
      <c r="IP85" s="18"/>
      <c r="IQ85" s="18"/>
      <c r="IR85" s="18"/>
      <c r="IS85" s="18"/>
      <c r="IT85" s="18"/>
      <c r="IU85" s="18"/>
      <c r="IV85" s="18"/>
      <c r="IW85" s="18"/>
    </row>
    <row r="86" customFormat="false" ht="13.2" hidden="false" customHeight="fals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8"/>
      <c r="HQ86" s="18"/>
      <c r="HR86" s="18"/>
      <c r="HS86" s="18"/>
      <c r="HT86" s="18"/>
      <c r="HU86" s="18"/>
      <c r="HV86" s="18"/>
      <c r="HW86" s="18"/>
      <c r="HX86" s="18"/>
      <c r="HY86" s="18"/>
      <c r="HZ86" s="18"/>
      <c r="IA86" s="18"/>
      <c r="IB86" s="18"/>
      <c r="IC86" s="18"/>
      <c r="ID86" s="18"/>
      <c r="IE86" s="18"/>
      <c r="IF86" s="18"/>
      <c r="IG86" s="18"/>
      <c r="IH86" s="18"/>
      <c r="II86" s="18"/>
      <c r="IJ86" s="18"/>
      <c r="IK86" s="18"/>
      <c r="IL86" s="18"/>
      <c r="IM86" s="18"/>
      <c r="IN86" s="18"/>
      <c r="IO86" s="18"/>
      <c r="IP86" s="18"/>
      <c r="IQ86" s="18"/>
      <c r="IR86" s="18"/>
      <c r="IS86" s="18"/>
      <c r="IT86" s="18"/>
      <c r="IU86" s="18"/>
      <c r="IV86" s="18"/>
      <c r="IW86" s="18"/>
    </row>
    <row r="87" customFormat="false" ht="13.2" hidden="false" customHeight="false" outlineLevel="0" collapsed="false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8"/>
      <c r="HQ87" s="18"/>
      <c r="HR87" s="18"/>
      <c r="HS87" s="18"/>
      <c r="HT87" s="18"/>
      <c r="HU87" s="18"/>
      <c r="HV87" s="18"/>
      <c r="HW87" s="18"/>
      <c r="HX87" s="18"/>
      <c r="HY87" s="18"/>
      <c r="HZ87" s="18"/>
      <c r="IA87" s="18"/>
      <c r="IB87" s="18"/>
      <c r="IC87" s="18"/>
      <c r="ID87" s="18"/>
      <c r="IE87" s="18"/>
      <c r="IF87" s="18"/>
      <c r="IG87" s="18"/>
      <c r="IH87" s="18"/>
      <c r="II87" s="18"/>
      <c r="IJ87" s="18"/>
      <c r="IK87" s="18"/>
      <c r="IL87" s="18"/>
      <c r="IM87" s="18"/>
      <c r="IN87" s="18"/>
      <c r="IO87" s="18"/>
      <c r="IP87" s="18"/>
      <c r="IQ87" s="18"/>
      <c r="IR87" s="18"/>
      <c r="IS87" s="18"/>
      <c r="IT87" s="18"/>
      <c r="IU87" s="18"/>
      <c r="IV87" s="18"/>
      <c r="IW87" s="18"/>
    </row>
    <row r="88" customFormat="false" ht="13.2" hidden="false" customHeight="false" outlineLevel="0" collapsed="false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  <c r="HN88" s="18"/>
      <c r="HO88" s="18"/>
      <c r="HP88" s="18"/>
      <c r="HQ88" s="18"/>
      <c r="HR88" s="18"/>
      <c r="HS88" s="18"/>
      <c r="HT88" s="18"/>
      <c r="HU88" s="18"/>
      <c r="HV88" s="18"/>
      <c r="HW88" s="18"/>
      <c r="HX88" s="18"/>
      <c r="HY88" s="18"/>
      <c r="HZ88" s="18"/>
      <c r="IA88" s="18"/>
      <c r="IB88" s="18"/>
      <c r="IC88" s="18"/>
      <c r="ID88" s="18"/>
      <c r="IE88" s="18"/>
      <c r="IF88" s="18"/>
      <c r="IG88" s="18"/>
      <c r="IH88" s="18"/>
      <c r="II88" s="18"/>
      <c r="IJ88" s="18"/>
      <c r="IK88" s="18"/>
      <c r="IL88" s="18"/>
      <c r="IM88" s="18"/>
      <c r="IN88" s="18"/>
      <c r="IO88" s="18"/>
      <c r="IP88" s="18"/>
      <c r="IQ88" s="18"/>
      <c r="IR88" s="18"/>
      <c r="IS88" s="18"/>
      <c r="IT88" s="18"/>
      <c r="IU88" s="18"/>
      <c r="IV88" s="18"/>
      <c r="IW88" s="18"/>
    </row>
    <row r="89" customFormat="false" ht="13.2" hidden="false" customHeight="false" outlineLevel="0" collapsed="false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18"/>
      <c r="HC89" s="18"/>
      <c r="HD89" s="18"/>
      <c r="HE89" s="18"/>
      <c r="HF89" s="18"/>
      <c r="HG89" s="18"/>
      <c r="HH89" s="18"/>
      <c r="HI89" s="18"/>
      <c r="HJ89" s="18"/>
      <c r="HK89" s="18"/>
      <c r="HL89" s="18"/>
      <c r="HM89" s="18"/>
      <c r="HN89" s="18"/>
      <c r="HO89" s="18"/>
      <c r="HP89" s="18"/>
      <c r="HQ89" s="18"/>
      <c r="HR89" s="18"/>
      <c r="HS89" s="18"/>
      <c r="HT89" s="18"/>
      <c r="HU89" s="18"/>
      <c r="HV89" s="18"/>
      <c r="HW89" s="18"/>
      <c r="HX89" s="18"/>
      <c r="HY89" s="18"/>
      <c r="HZ89" s="18"/>
      <c r="IA89" s="18"/>
      <c r="IB89" s="18"/>
      <c r="IC89" s="18"/>
      <c r="ID89" s="18"/>
      <c r="IE89" s="18"/>
      <c r="IF89" s="18"/>
      <c r="IG89" s="18"/>
      <c r="IH89" s="18"/>
      <c r="II89" s="18"/>
      <c r="IJ89" s="18"/>
      <c r="IK89" s="18"/>
      <c r="IL89" s="18"/>
      <c r="IM89" s="18"/>
      <c r="IN89" s="18"/>
      <c r="IO89" s="18"/>
      <c r="IP89" s="18"/>
      <c r="IQ89" s="18"/>
      <c r="IR89" s="18"/>
      <c r="IS89" s="18"/>
      <c r="IT89" s="18"/>
      <c r="IU89" s="18"/>
      <c r="IV89" s="18"/>
      <c r="IW89" s="18"/>
    </row>
    <row r="90" customFormat="false" ht="13.2" hidden="false" customHeight="false" outlineLevel="0" collapsed="false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18"/>
      <c r="GH90" s="18"/>
      <c r="GI90" s="18"/>
      <c r="GJ90" s="18"/>
      <c r="GK90" s="18"/>
      <c r="GL90" s="18"/>
      <c r="GM90" s="18"/>
      <c r="GN90" s="18"/>
      <c r="GO90" s="18"/>
      <c r="GP90" s="18"/>
      <c r="GQ90" s="18"/>
      <c r="GR90" s="18"/>
      <c r="GS90" s="18"/>
      <c r="GT90" s="18"/>
      <c r="GU90" s="18"/>
      <c r="GV90" s="18"/>
      <c r="GW90" s="18"/>
      <c r="GX90" s="18"/>
      <c r="GY90" s="18"/>
      <c r="GZ90" s="18"/>
      <c r="HA90" s="18"/>
      <c r="HB90" s="18"/>
      <c r="HC90" s="18"/>
      <c r="HD90" s="18"/>
      <c r="HE90" s="18"/>
      <c r="HF90" s="18"/>
      <c r="HG90" s="18"/>
      <c r="HH90" s="18"/>
      <c r="HI90" s="18"/>
      <c r="HJ90" s="18"/>
      <c r="HK90" s="18"/>
      <c r="HL90" s="18"/>
      <c r="HM90" s="18"/>
      <c r="HN90" s="18"/>
      <c r="HO90" s="18"/>
      <c r="HP90" s="18"/>
      <c r="HQ90" s="18"/>
      <c r="HR90" s="18"/>
      <c r="HS90" s="18"/>
      <c r="HT90" s="18"/>
      <c r="HU90" s="18"/>
      <c r="HV90" s="18"/>
      <c r="HW90" s="18"/>
      <c r="HX90" s="18"/>
      <c r="HY90" s="18"/>
      <c r="HZ90" s="18"/>
      <c r="IA90" s="18"/>
      <c r="IB90" s="18"/>
      <c r="IC90" s="18"/>
      <c r="ID90" s="18"/>
      <c r="IE90" s="18"/>
      <c r="IF90" s="18"/>
      <c r="IG90" s="18"/>
      <c r="IH90" s="18"/>
      <c r="II90" s="18"/>
      <c r="IJ90" s="18"/>
      <c r="IK90" s="18"/>
      <c r="IL90" s="18"/>
      <c r="IM90" s="18"/>
      <c r="IN90" s="18"/>
      <c r="IO90" s="18"/>
      <c r="IP90" s="18"/>
      <c r="IQ90" s="18"/>
      <c r="IR90" s="18"/>
      <c r="IS90" s="18"/>
      <c r="IT90" s="18"/>
      <c r="IU90" s="18"/>
      <c r="IV90" s="18"/>
      <c r="IW90" s="18"/>
    </row>
    <row r="91" customFormat="false" ht="13.2" hidden="false" customHeight="false" outlineLevel="0" collapsed="false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18"/>
      <c r="GH91" s="18"/>
      <c r="GI91" s="18"/>
      <c r="GJ91" s="18"/>
      <c r="GK91" s="18"/>
      <c r="GL91" s="18"/>
      <c r="GM91" s="18"/>
      <c r="GN91" s="18"/>
      <c r="GO91" s="18"/>
      <c r="GP91" s="18"/>
      <c r="GQ91" s="18"/>
      <c r="GR91" s="18"/>
      <c r="GS91" s="18"/>
      <c r="GT91" s="18"/>
      <c r="GU91" s="18"/>
      <c r="GV91" s="18"/>
      <c r="GW91" s="18"/>
      <c r="GX91" s="18"/>
      <c r="GY91" s="18"/>
      <c r="GZ91" s="18"/>
      <c r="HA91" s="18"/>
      <c r="HB91" s="18"/>
      <c r="HC91" s="18"/>
      <c r="HD91" s="18"/>
      <c r="HE91" s="18"/>
      <c r="HF91" s="18"/>
      <c r="HG91" s="18"/>
      <c r="HH91" s="18"/>
      <c r="HI91" s="18"/>
      <c r="HJ91" s="18"/>
      <c r="HK91" s="18"/>
      <c r="HL91" s="18"/>
      <c r="HM91" s="18"/>
      <c r="HN91" s="18"/>
      <c r="HO91" s="18"/>
      <c r="HP91" s="18"/>
      <c r="HQ91" s="18"/>
      <c r="HR91" s="18"/>
      <c r="HS91" s="18"/>
      <c r="HT91" s="18"/>
      <c r="HU91" s="18"/>
      <c r="HV91" s="18"/>
      <c r="HW91" s="18"/>
      <c r="HX91" s="18"/>
      <c r="HY91" s="18"/>
      <c r="HZ91" s="18"/>
      <c r="IA91" s="18"/>
      <c r="IB91" s="18"/>
      <c r="IC91" s="18"/>
      <c r="ID91" s="18"/>
      <c r="IE91" s="18"/>
      <c r="IF91" s="18"/>
      <c r="IG91" s="18"/>
      <c r="IH91" s="18"/>
      <c r="II91" s="18"/>
      <c r="IJ91" s="18"/>
      <c r="IK91" s="18"/>
      <c r="IL91" s="18"/>
      <c r="IM91" s="18"/>
      <c r="IN91" s="18"/>
      <c r="IO91" s="18"/>
      <c r="IP91" s="18"/>
      <c r="IQ91" s="18"/>
      <c r="IR91" s="18"/>
      <c r="IS91" s="18"/>
      <c r="IT91" s="18"/>
      <c r="IU91" s="18"/>
      <c r="IV91" s="18"/>
      <c r="IW91" s="18"/>
    </row>
    <row r="92" customFormat="false" ht="13.2" hidden="false" customHeight="false" outlineLevel="0" collapsed="false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18"/>
      <c r="HC92" s="18"/>
      <c r="HD92" s="18"/>
      <c r="HE92" s="18"/>
      <c r="HF92" s="18"/>
      <c r="HG92" s="18"/>
      <c r="HH92" s="18"/>
      <c r="HI92" s="18"/>
      <c r="HJ92" s="18"/>
      <c r="HK92" s="18"/>
      <c r="HL92" s="18"/>
      <c r="HM92" s="18"/>
      <c r="HN92" s="18"/>
      <c r="HO92" s="18"/>
      <c r="HP92" s="18"/>
      <c r="HQ92" s="18"/>
      <c r="HR92" s="18"/>
      <c r="HS92" s="18"/>
      <c r="HT92" s="18"/>
      <c r="HU92" s="18"/>
      <c r="HV92" s="18"/>
      <c r="HW92" s="18"/>
      <c r="HX92" s="18"/>
      <c r="HY92" s="18"/>
      <c r="HZ92" s="18"/>
      <c r="IA92" s="18"/>
      <c r="IB92" s="18"/>
      <c r="IC92" s="18"/>
      <c r="ID92" s="18"/>
      <c r="IE92" s="18"/>
      <c r="IF92" s="18"/>
      <c r="IG92" s="18"/>
      <c r="IH92" s="18"/>
      <c r="II92" s="18"/>
      <c r="IJ92" s="18"/>
      <c r="IK92" s="18"/>
      <c r="IL92" s="18"/>
      <c r="IM92" s="18"/>
      <c r="IN92" s="18"/>
      <c r="IO92" s="18"/>
      <c r="IP92" s="18"/>
      <c r="IQ92" s="18"/>
      <c r="IR92" s="18"/>
      <c r="IS92" s="18"/>
      <c r="IT92" s="18"/>
      <c r="IU92" s="18"/>
      <c r="IV92" s="18"/>
      <c r="IW92" s="18"/>
    </row>
    <row r="93" customFormat="false" ht="13.2" hidden="false" customHeight="false" outlineLevel="0" collapsed="false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18"/>
      <c r="GW93" s="18"/>
      <c r="GX93" s="18"/>
      <c r="GY93" s="18"/>
      <c r="GZ93" s="18"/>
      <c r="HA93" s="18"/>
      <c r="HB93" s="18"/>
      <c r="HC93" s="18"/>
      <c r="HD93" s="18"/>
      <c r="HE93" s="18"/>
      <c r="HF93" s="18"/>
      <c r="HG93" s="18"/>
      <c r="HH93" s="18"/>
      <c r="HI93" s="18"/>
      <c r="HJ93" s="18"/>
      <c r="HK93" s="18"/>
      <c r="HL93" s="18"/>
      <c r="HM93" s="18"/>
      <c r="HN93" s="18"/>
      <c r="HO93" s="18"/>
      <c r="HP93" s="18"/>
      <c r="HQ93" s="18"/>
      <c r="HR93" s="18"/>
      <c r="HS93" s="18"/>
      <c r="HT93" s="18"/>
      <c r="HU93" s="18"/>
      <c r="HV93" s="18"/>
      <c r="HW93" s="18"/>
      <c r="HX93" s="18"/>
      <c r="HY93" s="18"/>
      <c r="HZ93" s="18"/>
      <c r="IA93" s="18"/>
      <c r="IB93" s="18"/>
      <c r="IC93" s="18"/>
      <c r="ID93" s="18"/>
      <c r="IE93" s="18"/>
      <c r="IF93" s="18"/>
      <c r="IG93" s="18"/>
      <c r="IH93" s="18"/>
      <c r="II93" s="18"/>
      <c r="IJ93" s="18"/>
      <c r="IK93" s="18"/>
      <c r="IL93" s="18"/>
      <c r="IM93" s="18"/>
      <c r="IN93" s="18"/>
      <c r="IO93" s="18"/>
      <c r="IP93" s="18"/>
      <c r="IQ93" s="18"/>
      <c r="IR93" s="18"/>
      <c r="IS93" s="18"/>
      <c r="IT93" s="18"/>
      <c r="IU93" s="18"/>
      <c r="IV93" s="18"/>
      <c r="IW93" s="18"/>
    </row>
    <row r="94" customFormat="false" ht="13.2" hidden="false" customHeight="false" outlineLevel="0" collapsed="false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8"/>
      <c r="HQ94" s="18"/>
      <c r="HR94" s="18"/>
      <c r="HS94" s="18"/>
      <c r="HT94" s="18"/>
      <c r="HU94" s="18"/>
      <c r="HV94" s="18"/>
      <c r="HW94" s="18"/>
      <c r="HX94" s="18"/>
      <c r="HY94" s="18"/>
      <c r="HZ94" s="18"/>
      <c r="IA94" s="18"/>
      <c r="IB94" s="18"/>
      <c r="IC94" s="18"/>
      <c r="ID94" s="18"/>
      <c r="IE94" s="18"/>
      <c r="IF94" s="18"/>
      <c r="IG94" s="18"/>
      <c r="IH94" s="18"/>
      <c r="II94" s="18"/>
      <c r="IJ94" s="18"/>
      <c r="IK94" s="18"/>
      <c r="IL94" s="18"/>
      <c r="IM94" s="18"/>
      <c r="IN94" s="18"/>
      <c r="IO94" s="18"/>
      <c r="IP94" s="18"/>
      <c r="IQ94" s="18"/>
      <c r="IR94" s="18"/>
      <c r="IS94" s="18"/>
      <c r="IT94" s="18"/>
      <c r="IU94" s="18"/>
      <c r="IV94" s="18"/>
      <c r="IW94" s="18"/>
    </row>
    <row r="95" customFormat="false" ht="13.2" hidden="false" customHeight="false" outlineLevel="0" collapsed="false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18"/>
      <c r="GH95" s="18"/>
      <c r="GI95" s="18"/>
      <c r="GJ95" s="18"/>
      <c r="GK95" s="18"/>
      <c r="GL95" s="18"/>
      <c r="GM95" s="18"/>
      <c r="GN95" s="18"/>
      <c r="GO95" s="18"/>
      <c r="GP95" s="18"/>
      <c r="GQ95" s="18"/>
      <c r="GR95" s="18"/>
      <c r="GS95" s="18"/>
      <c r="GT95" s="18"/>
      <c r="GU95" s="18"/>
      <c r="GV95" s="18"/>
      <c r="GW95" s="18"/>
      <c r="GX95" s="18"/>
      <c r="GY95" s="18"/>
      <c r="GZ95" s="18"/>
      <c r="HA95" s="18"/>
      <c r="HB95" s="18"/>
      <c r="HC95" s="18"/>
      <c r="HD95" s="18"/>
      <c r="HE95" s="18"/>
      <c r="HF95" s="18"/>
      <c r="HG95" s="18"/>
      <c r="HH95" s="18"/>
      <c r="HI95" s="18"/>
      <c r="HJ95" s="18"/>
      <c r="HK95" s="18"/>
      <c r="HL95" s="18"/>
      <c r="HM95" s="18"/>
      <c r="HN95" s="18"/>
      <c r="HO95" s="18"/>
      <c r="HP95" s="18"/>
      <c r="HQ95" s="18"/>
      <c r="HR95" s="18"/>
      <c r="HS95" s="18"/>
      <c r="HT95" s="18"/>
      <c r="HU95" s="18"/>
      <c r="HV95" s="18"/>
      <c r="HW95" s="18"/>
      <c r="HX95" s="18"/>
      <c r="HY95" s="18"/>
      <c r="HZ95" s="18"/>
      <c r="IA95" s="18"/>
      <c r="IB95" s="18"/>
      <c r="IC95" s="18"/>
      <c r="ID95" s="18"/>
      <c r="IE95" s="18"/>
      <c r="IF95" s="18"/>
      <c r="IG95" s="18"/>
      <c r="IH95" s="18"/>
      <c r="II95" s="18"/>
      <c r="IJ95" s="18"/>
      <c r="IK95" s="18"/>
      <c r="IL95" s="18"/>
      <c r="IM95" s="18"/>
      <c r="IN95" s="18"/>
      <c r="IO95" s="18"/>
      <c r="IP95" s="18"/>
      <c r="IQ95" s="18"/>
      <c r="IR95" s="18"/>
      <c r="IS95" s="18"/>
      <c r="IT95" s="18"/>
      <c r="IU95" s="18"/>
      <c r="IV95" s="18"/>
      <c r="IW95" s="18"/>
    </row>
    <row r="96" customFormat="false" ht="13.2" hidden="false" customHeight="false" outlineLevel="0" collapsed="false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18"/>
      <c r="GO96" s="18"/>
      <c r="GP96" s="18"/>
      <c r="GQ96" s="18"/>
      <c r="GR96" s="18"/>
      <c r="GS96" s="18"/>
      <c r="GT96" s="18"/>
      <c r="GU96" s="18"/>
      <c r="GV96" s="18"/>
      <c r="GW96" s="18"/>
      <c r="GX96" s="18"/>
      <c r="GY96" s="18"/>
      <c r="GZ96" s="18"/>
      <c r="HA96" s="18"/>
      <c r="HB96" s="18"/>
      <c r="HC96" s="18"/>
      <c r="HD96" s="18"/>
      <c r="HE96" s="18"/>
      <c r="HF96" s="18"/>
      <c r="HG96" s="18"/>
      <c r="HH96" s="18"/>
      <c r="HI96" s="18"/>
      <c r="HJ96" s="18"/>
      <c r="HK96" s="18"/>
      <c r="HL96" s="18"/>
      <c r="HM96" s="18"/>
      <c r="HN96" s="18"/>
      <c r="HO96" s="18"/>
      <c r="HP96" s="18"/>
      <c r="HQ96" s="18"/>
      <c r="HR96" s="18"/>
      <c r="HS96" s="18"/>
      <c r="HT96" s="18"/>
      <c r="HU96" s="18"/>
      <c r="HV96" s="18"/>
      <c r="HW96" s="18"/>
      <c r="HX96" s="18"/>
      <c r="HY96" s="18"/>
      <c r="HZ96" s="18"/>
      <c r="IA96" s="18"/>
      <c r="IB96" s="18"/>
      <c r="IC96" s="18"/>
      <c r="ID96" s="18"/>
      <c r="IE96" s="18"/>
      <c r="IF96" s="18"/>
      <c r="IG96" s="18"/>
      <c r="IH96" s="18"/>
      <c r="II96" s="18"/>
      <c r="IJ96" s="18"/>
      <c r="IK96" s="18"/>
      <c r="IL96" s="18"/>
      <c r="IM96" s="18"/>
      <c r="IN96" s="18"/>
      <c r="IO96" s="18"/>
      <c r="IP96" s="18"/>
      <c r="IQ96" s="18"/>
      <c r="IR96" s="18"/>
      <c r="IS96" s="18"/>
      <c r="IT96" s="18"/>
      <c r="IU96" s="18"/>
      <c r="IV96" s="18"/>
      <c r="IW96" s="18"/>
    </row>
    <row r="97" customFormat="false" ht="13.2" hidden="false" customHeight="false" outlineLevel="0" collapsed="false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18"/>
      <c r="GO97" s="18"/>
      <c r="GP97" s="18"/>
      <c r="GQ97" s="18"/>
      <c r="GR97" s="18"/>
      <c r="GS97" s="18"/>
      <c r="GT97" s="18"/>
      <c r="GU97" s="18"/>
      <c r="GV97" s="18"/>
      <c r="GW97" s="18"/>
      <c r="GX97" s="18"/>
      <c r="GY97" s="18"/>
      <c r="GZ97" s="18"/>
      <c r="HA97" s="18"/>
      <c r="HB97" s="18"/>
      <c r="HC97" s="18"/>
      <c r="HD97" s="18"/>
      <c r="HE97" s="18"/>
      <c r="HF97" s="18"/>
      <c r="HG97" s="18"/>
      <c r="HH97" s="18"/>
      <c r="HI97" s="18"/>
      <c r="HJ97" s="18"/>
      <c r="HK97" s="18"/>
      <c r="HL97" s="18"/>
      <c r="HM97" s="18"/>
      <c r="HN97" s="18"/>
      <c r="HO97" s="18"/>
      <c r="HP97" s="18"/>
      <c r="HQ97" s="18"/>
      <c r="HR97" s="18"/>
      <c r="HS97" s="18"/>
      <c r="HT97" s="18"/>
      <c r="HU97" s="18"/>
      <c r="HV97" s="18"/>
      <c r="HW97" s="18"/>
      <c r="HX97" s="18"/>
      <c r="HY97" s="18"/>
      <c r="HZ97" s="18"/>
      <c r="IA97" s="18"/>
      <c r="IB97" s="18"/>
      <c r="IC97" s="18"/>
      <c r="ID97" s="18"/>
      <c r="IE97" s="18"/>
      <c r="IF97" s="18"/>
      <c r="IG97" s="18"/>
      <c r="IH97" s="18"/>
      <c r="II97" s="18"/>
      <c r="IJ97" s="18"/>
      <c r="IK97" s="18"/>
      <c r="IL97" s="18"/>
      <c r="IM97" s="18"/>
      <c r="IN97" s="18"/>
      <c r="IO97" s="18"/>
      <c r="IP97" s="18"/>
      <c r="IQ97" s="18"/>
      <c r="IR97" s="18"/>
      <c r="IS97" s="18"/>
      <c r="IT97" s="18"/>
      <c r="IU97" s="18"/>
      <c r="IV97" s="18"/>
      <c r="IW97" s="18"/>
    </row>
    <row r="98" customFormat="false" ht="13.2" hidden="false" customHeight="false" outlineLevel="0" collapsed="false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18"/>
      <c r="HC98" s="18"/>
      <c r="HD98" s="18"/>
      <c r="HE98" s="18"/>
      <c r="HF98" s="18"/>
      <c r="HG98" s="18"/>
      <c r="HH98" s="18"/>
      <c r="HI98" s="18"/>
      <c r="HJ98" s="18"/>
      <c r="HK98" s="18"/>
      <c r="HL98" s="18"/>
      <c r="HM98" s="18"/>
      <c r="HN98" s="18"/>
      <c r="HO98" s="18"/>
      <c r="HP98" s="18"/>
      <c r="HQ98" s="18"/>
      <c r="HR98" s="18"/>
      <c r="HS98" s="18"/>
      <c r="HT98" s="18"/>
      <c r="HU98" s="18"/>
      <c r="HV98" s="18"/>
      <c r="HW98" s="18"/>
      <c r="HX98" s="18"/>
      <c r="HY98" s="18"/>
      <c r="HZ98" s="18"/>
      <c r="IA98" s="18"/>
      <c r="IB98" s="18"/>
      <c r="IC98" s="18"/>
      <c r="ID98" s="18"/>
      <c r="IE98" s="18"/>
      <c r="IF98" s="18"/>
      <c r="IG98" s="18"/>
      <c r="IH98" s="18"/>
      <c r="II98" s="18"/>
      <c r="IJ98" s="18"/>
      <c r="IK98" s="18"/>
      <c r="IL98" s="18"/>
      <c r="IM98" s="18"/>
      <c r="IN98" s="18"/>
      <c r="IO98" s="18"/>
      <c r="IP98" s="18"/>
      <c r="IQ98" s="18"/>
      <c r="IR98" s="18"/>
      <c r="IS98" s="18"/>
      <c r="IT98" s="18"/>
      <c r="IU98" s="18"/>
      <c r="IV98" s="18"/>
      <c r="IW98" s="18"/>
    </row>
    <row r="99" customFormat="false" ht="13.2" hidden="false" customHeight="false" outlineLevel="0" collapsed="false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18"/>
      <c r="HC99" s="18"/>
      <c r="HD99" s="18"/>
      <c r="HE99" s="18"/>
      <c r="HF99" s="18"/>
      <c r="HG99" s="18"/>
      <c r="HH99" s="18"/>
      <c r="HI99" s="18"/>
      <c r="HJ99" s="18"/>
      <c r="HK99" s="18"/>
      <c r="HL99" s="18"/>
      <c r="HM99" s="18"/>
      <c r="HN99" s="18"/>
      <c r="HO99" s="18"/>
      <c r="HP99" s="18"/>
      <c r="HQ99" s="18"/>
      <c r="HR99" s="18"/>
      <c r="HS99" s="18"/>
      <c r="HT99" s="18"/>
      <c r="HU99" s="18"/>
      <c r="HV99" s="18"/>
      <c r="HW99" s="18"/>
      <c r="HX99" s="18"/>
      <c r="HY99" s="18"/>
      <c r="HZ99" s="18"/>
      <c r="IA99" s="18"/>
      <c r="IB99" s="18"/>
      <c r="IC99" s="18"/>
      <c r="ID99" s="18"/>
      <c r="IE99" s="18"/>
      <c r="IF99" s="18"/>
      <c r="IG99" s="18"/>
      <c r="IH99" s="18"/>
      <c r="II99" s="18"/>
      <c r="IJ99" s="18"/>
      <c r="IK99" s="18"/>
      <c r="IL99" s="18"/>
      <c r="IM99" s="18"/>
      <c r="IN99" s="18"/>
      <c r="IO99" s="18"/>
      <c r="IP99" s="18"/>
      <c r="IQ99" s="18"/>
      <c r="IR99" s="18"/>
      <c r="IS99" s="18"/>
      <c r="IT99" s="18"/>
      <c r="IU99" s="18"/>
      <c r="IV99" s="18"/>
      <c r="IW99" s="18"/>
    </row>
    <row r="100" customFormat="false" ht="13.2" hidden="false" customHeight="false" outlineLevel="0" collapsed="false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  <c r="GC100" s="18"/>
      <c r="GD100" s="18"/>
      <c r="GE100" s="18"/>
      <c r="GF100" s="18"/>
      <c r="GG100" s="18"/>
      <c r="GH100" s="18"/>
      <c r="GI100" s="18"/>
      <c r="GJ100" s="18"/>
      <c r="GK100" s="18"/>
      <c r="GL100" s="18"/>
      <c r="GM100" s="18"/>
      <c r="GN100" s="18"/>
      <c r="GO100" s="18"/>
      <c r="GP100" s="18"/>
      <c r="GQ100" s="18"/>
      <c r="GR100" s="18"/>
      <c r="GS100" s="18"/>
      <c r="GT100" s="18"/>
      <c r="GU100" s="18"/>
      <c r="GV100" s="18"/>
      <c r="GW100" s="18"/>
      <c r="GX100" s="18"/>
      <c r="GY100" s="18"/>
      <c r="GZ100" s="18"/>
      <c r="HA100" s="18"/>
      <c r="HB100" s="18"/>
      <c r="HC100" s="18"/>
      <c r="HD100" s="18"/>
      <c r="HE100" s="18"/>
      <c r="HF100" s="18"/>
      <c r="HG100" s="18"/>
      <c r="HH100" s="18"/>
      <c r="HI100" s="18"/>
      <c r="HJ100" s="18"/>
      <c r="HK100" s="18"/>
      <c r="HL100" s="18"/>
      <c r="HM100" s="18"/>
      <c r="HN100" s="18"/>
      <c r="HO100" s="18"/>
      <c r="HP100" s="18"/>
      <c r="HQ100" s="18"/>
      <c r="HR100" s="18"/>
      <c r="HS100" s="18"/>
      <c r="HT100" s="18"/>
      <c r="HU100" s="18"/>
      <c r="HV100" s="18"/>
      <c r="HW100" s="18"/>
      <c r="HX100" s="18"/>
      <c r="HY100" s="18"/>
      <c r="HZ100" s="18"/>
      <c r="IA100" s="18"/>
      <c r="IB100" s="18"/>
      <c r="IC100" s="18"/>
      <c r="ID100" s="18"/>
      <c r="IE100" s="18"/>
      <c r="IF100" s="18"/>
      <c r="IG100" s="18"/>
      <c r="IH100" s="18"/>
      <c r="II100" s="18"/>
      <c r="IJ100" s="18"/>
      <c r="IK100" s="18"/>
      <c r="IL100" s="18"/>
      <c r="IM100" s="18"/>
      <c r="IN100" s="18"/>
      <c r="IO100" s="18"/>
      <c r="IP100" s="18"/>
      <c r="IQ100" s="18"/>
      <c r="IR100" s="18"/>
      <c r="IS100" s="18"/>
      <c r="IT100" s="18"/>
      <c r="IU100" s="18"/>
      <c r="IV100" s="18"/>
      <c r="IW100" s="18"/>
    </row>
    <row r="101" customFormat="false" ht="13.2" hidden="false" customHeight="false" outlineLevel="0" collapsed="false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  <c r="GX101" s="18"/>
      <c r="GY101" s="18"/>
      <c r="GZ101" s="18"/>
      <c r="HA101" s="18"/>
      <c r="HB101" s="18"/>
      <c r="HC101" s="18"/>
      <c r="HD101" s="18"/>
      <c r="HE101" s="18"/>
      <c r="HF101" s="18"/>
      <c r="HG101" s="18"/>
      <c r="HH101" s="18"/>
      <c r="HI101" s="18"/>
      <c r="HJ101" s="18"/>
      <c r="HK101" s="18"/>
      <c r="HL101" s="18"/>
      <c r="HM101" s="18"/>
      <c r="HN101" s="18"/>
      <c r="HO101" s="18"/>
      <c r="HP101" s="18"/>
      <c r="HQ101" s="18"/>
      <c r="HR101" s="18"/>
      <c r="HS101" s="18"/>
      <c r="HT101" s="18"/>
      <c r="HU101" s="18"/>
      <c r="HV101" s="18"/>
      <c r="HW101" s="18"/>
      <c r="HX101" s="18"/>
      <c r="HY101" s="18"/>
      <c r="HZ101" s="18"/>
      <c r="IA101" s="18"/>
      <c r="IB101" s="18"/>
      <c r="IC101" s="18"/>
      <c r="ID101" s="18"/>
      <c r="IE101" s="18"/>
      <c r="IF101" s="18"/>
      <c r="IG101" s="18"/>
      <c r="IH101" s="18"/>
      <c r="II101" s="18"/>
      <c r="IJ101" s="18"/>
      <c r="IK101" s="18"/>
      <c r="IL101" s="18"/>
      <c r="IM101" s="18"/>
      <c r="IN101" s="18"/>
      <c r="IO101" s="18"/>
      <c r="IP101" s="18"/>
      <c r="IQ101" s="18"/>
      <c r="IR101" s="18"/>
      <c r="IS101" s="18"/>
      <c r="IT101" s="18"/>
      <c r="IU101" s="18"/>
      <c r="IV101" s="18"/>
      <c r="IW101" s="18"/>
    </row>
    <row r="102" customFormat="false" ht="13.2" hidden="false" customHeight="false" outlineLevel="0" collapsed="false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18"/>
      <c r="HC102" s="18"/>
      <c r="HD102" s="18"/>
      <c r="HE102" s="18"/>
      <c r="HF102" s="18"/>
      <c r="HG102" s="18"/>
      <c r="HH102" s="18"/>
      <c r="HI102" s="18"/>
      <c r="HJ102" s="18"/>
      <c r="HK102" s="18"/>
      <c r="HL102" s="18"/>
      <c r="HM102" s="18"/>
      <c r="HN102" s="18"/>
      <c r="HO102" s="18"/>
      <c r="HP102" s="18"/>
      <c r="HQ102" s="18"/>
      <c r="HR102" s="18"/>
      <c r="HS102" s="18"/>
      <c r="HT102" s="18"/>
      <c r="HU102" s="18"/>
      <c r="HV102" s="18"/>
      <c r="HW102" s="18"/>
      <c r="HX102" s="18"/>
      <c r="HY102" s="18"/>
      <c r="HZ102" s="18"/>
      <c r="IA102" s="18"/>
      <c r="IB102" s="18"/>
      <c r="IC102" s="18"/>
      <c r="ID102" s="18"/>
      <c r="IE102" s="18"/>
      <c r="IF102" s="18"/>
      <c r="IG102" s="18"/>
      <c r="IH102" s="18"/>
      <c r="II102" s="18"/>
      <c r="IJ102" s="18"/>
      <c r="IK102" s="18"/>
      <c r="IL102" s="18"/>
      <c r="IM102" s="18"/>
      <c r="IN102" s="18"/>
      <c r="IO102" s="18"/>
      <c r="IP102" s="18"/>
      <c r="IQ102" s="18"/>
      <c r="IR102" s="18"/>
      <c r="IS102" s="18"/>
      <c r="IT102" s="18"/>
      <c r="IU102" s="18"/>
      <c r="IV102" s="18"/>
      <c r="IW102" s="18"/>
    </row>
    <row r="103" customFormat="false" ht="13.2" hidden="false" customHeight="false" outlineLevel="0" collapsed="false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  <c r="FR103" s="18"/>
      <c r="FS103" s="18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8"/>
      <c r="HQ103" s="18"/>
      <c r="HR103" s="18"/>
      <c r="HS103" s="18"/>
      <c r="HT103" s="18"/>
      <c r="HU103" s="18"/>
      <c r="HV103" s="18"/>
      <c r="HW103" s="18"/>
      <c r="HX103" s="18"/>
      <c r="HY103" s="18"/>
      <c r="HZ103" s="18"/>
      <c r="IA103" s="18"/>
      <c r="IB103" s="18"/>
      <c r="IC103" s="18"/>
      <c r="ID103" s="18"/>
      <c r="IE103" s="18"/>
      <c r="IF103" s="18"/>
      <c r="IG103" s="18"/>
      <c r="IH103" s="18"/>
      <c r="II103" s="18"/>
      <c r="IJ103" s="18"/>
      <c r="IK103" s="18"/>
      <c r="IL103" s="18"/>
      <c r="IM103" s="18"/>
      <c r="IN103" s="18"/>
      <c r="IO103" s="18"/>
      <c r="IP103" s="18"/>
      <c r="IQ103" s="18"/>
      <c r="IR103" s="18"/>
      <c r="IS103" s="18"/>
      <c r="IT103" s="18"/>
      <c r="IU103" s="18"/>
      <c r="IV103" s="18"/>
      <c r="IW103" s="18"/>
    </row>
    <row r="104" customFormat="false" ht="13.2" hidden="false" customHeight="false" outlineLevel="0" collapsed="false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  <c r="FR104" s="18"/>
      <c r="FS104" s="18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  <c r="GX104" s="18"/>
      <c r="GY104" s="18"/>
      <c r="GZ104" s="18"/>
      <c r="HA104" s="18"/>
      <c r="HB104" s="18"/>
      <c r="HC104" s="18"/>
      <c r="HD104" s="18"/>
      <c r="HE104" s="18"/>
      <c r="HF104" s="18"/>
      <c r="HG104" s="18"/>
      <c r="HH104" s="18"/>
      <c r="HI104" s="18"/>
      <c r="HJ104" s="18"/>
      <c r="HK104" s="18"/>
      <c r="HL104" s="18"/>
      <c r="HM104" s="18"/>
      <c r="HN104" s="18"/>
      <c r="HO104" s="18"/>
      <c r="HP104" s="18"/>
      <c r="HQ104" s="18"/>
      <c r="HR104" s="18"/>
      <c r="HS104" s="18"/>
      <c r="HT104" s="18"/>
      <c r="HU104" s="18"/>
      <c r="HV104" s="18"/>
      <c r="HW104" s="18"/>
      <c r="HX104" s="18"/>
      <c r="HY104" s="18"/>
      <c r="HZ104" s="18"/>
      <c r="IA104" s="18"/>
      <c r="IB104" s="18"/>
      <c r="IC104" s="18"/>
      <c r="ID104" s="18"/>
      <c r="IE104" s="18"/>
      <c r="IF104" s="18"/>
      <c r="IG104" s="18"/>
      <c r="IH104" s="18"/>
      <c r="II104" s="18"/>
      <c r="IJ104" s="18"/>
      <c r="IK104" s="18"/>
      <c r="IL104" s="18"/>
      <c r="IM104" s="18"/>
      <c r="IN104" s="18"/>
      <c r="IO104" s="18"/>
      <c r="IP104" s="18"/>
      <c r="IQ104" s="18"/>
      <c r="IR104" s="18"/>
      <c r="IS104" s="18"/>
      <c r="IT104" s="18"/>
      <c r="IU104" s="18"/>
      <c r="IV104" s="18"/>
      <c r="IW104" s="18"/>
    </row>
    <row r="105" customFormat="false" ht="13.2" hidden="false" customHeight="false" outlineLevel="0" collapsed="false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  <c r="FR105" s="18"/>
      <c r="FS105" s="18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18"/>
      <c r="GH105" s="18"/>
      <c r="GI105" s="18"/>
      <c r="GJ105" s="18"/>
      <c r="GK105" s="18"/>
      <c r="GL105" s="18"/>
      <c r="GM105" s="18"/>
      <c r="GN105" s="18"/>
      <c r="GO105" s="18"/>
      <c r="GP105" s="18"/>
      <c r="GQ105" s="18"/>
      <c r="GR105" s="18"/>
      <c r="GS105" s="18"/>
      <c r="GT105" s="18"/>
      <c r="GU105" s="18"/>
      <c r="GV105" s="18"/>
      <c r="GW105" s="18"/>
      <c r="GX105" s="18"/>
      <c r="GY105" s="18"/>
      <c r="GZ105" s="18"/>
      <c r="HA105" s="18"/>
      <c r="HB105" s="18"/>
      <c r="HC105" s="18"/>
      <c r="HD105" s="18"/>
      <c r="HE105" s="18"/>
      <c r="HF105" s="18"/>
      <c r="HG105" s="18"/>
      <c r="HH105" s="18"/>
      <c r="HI105" s="18"/>
      <c r="HJ105" s="18"/>
      <c r="HK105" s="18"/>
      <c r="HL105" s="18"/>
      <c r="HM105" s="18"/>
      <c r="HN105" s="18"/>
      <c r="HO105" s="18"/>
      <c r="HP105" s="18"/>
      <c r="HQ105" s="18"/>
      <c r="HR105" s="18"/>
      <c r="HS105" s="18"/>
      <c r="HT105" s="18"/>
      <c r="HU105" s="18"/>
      <c r="HV105" s="18"/>
      <c r="HW105" s="18"/>
      <c r="HX105" s="18"/>
      <c r="HY105" s="18"/>
      <c r="HZ105" s="18"/>
      <c r="IA105" s="18"/>
      <c r="IB105" s="18"/>
      <c r="IC105" s="18"/>
      <c r="ID105" s="18"/>
      <c r="IE105" s="18"/>
      <c r="IF105" s="18"/>
      <c r="IG105" s="18"/>
      <c r="IH105" s="18"/>
      <c r="II105" s="18"/>
      <c r="IJ105" s="18"/>
      <c r="IK105" s="18"/>
      <c r="IL105" s="18"/>
      <c r="IM105" s="18"/>
      <c r="IN105" s="18"/>
      <c r="IO105" s="18"/>
      <c r="IP105" s="18"/>
      <c r="IQ105" s="18"/>
      <c r="IR105" s="18"/>
      <c r="IS105" s="18"/>
      <c r="IT105" s="18"/>
      <c r="IU105" s="18"/>
      <c r="IV105" s="18"/>
      <c r="IW105" s="18"/>
    </row>
    <row r="106" customFormat="false" ht="13.2" hidden="false" customHeight="false" outlineLevel="0" collapsed="false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18"/>
      <c r="GO106" s="18"/>
      <c r="GP106" s="18"/>
      <c r="GQ106" s="18"/>
      <c r="GR106" s="18"/>
      <c r="GS106" s="18"/>
      <c r="GT106" s="18"/>
      <c r="GU106" s="18"/>
      <c r="GV106" s="18"/>
      <c r="GW106" s="18"/>
      <c r="GX106" s="18"/>
      <c r="GY106" s="18"/>
      <c r="GZ106" s="18"/>
      <c r="HA106" s="18"/>
      <c r="HB106" s="18"/>
      <c r="HC106" s="18"/>
      <c r="HD106" s="18"/>
      <c r="HE106" s="18"/>
      <c r="HF106" s="18"/>
      <c r="HG106" s="18"/>
      <c r="HH106" s="18"/>
      <c r="HI106" s="18"/>
      <c r="HJ106" s="18"/>
      <c r="HK106" s="18"/>
      <c r="HL106" s="18"/>
      <c r="HM106" s="18"/>
      <c r="HN106" s="18"/>
      <c r="HO106" s="18"/>
      <c r="HP106" s="18"/>
      <c r="HQ106" s="18"/>
      <c r="HR106" s="18"/>
      <c r="HS106" s="18"/>
      <c r="HT106" s="18"/>
      <c r="HU106" s="18"/>
      <c r="HV106" s="18"/>
      <c r="HW106" s="18"/>
      <c r="HX106" s="18"/>
      <c r="HY106" s="18"/>
      <c r="HZ106" s="18"/>
      <c r="IA106" s="18"/>
      <c r="IB106" s="18"/>
      <c r="IC106" s="18"/>
      <c r="ID106" s="18"/>
      <c r="IE106" s="18"/>
      <c r="IF106" s="18"/>
      <c r="IG106" s="18"/>
      <c r="IH106" s="18"/>
      <c r="II106" s="18"/>
      <c r="IJ106" s="18"/>
      <c r="IK106" s="18"/>
      <c r="IL106" s="18"/>
      <c r="IM106" s="18"/>
      <c r="IN106" s="18"/>
      <c r="IO106" s="18"/>
      <c r="IP106" s="18"/>
      <c r="IQ106" s="18"/>
      <c r="IR106" s="18"/>
      <c r="IS106" s="18"/>
      <c r="IT106" s="18"/>
      <c r="IU106" s="18"/>
      <c r="IV106" s="18"/>
      <c r="IW106" s="18"/>
    </row>
    <row r="107" customFormat="false" ht="13.2" hidden="false" customHeight="false" outlineLevel="0" collapsed="false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  <c r="FR107" s="18"/>
      <c r="FS107" s="18"/>
      <c r="FT107" s="18"/>
      <c r="FU107" s="18"/>
      <c r="FV107" s="18"/>
      <c r="FW107" s="18"/>
      <c r="FX107" s="18"/>
      <c r="FY107" s="18"/>
      <c r="FZ107" s="18"/>
      <c r="GA107" s="18"/>
      <c r="GB107" s="18"/>
      <c r="GC107" s="18"/>
      <c r="GD107" s="18"/>
      <c r="GE107" s="18"/>
      <c r="GF107" s="18"/>
      <c r="GG107" s="18"/>
      <c r="GH107" s="18"/>
      <c r="GI107" s="18"/>
      <c r="GJ107" s="18"/>
      <c r="GK107" s="18"/>
      <c r="GL107" s="18"/>
      <c r="GM107" s="18"/>
      <c r="GN107" s="18"/>
      <c r="GO107" s="18"/>
      <c r="GP107" s="18"/>
      <c r="GQ107" s="18"/>
      <c r="GR107" s="18"/>
      <c r="GS107" s="18"/>
      <c r="GT107" s="18"/>
      <c r="GU107" s="18"/>
      <c r="GV107" s="18"/>
      <c r="GW107" s="18"/>
      <c r="GX107" s="18"/>
      <c r="GY107" s="18"/>
      <c r="GZ107" s="18"/>
      <c r="HA107" s="18"/>
      <c r="HB107" s="18"/>
      <c r="HC107" s="18"/>
      <c r="HD107" s="18"/>
      <c r="HE107" s="18"/>
      <c r="HF107" s="18"/>
      <c r="HG107" s="18"/>
      <c r="HH107" s="18"/>
      <c r="HI107" s="18"/>
      <c r="HJ107" s="18"/>
      <c r="HK107" s="18"/>
      <c r="HL107" s="18"/>
      <c r="HM107" s="18"/>
      <c r="HN107" s="18"/>
      <c r="HO107" s="18"/>
      <c r="HP107" s="18"/>
      <c r="HQ107" s="18"/>
      <c r="HR107" s="18"/>
      <c r="HS107" s="18"/>
      <c r="HT107" s="18"/>
      <c r="HU107" s="18"/>
      <c r="HV107" s="18"/>
      <c r="HW107" s="18"/>
      <c r="HX107" s="18"/>
      <c r="HY107" s="18"/>
      <c r="HZ107" s="18"/>
      <c r="IA107" s="18"/>
      <c r="IB107" s="18"/>
      <c r="IC107" s="18"/>
      <c r="ID107" s="18"/>
      <c r="IE107" s="18"/>
      <c r="IF107" s="18"/>
      <c r="IG107" s="18"/>
      <c r="IH107" s="18"/>
      <c r="II107" s="18"/>
      <c r="IJ107" s="18"/>
      <c r="IK107" s="18"/>
      <c r="IL107" s="18"/>
      <c r="IM107" s="18"/>
      <c r="IN107" s="18"/>
      <c r="IO107" s="18"/>
      <c r="IP107" s="18"/>
      <c r="IQ107" s="18"/>
      <c r="IR107" s="18"/>
      <c r="IS107" s="18"/>
      <c r="IT107" s="18"/>
      <c r="IU107" s="18"/>
      <c r="IV107" s="18"/>
      <c r="IW107" s="18"/>
    </row>
    <row r="108" customFormat="false" ht="13.2" hidden="false" customHeight="false" outlineLevel="0" collapsed="false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  <c r="FR108" s="18"/>
      <c r="FS108" s="18"/>
      <c r="FT108" s="18"/>
      <c r="FU108" s="18"/>
      <c r="FV108" s="18"/>
      <c r="FW108" s="18"/>
      <c r="FX108" s="18"/>
      <c r="FY108" s="18"/>
      <c r="FZ108" s="18"/>
      <c r="GA108" s="18"/>
      <c r="GB108" s="18"/>
      <c r="GC108" s="18"/>
      <c r="GD108" s="18"/>
      <c r="GE108" s="18"/>
      <c r="GF108" s="18"/>
      <c r="GG108" s="18"/>
      <c r="GH108" s="18"/>
      <c r="GI108" s="18"/>
      <c r="GJ108" s="18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18"/>
      <c r="GV108" s="18"/>
      <c r="GW108" s="18"/>
      <c r="GX108" s="18"/>
      <c r="GY108" s="18"/>
      <c r="GZ108" s="18"/>
      <c r="HA108" s="18"/>
      <c r="HB108" s="18"/>
      <c r="HC108" s="18"/>
      <c r="HD108" s="18"/>
      <c r="HE108" s="18"/>
      <c r="HF108" s="18"/>
      <c r="HG108" s="18"/>
      <c r="HH108" s="18"/>
      <c r="HI108" s="18"/>
      <c r="HJ108" s="18"/>
      <c r="HK108" s="18"/>
      <c r="HL108" s="18"/>
      <c r="HM108" s="18"/>
      <c r="HN108" s="18"/>
      <c r="HO108" s="18"/>
      <c r="HP108" s="18"/>
      <c r="HQ108" s="18"/>
      <c r="HR108" s="18"/>
      <c r="HS108" s="18"/>
      <c r="HT108" s="18"/>
      <c r="HU108" s="18"/>
      <c r="HV108" s="18"/>
      <c r="HW108" s="18"/>
      <c r="HX108" s="18"/>
      <c r="HY108" s="18"/>
      <c r="HZ108" s="18"/>
      <c r="IA108" s="18"/>
      <c r="IB108" s="18"/>
      <c r="IC108" s="18"/>
      <c r="ID108" s="18"/>
      <c r="IE108" s="18"/>
      <c r="IF108" s="18"/>
      <c r="IG108" s="18"/>
      <c r="IH108" s="18"/>
      <c r="II108" s="18"/>
      <c r="IJ108" s="18"/>
      <c r="IK108" s="18"/>
      <c r="IL108" s="18"/>
      <c r="IM108" s="18"/>
      <c r="IN108" s="18"/>
      <c r="IO108" s="18"/>
      <c r="IP108" s="18"/>
      <c r="IQ108" s="18"/>
      <c r="IR108" s="18"/>
      <c r="IS108" s="18"/>
      <c r="IT108" s="18"/>
      <c r="IU108" s="18"/>
      <c r="IV108" s="18"/>
      <c r="IW108" s="18"/>
    </row>
    <row r="109" customFormat="false" ht="13.2" hidden="false" customHeight="false" outlineLevel="0" collapsed="false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  <c r="FR109" s="18"/>
      <c r="FS109" s="18"/>
      <c r="FT109" s="18"/>
      <c r="FU109" s="18"/>
      <c r="FV109" s="18"/>
      <c r="FW109" s="18"/>
      <c r="FX109" s="18"/>
      <c r="FY109" s="18"/>
      <c r="FZ109" s="18"/>
      <c r="GA109" s="18"/>
      <c r="GB109" s="18"/>
      <c r="GC109" s="18"/>
      <c r="GD109" s="18"/>
      <c r="GE109" s="18"/>
      <c r="GF109" s="18"/>
      <c r="GG109" s="18"/>
      <c r="GH109" s="18"/>
      <c r="GI109" s="18"/>
      <c r="GJ109" s="18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18"/>
      <c r="GV109" s="18"/>
      <c r="GW109" s="18"/>
      <c r="GX109" s="18"/>
      <c r="GY109" s="18"/>
      <c r="GZ109" s="18"/>
      <c r="HA109" s="18"/>
      <c r="HB109" s="18"/>
      <c r="HC109" s="18"/>
      <c r="HD109" s="18"/>
      <c r="HE109" s="18"/>
      <c r="HF109" s="18"/>
      <c r="HG109" s="18"/>
      <c r="HH109" s="18"/>
      <c r="HI109" s="18"/>
      <c r="HJ109" s="18"/>
      <c r="HK109" s="18"/>
      <c r="HL109" s="18"/>
      <c r="HM109" s="18"/>
      <c r="HN109" s="18"/>
      <c r="HO109" s="18"/>
      <c r="HP109" s="18"/>
      <c r="HQ109" s="18"/>
      <c r="HR109" s="18"/>
      <c r="HS109" s="18"/>
      <c r="HT109" s="18"/>
      <c r="HU109" s="18"/>
      <c r="HV109" s="18"/>
      <c r="HW109" s="18"/>
      <c r="HX109" s="18"/>
      <c r="HY109" s="18"/>
      <c r="HZ109" s="18"/>
      <c r="IA109" s="18"/>
      <c r="IB109" s="18"/>
      <c r="IC109" s="18"/>
      <c r="ID109" s="18"/>
      <c r="IE109" s="18"/>
      <c r="IF109" s="18"/>
      <c r="IG109" s="18"/>
      <c r="IH109" s="18"/>
      <c r="II109" s="18"/>
      <c r="IJ109" s="18"/>
      <c r="IK109" s="18"/>
      <c r="IL109" s="18"/>
      <c r="IM109" s="18"/>
      <c r="IN109" s="18"/>
      <c r="IO109" s="18"/>
      <c r="IP109" s="18"/>
      <c r="IQ109" s="18"/>
      <c r="IR109" s="18"/>
      <c r="IS109" s="18"/>
      <c r="IT109" s="18"/>
      <c r="IU109" s="18"/>
      <c r="IV109" s="18"/>
      <c r="IW109" s="18"/>
    </row>
    <row r="110" customFormat="false" ht="13.2" hidden="false" customHeight="false" outlineLevel="0" collapsed="false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8"/>
      <c r="GA110" s="18"/>
      <c r="GB110" s="18"/>
      <c r="GC110" s="18"/>
      <c r="GD110" s="18"/>
      <c r="GE110" s="18"/>
      <c r="GF110" s="18"/>
      <c r="GG110" s="18"/>
      <c r="GH110" s="18"/>
      <c r="GI110" s="18"/>
      <c r="GJ110" s="18"/>
      <c r="GK110" s="18"/>
      <c r="GL110" s="18"/>
      <c r="GM110" s="18"/>
      <c r="GN110" s="18"/>
      <c r="GO110" s="18"/>
      <c r="GP110" s="18"/>
      <c r="GQ110" s="18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18"/>
      <c r="HC110" s="18"/>
      <c r="HD110" s="18"/>
      <c r="HE110" s="18"/>
      <c r="HF110" s="18"/>
      <c r="HG110" s="18"/>
      <c r="HH110" s="18"/>
      <c r="HI110" s="18"/>
      <c r="HJ110" s="18"/>
      <c r="HK110" s="18"/>
      <c r="HL110" s="18"/>
      <c r="HM110" s="18"/>
      <c r="HN110" s="18"/>
      <c r="HO110" s="18"/>
      <c r="HP110" s="18"/>
      <c r="HQ110" s="18"/>
      <c r="HR110" s="18"/>
      <c r="HS110" s="18"/>
      <c r="HT110" s="18"/>
      <c r="HU110" s="18"/>
      <c r="HV110" s="18"/>
      <c r="HW110" s="18"/>
      <c r="HX110" s="18"/>
      <c r="HY110" s="18"/>
      <c r="HZ110" s="18"/>
      <c r="IA110" s="18"/>
      <c r="IB110" s="18"/>
      <c r="IC110" s="18"/>
      <c r="ID110" s="18"/>
      <c r="IE110" s="18"/>
      <c r="IF110" s="18"/>
      <c r="IG110" s="18"/>
      <c r="IH110" s="18"/>
      <c r="II110" s="18"/>
      <c r="IJ110" s="18"/>
      <c r="IK110" s="18"/>
      <c r="IL110" s="18"/>
      <c r="IM110" s="18"/>
      <c r="IN110" s="18"/>
      <c r="IO110" s="18"/>
      <c r="IP110" s="18"/>
      <c r="IQ110" s="18"/>
      <c r="IR110" s="18"/>
      <c r="IS110" s="18"/>
      <c r="IT110" s="18"/>
      <c r="IU110" s="18"/>
      <c r="IV110" s="18"/>
      <c r="IW110" s="18"/>
    </row>
    <row r="111" customFormat="false" ht="13.2" hidden="false" customHeight="false" outlineLevel="0" collapsed="false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18"/>
      <c r="FH111" s="18"/>
      <c r="FI111" s="18"/>
      <c r="FJ111" s="18"/>
      <c r="FK111" s="18"/>
      <c r="FL111" s="18"/>
      <c r="FM111" s="18"/>
      <c r="FN111" s="18"/>
      <c r="FO111" s="18"/>
      <c r="FP111" s="18"/>
      <c r="FQ111" s="18"/>
      <c r="FR111" s="18"/>
      <c r="FS111" s="18"/>
      <c r="FT111" s="18"/>
      <c r="FU111" s="18"/>
      <c r="FV111" s="18"/>
      <c r="FW111" s="18"/>
      <c r="FX111" s="18"/>
      <c r="FY111" s="18"/>
      <c r="FZ111" s="18"/>
      <c r="GA111" s="18"/>
      <c r="GB111" s="18"/>
      <c r="GC111" s="18"/>
      <c r="GD111" s="18"/>
      <c r="GE111" s="18"/>
      <c r="GF111" s="18"/>
      <c r="GG111" s="18"/>
      <c r="GH111" s="18"/>
      <c r="GI111" s="18"/>
      <c r="GJ111" s="18"/>
      <c r="GK111" s="18"/>
      <c r="GL111" s="18"/>
      <c r="GM111" s="18"/>
      <c r="GN111" s="18"/>
      <c r="GO111" s="18"/>
      <c r="GP111" s="18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18"/>
      <c r="HC111" s="18"/>
      <c r="HD111" s="18"/>
      <c r="HE111" s="18"/>
      <c r="HF111" s="18"/>
      <c r="HG111" s="18"/>
      <c r="HH111" s="18"/>
      <c r="HI111" s="18"/>
      <c r="HJ111" s="18"/>
      <c r="HK111" s="18"/>
      <c r="HL111" s="18"/>
      <c r="HM111" s="18"/>
      <c r="HN111" s="18"/>
      <c r="HO111" s="18"/>
      <c r="HP111" s="18"/>
      <c r="HQ111" s="18"/>
      <c r="HR111" s="18"/>
      <c r="HS111" s="18"/>
      <c r="HT111" s="18"/>
      <c r="HU111" s="18"/>
      <c r="HV111" s="18"/>
      <c r="HW111" s="18"/>
      <c r="HX111" s="18"/>
      <c r="HY111" s="18"/>
      <c r="HZ111" s="18"/>
      <c r="IA111" s="18"/>
      <c r="IB111" s="18"/>
      <c r="IC111" s="18"/>
      <c r="ID111" s="18"/>
      <c r="IE111" s="18"/>
      <c r="IF111" s="18"/>
      <c r="IG111" s="18"/>
      <c r="IH111" s="18"/>
      <c r="II111" s="18"/>
      <c r="IJ111" s="18"/>
      <c r="IK111" s="18"/>
      <c r="IL111" s="18"/>
      <c r="IM111" s="18"/>
      <c r="IN111" s="18"/>
      <c r="IO111" s="18"/>
      <c r="IP111" s="18"/>
      <c r="IQ111" s="18"/>
      <c r="IR111" s="18"/>
      <c r="IS111" s="18"/>
      <c r="IT111" s="18"/>
      <c r="IU111" s="18"/>
      <c r="IV111" s="18"/>
      <c r="IW111" s="18"/>
    </row>
    <row r="112" customFormat="false" ht="13.2" hidden="false" customHeight="false" outlineLevel="0" collapsed="false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18"/>
      <c r="FC112" s="18"/>
      <c r="FD112" s="18"/>
      <c r="FE112" s="18"/>
      <c r="FF112" s="18"/>
      <c r="FG112" s="18"/>
      <c r="FH112" s="18"/>
      <c r="FI112" s="18"/>
      <c r="FJ112" s="18"/>
      <c r="FK112" s="18"/>
      <c r="FL112" s="18"/>
      <c r="FM112" s="18"/>
      <c r="FN112" s="18"/>
      <c r="FO112" s="18"/>
      <c r="FP112" s="18"/>
      <c r="FQ112" s="18"/>
      <c r="FR112" s="18"/>
      <c r="FS112" s="18"/>
      <c r="FT112" s="18"/>
      <c r="FU112" s="18"/>
      <c r="FV112" s="18"/>
      <c r="FW112" s="18"/>
      <c r="FX112" s="18"/>
      <c r="FY112" s="18"/>
      <c r="FZ112" s="18"/>
      <c r="GA112" s="18"/>
      <c r="GB112" s="18"/>
      <c r="GC112" s="18"/>
      <c r="GD112" s="18"/>
      <c r="GE112" s="18"/>
      <c r="GF112" s="18"/>
      <c r="GG112" s="18"/>
      <c r="GH112" s="18"/>
      <c r="GI112" s="18"/>
      <c r="GJ112" s="1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18"/>
      <c r="GX112" s="18"/>
      <c r="GY112" s="18"/>
      <c r="GZ112" s="18"/>
      <c r="HA112" s="18"/>
      <c r="HB112" s="18"/>
      <c r="HC112" s="18"/>
      <c r="HD112" s="18"/>
      <c r="HE112" s="18"/>
      <c r="HF112" s="18"/>
      <c r="HG112" s="18"/>
      <c r="HH112" s="18"/>
      <c r="HI112" s="18"/>
      <c r="HJ112" s="18"/>
      <c r="HK112" s="18"/>
      <c r="HL112" s="18"/>
      <c r="HM112" s="18"/>
      <c r="HN112" s="18"/>
      <c r="HO112" s="18"/>
      <c r="HP112" s="18"/>
      <c r="HQ112" s="18"/>
      <c r="HR112" s="18"/>
      <c r="HS112" s="18"/>
      <c r="HT112" s="18"/>
      <c r="HU112" s="18"/>
      <c r="HV112" s="18"/>
      <c r="HW112" s="18"/>
      <c r="HX112" s="18"/>
      <c r="HY112" s="18"/>
      <c r="HZ112" s="18"/>
      <c r="IA112" s="18"/>
      <c r="IB112" s="18"/>
      <c r="IC112" s="18"/>
      <c r="ID112" s="18"/>
      <c r="IE112" s="18"/>
      <c r="IF112" s="18"/>
      <c r="IG112" s="18"/>
      <c r="IH112" s="18"/>
      <c r="II112" s="18"/>
      <c r="IJ112" s="18"/>
      <c r="IK112" s="18"/>
      <c r="IL112" s="18"/>
      <c r="IM112" s="18"/>
      <c r="IN112" s="18"/>
      <c r="IO112" s="18"/>
      <c r="IP112" s="18"/>
      <c r="IQ112" s="18"/>
      <c r="IR112" s="18"/>
      <c r="IS112" s="18"/>
      <c r="IT112" s="18"/>
      <c r="IU112" s="18"/>
      <c r="IV112" s="18"/>
      <c r="IW112" s="18"/>
    </row>
    <row r="113" customFormat="false" ht="13.2" hidden="false" customHeight="false" outlineLevel="0" collapsed="false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  <c r="FR113" s="18"/>
      <c r="FS113" s="18"/>
      <c r="FT113" s="18"/>
      <c r="FU113" s="18"/>
      <c r="FV113" s="18"/>
      <c r="FW113" s="18"/>
      <c r="FX113" s="18"/>
      <c r="FY113" s="18"/>
      <c r="FZ113" s="18"/>
      <c r="GA113" s="18"/>
      <c r="GB113" s="18"/>
      <c r="GC113" s="18"/>
      <c r="GD113" s="18"/>
      <c r="GE113" s="18"/>
      <c r="GF113" s="18"/>
      <c r="GG113" s="18"/>
      <c r="GH113" s="18"/>
      <c r="GI113" s="18"/>
      <c r="GJ113" s="1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18"/>
      <c r="GX113" s="18"/>
      <c r="GY113" s="18"/>
      <c r="GZ113" s="18"/>
      <c r="HA113" s="18"/>
      <c r="HB113" s="18"/>
      <c r="HC113" s="18"/>
      <c r="HD113" s="18"/>
      <c r="HE113" s="18"/>
      <c r="HF113" s="18"/>
      <c r="HG113" s="18"/>
      <c r="HH113" s="18"/>
      <c r="HI113" s="18"/>
      <c r="HJ113" s="18"/>
      <c r="HK113" s="18"/>
      <c r="HL113" s="18"/>
      <c r="HM113" s="18"/>
      <c r="HN113" s="18"/>
      <c r="HO113" s="18"/>
      <c r="HP113" s="18"/>
      <c r="HQ113" s="18"/>
      <c r="HR113" s="18"/>
      <c r="HS113" s="18"/>
      <c r="HT113" s="18"/>
      <c r="HU113" s="18"/>
      <c r="HV113" s="18"/>
      <c r="HW113" s="18"/>
      <c r="HX113" s="18"/>
      <c r="HY113" s="18"/>
      <c r="HZ113" s="18"/>
      <c r="IA113" s="18"/>
      <c r="IB113" s="18"/>
      <c r="IC113" s="18"/>
      <c r="ID113" s="18"/>
      <c r="IE113" s="18"/>
      <c r="IF113" s="18"/>
      <c r="IG113" s="18"/>
      <c r="IH113" s="18"/>
      <c r="II113" s="18"/>
      <c r="IJ113" s="18"/>
      <c r="IK113" s="18"/>
      <c r="IL113" s="18"/>
      <c r="IM113" s="18"/>
      <c r="IN113" s="18"/>
      <c r="IO113" s="18"/>
      <c r="IP113" s="18"/>
      <c r="IQ113" s="18"/>
      <c r="IR113" s="18"/>
      <c r="IS113" s="18"/>
      <c r="IT113" s="18"/>
      <c r="IU113" s="18"/>
      <c r="IV113" s="18"/>
      <c r="IW113" s="18"/>
    </row>
    <row r="114" customFormat="false" ht="13.2" hidden="false" customHeight="false" outlineLevel="0" collapsed="false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  <c r="FR114" s="18"/>
      <c r="FS114" s="18"/>
      <c r="FT114" s="18"/>
      <c r="FU114" s="18"/>
      <c r="FV114" s="18"/>
      <c r="FW114" s="18"/>
      <c r="FX114" s="18"/>
      <c r="FY114" s="18"/>
      <c r="FZ114" s="18"/>
      <c r="GA114" s="18"/>
      <c r="GB114" s="18"/>
      <c r="GC114" s="18"/>
      <c r="GD114" s="18"/>
      <c r="GE114" s="18"/>
      <c r="GF114" s="18"/>
      <c r="GG114" s="18"/>
      <c r="GH114" s="18"/>
      <c r="GI114" s="18"/>
      <c r="GJ114" s="18"/>
      <c r="GK114" s="18"/>
      <c r="GL114" s="18"/>
      <c r="GM114" s="18"/>
      <c r="GN114" s="18"/>
      <c r="GO114" s="18"/>
      <c r="GP114" s="18"/>
      <c r="GQ114" s="18"/>
      <c r="GR114" s="18"/>
      <c r="GS114" s="18"/>
      <c r="GT114" s="18"/>
      <c r="GU114" s="18"/>
      <c r="GV114" s="18"/>
      <c r="GW114" s="18"/>
      <c r="GX114" s="18"/>
      <c r="GY114" s="18"/>
      <c r="GZ114" s="18"/>
      <c r="HA114" s="18"/>
      <c r="HB114" s="18"/>
      <c r="HC114" s="18"/>
      <c r="HD114" s="18"/>
      <c r="HE114" s="18"/>
      <c r="HF114" s="18"/>
      <c r="HG114" s="18"/>
      <c r="HH114" s="18"/>
      <c r="HI114" s="18"/>
      <c r="HJ114" s="18"/>
      <c r="HK114" s="18"/>
      <c r="HL114" s="18"/>
      <c r="HM114" s="18"/>
      <c r="HN114" s="18"/>
      <c r="HO114" s="18"/>
      <c r="HP114" s="18"/>
      <c r="HQ114" s="18"/>
      <c r="HR114" s="18"/>
      <c r="HS114" s="18"/>
      <c r="HT114" s="18"/>
      <c r="HU114" s="18"/>
      <c r="HV114" s="18"/>
      <c r="HW114" s="18"/>
      <c r="HX114" s="18"/>
      <c r="HY114" s="18"/>
      <c r="HZ114" s="18"/>
      <c r="IA114" s="18"/>
      <c r="IB114" s="18"/>
      <c r="IC114" s="18"/>
      <c r="ID114" s="18"/>
      <c r="IE114" s="18"/>
      <c r="IF114" s="18"/>
      <c r="IG114" s="18"/>
      <c r="IH114" s="18"/>
      <c r="II114" s="18"/>
      <c r="IJ114" s="18"/>
      <c r="IK114" s="18"/>
      <c r="IL114" s="18"/>
      <c r="IM114" s="18"/>
      <c r="IN114" s="18"/>
      <c r="IO114" s="18"/>
      <c r="IP114" s="18"/>
      <c r="IQ114" s="18"/>
      <c r="IR114" s="18"/>
      <c r="IS114" s="18"/>
      <c r="IT114" s="18"/>
      <c r="IU114" s="18"/>
      <c r="IV114" s="18"/>
      <c r="IW114" s="18"/>
    </row>
    <row r="115" customFormat="false" ht="13.2" hidden="false" customHeight="false" outlineLevel="0" collapsed="false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  <c r="FR115" s="18"/>
      <c r="FS115" s="18"/>
      <c r="FT115" s="18"/>
      <c r="FU115" s="18"/>
      <c r="FV115" s="18"/>
      <c r="FW115" s="18"/>
      <c r="FX115" s="18"/>
      <c r="FY115" s="18"/>
      <c r="FZ115" s="18"/>
      <c r="GA115" s="18"/>
      <c r="GB115" s="18"/>
      <c r="GC115" s="18"/>
      <c r="GD115" s="18"/>
      <c r="GE115" s="18"/>
      <c r="GF115" s="18"/>
      <c r="GG115" s="18"/>
      <c r="GH115" s="18"/>
      <c r="GI115" s="18"/>
      <c r="GJ115" s="18"/>
      <c r="GK115" s="18"/>
      <c r="GL115" s="18"/>
      <c r="GM115" s="18"/>
      <c r="GN115" s="18"/>
      <c r="GO115" s="18"/>
      <c r="GP115" s="18"/>
      <c r="GQ115" s="18"/>
      <c r="GR115" s="18"/>
      <c r="GS115" s="18"/>
      <c r="GT115" s="18"/>
      <c r="GU115" s="18"/>
      <c r="GV115" s="18"/>
      <c r="GW115" s="18"/>
      <c r="GX115" s="18"/>
      <c r="GY115" s="18"/>
      <c r="GZ115" s="18"/>
      <c r="HA115" s="18"/>
      <c r="HB115" s="18"/>
      <c r="HC115" s="18"/>
      <c r="HD115" s="18"/>
      <c r="HE115" s="18"/>
      <c r="HF115" s="18"/>
      <c r="HG115" s="18"/>
      <c r="HH115" s="18"/>
      <c r="HI115" s="18"/>
      <c r="HJ115" s="18"/>
      <c r="HK115" s="18"/>
      <c r="HL115" s="18"/>
      <c r="HM115" s="18"/>
      <c r="HN115" s="18"/>
      <c r="HO115" s="18"/>
      <c r="HP115" s="18"/>
      <c r="HQ115" s="18"/>
      <c r="HR115" s="18"/>
      <c r="HS115" s="18"/>
      <c r="HT115" s="18"/>
      <c r="HU115" s="18"/>
      <c r="HV115" s="18"/>
      <c r="HW115" s="18"/>
      <c r="HX115" s="18"/>
      <c r="HY115" s="18"/>
      <c r="HZ115" s="18"/>
      <c r="IA115" s="18"/>
      <c r="IB115" s="18"/>
      <c r="IC115" s="18"/>
      <c r="ID115" s="18"/>
      <c r="IE115" s="18"/>
      <c r="IF115" s="18"/>
      <c r="IG115" s="18"/>
      <c r="IH115" s="18"/>
      <c r="II115" s="18"/>
      <c r="IJ115" s="18"/>
      <c r="IK115" s="18"/>
      <c r="IL115" s="18"/>
      <c r="IM115" s="18"/>
      <c r="IN115" s="18"/>
      <c r="IO115" s="18"/>
      <c r="IP115" s="18"/>
      <c r="IQ115" s="18"/>
      <c r="IR115" s="18"/>
      <c r="IS115" s="18"/>
      <c r="IT115" s="18"/>
      <c r="IU115" s="18"/>
      <c r="IV115" s="18"/>
      <c r="IW115" s="18"/>
    </row>
    <row r="116" customFormat="false" ht="13.2" hidden="false" customHeight="false" outlineLevel="0" collapsed="false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  <c r="FR116" s="18"/>
      <c r="FS116" s="18"/>
      <c r="FT116" s="18"/>
      <c r="FU116" s="18"/>
      <c r="FV116" s="18"/>
      <c r="FW116" s="18"/>
      <c r="FX116" s="18"/>
      <c r="FY116" s="18"/>
      <c r="FZ116" s="18"/>
      <c r="GA116" s="18"/>
      <c r="GB116" s="18"/>
      <c r="GC116" s="18"/>
      <c r="GD116" s="18"/>
      <c r="GE116" s="18"/>
      <c r="GF116" s="18"/>
      <c r="GG116" s="18"/>
      <c r="GH116" s="18"/>
      <c r="GI116" s="18"/>
      <c r="GJ116" s="18"/>
      <c r="GK116" s="18"/>
      <c r="GL116" s="18"/>
      <c r="GM116" s="18"/>
      <c r="GN116" s="18"/>
      <c r="GO116" s="18"/>
      <c r="GP116" s="18"/>
      <c r="GQ116" s="18"/>
      <c r="GR116" s="18"/>
      <c r="GS116" s="18"/>
      <c r="GT116" s="18"/>
      <c r="GU116" s="18"/>
      <c r="GV116" s="18"/>
      <c r="GW116" s="18"/>
      <c r="GX116" s="18"/>
      <c r="GY116" s="18"/>
      <c r="GZ116" s="18"/>
      <c r="HA116" s="18"/>
      <c r="HB116" s="18"/>
      <c r="HC116" s="18"/>
      <c r="HD116" s="18"/>
      <c r="HE116" s="18"/>
      <c r="HF116" s="18"/>
      <c r="HG116" s="18"/>
      <c r="HH116" s="18"/>
      <c r="HI116" s="18"/>
      <c r="HJ116" s="18"/>
      <c r="HK116" s="18"/>
      <c r="HL116" s="18"/>
      <c r="HM116" s="18"/>
      <c r="HN116" s="18"/>
      <c r="HO116" s="18"/>
      <c r="HP116" s="18"/>
      <c r="HQ116" s="18"/>
      <c r="HR116" s="18"/>
      <c r="HS116" s="18"/>
      <c r="HT116" s="18"/>
      <c r="HU116" s="18"/>
      <c r="HV116" s="18"/>
      <c r="HW116" s="18"/>
      <c r="HX116" s="18"/>
      <c r="HY116" s="18"/>
      <c r="HZ116" s="18"/>
      <c r="IA116" s="18"/>
      <c r="IB116" s="18"/>
      <c r="IC116" s="18"/>
      <c r="ID116" s="18"/>
      <c r="IE116" s="18"/>
      <c r="IF116" s="18"/>
      <c r="IG116" s="18"/>
      <c r="IH116" s="18"/>
      <c r="II116" s="18"/>
      <c r="IJ116" s="18"/>
      <c r="IK116" s="18"/>
      <c r="IL116" s="18"/>
      <c r="IM116" s="18"/>
      <c r="IN116" s="18"/>
      <c r="IO116" s="18"/>
      <c r="IP116" s="18"/>
      <c r="IQ116" s="18"/>
      <c r="IR116" s="18"/>
      <c r="IS116" s="18"/>
      <c r="IT116" s="18"/>
      <c r="IU116" s="18"/>
      <c r="IV116" s="18"/>
      <c r="IW116" s="18"/>
    </row>
    <row r="117" customFormat="false" ht="13.2" hidden="false" customHeight="false" outlineLevel="0" collapsed="false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  <c r="FR117" s="18"/>
      <c r="FS117" s="18"/>
      <c r="FT117" s="18"/>
      <c r="FU117" s="18"/>
      <c r="FV117" s="18"/>
      <c r="FW117" s="18"/>
      <c r="FX117" s="18"/>
      <c r="FY117" s="18"/>
      <c r="FZ117" s="18"/>
      <c r="GA117" s="18"/>
      <c r="GB117" s="18"/>
      <c r="GC117" s="18"/>
      <c r="GD117" s="18"/>
      <c r="GE117" s="18"/>
      <c r="GF117" s="18"/>
      <c r="GG117" s="18"/>
      <c r="GH117" s="18"/>
      <c r="GI117" s="18"/>
      <c r="GJ117" s="18"/>
      <c r="GK117" s="18"/>
      <c r="GL117" s="18"/>
      <c r="GM117" s="18"/>
      <c r="GN117" s="18"/>
      <c r="GO117" s="18"/>
      <c r="GP117" s="18"/>
      <c r="GQ117" s="18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18"/>
      <c r="HC117" s="18"/>
      <c r="HD117" s="18"/>
      <c r="HE117" s="18"/>
      <c r="HF117" s="18"/>
      <c r="HG117" s="18"/>
      <c r="HH117" s="18"/>
      <c r="HI117" s="18"/>
      <c r="HJ117" s="18"/>
      <c r="HK117" s="18"/>
      <c r="HL117" s="18"/>
      <c r="HM117" s="18"/>
      <c r="HN117" s="18"/>
      <c r="HO117" s="18"/>
      <c r="HP117" s="18"/>
      <c r="HQ117" s="18"/>
      <c r="HR117" s="18"/>
      <c r="HS117" s="18"/>
      <c r="HT117" s="18"/>
      <c r="HU117" s="18"/>
      <c r="HV117" s="18"/>
      <c r="HW117" s="18"/>
      <c r="HX117" s="18"/>
      <c r="HY117" s="18"/>
      <c r="HZ117" s="18"/>
      <c r="IA117" s="18"/>
      <c r="IB117" s="18"/>
      <c r="IC117" s="18"/>
      <c r="ID117" s="18"/>
      <c r="IE117" s="18"/>
      <c r="IF117" s="18"/>
      <c r="IG117" s="18"/>
      <c r="IH117" s="18"/>
      <c r="II117" s="18"/>
      <c r="IJ117" s="18"/>
      <c r="IK117" s="18"/>
      <c r="IL117" s="18"/>
      <c r="IM117" s="18"/>
      <c r="IN117" s="18"/>
      <c r="IO117" s="18"/>
      <c r="IP117" s="18"/>
      <c r="IQ117" s="18"/>
      <c r="IR117" s="18"/>
      <c r="IS117" s="18"/>
      <c r="IT117" s="18"/>
      <c r="IU117" s="18"/>
      <c r="IV117" s="18"/>
      <c r="IW117" s="18"/>
    </row>
    <row r="118" customFormat="false" ht="13.2" hidden="false" customHeight="false" outlineLevel="0" collapsed="false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  <c r="FR118" s="18"/>
      <c r="FS118" s="18"/>
      <c r="FT118" s="18"/>
      <c r="FU118" s="18"/>
      <c r="FV118" s="18"/>
      <c r="FW118" s="18"/>
      <c r="FX118" s="18"/>
      <c r="FY118" s="18"/>
      <c r="FZ118" s="18"/>
      <c r="GA118" s="18"/>
      <c r="GB118" s="18"/>
      <c r="GC118" s="18"/>
      <c r="GD118" s="18"/>
      <c r="GE118" s="18"/>
      <c r="GF118" s="18"/>
      <c r="GG118" s="18"/>
      <c r="GH118" s="18"/>
      <c r="GI118" s="18"/>
      <c r="GJ118" s="18"/>
      <c r="GK118" s="18"/>
      <c r="GL118" s="18"/>
      <c r="GM118" s="18"/>
      <c r="GN118" s="18"/>
      <c r="GO118" s="18"/>
      <c r="GP118" s="18"/>
      <c r="GQ118" s="18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18"/>
      <c r="HC118" s="18"/>
      <c r="HD118" s="18"/>
      <c r="HE118" s="18"/>
      <c r="HF118" s="18"/>
      <c r="HG118" s="18"/>
      <c r="HH118" s="18"/>
      <c r="HI118" s="18"/>
      <c r="HJ118" s="18"/>
      <c r="HK118" s="18"/>
      <c r="HL118" s="18"/>
      <c r="HM118" s="18"/>
      <c r="HN118" s="18"/>
      <c r="HO118" s="18"/>
      <c r="HP118" s="18"/>
      <c r="HQ118" s="18"/>
      <c r="HR118" s="18"/>
      <c r="HS118" s="18"/>
      <c r="HT118" s="18"/>
      <c r="HU118" s="18"/>
      <c r="HV118" s="18"/>
      <c r="HW118" s="18"/>
      <c r="HX118" s="18"/>
      <c r="HY118" s="18"/>
      <c r="HZ118" s="18"/>
      <c r="IA118" s="18"/>
      <c r="IB118" s="18"/>
      <c r="IC118" s="18"/>
      <c r="ID118" s="18"/>
      <c r="IE118" s="18"/>
      <c r="IF118" s="18"/>
      <c r="IG118" s="18"/>
      <c r="IH118" s="18"/>
      <c r="II118" s="18"/>
      <c r="IJ118" s="18"/>
      <c r="IK118" s="18"/>
      <c r="IL118" s="18"/>
      <c r="IM118" s="18"/>
      <c r="IN118" s="18"/>
      <c r="IO118" s="18"/>
      <c r="IP118" s="18"/>
      <c r="IQ118" s="18"/>
      <c r="IR118" s="18"/>
      <c r="IS118" s="18"/>
      <c r="IT118" s="18"/>
      <c r="IU118" s="18"/>
      <c r="IV118" s="18"/>
      <c r="IW118" s="18"/>
    </row>
    <row r="119" customFormat="false" ht="13.2" hidden="false" customHeight="false" outlineLevel="0" collapsed="false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  <c r="FR119" s="18"/>
      <c r="FS119" s="18"/>
      <c r="FT119" s="18"/>
      <c r="FU119" s="18"/>
      <c r="FV119" s="18"/>
      <c r="FW119" s="18"/>
      <c r="FX119" s="18"/>
      <c r="FY119" s="18"/>
      <c r="FZ119" s="18"/>
      <c r="GA119" s="18"/>
      <c r="GB119" s="18"/>
      <c r="GC119" s="18"/>
      <c r="GD119" s="18"/>
      <c r="GE119" s="18"/>
      <c r="GF119" s="18"/>
      <c r="GG119" s="18"/>
      <c r="GH119" s="18"/>
      <c r="GI119" s="18"/>
      <c r="GJ119" s="18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18"/>
      <c r="GV119" s="18"/>
      <c r="GW119" s="18"/>
      <c r="GX119" s="18"/>
      <c r="GY119" s="18"/>
      <c r="GZ119" s="18"/>
      <c r="HA119" s="18"/>
      <c r="HB119" s="18"/>
      <c r="HC119" s="18"/>
      <c r="HD119" s="18"/>
      <c r="HE119" s="18"/>
      <c r="HF119" s="18"/>
      <c r="HG119" s="18"/>
      <c r="HH119" s="18"/>
      <c r="HI119" s="18"/>
      <c r="HJ119" s="18"/>
      <c r="HK119" s="18"/>
      <c r="HL119" s="18"/>
      <c r="HM119" s="18"/>
      <c r="HN119" s="18"/>
      <c r="HO119" s="18"/>
      <c r="HP119" s="18"/>
      <c r="HQ119" s="18"/>
      <c r="HR119" s="18"/>
      <c r="HS119" s="18"/>
      <c r="HT119" s="18"/>
      <c r="HU119" s="18"/>
      <c r="HV119" s="18"/>
      <c r="HW119" s="18"/>
      <c r="HX119" s="18"/>
      <c r="HY119" s="18"/>
      <c r="HZ119" s="18"/>
      <c r="IA119" s="18"/>
      <c r="IB119" s="18"/>
      <c r="IC119" s="18"/>
      <c r="ID119" s="18"/>
      <c r="IE119" s="18"/>
      <c r="IF119" s="18"/>
      <c r="IG119" s="18"/>
      <c r="IH119" s="18"/>
      <c r="II119" s="18"/>
      <c r="IJ119" s="18"/>
      <c r="IK119" s="18"/>
      <c r="IL119" s="18"/>
      <c r="IM119" s="18"/>
      <c r="IN119" s="18"/>
      <c r="IO119" s="18"/>
      <c r="IP119" s="18"/>
      <c r="IQ119" s="18"/>
      <c r="IR119" s="18"/>
      <c r="IS119" s="18"/>
      <c r="IT119" s="18"/>
      <c r="IU119" s="18"/>
      <c r="IV119" s="18"/>
      <c r="IW119" s="18"/>
    </row>
    <row r="120" customFormat="false" ht="13.2" hidden="false" customHeight="false" outlineLevel="0" collapsed="false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  <c r="FR120" s="18"/>
      <c r="FS120" s="18"/>
      <c r="FT120" s="18"/>
      <c r="FU120" s="18"/>
      <c r="FV120" s="18"/>
      <c r="FW120" s="18"/>
      <c r="FX120" s="18"/>
      <c r="FY120" s="18"/>
      <c r="FZ120" s="18"/>
      <c r="GA120" s="18"/>
      <c r="GB120" s="18"/>
      <c r="GC120" s="18"/>
      <c r="GD120" s="18"/>
      <c r="GE120" s="18"/>
      <c r="GF120" s="18"/>
      <c r="GG120" s="18"/>
      <c r="GH120" s="18"/>
      <c r="GI120" s="18"/>
      <c r="GJ120" s="18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18"/>
      <c r="GV120" s="18"/>
      <c r="GW120" s="18"/>
      <c r="GX120" s="18"/>
      <c r="GY120" s="18"/>
      <c r="GZ120" s="18"/>
      <c r="HA120" s="18"/>
      <c r="HB120" s="18"/>
      <c r="HC120" s="18"/>
      <c r="HD120" s="18"/>
      <c r="HE120" s="18"/>
      <c r="HF120" s="18"/>
      <c r="HG120" s="18"/>
      <c r="HH120" s="18"/>
      <c r="HI120" s="18"/>
      <c r="HJ120" s="18"/>
      <c r="HK120" s="18"/>
      <c r="HL120" s="18"/>
      <c r="HM120" s="18"/>
      <c r="HN120" s="18"/>
      <c r="HO120" s="18"/>
      <c r="HP120" s="18"/>
      <c r="HQ120" s="18"/>
      <c r="HR120" s="18"/>
      <c r="HS120" s="18"/>
      <c r="HT120" s="18"/>
      <c r="HU120" s="18"/>
      <c r="HV120" s="18"/>
      <c r="HW120" s="18"/>
      <c r="HX120" s="18"/>
      <c r="HY120" s="18"/>
      <c r="HZ120" s="18"/>
      <c r="IA120" s="18"/>
      <c r="IB120" s="18"/>
      <c r="IC120" s="18"/>
      <c r="ID120" s="18"/>
      <c r="IE120" s="18"/>
      <c r="IF120" s="18"/>
      <c r="IG120" s="18"/>
      <c r="IH120" s="18"/>
      <c r="II120" s="18"/>
      <c r="IJ120" s="18"/>
      <c r="IK120" s="18"/>
      <c r="IL120" s="18"/>
      <c r="IM120" s="18"/>
      <c r="IN120" s="18"/>
      <c r="IO120" s="18"/>
      <c r="IP120" s="18"/>
      <c r="IQ120" s="18"/>
      <c r="IR120" s="18"/>
      <c r="IS120" s="18"/>
      <c r="IT120" s="18"/>
      <c r="IU120" s="18"/>
      <c r="IV120" s="18"/>
      <c r="IW120" s="18"/>
    </row>
    <row r="121" customFormat="false" ht="13.2" hidden="false" customHeight="false" outlineLevel="0" collapsed="false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  <c r="FR121" s="18"/>
      <c r="FS121" s="18"/>
      <c r="FT121" s="18"/>
      <c r="FU121" s="18"/>
      <c r="FV121" s="18"/>
      <c r="FW121" s="18"/>
      <c r="FX121" s="18"/>
      <c r="FY121" s="18"/>
      <c r="FZ121" s="18"/>
      <c r="GA121" s="18"/>
      <c r="GB121" s="18"/>
      <c r="GC121" s="18"/>
      <c r="GD121" s="18"/>
      <c r="GE121" s="18"/>
      <c r="GF121" s="18"/>
      <c r="GG121" s="18"/>
      <c r="GH121" s="18"/>
      <c r="GI121" s="18"/>
      <c r="GJ121" s="18"/>
      <c r="GK121" s="18"/>
      <c r="GL121" s="18"/>
      <c r="GM121" s="18"/>
      <c r="GN121" s="18"/>
      <c r="GO121" s="18"/>
      <c r="GP121" s="18"/>
      <c r="GQ121" s="18"/>
      <c r="GR121" s="18"/>
      <c r="GS121" s="18"/>
      <c r="GT121" s="18"/>
      <c r="GU121" s="18"/>
      <c r="GV121" s="18"/>
      <c r="GW121" s="18"/>
      <c r="GX121" s="18"/>
      <c r="GY121" s="18"/>
      <c r="GZ121" s="18"/>
      <c r="HA121" s="18"/>
      <c r="HB121" s="18"/>
      <c r="HC121" s="18"/>
      <c r="HD121" s="18"/>
      <c r="HE121" s="18"/>
      <c r="HF121" s="18"/>
      <c r="HG121" s="18"/>
      <c r="HH121" s="18"/>
      <c r="HI121" s="18"/>
      <c r="HJ121" s="18"/>
      <c r="HK121" s="18"/>
      <c r="HL121" s="18"/>
      <c r="HM121" s="18"/>
      <c r="HN121" s="18"/>
      <c r="HO121" s="18"/>
      <c r="HP121" s="18"/>
      <c r="HQ121" s="18"/>
      <c r="HR121" s="18"/>
      <c r="HS121" s="18"/>
      <c r="HT121" s="18"/>
      <c r="HU121" s="18"/>
      <c r="HV121" s="18"/>
      <c r="HW121" s="18"/>
      <c r="HX121" s="18"/>
      <c r="HY121" s="18"/>
      <c r="HZ121" s="18"/>
      <c r="IA121" s="18"/>
      <c r="IB121" s="18"/>
      <c r="IC121" s="18"/>
      <c r="ID121" s="18"/>
      <c r="IE121" s="18"/>
      <c r="IF121" s="18"/>
      <c r="IG121" s="18"/>
      <c r="IH121" s="18"/>
      <c r="II121" s="18"/>
      <c r="IJ121" s="18"/>
      <c r="IK121" s="18"/>
      <c r="IL121" s="18"/>
      <c r="IM121" s="18"/>
      <c r="IN121" s="18"/>
      <c r="IO121" s="18"/>
      <c r="IP121" s="18"/>
      <c r="IQ121" s="18"/>
      <c r="IR121" s="18"/>
      <c r="IS121" s="18"/>
      <c r="IT121" s="18"/>
      <c r="IU121" s="18"/>
      <c r="IV121" s="18"/>
      <c r="IW121" s="18"/>
    </row>
    <row r="122" customFormat="false" ht="13.2" hidden="false" customHeight="false" outlineLevel="0" collapsed="false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  <c r="FR122" s="18"/>
      <c r="FS122" s="18"/>
      <c r="FT122" s="18"/>
      <c r="FU122" s="18"/>
      <c r="FV122" s="18"/>
      <c r="FW122" s="18"/>
      <c r="FX122" s="18"/>
      <c r="FY122" s="18"/>
      <c r="FZ122" s="18"/>
      <c r="GA122" s="18"/>
      <c r="GB122" s="18"/>
      <c r="GC122" s="18"/>
      <c r="GD122" s="18"/>
      <c r="GE122" s="18"/>
      <c r="GF122" s="18"/>
      <c r="GG122" s="18"/>
      <c r="GH122" s="18"/>
      <c r="GI122" s="18"/>
      <c r="GJ122" s="18"/>
      <c r="GK122" s="18"/>
      <c r="GL122" s="18"/>
      <c r="GM122" s="18"/>
      <c r="GN122" s="18"/>
      <c r="GO122" s="18"/>
      <c r="GP122" s="18"/>
      <c r="GQ122" s="18"/>
      <c r="GR122" s="18"/>
      <c r="GS122" s="18"/>
      <c r="GT122" s="18"/>
      <c r="GU122" s="18"/>
      <c r="GV122" s="18"/>
      <c r="GW122" s="18"/>
      <c r="GX122" s="18"/>
      <c r="GY122" s="18"/>
      <c r="GZ122" s="18"/>
      <c r="HA122" s="18"/>
      <c r="HB122" s="18"/>
      <c r="HC122" s="18"/>
      <c r="HD122" s="18"/>
      <c r="HE122" s="18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8"/>
      <c r="IG122" s="18"/>
      <c r="IH122" s="18"/>
      <c r="II122" s="18"/>
      <c r="IJ122" s="18"/>
      <c r="IK122" s="18"/>
      <c r="IL122" s="18"/>
      <c r="IM122" s="18"/>
      <c r="IN122" s="18"/>
      <c r="IO122" s="18"/>
      <c r="IP122" s="18"/>
      <c r="IQ122" s="18"/>
      <c r="IR122" s="18"/>
      <c r="IS122" s="18"/>
      <c r="IT122" s="18"/>
      <c r="IU122" s="18"/>
      <c r="IV122" s="18"/>
      <c r="IW122" s="18"/>
    </row>
    <row r="123" customFormat="false" ht="13.2" hidden="false" customHeight="false" outlineLevel="0" collapsed="false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  <c r="FR123" s="18"/>
      <c r="FS123" s="18"/>
      <c r="FT123" s="18"/>
      <c r="FU123" s="18"/>
      <c r="FV123" s="18"/>
      <c r="FW123" s="18"/>
      <c r="FX123" s="18"/>
      <c r="FY123" s="18"/>
      <c r="FZ123" s="18"/>
      <c r="GA123" s="18"/>
      <c r="GB123" s="18"/>
      <c r="GC123" s="18"/>
      <c r="GD123" s="18"/>
      <c r="GE123" s="18"/>
      <c r="GF123" s="18"/>
      <c r="GG123" s="18"/>
      <c r="GH123" s="18"/>
      <c r="GI123" s="18"/>
      <c r="GJ123" s="18"/>
      <c r="GK123" s="18"/>
      <c r="GL123" s="18"/>
      <c r="GM123" s="18"/>
      <c r="GN123" s="18"/>
      <c r="GO123" s="18"/>
      <c r="GP123" s="18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18"/>
      <c r="HC123" s="18"/>
      <c r="HD123" s="18"/>
      <c r="HE123" s="18"/>
      <c r="HF123" s="18"/>
      <c r="HG123" s="18"/>
      <c r="HH123" s="18"/>
      <c r="HI123" s="18"/>
      <c r="HJ123" s="18"/>
      <c r="HK123" s="18"/>
      <c r="HL123" s="18"/>
      <c r="HM123" s="18"/>
      <c r="HN123" s="18"/>
      <c r="HO123" s="18"/>
      <c r="HP123" s="18"/>
      <c r="HQ123" s="18"/>
      <c r="HR123" s="18"/>
      <c r="HS123" s="18"/>
      <c r="HT123" s="18"/>
      <c r="HU123" s="18"/>
      <c r="HV123" s="18"/>
      <c r="HW123" s="18"/>
      <c r="HX123" s="18"/>
      <c r="HY123" s="18"/>
      <c r="HZ123" s="18"/>
      <c r="IA123" s="18"/>
      <c r="IB123" s="18"/>
      <c r="IC123" s="18"/>
      <c r="ID123" s="18"/>
      <c r="IE123" s="18"/>
      <c r="IF123" s="18"/>
      <c r="IG123" s="18"/>
      <c r="IH123" s="18"/>
      <c r="II123" s="18"/>
      <c r="IJ123" s="18"/>
      <c r="IK123" s="18"/>
      <c r="IL123" s="18"/>
      <c r="IM123" s="18"/>
      <c r="IN123" s="18"/>
      <c r="IO123" s="18"/>
      <c r="IP123" s="18"/>
      <c r="IQ123" s="18"/>
      <c r="IR123" s="18"/>
      <c r="IS123" s="18"/>
      <c r="IT123" s="18"/>
      <c r="IU123" s="18"/>
      <c r="IV123" s="18"/>
      <c r="IW123" s="18"/>
    </row>
    <row r="124" customFormat="false" ht="13.2" hidden="false" customHeight="false" outlineLevel="0" collapsed="false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  <c r="FR124" s="18"/>
      <c r="FS124" s="18"/>
      <c r="FT124" s="18"/>
      <c r="FU124" s="18"/>
      <c r="FV124" s="18"/>
      <c r="FW124" s="18"/>
      <c r="FX124" s="18"/>
      <c r="FY124" s="18"/>
      <c r="FZ124" s="18"/>
      <c r="GA124" s="18"/>
      <c r="GB124" s="18"/>
      <c r="GC124" s="18"/>
      <c r="GD124" s="18"/>
      <c r="GE124" s="18"/>
      <c r="GF124" s="18"/>
      <c r="GG124" s="18"/>
      <c r="GH124" s="18"/>
      <c r="GI124" s="18"/>
      <c r="GJ124" s="18"/>
      <c r="GK124" s="18"/>
      <c r="GL124" s="18"/>
      <c r="GM124" s="18"/>
      <c r="GN124" s="18"/>
      <c r="GO124" s="18"/>
      <c r="GP124" s="18"/>
      <c r="GQ124" s="18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18"/>
      <c r="HC124" s="18"/>
      <c r="HD124" s="18"/>
      <c r="HE124" s="18"/>
      <c r="HF124" s="18"/>
      <c r="HG124" s="18"/>
      <c r="HH124" s="18"/>
      <c r="HI124" s="18"/>
      <c r="HJ124" s="18"/>
      <c r="HK124" s="18"/>
      <c r="HL124" s="18"/>
      <c r="HM124" s="18"/>
      <c r="HN124" s="18"/>
      <c r="HO124" s="18"/>
      <c r="HP124" s="18"/>
      <c r="HQ124" s="18"/>
      <c r="HR124" s="18"/>
      <c r="HS124" s="18"/>
      <c r="HT124" s="18"/>
      <c r="HU124" s="18"/>
      <c r="HV124" s="18"/>
      <c r="HW124" s="18"/>
      <c r="HX124" s="18"/>
      <c r="HY124" s="18"/>
      <c r="HZ124" s="18"/>
      <c r="IA124" s="18"/>
      <c r="IB124" s="18"/>
      <c r="IC124" s="18"/>
      <c r="ID124" s="18"/>
      <c r="IE124" s="18"/>
      <c r="IF124" s="18"/>
      <c r="IG124" s="18"/>
      <c r="IH124" s="18"/>
      <c r="II124" s="18"/>
      <c r="IJ124" s="18"/>
      <c r="IK124" s="18"/>
      <c r="IL124" s="18"/>
      <c r="IM124" s="18"/>
      <c r="IN124" s="18"/>
      <c r="IO124" s="18"/>
      <c r="IP124" s="18"/>
      <c r="IQ124" s="18"/>
      <c r="IR124" s="18"/>
      <c r="IS124" s="18"/>
      <c r="IT124" s="18"/>
      <c r="IU124" s="18"/>
      <c r="IV124" s="18"/>
      <c r="IW124" s="18"/>
    </row>
    <row r="125" customFormat="false" ht="13.2" hidden="false" customHeight="false" outlineLevel="0" collapsed="false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  <c r="FS125" s="18"/>
      <c r="FT125" s="18"/>
      <c r="FU125" s="18"/>
      <c r="FV125" s="18"/>
      <c r="FW125" s="18"/>
      <c r="FX125" s="18"/>
      <c r="FY125" s="18"/>
      <c r="FZ125" s="18"/>
      <c r="GA125" s="18"/>
      <c r="GB125" s="18"/>
      <c r="GC125" s="18"/>
      <c r="GD125" s="18"/>
      <c r="GE125" s="18"/>
      <c r="GF125" s="18"/>
      <c r="GG125" s="18"/>
      <c r="GH125" s="18"/>
      <c r="GI125" s="18"/>
      <c r="GJ125" s="1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18"/>
      <c r="GX125" s="18"/>
      <c r="GY125" s="18"/>
      <c r="GZ125" s="18"/>
      <c r="HA125" s="18"/>
      <c r="HB125" s="18"/>
      <c r="HC125" s="18"/>
      <c r="HD125" s="18"/>
      <c r="HE125" s="18"/>
      <c r="HF125" s="18"/>
      <c r="HG125" s="18"/>
      <c r="HH125" s="18"/>
      <c r="HI125" s="18"/>
      <c r="HJ125" s="18"/>
      <c r="HK125" s="18"/>
      <c r="HL125" s="18"/>
      <c r="HM125" s="18"/>
      <c r="HN125" s="18"/>
      <c r="HO125" s="18"/>
      <c r="HP125" s="18"/>
      <c r="HQ125" s="18"/>
      <c r="HR125" s="18"/>
      <c r="HS125" s="18"/>
      <c r="HT125" s="18"/>
      <c r="HU125" s="18"/>
      <c r="HV125" s="18"/>
      <c r="HW125" s="18"/>
      <c r="HX125" s="18"/>
      <c r="HY125" s="18"/>
      <c r="HZ125" s="18"/>
      <c r="IA125" s="18"/>
      <c r="IB125" s="18"/>
      <c r="IC125" s="18"/>
      <c r="ID125" s="18"/>
      <c r="IE125" s="18"/>
      <c r="IF125" s="18"/>
      <c r="IG125" s="18"/>
      <c r="IH125" s="18"/>
      <c r="II125" s="18"/>
      <c r="IJ125" s="18"/>
      <c r="IK125" s="18"/>
      <c r="IL125" s="18"/>
      <c r="IM125" s="18"/>
      <c r="IN125" s="18"/>
      <c r="IO125" s="18"/>
      <c r="IP125" s="18"/>
      <c r="IQ125" s="18"/>
      <c r="IR125" s="18"/>
      <c r="IS125" s="18"/>
      <c r="IT125" s="18"/>
      <c r="IU125" s="18"/>
      <c r="IV125" s="18"/>
      <c r="IW125" s="18"/>
    </row>
    <row r="126" customFormat="false" ht="13.2" hidden="false" customHeight="false" outlineLevel="0" collapsed="false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  <c r="FS126" s="18"/>
      <c r="FT126" s="18"/>
      <c r="FU126" s="18"/>
      <c r="FV126" s="18"/>
      <c r="FW126" s="18"/>
      <c r="FX126" s="18"/>
      <c r="FY126" s="18"/>
      <c r="FZ126" s="18"/>
      <c r="GA126" s="18"/>
      <c r="GB126" s="18"/>
      <c r="GC126" s="18"/>
      <c r="GD126" s="18"/>
      <c r="GE126" s="18"/>
      <c r="GF126" s="18"/>
      <c r="GG126" s="18"/>
      <c r="GH126" s="18"/>
      <c r="GI126" s="18"/>
      <c r="GJ126" s="1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18"/>
      <c r="GX126" s="18"/>
      <c r="GY126" s="18"/>
      <c r="GZ126" s="18"/>
      <c r="HA126" s="18"/>
      <c r="HB126" s="18"/>
      <c r="HC126" s="18"/>
      <c r="HD126" s="18"/>
      <c r="HE126" s="18"/>
      <c r="HF126" s="18"/>
      <c r="HG126" s="18"/>
      <c r="HH126" s="18"/>
      <c r="HI126" s="18"/>
      <c r="HJ126" s="18"/>
      <c r="HK126" s="18"/>
      <c r="HL126" s="18"/>
      <c r="HM126" s="18"/>
      <c r="HN126" s="18"/>
      <c r="HO126" s="18"/>
      <c r="HP126" s="18"/>
      <c r="HQ126" s="18"/>
      <c r="HR126" s="18"/>
      <c r="HS126" s="18"/>
      <c r="HT126" s="18"/>
      <c r="HU126" s="18"/>
      <c r="HV126" s="18"/>
      <c r="HW126" s="18"/>
      <c r="HX126" s="18"/>
      <c r="HY126" s="18"/>
      <c r="HZ126" s="18"/>
      <c r="IA126" s="18"/>
      <c r="IB126" s="18"/>
      <c r="IC126" s="18"/>
      <c r="ID126" s="18"/>
      <c r="IE126" s="18"/>
      <c r="IF126" s="18"/>
      <c r="IG126" s="18"/>
      <c r="IH126" s="18"/>
      <c r="II126" s="18"/>
      <c r="IJ126" s="18"/>
      <c r="IK126" s="18"/>
      <c r="IL126" s="18"/>
      <c r="IM126" s="18"/>
      <c r="IN126" s="18"/>
      <c r="IO126" s="18"/>
      <c r="IP126" s="18"/>
      <c r="IQ126" s="18"/>
      <c r="IR126" s="18"/>
      <c r="IS126" s="18"/>
      <c r="IT126" s="18"/>
      <c r="IU126" s="18"/>
      <c r="IV126" s="18"/>
      <c r="IW126" s="18"/>
    </row>
    <row r="127" customFormat="false" ht="13.2" hidden="false" customHeight="false" outlineLevel="0" collapsed="false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FZ127" s="18"/>
      <c r="GA127" s="18"/>
      <c r="GB127" s="18"/>
      <c r="GC127" s="18"/>
      <c r="GD127" s="18"/>
      <c r="GE127" s="18"/>
      <c r="GF127" s="18"/>
      <c r="GG127" s="18"/>
      <c r="GH127" s="18"/>
      <c r="GI127" s="18"/>
      <c r="GJ127" s="18"/>
      <c r="GK127" s="18"/>
      <c r="GL127" s="18"/>
      <c r="GM127" s="18"/>
      <c r="GN127" s="18"/>
      <c r="GO127" s="18"/>
      <c r="GP127" s="18"/>
      <c r="GQ127" s="18"/>
      <c r="GR127" s="18"/>
      <c r="GS127" s="18"/>
      <c r="GT127" s="18"/>
      <c r="GU127" s="18"/>
      <c r="GV127" s="18"/>
      <c r="GW127" s="18"/>
      <c r="GX127" s="18"/>
      <c r="GY127" s="18"/>
      <c r="GZ127" s="18"/>
      <c r="HA127" s="18"/>
      <c r="HB127" s="18"/>
      <c r="HC127" s="18"/>
      <c r="HD127" s="18"/>
      <c r="HE127" s="18"/>
      <c r="HF127" s="18"/>
      <c r="HG127" s="18"/>
      <c r="HH127" s="18"/>
      <c r="HI127" s="18"/>
      <c r="HJ127" s="18"/>
      <c r="HK127" s="18"/>
      <c r="HL127" s="18"/>
      <c r="HM127" s="18"/>
      <c r="HN127" s="18"/>
      <c r="HO127" s="18"/>
      <c r="HP127" s="18"/>
      <c r="HQ127" s="18"/>
      <c r="HR127" s="18"/>
      <c r="HS127" s="18"/>
      <c r="HT127" s="18"/>
      <c r="HU127" s="18"/>
      <c r="HV127" s="18"/>
      <c r="HW127" s="18"/>
      <c r="HX127" s="18"/>
      <c r="HY127" s="18"/>
      <c r="HZ127" s="18"/>
      <c r="IA127" s="18"/>
      <c r="IB127" s="18"/>
      <c r="IC127" s="18"/>
      <c r="ID127" s="18"/>
      <c r="IE127" s="18"/>
      <c r="IF127" s="18"/>
      <c r="IG127" s="18"/>
      <c r="IH127" s="18"/>
      <c r="II127" s="18"/>
      <c r="IJ127" s="18"/>
      <c r="IK127" s="18"/>
      <c r="IL127" s="18"/>
      <c r="IM127" s="18"/>
      <c r="IN127" s="18"/>
      <c r="IO127" s="18"/>
      <c r="IP127" s="18"/>
      <c r="IQ127" s="18"/>
      <c r="IR127" s="18"/>
      <c r="IS127" s="18"/>
      <c r="IT127" s="18"/>
      <c r="IU127" s="18"/>
      <c r="IV127" s="18"/>
      <c r="IW127" s="18"/>
    </row>
    <row r="128" customFormat="false" ht="13.2" hidden="false" customHeight="false" outlineLevel="0" collapsed="false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8"/>
      <c r="GA128" s="18"/>
      <c r="GB128" s="18"/>
      <c r="GC128" s="18"/>
      <c r="GD128" s="18"/>
      <c r="GE128" s="18"/>
      <c r="GF128" s="18"/>
      <c r="GG128" s="18"/>
      <c r="GH128" s="18"/>
      <c r="GI128" s="18"/>
      <c r="GJ128" s="18"/>
      <c r="GK128" s="18"/>
      <c r="GL128" s="18"/>
      <c r="GM128" s="18"/>
      <c r="GN128" s="18"/>
      <c r="GO128" s="18"/>
      <c r="GP128" s="18"/>
      <c r="GQ128" s="18"/>
      <c r="GR128" s="18"/>
      <c r="GS128" s="18"/>
      <c r="GT128" s="18"/>
      <c r="GU128" s="18"/>
      <c r="GV128" s="18"/>
      <c r="GW128" s="18"/>
      <c r="GX128" s="18"/>
      <c r="GY128" s="18"/>
      <c r="GZ128" s="18"/>
      <c r="HA128" s="18"/>
      <c r="HB128" s="18"/>
      <c r="HC128" s="18"/>
      <c r="HD128" s="18"/>
      <c r="HE128" s="18"/>
      <c r="HF128" s="18"/>
      <c r="HG128" s="18"/>
      <c r="HH128" s="18"/>
      <c r="HI128" s="18"/>
      <c r="HJ128" s="18"/>
      <c r="HK128" s="18"/>
      <c r="HL128" s="18"/>
      <c r="HM128" s="18"/>
      <c r="HN128" s="18"/>
      <c r="HO128" s="18"/>
      <c r="HP128" s="18"/>
      <c r="HQ128" s="18"/>
      <c r="HR128" s="18"/>
      <c r="HS128" s="18"/>
      <c r="HT128" s="18"/>
      <c r="HU128" s="18"/>
      <c r="HV128" s="18"/>
      <c r="HW128" s="18"/>
      <c r="HX128" s="18"/>
      <c r="HY128" s="18"/>
      <c r="HZ128" s="18"/>
      <c r="IA128" s="18"/>
      <c r="IB128" s="18"/>
      <c r="IC128" s="18"/>
      <c r="ID128" s="18"/>
      <c r="IE128" s="18"/>
      <c r="IF128" s="18"/>
      <c r="IG128" s="18"/>
      <c r="IH128" s="18"/>
      <c r="II128" s="18"/>
      <c r="IJ128" s="18"/>
      <c r="IK128" s="18"/>
      <c r="IL128" s="18"/>
      <c r="IM128" s="18"/>
      <c r="IN128" s="18"/>
      <c r="IO128" s="18"/>
      <c r="IP128" s="18"/>
      <c r="IQ128" s="18"/>
      <c r="IR128" s="18"/>
      <c r="IS128" s="18"/>
      <c r="IT128" s="18"/>
      <c r="IU128" s="18"/>
      <c r="IV128" s="18"/>
      <c r="IW128" s="18"/>
    </row>
    <row r="129" customFormat="false" ht="13.2" hidden="false" customHeight="false" outlineLevel="0" collapsed="false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8"/>
      <c r="GA129" s="18"/>
      <c r="GB129" s="18"/>
      <c r="GC129" s="18"/>
      <c r="GD129" s="18"/>
      <c r="GE129" s="18"/>
      <c r="GF129" s="18"/>
      <c r="GG129" s="18"/>
      <c r="GH129" s="18"/>
      <c r="GI129" s="18"/>
      <c r="GJ129" s="18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18"/>
      <c r="GV129" s="18"/>
      <c r="GW129" s="18"/>
      <c r="GX129" s="18"/>
      <c r="GY129" s="18"/>
      <c r="GZ129" s="18"/>
      <c r="HA129" s="18"/>
      <c r="HB129" s="18"/>
      <c r="HC129" s="18"/>
      <c r="HD129" s="18"/>
      <c r="HE129" s="18"/>
      <c r="HF129" s="18"/>
      <c r="HG129" s="18"/>
      <c r="HH129" s="18"/>
      <c r="HI129" s="18"/>
      <c r="HJ129" s="18"/>
      <c r="HK129" s="18"/>
      <c r="HL129" s="18"/>
      <c r="HM129" s="18"/>
      <c r="HN129" s="18"/>
      <c r="HO129" s="18"/>
      <c r="HP129" s="18"/>
      <c r="HQ129" s="18"/>
      <c r="HR129" s="18"/>
      <c r="HS129" s="18"/>
      <c r="HT129" s="18"/>
      <c r="HU129" s="18"/>
      <c r="HV129" s="18"/>
      <c r="HW129" s="18"/>
      <c r="HX129" s="18"/>
      <c r="HY129" s="18"/>
      <c r="HZ129" s="18"/>
      <c r="IA129" s="18"/>
      <c r="IB129" s="18"/>
      <c r="IC129" s="18"/>
      <c r="ID129" s="18"/>
      <c r="IE129" s="18"/>
      <c r="IF129" s="18"/>
      <c r="IG129" s="18"/>
      <c r="IH129" s="18"/>
      <c r="II129" s="18"/>
      <c r="IJ129" s="18"/>
      <c r="IK129" s="18"/>
      <c r="IL129" s="18"/>
      <c r="IM129" s="18"/>
      <c r="IN129" s="18"/>
      <c r="IO129" s="18"/>
      <c r="IP129" s="18"/>
      <c r="IQ129" s="18"/>
      <c r="IR129" s="18"/>
      <c r="IS129" s="18"/>
      <c r="IT129" s="18"/>
      <c r="IU129" s="18"/>
      <c r="IV129" s="18"/>
      <c r="IW129" s="18"/>
    </row>
    <row r="130" customFormat="false" ht="13.2" hidden="false" customHeight="false" outlineLevel="0" collapsed="false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  <c r="FR130" s="18"/>
      <c r="FS130" s="18"/>
      <c r="FT130" s="18"/>
      <c r="FU130" s="18"/>
      <c r="FV130" s="18"/>
      <c r="FW130" s="18"/>
      <c r="FX130" s="18"/>
      <c r="FY130" s="18"/>
      <c r="FZ130" s="18"/>
      <c r="GA130" s="18"/>
      <c r="GB130" s="18"/>
      <c r="GC130" s="18"/>
      <c r="GD130" s="18"/>
      <c r="GE130" s="18"/>
      <c r="GF130" s="18"/>
      <c r="GG130" s="18"/>
      <c r="GH130" s="18"/>
      <c r="GI130" s="18"/>
      <c r="GJ130" s="18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18"/>
      <c r="GV130" s="18"/>
      <c r="GW130" s="18"/>
      <c r="GX130" s="18"/>
      <c r="GY130" s="18"/>
      <c r="GZ130" s="18"/>
      <c r="HA130" s="18"/>
      <c r="HB130" s="18"/>
      <c r="HC130" s="18"/>
      <c r="HD130" s="18"/>
      <c r="HE130" s="18"/>
      <c r="HF130" s="18"/>
      <c r="HG130" s="18"/>
      <c r="HH130" s="18"/>
      <c r="HI130" s="18"/>
      <c r="HJ130" s="18"/>
      <c r="HK130" s="18"/>
      <c r="HL130" s="18"/>
      <c r="HM130" s="18"/>
      <c r="HN130" s="18"/>
      <c r="HO130" s="18"/>
      <c r="HP130" s="18"/>
      <c r="HQ130" s="18"/>
      <c r="HR130" s="18"/>
      <c r="HS130" s="18"/>
      <c r="HT130" s="18"/>
      <c r="HU130" s="18"/>
      <c r="HV130" s="18"/>
      <c r="HW130" s="18"/>
      <c r="HX130" s="18"/>
      <c r="HY130" s="18"/>
      <c r="HZ130" s="18"/>
      <c r="IA130" s="18"/>
      <c r="IB130" s="18"/>
      <c r="IC130" s="18"/>
      <c r="ID130" s="18"/>
      <c r="IE130" s="18"/>
      <c r="IF130" s="18"/>
      <c r="IG130" s="18"/>
      <c r="IH130" s="18"/>
      <c r="II130" s="18"/>
      <c r="IJ130" s="18"/>
      <c r="IK130" s="18"/>
      <c r="IL130" s="18"/>
      <c r="IM130" s="18"/>
      <c r="IN130" s="18"/>
      <c r="IO130" s="18"/>
      <c r="IP130" s="18"/>
      <c r="IQ130" s="18"/>
      <c r="IR130" s="18"/>
      <c r="IS130" s="18"/>
      <c r="IT130" s="18"/>
      <c r="IU130" s="18"/>
      <c r="IV130" s="18"/>
      <c r="IW130" s="18"/>
    </row>
    <row r="131" customFormat="false" ht="13.2" hidden="false" customHeight="false" outlineLevel="0" collapsed="false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  <c r="FR131" s="18"/>
      <c r="FS131" s="18"/>
      <c r="FT131" s="18"/>
      <c r="FU131" s="18"/>
      <c r="FV131" s="18"/>
      <c r="FW131" s="18"/>
      <c r="FX131" s="18"/>
      <c r="FY131" s="18"/>
      <c r="FZ131" s="18"/>
      <c r="GA131" s="18"/>
      <c r="GB131" s="18"/>
      <c r="GC131" s="18"/>
      <c r="GD131" s="18"/>
      <c r="GE131" s="18"/>
      <c r="GF131" s="18"/>
      <c r="GG131" s="18"/>
      <c r="GH131" s="18"/>
      <c r="GI131" s="18"/>
      <c r="GJ131" s="18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18"/>
      <c r="GV131" s="18"/>
      <c r="GW131" s="18"/>
      <c r="GX131" s="18"/>
      <c r="GY131" s="18"/>
      <c r="GZ131" s="18"/>
      <c r="HA131" s="18"/>
      <c r="HB131" s="18"/>
      <c r="HC131" s="18"/>
      <c r="HD131" s="18"/>
      <c r="HE131" s="18"/>
      <c r="HF131" s="18"/>
      <c r="HG131" s="18"/>
      <c r="HH131" s="18"/>
      <c r="HI131" s="18"/>
      <c r="HJ131" s="18"/>
      <c r="HK131" s="18"/>
      <c r="HL131" s="18"/>
      <c r="HM131" s="18"/>
      <c r="HN131" s="18"/>
      <c r="HO131" s="18"/>
      <c r="HP131" s="18"/>
      <c r="HQ131" s="18"/>
      <c r="HR131" s="18"/>
      <c r="HS131" s="18"/>
      <c r="HT131" s="18"/>
      <c r="HU131" s="18"/>
      <c r="HV131" s="18"/>
      <c r="HW131" s="18"/>
      <c r="HX131" s="18"/>
      <c r="HY131" s="18"/>
      <c r="HZ131" s="18"/>
      <c r="IA131" s="18"/>
      <c r="IB131" s="18"/>
      <c r="IC131" s="18"/>
      <c r="ID131" s="18"/>
      <c r="IE131" s="18"/>
      <c r="IF131" s="18"/>
      <c r="IG131" s="18"/>
      <c r="IH131" s="18"/>
      <c r="II131" s="18"/>
      <c r="IJ131" s="18"/>
      <c r="IK131" s="18"/>
      <c r="IL131" s="18"/>
      <c r="IM131" s="18"/>
      <c r="IN131" s="18"/>
      <c r="IO131" s="18"/>
      <c r="IP131" s="18"/>
      <c r="IQ131" s="18"/>
      <c r="IR131" s="18"/>
      <c r="IS131" s="18"/>
      <c r="IT131" s="18"/>
      <c r="IU131" s="18"/>
      <c r="IV131" s="18"/>
      <c r="IW131" s="18"/>
    </row>
    <row r="132" customFormat="false" ht="13.2" hidden="false" customHeight="false" outlineLevel="0" collapsed="false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/>
      <c r="DK132" s="18"/>
      <c r="DL132" s="18"/>
      <c r="DM132" s="18"/>
      <c r="DN132" s="18"/>
      <c r="DO132" s="18"/>
      <c r="DP132" s="18"/>
      <c r="DQ132" s="18"/>
      <c r="DR132" s="18"/>
      <c r="DS132" s="18"/>
      <c r="DT132" s="18"/>
      <c r="DU132" s="18"/>
      <c r="DV132" s="18"/>
      <c r="DW132" s="18"/>
      <c r="DX132" s="18"/>
      <c r="DY132" s="18"/>
      <c r="DZ132" s="18"/>
      <c r="EA132" s="18"/>
      <c r="EB132" s="18"/>
      <c r="EC132" s="18"/>
      <c r="ED132" s="18"/>
      <c r="EE132" s="18"/>
      <c r="EF132" s="18"/>
      <c r="EG132" s="18"/>
      <c r="EH132" s="18"/>
      <c r="EI132" s="18"/>
      <c r="EJ132" s="18"/>
      <c r="EK132" s="18"/>
      <c r="EL132" s="18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18"/>
      <c r="EZ132" s="18"/>
      <c r="FA132" s="18"/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18"/>
      <c r="FO132" s="18"/>
      <c r="FP132" s="18"/>
      <c r="FQ132" s="18"/>
      <c r="FR132" s="18"/>
      <c r="FS132" s="18"/>
      <c r="FT132" s="18"/>
      <c r="FU132" s="18"/>
      <c r="FV132" s="18"/>
      <c r="FW132" s="18"/>
      <c r="FX132" s="18"/>
      <c r="FY132" s="18"/>
      <c r="FZ132" s="18"/>
      <c r="GA132" s="18"/>
      <c r="GB132" s="18"/>
      <c r="GC132" s="18"/>
      <c r="GD132" s="18"/>
      <c r="GE132" s="18"/>
      <c r="GF132" s="18"/>
      <c r="GG132" s="18"/>
      <c r="GH132" s="18"/>
      <c r="GI132" s="18"/>
      <c r="GJ132" s="18"/>
      <c r="GK132" s="18"/>
      <c r="GL132" s="18"/>
      <c r="GM132" s="18"/>
      <c r="GN132" s="18"/>
      <c r="GO132" s="18"/>
      <c r="GP132" s="18"/>
      <c r="GQ132" s="18"/>
      <c r="GR132" s="18"/>
      <c r="GS132" s="18"/>
      <c r="GT132" s="18"/>
      <c r="GU132" s="18"/>
      <c r="GV132" s="18"/>
      <c r="GW132" s="18"/>
      <c r="GX132" s="18"/>
      <c r="GY132" s="18"/>
      <c r="GZ132" s="18"/>
      <c r="HA132" s="18"/>
      <c r="HB132" s="18"/>
      <c r="HC132" s="18"/>
      <c r="HD132" s="18"/>
      <c r="HE132" s="18"/>
      <c r="HF132" s="18"/>
      <c r="HG132" s="18"/>
      <c r="HH132" s="18"/>
      <c r="HI132" s="18"/>
      <c r="HJ132" s="18"/>
      <c r="HK132" s="18"/>
      <c r="HL132" s="18"/>
      <c r="HM132" s="18"/>
      <c r="HN132" s="18"/>
      <c r="HO132" s="18"/>
      <c r="HP132" s="18"/>
      <c r="HQ132" s="18"/>
      <c r="HR132" s="18"/>
      <c r="HS132" s="18"/>
      <c r="HT132" s="18"/>
      <c r="HU132" s="18"/>
      <c r="HV132" s="18"/>
      <c r="HW132" s="18"/>
      <c r="HX132" s="18"/>
      <c r="HY132" s="18"/>
      <c r="HZ132" s="18"/>
      <c r="IA132" s="18"/>
      <c r="IB132" s="18"/>
      <c r="IC132" s="18"/>
      <c r="ID132" s="18"/>
      <c r="IE132" s="18"/>
      <c r="IF132" s="18"/>
      <c r="IG132" s="18"/>
      <c r="IH132" s="18"/>
      <c r="II132" s="18"/>
      <c r="IJ132" s="18"/>
      <c r="IK132" s="18"/>
      <c r="IL132" s="18"/>
      <c r="IM132" s="18"/>
      <c r="IN132" s="18"/>
      <c r="IO132" s="18"/>
      <c r="IP132" s="18"/>
      <c r="IQ132" s="18"/>
      <c r="IR132" s="18"/>
      <c r="IS132" s="18"/>
      <c r="IT132" s="18"/>
      <c r="IU132" s="18"/>
      <c r="IV132" s="18"/>
      <c r="IW132" s="18"/>
    </row>
    <row r="133" customFormat="false" ht="13.2" hidden="false" customHeight="false" outlineLevel="0" collapsed="false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/>
      <c r="DK133" s="18"/>
      <c r="DL133" s="18"/>
      <c r="DM133" s="18"/>
      <c r="DN133" s="18"/>
      <c r="DO133" s="18"/>
      <c r="DP133" s="18"/>
      <c r="DQ133" s="18"/>
      <c r="DR133" s="18"/>
      <c r="DS133" s="18"/>
      <c r="DT133" s="18"/>
      <c r="DU133" s="18"/>
      <c r="DV133" s="18"/>
      <c r="DW133" s="18"/>
      <c r="DX133" s="18"/>
      <c r="DY133" s="18"/>
      <c r="DZ133" s="18"/>
      <c r="EA133" s="18"/>
      <c r="EB133" s="18"/>
      <c r="EC133" s="18"/>
      <c r="ED133" s="18"/>
      <c r="EE133" s="18"/>
      <c r="EF133" s="18"/>
      <c r="EG133" s="18"/>
      <c r="EH133" s="18"/>
      <c r="EI133" s="18"/>
      <c r="EJ133" s="18"/>
      <c r="EK133" s="18"/>
      <c r="EL133" s="18"/>
      <c r="EM133" s="18"/>
      <c r="EN133" s="18"/>
      <c r="EO133" s="18"/>
      <c r="EP133" s="18"/>
      <c r="EQ133" s="18"/>
      <c r="ER133" s="18"/>
      <c r="ES133" s="18"/>
      <c r="ET133" s="18"/>
      <c r="EU133" s="18"/>
      <c r="EV133" s="18"/>
      <c r="EW133" s="18"/>
      <c r="EX133" s="18"/>
      <c r="EY133" s="18"/>
      <c r="EZ133" s="18"/>
      <c r="FA133" s="18"/>
      <c r="FB133" s="18"/>
      <c r="FC133" s="18"/>
      <c r="FD133" s="18"/>
      <c r="FE133" s="18"/>
      <c r="FF133" s="18"/>
      <c r="FG133" s="18"/>
      <c r="FH133" s="18"/>
      <c r="FI133" s="18"/>
      <c r="FJ133" s="18"/>
      <c r="FK133" s="18"/>
      <c r="FL133" s="18"/>
      <c r="FM133" s="18"/>
      <c r="FN133" s="18"/>
      <c r="FO133" s="18"/>
      <c r="FP133" s="18"/>
      <c r="FQ133" s="18"/>
      <c r="FR133" s="18"/>
      <c r="FS133" s="18"/>
      <c r="FT133" s="18"/>
      <c r="FU133" s="18"/>
      <c r="FV133" s="18"/>
      <c r="FW133" s="18"/>
      <c r="FX133" s="18"/>
      <c r="FY133" s="18"/>
      <c r="FZ133" s="18"/>
      <c r="GA133" s="18"/>
      <c r="GB133" s="18"/>
      <c r="GC133" s="18"/>
      <c r="GD133" s="18"/>
      <c r="GE133" s="18"/>
      <c r="GF133" s="18"/>
      <c r="GG133" s="18"/>
      <c r="GH133" s="18"/>
      <c r="GI133" s="18"/>
      <c r="GJ133" s="18"/>
      <c r="GK133" s="18"/>
      <c r="GL133" s="18"/>
      <c r="GM133" s="18"/>
      <c r="GN133" s="18"/>
      <c r="GO133" s="18"/>
      <c r="GP133" s="18"/>
      <c r="GQ133" s="18"/>
      <c r="GR133" s="18"/>
      <c r="GS133" s="18"/>
      <c r="GT133" s="18"/>
      <c r="GU133" s="18"/>
      <c r="GV133" s="18"/>
      <c r="GW133" s="18"/>
      <c r="GX133" s="18"/>
      <c r="GY133" s="18"/>
      <c r="GZ133" s="18"/>
      <c r="HA133" s="18"/>
      <c r="HB133" s="18"/>
      <c r="HC133" s="18"/>
      <c r="HD133" s="18"/>
      <c r="HE133" s="18"/>
      <c r="HF133" s="18"/>
      <c r="HG133" s="18"/>
      <c r="HH133" s="18"/>
      <c r="HI133" s="18"/>
      <c r="HJ133" s="18"/>
      <c r="HK133" s="18"/>
      <c r="HL133" s="18"/>
      <c r="HM133" s="18"/>
      <c r="HN133" s="18"/>
      <c r="HO133" s="18"/>
      <c r="HP133" s="18"/>
      <c r="HQ133" s="18"/>
      <c r="HR133" s="18"/>
      <c r="HS133" s="18"/>
      <c r="HT133" s="18"/>
      <c r="HU133" s="18"/>
      <c r="HV133" s="18"/>
      <c r="HW133" s="18"/>
      <c r="HX133" s="18"/>
      <c r="HY133" s="18"/>
      <c r="HZ133" s="18"/>
      <c r="IA133" s="18"/>
      <c r="IB133" s="18"/>
      <c r="IC133" s="18"/>
      <c r="ID133" s="18"/>
      <c r="IE133" s="18"/>
      <c r="IF133" s="18"/>
      <c r="IG133" s="18"/>
      <c r="IH133" s="18"/>
      <c r="II133" s="18"/>
      <c r="IJ133" s="18"/>
      <c r="IK133" s="18"/>
      <c r="IL133" s="18"/>
      <c r="IM133" s="18"/>
      <c r="IN133" s="18"/>
      <c r="IO133" s="18"/>
      <c r="IP133" s="18"/>
      <c r="IQ133" s="18"/>
      <c r="IR133" s="18"/>
      <c r="IS133" s="18"/>
      <c r="IT133" s="18"/>
      <c r="IU133" s="18"/>
      <c r="IV133" s="18"/>
      <c r="IW133" s="18"/>
    </row>
    <row r="134" customFormat="false" ht="13.2" hidden="false" customHeight="false" outlineLevel="0" collapsed="false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/>
      <c r="DK134" s="18"/>
      <c r="DL134" s="18"/>
      <c r="DM134" s="18"/>
      <c r="DN134" s="18"/>
      <c r="DO134" s="18"/>
      <c r="DP134" s="18"/>
      <c r="DQ134" s="18"/>
      <c r="DR134" s="18"/>
      <c r="DS134" s="18"/>
      <c r="DT134" s="18"/>
      <c r="DU134" s="18"/>
      <c r="DV134" s="18"/>
      <c r="DW134" s="18"/>
      <c r="DX134" s="18"/>
      <c r="DY134" s="18"/>
      <c r="DZ134" s="18"/>
      <c r="EA134" s="18"/>
      <c r="EB134" s="18"/>
      <c r="EC134" s="18"/>
      <c r="ED134" s="18"/>
      <c r="EE134" s="18"/>
      <c r="EF134" s="18"/>
      <c r="EG134" s="18"/>
      <c r="EH134" s="18"/>
      <c r="EI134" s="18"/>
      <c r="EJ134" s="18"/>
      <c r="EK134" s="18"/>
      <c r="EL134" s="18"/>
      <c r="EM134" s="18"/>
      <c r="EN134" s="1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18"/>
      <c r="FA134" s="18"/>
      <c r="FB134" s="18"/>
      <c r="FC134" s="18"/>
      <c r="FD134" s="18"/>
      <c r="FE134" s="18"/>
      <c r="FF134" s="18"/>
      <c r="FG134" s="18"/>
      <c r="FH134" s="18"/>
      <c r="FI134" s="18"/>
      <c r="FJ134" s="18"/>
      <c r="FK134" s="18"/>
      <c r="FL134" s="18"/>
      <c r="FM134" s="18"/>
      <c r="FN134" s="18"/>
      <c r="FO134" s="18"/>
      <c r="FP134" s="18"/>
      <c r="FQ134" s="18"/>
      <c r="FR134" s="18"/>
      <c r="FS134" s="18"/>
      <c r="FT134" s="18"/>
      <c r="FU134" s="18"/>
      <c r="FV134" s="18"/>
      <c r="FW134" s="18"/>
      <c r="FX134" s="18"/>
      <c r="FY134" s="18"/>
      <c r="FZ134" s="18"/>
      <c r="GA134" s="18"/>
      <c r="GB134" s="18"/>
      <c r="GC134" s="18"/>
      <c r="GD134" s="18"/>
      <c r="GE134" s="18"/>
      <c r="GF134" s="18"/>
      <c r="GG134" s="18"/>
      <c r="GH134" s="18"/>
      <c r="GI134" s="18"/>
      <c r="GJ134" s="18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18"/>
      <c r="GV134" s="18"/>
      <c r="GW134" s="18"/>
      <c r="GX134" s="18"/>
      <c r="GY134" s="18"/>
      <c r="GZ134" s="18"/>
      <c r="HA134" s="18"/>
      <c r="HB134" s="18"/>
      <c r="HC134" s="18"/>
      <c r="HD134" s="18"/>
      <c r="HE134" s="18"/>
      <c r="HF134" s="18"/>
      <c r="HG134" s="18"/>
      <c r="HH134" s="18"/>
      <c r="HI134" s="18"/>
      <c r="HJ134" s="18"/>
      <c r="HK134" s="18"/>
      <c r="HL134" s="18"/>
      <c r="HM134" s="18"/>
      <c r="HN134" s="18"/>
      <c r="HO134" s="18"/>
      <c r="HP134" s="18"/>
      <c r="HQ134" s="18"/>
      <c r="HR134" s="18"/>
      <c r="HS134" s="18"/>
      <c r="HT134" s="18"/>
      <c r="HU134" s="18"/>
      <c r="HV134" s="18"/>
      <c r="HW134" s="18"/>
      <c r="HX134" s="18"/>
      <c r="HY134" s="18"/>
      <c r="HZ134" s="18"/>
      <c r="IA134" s="18"/>
      <c r="IB134" s="18"/>
      <c r="IC134" s="18"/>
      <c r="ID134" s="18"/>
      <c r="IE134" s="18"/>
      <c r="IF134" s="18"/>
      <c r="IG134" s="18"/>
      <c r="IH134" s="18"/>
      <c r="II134" s="18"/>
      <c r="IJ134" s="18"/>
      <c r="IK134" s="18"/>
      <c r="IL134" s="18"/>
      <c r="IM134" s="18"/>
      <c r="IN134" s="18"/>
      <c r="IO134" s="18"/>
      <c r="IP134" s="18"/>
      <c r="IQ134" s="18"/>
      <c r="IR134" s="18"/>
      <c r="IS134" s="18"/>
      <c r="IT134" s="18"/>
      <c r="IU134" s="18"/>
      <c r="IV134" s="18"/>
      <c r="IW134" s="18"/>
    </row>
    <row r="135" customFormat="false" ht="13.2" hidden="false" customHeight="false" outlineLevel="0" collapsed="false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18"/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8"/>
      <c r="FK135" s="18"/>
      <c r="FL135" s="18"/>
      <c r="FM135" s="18"/>
      <c r="FN135" s="18"/>
      <c r="FO135" s="18"/>
      <c r="FP135" s="18"/>
      <c r="FQ135" s="18"/>
      <c r="FR135" s="18"/>
      <c r="FS135" s="18"/>
      <c r="FT135" s="18"/>
      <c r="FU135" s="18"/>
      <c r="FV135" s="18"/>
      <c r="FW135" s="18"/>
      <c r="FX135" s="18"/>
      <c r="FY135" s="18"/>
      <c r="FZ135" s="18"/>
      <c r="GA135" s="18"/>
      <c r="GB135" s="18"/>
      <c r="GC135" s="18"/>
      <c r="GD135" s="18"/>
      <c r="GE135" s="18"/>
      <c r="GF135" s="18"/>
      <c r="GG135" s="18"/>
      <c r="GH135" s="18"/>
      <c r="GI135" s="18"/>
      <c r="GJ135" s="18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18"/>
      <c r="GV135" s="18"/>
      <c r="GW135" s="18"/>
      <c r="GX135" s="18"/>
      <c r="GY135" s="18"/>
      <c r="GZ135" s="18"/>
      <c r="HA135" s="18"/>
      <c r="HB135" s="18"/>
      <c r="HC135" s="18"/>
      <c r="HD135" s="18"/>
      <c r="HE135" s="18"/>
      <c r="HF135" s="18"/>
      <c r="HG135" s="18"/>
      <c r="HH135" s="18"/>
      <c r="HI135" s="18"/>
      <c r="HJ135" s="18"/>
      <c r="HK135" s="18"/>
      <c r="HL135" s="18"/>
      <c r="HM135" s="18"/>
      <c r="HN135" s="18"/>
      <c r="HO135" s="18"/>
      <c r="HP135" s="18"/>
      <c r="HQ135" s="18"/>
      <c r="HR135" s="18"/>
      <c r="HS135" s="18"/>
      <c r="HT135" s="18"/>
      <c r="HU135" s="18"/>
      <c r="HV135" s="18"/>
      <c r="HW135" s="18"/>
      <c r="HX135" s="18"/>
      <c r="HY135" s="18"/>
      <c r="HZ135" s="18"/>
      <c r="IA135" s="18"/>
      <c r="IB135" s="18"/>
      <c r="IC135" s="18"/>
      <c r="ID135" s="18"/>
      <c r="IE135" s="18"/>
      <c r="IF135" s="18"/>
      <c r="IG135" s="18"/>
      <c r="IH135" s="18"/>
      <c r="II135" s="18"/>
      <c r="IJ135" s="18"/>
      <c r="IK135" s="18"/>
      <c r="IL135" s="18"/>
      <c r="IM135" s="18"/>
      <c r="IN135" s="18"/>
      <c r="IO135" s="18"/>
      <c r="IP135" s="18"/>
      <c r="IQ135" s="18"/>
      <c r="IR135" s="18"/>
      <c r="IS135" s="18"/>
      <c r="IT135" s="18"/>
      <c r="IU135" s="18"/>
      <c r="IV135" s="18"/>
      <c r="IW135" s="18"/>
    </row>
    <row r="136" customFormat="false" ht="13.2" hidden="false" customHeight="false" outlineLevel="0" collapsed="false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/>
      <c r="DH136" s="18"/>
      <c r="DI136" s="18"/>
      <c r="DJ136" s="18"/>
      <c r="DK136" s="18"/>
      <c r="DL136" s="18"/>
      <c r="DM136" s="18"/>
      <c r="DN136" s="18"/>
      <c r="DO136" s="18"/>
      <c r="DP136" s="18"/>
      <c r="DQ136" s="18"/>
      <c r="DR136" s="18"/>
      <c r="DS136" s="18"/>
      <c r="DT136" s="18"/>
      <c r="DU136" s="18"/>
      <c r="DV136" s="18"/>
      <c r="DW136" s="18"/>
      <c r="DX136" s="18"/>
      <c r="DY136" s="18"/>
      <c r="DZ136" s="18"/>
      <c r="EA136" s="18"/>
      <c r="EB136" s="18"/>
      <c r="EC136" s="18"/>
      <c r="ED136" s="18"/>
      <c r="EE136" s="18"/>
      <c r="EF136" s="18"/>
      <c r="EG136" s="18"/>
      <c r="EH136" s="18"/>
      <c r="EI136" s="18"/>
      <c r="EJ136" s="18"/>
      <c r="EK136" s="18"/>
      <c r="EL136" s="18"/>
      <c r="EM136" s="18"/>
      <c r="EN136" s="18"/>
      <c r="EO136" s="18"/>
      <c r="EP136" s="18"/>
      <c r="EQ136" s="18"/>
      <c r="ER136" s="18"/>
      <c r="ES136" s="18"/>
      <c r="ET136" s="18"/>
      <c r="EU136" s="18"/>
      <c r="EV136" s="18"/>
      <c r="EW136" s="18"/>
      <c r="EX136" s="18"/>
      <c r="EY136" s="18"/>
      <c r="EZ136" s="18"/>
      <c r="FA136" s="18"/>
      <c r="FB136" s="18"/>
      <c r="FC136" s="18"/>
      <c r="FD136" s="18"/>
      <c r="FE136" s="18"/>
      <c r="FF136" s="18"/>
      <c r="FG136" s="18"/>
      <c r="FH136" s="18"/>
      <c r="FI136" s="18"/>
      <c r="FJ136" s="18"/>
      <c r="FK136" s="18"/>
      <c r="FL136" s="18"/>
      <c r="FM136" s="18"/>
      <c r="FN136" s="18"/>
      <c r="FO136" s="18"/>
      <c r="FP136" s="18"/>
      <c r="FQ136" s="18"/>
      <c r="FR136" s="18"/>
      <c r="FS136" s="18"/>
      <c r="FT136" s="18"/>
      <c r="FU136" s="18"/>
      <c r="FV136" s="18"/>
      <c r="FW136" s="18"/>
      <c r="FX136" s="18"/>
      <c r="FY136" s="18"/>
      <c r="FZ136" s="18"/>
      <c r="GA136" s="18"/>
      <c r="GB136" s="18"/>
      <c r="GC136" s="18"/>
      <c r="GD136" s="18"/>
      <c r="GE136" s="18"/>
      <c r="GF136" s="18"/>
      <c r="GG136" s="18"/>
      <c r="GH136" s="18"/>
      <c r="GI136" s="18"/>
      <c r="GJ136" s="18"/>
      <c r="GK136" s="18"/>
      <c r="GL136" s="18"/>
      <c r="GM136" s="18"/>
      <c r="GN136" s="18"/>
      <c r="GO136" s="18"/>
      <c r="GP136" s="18"/>
      <c r="GQ136" s="18"/>
      <c r="GR136" s="18"/>
      <c r="GS136" s="18"/>
      <c r="GT136" s="18"/>
      <c r="GU136" s="18"/>
      <c r="GV136" s="18"/>
      <c r="GW136" s="18"/>
      <c r="GX136" s="18"/>
      <c r="GY136" s="18"/>
      <c r="GZ136" s="18"/>
      <c r="HA136" s="18"/>
      <c r="HB136" s="18"/>
      <c r="HC136" s="18"/>
      <c r="HD136" s="18"/>
      <c r="HE136" s="18"/>
      <c r="HF136" s="18"/>
      <c r="HG136" s="18"/>
      <c r="HH136" s="18"/>
      <c r="HI136" s="18"/>
      <c r="HJ136" s="18"/>
      <c r="HK136" s="18"/>
      <c r="HL136" s="18"/>
      <c r="HM136" s="18"/>
      <c r="HN136" s="18"/>
      <c r="HO136" s="18"/>
      <c r="HP136" s="18"/>
      <c r="HQ136" s="18"/>
      <c r="HR136" s="18"/>
      <c r="HS136" s="18"/>
      <c r="HT136" s="18"/>
      <c r="HU136" s="18"/>
      <c r="HV136" s="18"/>
      <c r="HW136" s="18"/>
      <c r="HX136" s="18"/>
      <c r="HY136" s="18"/>
      <c r="HZ136" s="18"/>
      <c r="IA136" s="18"/>
      <c r="IB136" s="18"/>
      <c r="IC136" s="18"/>
      <c r="ID136" s="18"/>
      <c r="IE136" s="18"/>
      <c r="IF136" s="18"/>
      <c r="IG136" s="18"/>
      <c r="IH136" s="18"/>
      <c r="II136" s="18"/>
      <c r="IJ136" s="18"/>
      <c r="IK136" s="18"/>
      <c r="IL136" s="18"/>
      <c r="IM136" s="18"/>
      <c r="IN136" s="18"/>
      <c r="IO136" s="18"/>
      <c r="IP136" s="18"/>
      <c r="IQ136" s="18"/>
      <c r="IR136" s="18"/>
      <c r="IS136" s="18"/>
      <c r="IT136" s="18"/>
      <c r="IU136" s="18"/>
      <c r="IV136" s="18"/>
      <c r="IW136" s="18"/>
    </row>
    <row r="137" customFormat="false" ht="13.2" hidden="false" customHeight="false" outlineLevel="0" collapsed="false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/>
      <c r="DK137" s="18"/>
      <c r="DL137" s="18"/>
      <c r="DM137" s="18"/>
      <c r="DN137" s="18"/>
      <c r="DO137" s="18"/>
      <c r="DP137" s="18"/>
      <c r="DQ137" s="18"/>
      <c r="DR137" s="18"/>
      <c r="DS137" s="18"/>
      <c r="DT137" s="18"/>
      <c r="DU137" s="18"/>
      <c r="DV137" s="18"/>
      <c r="DW137" s="18"/>
      <c r="DX137" s="18"/>
      <c r="DY137" s="18"/>
      <c r="DZ137" s="18"/>
      <c r="EA137" s="18"/>
      <c r="EB137" s="18"/>
      <c r="EC137" s="18"/>
      <c r="ED137" s="18"/>
      <c r="EE137" s="18"/>
      <c r="EF137" s="18"/>
      <c r="EG137" s="18"/>
      <c r="EH137" s="18"/>
      <c r="EI137" s="18"/>
      <c r="EJ137" s="18"/>
      <c r="EK137" s="18"/>
      <c r="EL137" s="18"/>
      <c r="EM137" s="18"/>
      <c r="EN137" s="18"/>
      <c r="EO137" s="18"/>
      <c r="EP137" s="18"/>
      <c r="EQ137" s="18"/>
      <c r="ER137" s="18"/>
      <c r="ES137" s="18"/>
      <c r="ET137" s="18"/>
      <c r="EU137" s="18"/>
      <c r="EV137" s="18"/>
      <c r="EW137" s="18"/>
      <c r="EX137" s="18"/>
      <c r="EY137" s="18"/>
      <c r="EZ137" s="18"/>
      <c r="FA137" s="18"/>
      <c r="FB137" s="18"/>
      <c r="FC137" s="18"/>
      <c r="FD137" s="18"/>
      <c r="FE137" s="18"/>
      <c r="FF137" s="18"/>
      <c r="FG137" s="18"/>
      <c r="FH137" s="18"/>
      <c r="FI137" s="18"/>
      <c r="FJ137" s="18"/>
      <c r="FK137" s="18"/>
      <c r="FL137" s="18"/>
      <c r="FM137" s="18"/>
      <c r="FN137" s="18"/>
      <c r="FO137" s="18"/>
      <c r="FP137" s="18"/>
      <c r="FQ137" s="18"/>
      <c r="FR137" s="18"/>
      <c r="FS137" s="18"/>
      <c r="FT137" s="18"/>
      <c r="FU137" s="18"/>
      <c r="FV137" s="18"/>
      <c r="FW137" s="18"/>
      <c r="FX137" s="18"/>
      <c r="FY137" s="18"/>
      <c r="FZ137" s="18"/>
      <c r="GA137" s="18"/>
      <c r="GB137" s="18"/>
      <c r="GC137" s="18"/>
      <c r="GD137" s="18"/>
      <c r="GE137" s="18"/>
      <c r="GF137" s="18"/>
      <c r="GG137" s="18"/>
      <c r="GH137" s="18"/>
      <c r="GI137" s="18"/>
      <c r="GJ137" s="18"/>
      <c r="GK137" s="18"/>
      <c r="GL137" s="18"/>
      <c r="GM137" s="18"/>
      <c r="GN137" s="18"/>
      <c r="GO137" s="18"/>
      <c r="GP137" s="18"/>
      <c r="GQ137" s="18"/>
      <c r="GR137" s="18"/>
      <c r="GS137" s="18"/>
      <c r="GT137" s="18"/>
      <c r="GU137" s="18"/>
      <c r="GV137" s="18"/>
      <c r="GW137" s="18"/>
      <c r="GX137" s="18"/>
      <c r="GY137" s="18"/>
      <c r="GZ137" s="18"/>
      <c r="HA137" s="18"/>
      <c r="HB137" s="18"/>
      <c r="HC137" s="18"/>
      <c r="HD137" s="18"/>
      <c r="HE137" s="18"/>
      <c r="HF137" s="18"/>
      <c r="HG137" s="18"/>
      <c r="HH137" s="18"/>
      <c r="HI137" s="18"/>
      <c r="HJ137" s="18"/>
      <c r="HK137" s="18"/>
      <c r="HL137" s="18"/>
      <c r="HM137" s="18"/>
      <c r="HN137" s="18"/>
      <c r="HO137" s="18"/>
      <c r="HP137" s="18"/>
      <c r="HQ137" s="18"/>
      <c r="HR137" s="18"/>
      <c r="HS137" s="18"/>
      <c r="HT137" s="18"/>
      <c r="HU137" s="18"/>
      <c r="HV137" s="18"/>
      <c r="HW137" s="18"/>
      <c r="HX137" s="18"/>
      <c r="HY137" s="18"/>
      <c r="HZ137" s="18"/>
      <c r="IA137" s="18"/>
      <c r="IB137" s="18"/>
      <c r="IC137" s="18"/>
      <c r="ID137" s="18"/>
      <c r="IE137" s="18"/>
      <c r="IF137" s="18"/>
      <c r="IG137" s="18"/>
      <c r="IH137" s="18"/>
      <c r="II137" s="18"/>
      <c r="IJ137" s="18"/>
      <c r="IK137" s="18"/>
      <c r="IL137" s="18"/>
      <c r="IM137" s="18"/>
      <c r="IN137" s="18"/>
      <c r="IO137" s="18"/>
      <c r="IP137" s="18"/>
      <c r="IQ137" s="18"/>
      <c r="IR137" s="18"/>
      <c r="IS137" s="18"/>
      <c r="IT137" s="18"/>
      <c r="IU137" s="18"/>
      <c r="IV137" s="18"/>
      <c r="IW137" s="18"/>
    </row>
    <row r="138" customFormat="false" ht="13.2" hidden="false" customHeight="false" outlineLevel="0" collapsed="false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18"/>
      <c r="DM138" s="18"/>
      <c r="DN138" s="18"/>
      <c r="DO138" s="18"/>
      <c r="DP138" s="18"/>
      <c r="DQ138" s="18"/>
      <c r="DR138" s="18"/>
      <c r="DS138" s="18"/>
      <c r="DT138" s="18"/>
      <c r="DU138" s="18"/>
      <c r="DV138" s="18"/>
      <c r="DW138" s="18"/>
      <c r="DX138" s="18"/>
      <c r="DY138" s="18"/>
      <c r="DZ138" s="18"/>
      <c r="EA138" s="18"/>
      <c r="EB138" s="18"/>
      <c r="EC138" s="18"/>
      <c r="ED138" s="18"/>
      <c r="EE138" s="18"/>
      <c r="EF138" s="18"/>
      <c r="EG138" s="18"/>
      <c r="EH138" s="18"/>
      <c r="EI138" s="18"/>
      <c r="EJ138" s="18"/>
      <c r="EK138" s="18"/>
      <c r="EL138" s="18"/>
      <c r="EM138" s="18"/>
      <c r="EN138" s="18"/>
      <c r="EO138" s="18"/>
      <c r="EP138" s="18"/>
      <c r="EQ138" s="18"/>
      <c r="ER138" s="18"/>
      <c r="ES138" s="18"/>
      <c r="ET138" s="18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18"/>
      <c r="FH138" s="18"/>
      <c r="FI138" s="18"/>
      <c r="FJ138" s="18"/>
      <c r="FK138" s="18"/>
      <c r="FL138" s="18"/>
      <c r="FM138" s="18"/>
      <c r="FN138" s="18"/>
      <c r="FO138" s="18"/>
      <c r="FP138" s="18"/>
      <c r="FQ138" s="18"/>
      <c r="FR138" s="18"/>
      <c r="FS138" s="18"/>
      <c r="FT138" s="18"/>
      <c r="FU138" s="18"/>
      <c r="FV138" s="18"/>
      <c r="FW138" s="18"/>
      <c r="FX138" s="18"/>
      <c r="FY138" s="18"/>
      <c r="FZ138" s="18"/>
      <c r="GA138" s="18"/>
      <c r="GB138" s="18"/>
      <c r="GC138" s="18"/>
      <c r="GD138" s="18"/>
      <c r="GE138" s="18"/>
      <c r="GF138" s="18"/>
      <c r="GG138" s="18"/>
      <c r="GH138" s="18"/>
      <c r="GI138" s="18"/>
      <c r="GJ138" s="18"/>
      <c r="GK138" s="18"/>
      <c r="GL138" s="18"/>
      <c r="GM138" s="18"/>
      <c r="GN138" s="18"/>
      <c r="GO138" s="18"/>
      <c r="GP138" s="18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18"/>
      <c r="HC138" s="18"/>
      <c r="HD138" s="18"/>
      <c r="HE138" s="18"/>
      <c r="HF138" s="18"/>
      <c r="HG138" s="18"/>
      <c r="HH138" s="18"/>
      <c r="HI138" s="18"/>
      <c r="HJ138" s="18"/>
      <c r="HK138" s="18"/>
      <c r="HL138" s="18"/>
      <c r="HM138" s="18"/>
      <c r="HN138" s="18"/>
      <c r="HO138" s="18"/>
      <c r="HP138" s="18"/>
      <c r="HQ138" s="18"/>
      <c r="HR138" s="18"/>
      <c r="HS138" s="18"/>
      <c r="HT138" s="18"/>
      <c r="HU138" s="18"/>
      <c r="HV138" s="18"/>
      <c r="HW138" s="18"/>
      <c r="HX138" s="18"/>
      <c r="HY138" s="18"/>
      <c r="HZ138" s="18"/>
      <c r="IA138" s="18"/>
      <c r="IB138" s="18"/>
      <c r="IC138" s="18"/>
      <c r="ID138" s="18"/>
      <c r="IE138" s="18"/>
      <c r="IF138" s="18"/>
      <c r="IG138" s="18"/>
      <c r="IH138" s="18"/>
      <c r="II138" s="18"/>
      <c r="IJ138" s="18"/>
      <c r="IK138" s="18"/>
      <c r="IL138" s="18"/>
      <c r="IM138" s="18"/>
      <c r="IN138" s="18"/>
      <c r="IO138" s="18"/>
      <c r="IP138" s="18"/>
      <c r="IQ138" s="18"/>
      <c r="IR138" s="18"/>
      <c r="IS138" s="18"/>
      <c r="IT138" s="18"/>
      <c r="IU138" s="18"/>
      <c r="IV138" s="18"/>
      <c r="IW138" s="18"/>
    </row>
    <row r="139" customFormat="false" ht="13.2" hidden="false" customHeight="false" outlineLevel="0" collapsed="false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  <c r="DG139" s="18"/>
      <c r="DH139" s="18"/>
      <c r="DI139" s="18"/>
      <c r="DJ139" s="18"/>
      <c r="DK139" s="18"/>
      <c r="DL139" s="18"/>
      <c r="DM139" s="18"/>
      <c r="DN139" s="18"/>
      <c r="DO139" s="18"/>
      <c r="DP139" s="18"/>
      <c r="DQ139" s="18"/>
      <c r="DR139" s="18"/>
      <c r="DS139" s="18"/>
      <c r="DT139" s="18"/>
      <c r="DU139" s="18"/>
      <c r="DV139" s="18"/>
      <c r="DW139" s="18"/>
      <c r="DX139" s="18"/>
      <c r="DY139" s="18"/>
      <c r="DZ139" s="18"/>
      <c r="EA139" s="18"/>
      <c r="EB139" s="18"/>
      <c r="EC139" s="18"/>
      <c r="ED139" s="18"/>
      <c r="EE139" s="18"/>
      <c r="EF139" s="18"/>
      <c r="EG139" s="18"/>
      <c r="EH139" s="18"/>
      <c r="EI139" s="18"/>
      <c r="EJ139" s="18"/>
      <c r="EK139" s="18"/>
      <c r="EL139" s="18"/>
      <c r="EM139" s="18"/>
      <c r="EN139" s="18"/>
      <c r="EO139" s="18"/>
      <c r="EP139" s="18"/>
      <c r="EQ139" s="18"/>
      <c r="ER139" s="18"/>
      <c r="ES139" s="18"/>
      <c r="ET139" s="18"/>
      <c r="EU139" s="18"/>
      <c r="EV139" s="18"/>
      <c r="EW139" s="18"/>
      <c r="EX139" s="18"/>
      <c r="EY139" s="18"/>
      <c r="EZ139" s="18"/>
      <c r="FA139" s="18"/>
      <c r="FB139" s="18"/>
      <c r="FC139" s="18"/>
      <c r="FD139" s="18"/>
      <c r="FE139" s="18"/>
      <c r="FF139" s="18"/>
      <c r="FG139" s="18"/>
      <c r="FH139" s="18"/>
      <c r="FI139" s="18"/>
      <c r="FJ139" s="18"/>
      <c r="FK139" s="18"/>
      <c r="FL139" s="18"/>
      <c r="FM139" s="18"/>
      <c r="FN139" s="18"/>
      <c r="FO139" s="18"/>
      <c r="FP139" s="18"/>
      <c r="FQ139" s="18"/>
      <c r="FR139" s="18"/>
      <c r="FS139" s="18"/>
      <c r="FT139" s="18"/>
      <c r="FU139" s="18"/>
      <c r="FV139" s="18"/>
      <c r="FW139" s="18"/>
      <c r="FX139" s="18"/>
      <c r="FY139" s="18"/>
      <c r="FZ139" s="18"/>
      <c r="GA139" s="18"/>
      <c r="GB139" s="18"/>
      <c r="GC139" s="18"/>
      <c r="GD139" s="18"/>
      <c r="GE139" s="18"/>
      <c r="GF139" s="18"/>
      <c r="GG139" s="18"/>
      <c r="GH139" s="18"/>
      <c r="GI139" s="18"/>
      <c r="GJ139" s="18"/>
      <c r="GK139" s="18"/>
      <c r="GL139" s="18"/>
      <c r="GM139" s="18"/>
      <c r="GN139" s="18"/>
      <c r="GO139" s="18"/>
      <c r="GP139" s="18"/>
      <c r="GQ139" s="18"/>
      <c r="GR139" s="18"/>
      <c r="GS139" s="18"/>
      <c r="GT139" s="18"/>
      <c r="GU139" s="18"/>
      <c r="GV139" s="18"/>
      <c r="GW139" s="18"/>
      <c r="GX139" s="18"/>
      <c r="GY139" s="18"/>
      <c r="GZ139" s="18"/>
      <c r="HA139" s="18"/>
      <c r="HB139" s="18"/>
      <c r="HC139" s="18"/>
      <c r="HD139" s="18"/>
      <c r="HE139" s="18"/>
      <c r="HF139" s="18"/>
      <c r="HG139" s="18"/>
      <c r="HH139" s="18"/>
      <c r="HI139" s="18"/>
      <c r="HJ139" s="18"/>
      <c r="HK139" s="18"/>
      <c r="HL139" s="18"/>
      <c r="HM139" s="18"/>
      <c r="HN139" s="18"/>
      <c r="HO139" s="18"/>
      <c r="HP139" s="18"/>
      <c r="HQ139" s="18"/>
      <c r="HR139" s="18"/>
      <c r="HS139" s="18"/>
      <c r="HT139" s="18"/>
      <c r="HU139" s="18"/>
      <c r="HV139" s="18"/>
      <c r="HW139" s="18"/>
      <c r="HX139" s="18"/>
      <c r="HY139" s="18"/>
      <c r="HZ139" s="18"/>
      <c r="IA139" s="18"/>
      <c r="IB139" s="18"/>
      <c r="IC139" s="18"/>
      <c r="ID139" s="18"/>
      <c r="IE139" s="18"/>
      <c r="IF139" s="18"/>
      <c r="IG139" s="18"/>
      <c r="IH139" s="18"/>
      <c r="II139" s="18"/>
      <c r="IJ139" s="18"/>
      <c r="IK139" s="18"/>
      <c r="IL139" s="18"/>
      <c r="IM139" s="18"/>
      <c r="IN139" s="18"/>
      <c r="IO139" s="18"/>
      <c r="IP139" s="18"/>
      <c r="IQ139" s="18"/>
      <c r="IR139" s="18"/>
      <c r="IS139" s="18"/>
      <c r="IT139" s="18"/>
      <c r="IU139" s="18"/>
      <c r="IV139" s="18"/>
      <c r="IW139" s="18"/>
    </row>
    <row r="140" customFormat="false" ht="13.2" hidden="false" customHeight="false" outlineLevel="0" collapsed="false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/>
      <c r="DH140" s="18"/>
      <c r="DI140" s="18"/>
      <c r="DJ140" s="18"/>
      <c r="DK140" s="18"/>
      <c r="DL140" s="18"/>
      <c r="DM140" s="18"/>
      <c r="DN140" s="18"/>
      <c r="DO140" s="18"/>
      <c r="DP140" s="18"/>
      <c r="DQ140" s="18"/>
      <c r="DR140" s="18"/>
      <c r="DS140" s="18"/>
      <c r="DT140" s="18"/>
      <c r="DU140" s="18"/>
      <c r="DV140" s="18"/>
      <c r="DW140" s="18"/>
      <c r="DX140" s="18"/>
      <c r="DY140" s="18"/>
      <c r="DZ140" s="18"/>
      <c r="EA140" s="18"/>
      <c r="EB140" s="18"/>
      <c r="EC140" s="18"/>
      <c r="ED140" s="18"/>
      <c r="EE140" s="18"/>
      <c r="EF140" s="18"/>
      <c r="EG140" s="18"/>
      <c r="EH140" s="18"/>
      <c r="EI140" s="18"/>
      <c r="EJ140" s="18"/>
      <c r="EK140" s="18"/>
      <c r="EL140" s="18"/>
      <c r="EM140" s="18"/>
      <c r="EN140" s="18"/>
      <c r="EO140" s="18"/>
      <c r="EP140" s="18"/>
      <c r="EQ140" s="18"/>
      <c r="ER140" s="18"/>
      <c r="ES140" s="18"/>
      <c r="ET140" s="18"/>
      <c r="EU140" s="18"/>
      <c r="EV140" s="18"/>
      <c r="EW140" s="18"/>
      <c r="EX140" s="18"/>
      <c r="EY140" s="18"/>
      <c r="EZ140" s="18"/>
      <c r="FA140" s="18"/>
      <c r="FB140" s="18"/>
      <c r="FC140" s="18"/>
      <c r="FD140" s="18"/>
      <c r="FE140" s="18"/>
      <c r="FF140" s="18"/>
      <c r="FG140" s="18"/>
      <c r="FH140" s="18"/>
      <c r="FI140" s="18"/>
      <c r="FJ140" s="18"/>
      <c r="FK140" s="18"/>
      <c r="FL140" s="18"/>
      <c r="FM140" s="18"/>
      <c r="FN140" s="18"/>
      <c r="FO140" s="18"/>
      <c r="FP140" s="18"/>
      <c r="FQ140" s="18"/>
      <c r="FR140" s="18"/>
      <c r="FS140" s="18"/>
      <c r="FT140" s="18"/>
      <c r="FU140" s="18"/>
      <c r="FV140" s="18"/>
      <c r="FW140" s="18"/>
      <c r="FX140" s="18"/>
      <c r="FY140" s="18"/>
      <c r="FZ140" s="18"/>
      <c r="GA140" s="18"/>
      <c r="GB140" s="18"/>
      <c r="GC140" s="18"/>
      <c r="GD140" s="18"/>
      <c r="GE140" s="18"/>
      <c r="GF140" s="18"/>
      <c r="GG140" s="18"/>
      <c r="GH140" s="18"/>
      <c r="GI140" s="18"/>
      <c r="GJ140" s="18"/>
      <c r="GK140" s="18"/>
      <c r="GL140" s="18"/>
      <c r="GM140" s="18"/>
      <c r="GN140" s="18"/>
      <c r="GO140" s="18"/>
      <c r="GP140" s="18"/>
      <c r="GQ140" s="18"/>
      <c r="GR140" s="18"/>
      <c r="GS140" s="18"/>
      <c r="GT140" s="18"/>
      <c r="GU140" s="18"/>
      <c r="GV140" s="18"/>
      <c r="GW140" s="18"/>
      <c r="GX140" s="18"/>
      <c r="GY140" s="18"/>
      <c r="GZ140" s="18"/>
      <c r="HA140" s="18"/>
      <c r="HB140" s="18"/>
      <c r="HC140" s="18"/>
      <c r="HD140" s="18"/>
      <c r="HE140" s="18"/>
      <c r="HF140" s="18"/>
      <c r="HG140" s="18"/>
      <c r="HH140" s="18"/>
      <c r="HI140" s="18"/>
      <c r="HJ140" s="18"/>
      <c r="HK140" s="18"/>
      <c r="HL140" s="18"/>
      <c r="HM140" s="18"/>
      <c r="HN140" s="18"/>
      <c r="HO140" s="18"/>
      <c r="HP140" s="18"/>
      <c r="HQ140" s="18"/>
      <c r="HR140" s="18"/>
      <c r="HS140" s="18"/>
      <c r="HT140" s="18"/>
      <c r="HU140" s="18"/>
      <c r="HV140" s="18"/>
      <c r="HW140" s="18"/>
      <c r="HX140" s="18"/>
      <c r="HY140" s="18"/>
      <c r="HZ140" s="18"/>
      <c r="IA140" s="18"/>
      <c r="IB140" s="18"/>
      <c r="IC140" s="18"/>
      <c r="ID140" s="18"/>
      <c r="IE140" s="18"/>
      <c r="IF140" s="18"/>
      <c r="IG140" s="18"/>
      <c r="IH140" s="18"/>
      <c r="II140" s="18"/>
      <c r="IJ140" s="18"/>
      <c r="IK140" s="18"/>
      <c r="IL140" s="18"/>
      <c r="IM140" s="18"/>
      <c r="IN140" s="18"/>
      <c r="IO140" s="18"/>
      <c r="IP140" s="18"/>
      <c r="IQ140" s="18"/>
      <c r="IR140" s="18"/>
      <c r="IS140" s="18"/>
      <c r="IT140" s="18"/>
      <c r="IU140" s="18"/>
      <c r="IV140" s="18"/>
      <c r="IW140" s="18"/>
    </row>
    <row r="141" customFormat="false" ht="13.2" hidden="false" customHeight="false" outlineLevel="0" collapsed="false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/>
      <c r="DK141" s="18"/>
      <c r="DL141" s="18"/>
      <c r="DM141" s="18"/>
      <c r="DN141" s="18"/>
      <c r="DO141" s="18"/>
      <c r="DP141" s="18"/>
      <c r="DQ141" s="18"/>
      <c r="DR141" s="18"/>
      <c r="DS141" s="18"/>
      <c r="DT141" s="18"/>
      <c r="DU141" s="18"/>
      <c r="DV141" s="18"/>
      <c r="DW141" s="18"/>
      <c r="DX141" s="18"/>
      <c r="DY141" s="18"/>
      <c r="DZ141" s="18"/>
      <c r="EA141" s="18"/>
      <c r="EB141" s="18"/>
      <c r="EC141" s="18"/>
      <c r="ED141" s="18"/>
      <c r="EE141" s="18"/>
      <c r="EF141" s="18"/>
      <c r="EG141" s="18"/>
      <c r="EH141" s="18"/>
      <c r="EI141" s="18"/>
      <c r="EJ141" s="18"/>
      <c r="EK141" s="18"/>
      <c r="EL141" s="18"/>
      <c r="EM141" s="18"/>
      <c r="EN141" s="18"/>
      <c r="EO141" s="18"/>
      <c r="EP141" s="18"/>
      <c r="EQ141" s="18"/>
      <c r="ER141" s="18"/>
      <c r="ES141" s="18"/>
      <c r="ET141" s="18"/>
      <c r="EU141" s="18"/>
      <c r="EV141" s="18"/>
      <c r="EW141" s="18"/>
      <c r="EX141" s="18"/>
      <c r="EY141" s="18"/>
      <c r="EZ141" s="18"/>
      <c r="FA141" s="18"/>
      <c r="FB141" s="18"/>
      <c r="FC141" s="18"/>
      <c r="FD141" s="18"/>
      <c r="FE141" s="18"/>
      <c r="FF141" s="18"/>
      <c r="FG141" s="18"/>
      <c r="FH141" s="18"/>
      <c r="FI141" s="18"/>
      <c r="FJ141" s="18"/>
      <c r="FK141" s="18"/>
      <c r="FL141" s="18"/>
      <c r="FM141" s="18"/>
      <c r="FN141" s="18"/>
      <c r="FO141" s="18"/>
      <c r="FP141" s="18"/>
      <c r="FQ141" s="18"/>
      <c r="FR141" s="18"/>
      <c r="FS141" s="18"/>
      <c r="FT141" s="18"/>
      <c r="FU141" s="18"/>
      <c r="FV141" s="18"/>
      <c r="FW141" s="18"/>
      <c r="FX141" s="18"/>
      <c r="FY141" s="18"/>
      <c r="FZ141" s="18"/>
      <c r="GA141" s="18"/>
      <c r="GB141" s="18"/>
      <c r="GC141" s="18"/>
      <c r="GD141" s="18"/>
      <c r="GE141" s="18"/>
      <c r="GF141" s="18"/>
      <c r="GG141" s="18"/>
      <c r="GH141" s="18"/>
      <c r="GI141" s="18"/>
      <c r="GJ141" s="18"/>
      <c r="GK141" s="18"/>
      <c r="GL141" s="18"/>
      <c r="GM141" s="18"/>
      <c r="GN141" s="18"/>
      <c r="GO141" s="18"/>
      <c r="GP141" s="18"/>
      <c r="GQ141" s="18"/>
      <c r="GR141" s="18"/>
      <c r="GS141" s="18"/>
      <c r="GT141" s="18"/>
      <c r="GU141" s="18"/>
      <c r="GV141" s="18"/>
      <c r="GW141" s="18"/>
      <c r="GX141" s="18"/>
      <c r="GY141" s="18"/>
      <c r="GZ141" s="18"/>
      <c r="HA141" s="18"/>
      <c r="HB141" s="18"/>
      <c r="HC141" s="18"/>
      <c r="HD141" s="18"/>
      <c r="HE141" s="18"/>
      <c r="HF141" s="18"/>
      <c r="HG141" s="18"/>
      <c r="HH141" s="18"/>
      <c r="HI141" s="18"/>
      <c r="HJ141" s="18"/>
      <c r="HK141" s="18"/>
      <c r="HL141" s="18"/>
      <c r="HM141" s="18"/>
      <c r="HN141" s="18"/>
      <c r="HO141" s="18"/>
      <c r="HP141" s="18"/>
      <c r="HQ141" s="18"/>
      <c r="HR141" s="18"/>
      <c r="HS141" s="18"/>
      <c r="HT141" s="18"/>
      <c r="HU141" s="18"/>
      <c r="HV141" s="18"/>
      <c r="HW141" s="18"/>
      <c r="HX141" s="18"/>
      <c r="HY141" s="18"/>
      <c r="HZ141" s="18"/>
      <c r="IA141" s="18"/>
      <c r="IB141" s="18"/>
      <c r="IC141" s="18"/>
      <c r="ID141" s="18"/>
      <c r="IE141" s="18"/>
      <c r="IF141" s="18"/>
      <c r="IG141" s="18"/>
      <c r="IH141" s="18"/>
      <c r="II141" s="18"/>
      <c r="IJ141" s="18"/>
      <c r="IK141" s="18"/>
      <c r="IL141" s="18"/>
      <c r="IM141" s="18"/>
      <c r="IN141" s="18"/>
      <c r="IO141" s="18"/>
      <c r="IP141" s="18"/>
      <c r="IQ141" s="18"/>
      <c r="IR141" s="18"/>
      <c r="IS141" s="18"/>
      <c r="IT141" s="18"/>
      <c r="IU141" s="18"/>
      <c r="IV141" s="18"/>
      <c r="IW141" s="18"/>
    </row>
    <row r="142" customFormat="false" ht="13.2" hidden="false" customHeight="false" outlineLevel="0" collapsed="false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/>
      <c r="DK142" s="18"/>
      <c r="DL142" s="18"/>
      <c r="DM142" s="18"/>
      <c r="DN142" s="18"/>
      <c r="DO142" s="18"/>
      <c r="DP142" s="18"/>
      <c r="DQ142" s="18"/>
      <c r="DR142" s="18"/>
      <c r="DS142" s="18"/>
      <c r="DT142" s="18"/>
      <c r="DU142" s="18"/>
      <c r="DV142" s="18"/>
      <c r="DW142" s="18"/>
      <c r="DX142" s="18"/>
      <c r="DY142" s="18"/>
      <c r="DZ142" s="18"/>
      <c r="EA142" s="18"/>
      <c r="EB142" s="18"/>
      <c r="EC142" s="18"/>
      <c r="ED142" s="18"/>
      <c r="EE142" s="18"/>
      <c r="EF142" s="18"/>
      <c r="EG142" s="18"/>
      <c r="EH142" s="18"/>
      <c r="EI142" s="18"/>
      <c r="EJ142" s="18"/>
      <c r="EK142" s="18"/>
      <c r="EL142" s="18"/>
      <c r="EM142" s="18"/>
      <c r="EN142" s="18"/>
      <c r="EO142" s="18"/>
      <c r="EP142" s="18"/>
      <c r="EQ142" s="18"/>
      <c r="ER142" s="18"/>
      <c r="ES142" s="18"/>
      <c r="ET142" s="18"/>
      <c r="EU142" s="18"/>
      <c r="EV142" s="18"/>
      <c r="EW142" s="18"/>
      <c r="EX142" s="18"/>
      <c r="EY142" s="18"/>
      <c r="EZ142" s="18"/>
      <c r="FA142" s="18"/>
      <c r="FB142" s="18"/>
      <c r="FC142" s="18"/>
      <c r="FD142" s="18"/>
      <c r="FE142" s="18"/>
      <c r="FF142" s="18"/>
      <c r="FG142" s="18"/>
      <c r="FH142" s="18"/>
      <c r="FI142" s="18"/>
      <c r="FJ142" s="18"/>
      <c r="FK142" s="18"/>
      <c r="FL142" s="18"/>
      <c r="FM142" s="18"/>
      <c r="FN142" s="18"/>
      <c r="FO142" s="18"/>
      <c r="FP142" s="18"/>
      <c r="FQ142" s="18"/>
      <c r="FR142" s="18"/>
      <c r="FS142" s="18"/>
      <c r="FT142" s="18"/>
      <c r="FU142" s="18"/>
      <c r="FV142" s="18"/>
      <c r="FW142" s="18"/>
      <c r="FX142" s="18"/>
      <c r="FY142" s="18"/>
      <c r="FZ142" s="18"/>
      <c r="GA142" s="18"/>
      <c r="GB142" s="18"/>
      <c r="GC142" s="18"/>
      <c r="GD142" s="18"/>
      <c r="GE142" s="18"/>
      <c r="GF142" s="18"/>
      <c r="GG142" s="18"/>
      <c r="GH142" s="18"/>
      <c r="GI142" s="18"/>
      <c r="GJ142" s="18"/>
      <c r="GK142" s="18"/>
      <c r="GL142" s="18"/>
      <c r="GM142" s="18"/>
      <c r="GN142" s="18"/>
      <c r="GO142" s="18"/>
      <c r="GP142" s="18"/>
      <c r="GQ142" s="18"/>
      <c r="GR142" s="18"/>
      <c r="GS142" s="18"/>
      <c r="GT142" s="18"/>
      <c r="GU142" s="18"/>
      <c r="GV142" s="18"/>
      <c r="GW142" s="18"/>
      <c r="GX142" s="18"/>
      <c r="GY142" s="18"/>
      <c r="GZ142" s="18"/>
      <c r="HA142" s="18"/>
      <c r="HB142" s="18"/>
      <c r="HC142" s="18"/>
      <c r="HD142" s="18"/>
      <c r="HE142" s="18"/>
      <c r="HF142" s="18"/>
      <c r="HG142" s="18"/>
      <c r="HH142" s="18"/>
      <c r="HI142" s="18"/>
      <c r="HJ142" s="18"/>
      <c r="HK142" s="18"/>
      <c r="HL142" s="18"/>
      <c r="HM142" s="18"/>
      <c r="HN142" s="18"/>
      <c r="HO142" s="18"/>
      <c r="HP142" s="18"/>
      <c r="HQ142" s="18"/>
      <c r="HR142" s="18"/>
      <c r="HS142" s="18"/>
      <c r="HT142" s="18"/>
      <c r="HU142" s="18"/>
      <c r="HV142" s="18"/>
      <c r="HW142" s="18"/>
      <c r="HX142" s="18"/>
      <c r="HY142" s="18"/>
      <c r="HZ142" s="18"/>
      <c r="IA142" s="18"/>
      <c r="IB142" s="18"/>
      <c r="IC142" s="18"/>
      <c r="ID142" s="18"/>
      <c r="IE142" s="18"/>
      <c r="IF142" s="18"/>
      <c r="IG142" s="18"/>
      <c r="IH142" s="18"/>
      <c r="II142" s="18"/>
      <c r="IJ142" s="18"/>
      <c r="IK142" s="18"/>
      <c r="IL142" s="18"/>
      <c r="IM142" s="18"/>
      <c r="IN142" s="18"/>
      <c r="IO142" s="18"/>
      <c r="IP142" s="18"/>
      <c r="IQ142" s="18"/>
      <c r="IR142" s="18"/>
      <c r="IS142" s="18"/>
      <c r="IT142" s="18"/>
      <c r="IU142" s="18"/>
      <c r="IV142" s="18"/>
      <c r="IW142" s="18"/>
    </row>
    <row r="143" customFormat="false" ht="13.2" hidden="false" customHeight="false" outlineLevel="0" collapsed="false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  <c r="DG143" s="18"/>
      <c r="DH143" s="18"/>
      <c r="DI143" s="18"/>
      <c r="DJ143" s="18"/>
      <c r="DK143" s="18"/>
      <c r="DL143" s="18"/>
      <c r="DM143" s="18"/>
      <c r="DN143" s="18"/>
      <c r="DO143" s="18"/>
      <c r="DP143" s="18"/>
      <c r="DQ143" s="18"/>
      <c r="DR143" s="18"/>
      <c r="DS143" s="18"/>
      <c r="DT143" s="18"/>
      <c r="DU143" s="18"/>
      <c r="DV143" s="18"/>
      <c r="DW143" s="18"/>
      <c r="DX143" s="18"/>
      <c r="DY143" s="18"/>
      <c r="DZ143" s="18"/>
      <c r="EA143" s="18"/>
      <c r="EB143" s="18"/>
      <c r="EC143" s="18"/>
      <c r="ED143" s="18"/>
      <c r="EE143" s="18"/>
      <c r="EF143" s="18"/>
      <c r="EG143" s="18"/>
      <c r="EH143" s="18"/>
      <c r="EI143" s="18"/>
      <c r="EJ143" s="18"/>
      <c r="EK143" s="18"/>
      <c r="EL143" s="18"/>
      <c r="EM143" s="18"/>
      <c r="EN143" s="18"/>
      <c r="EO143" s="18"/>
      <c r="EP143" s="18"/>
      <c r="EQ143" s="18"/>
      <c r="ER143" s="18"/>
      <c r="ES143" s="18"/>
      <c r="ET143" s="18"/>
      <c r="EU143" s="18"/>
      <c r="EV143" s="18"/>
      <c r="EW143" s="18"/>
      <c r="EX143" s="18"/>
      <c r="EY143" s="18"/>
      <c r="EZ143" s="18"/>
      <c r="FA143" s="18"/>
      <c r="FB143" s="18"/>
      <c r="FC143" s="18"/>
      <c r="FD143" s="18"/>
      <c r="FE143" s="18"/>
      <c r="FF143" s="18"/>
      <c r="FG143" s="18"/>
      <c r="FH143" s="18"/>
      <c r="FI143" s="18"/>
      <c r="FJ143" s="18"/>
      <c r="FK143" s="18"/>
      <c r="FL143" s="18"/>
      <c r="FM143" s="18"/>
      <c r="FN143" s="18"/>
      <c r="FO143" s="18"/>
      <c r="FP143" s="18"/>
      <c r="FQ143" s="18"/>
      <c r="FR143" s="18"/>
      <c r="FS143" s="18"/>
      <c r="FT143" s="18"/>
      <c r="FU143" s="18"/>
      <c r="FV143" s="18"/>
      <c r="FW143" s="18"/>
      <c r="FX143" s="18"/>
      <c r="FY143" s="18"/>
      <c r="FZ143" s="18"/>
      <c r="GA143" s="18"/>
      <c r="GB143" s="18"/>
      <c r="GC143" s="18"/>
      <c r="GD143" s="18"/>
      <c r="GE143" s="18"/>
      <c r="GF143" s="18"/>
      <c r="GG143" s="18"/>
      <c r="GH143" s="18"/>
      <c r="GI143" s="18"/>
      <c r="GJ143" s="18"/>
      <c r="GK143" s="18"/>
      <c r="GL143" s="18"/>
      <c r="GM143" s="18"/>
      <c r="GN143" s="18"/>
      <c r="GO143" s="18"/>
      <c r="GP143" s="18"/>
      <c r="GQ143" s="18"/>
      <c r="GR143" s="18"/>
      <c r="GS143" s="18"/>
      <c r="GT143" s="18"/>
      <c r="GU143" s="18"/>
      <c r="GV143" s="18"/>
      <c r="GW143" s="18"/>
      <c r="GX143" s="18"/>
      <c r="GY143" s="18"/>
      <c r="GZ143" s="18"/>
      <c r="HA143" s="18"/>
      <c r="HB143" s="18"/>
      <c r="HC143" s="18"/>
      <c r="HD143" s="18"/>
      <c r="HE143" s="18"/>
      <c r="HF143" s="18"/>
      <c r="HG143" s="18"/>
      <c r="HH143" s="18"/>
      <c r="HI143" s="18"/>
      <c r="HJ143" s="18"/>
      <c r="HK143" s="18"/>
      <c r="HL143" s="18"/>
      <c r="HM143" s="18"/>
      <c r="HN143" s="18"/>
      <c r="HO143" s="18"/>
      <c r="HP143" s="18"/>
      <c r="HQ143" s="18"/>
      <c r="HR143" s="18"/>
      <c r="HS143" s="18"/>
      <c r="HT143" s="18"/>
      <c r="HU143" s="18"/>
      <c r="HV143" s="18"/>
      <c r="HW143" s="18"/>
      <c r="HX143" s="18"/>
      <c r="HY143" s="18"/>
      <c r="HZ143" s="18"/>
      <c r="IA143" s="18"/>
      <c r="IB143" s="18"/>
      <c r="IC143" s="18"/>
      <c r="ID143" s="18"/>
      <c r="IE143" s="18"/>
      <c r="IF143" s="18"/>
      <c r="IG143" s="18"/>
      <c r="IH143" s="18"/>
      <c r="II143" s="18"/>
      <c r="IJ143" s="18"/>
      <c r="IK143" s="18"/>
      <c r="IL143" s="18"/>
      <c r="IM143" s="18"/>
      <c r="IN143" s="18"/>
      <c r="IO143" s="18"/>
      <c r="IP143" s="18"/>
      <c r="IQ143" s="18"/>
      <c r="IR143" s="18"/>
      <c r="IS143" s="18"/>
      <c r="IT143" s="18"/>
      <c r="IU143" s="18"/>
      <c r="IV143" s="18"/>
      <c r="IW143" s="18"/>
    </row>
    <row r="144" customFormat="false" ht="13.2" hidden="false" customHeight="false" outlineLevel="0" collapsed="false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/>
      <c r="DH144" s="18"/>
      <c r="DI144" s="18"/>
      <c r="DJ144" s="18"/>
      <c r="DK144" s="18"/>
      <c r="DL144" s="18"/>
      <c r="DM144" s="18"/>
      <c r="DN144" s="18"/>
      <c r="DO144" s="18"/>
      <c r="DP144" s="18"/>
      <c r="DQ144" s="18"/>
      <c r="DR144" s="18"/>
      <c r="DS144" s="18"/>
      <c r="DT144" s="18"/>
      <c r="DU144" s="18"/>
      <c r="DV144" s="18"/>
      <c r="DW144" s="18"/>
      <c r="DX144" s="18"/>
      <c r="DY144" s="18"/>
      <c r="DZ144" s="18"/>
      <c r="EA144" s="18"/>
      <c r="EB144" s="18"/>
      <c r="EC144" s="18"/>
      <c r="ED144" s="18"/>
      <c r="EE144" s="18"/>
      <c r="EF144" s="18"/>
      <c r="EG144" s="18"/>
      <c r="EH144" s="18"/>
      <c r="EI144" s="18"/>
      <c r="EJ144" s="18"/>
      <c r="EK144" s="18"/>
      <c r="EL144" s="18"/>
      <c r="EM144" s="18"/>
      <c r="EN144" s="18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18"/>
      <c r="FH144" s="18"/>
      <c r="FI144" s="18"/>
      <c r="FJ144" s="18"/>
      <c r="FK144" s="18"/>
      <c r="FL144" s="18"/>
      <c r="FM144" s="18"/>
      <c r="FN144" s="18"/>
      <c r="FO144" s="18"/>
      <c r="FP144" s="18"/>
      <c r="FQ144" s="18"/>
      <c r="FR144" s="18"/>
      <c r="FS144" s="18"/>
      <c r="FT144" s="18"/>
      <c r="FU144" s="18"/>
      <c r="FV144" s="18"/>
      <c r="FW144" s="18"/>
      <c r="FX144" s="18"/>
      <c r="FY144" s="18"/>
      <c r="FZ144" s="18"/>
      <c r="GA144" s="18"/>
      <c r="GB144" s="18"/>
      <c r="GC144" s="18"/>
      <c r="GD144" s="18"/>
      <c r="GE144" s="18"/>
      <c r="GF144" s="18"/>
      <c r="GG144" s="18"/>
      <c r="GH144" s="18"/>
      <c r="GI144" s="18"/>
      <c r="GJ144" s="18"/>
      <c r="GK144" s="18"/>
      <c r="GL144" s="18"/>
      <c r="GM144" s="18"/>
      <c r="GN144" s="18"/>
      <c r="GO144" s="18"/>
      <c r="GP144" s="18"/>
      <c r="GQ144" s="18"/>
      <c r="GR144" s="18"/>
      <c r="GS144" s="18"/>
      <c r="GT144" s="18"/>
      <c r="GU144" s="18"/>
      <c r="GV144" s="18"/>
      <c r="GW144" s="18"/>
      <c r="GX144" s="18"/>
      <c r="GY144" s="18"/>
      <c r="GZ144" s="18"/>
      <c r="HA144" s="18"/>
      <c r="HB144" s="18"/>
      <c r="HC144" s="18"/>
      <c r="HD144" s="18"/>
      <c r="HE144" s="18"/>
      <c r="HF144" s="18"/>
      <c r="HG144" s="18"/>
      <c r="HH144" s="18"/>
      <c r="HI144" s="18"/>
      <c r="HJ144" s="18"/>
      <c r="HK144" s="18"/>
      <c r="HL144" s="18"/>
      <c r="HM144" s="18"/>
      <c r="HN144" s="18"/>
      <c r="HO144" s="18"/>
      <c r="HP144" s="18"/>
      <c r="HQ144" s="18"/>
      <c r="HR144" s="18"/>
      <c r="HS144" s="18"/>
      <c r="HT144" s="18"/>
      <c r="HU144" s="18"/>
      <c r="HV144" s="18"/>
      <c r="HW144" s="18"/>
      <c r="HX144" s="18"/>
      <c r="HY144" s="18"/>
      <c r="HZ144" s="18"/>
      <c r="IA144" s="18"/>
      <c r="IB144" s="18"/>
      <c r="IC144" s="18"/>
      <c r="ID144" s="18"/>
      <c r="IE144" s="18"/>
      <c r="IF144" s="18"/>
      <c r="IG144" s="18"/>
      <c r="IH144" s="18"/>
      <c r="II144" s="18"/>
      <c r="IJ144" s="18"/>
      <c r="IK144" s="18"/>
      <c r="IL144" s="18"/>
      <c r="IM144" s="18"/>
      <c r="IN144" s="18"/>
      <c r="IO144" s="18"/>
      <c r="IP144" s="18"/>
      <c r="IQ144" s="18"/>
      <c r="IR144" s="18"/>
      <c r="IS144" s="18"/>
      <c r="IT144" s="18"/>
      <c r="IU144" s="18"/>
      <c r="IV144" s="18"/>
      <c r="IW144" s="18"/>
    </row>
    <row r="145" customFormat="false" ht="13.2" hidden="false" customHeight="false" outlineLevel="0" collapsed="false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/>
      <c r="DK145" s="18"/>
      <c r="DL145" s="18"/>
      <c r="DM145" s="18"/>
      <c r="DN145" s="18"/>
      <c r="DO145" s="18"/>
      <c r="DP145" s="18"/>
      <c r="DQ145" s="18"/>
      <c r="DR145" s="18"/>
      <c r="DS145" s="18"/>
      <c r="DT145" s="18"/>
      <c r="DU145" s="18"/>
      <c r="DV145" s="18"/>
      <c r="DW145" s="18"/>
      <c r="DX145" s="18"/>
      <c r="DY145" s="18"/>
      <c r="DZ145" s="18"/>
      <c r="EA145" s="18"/>
      <c r="EB145" s="18"/>
      <c r="EC145" s="18"/>
      <c r="ED145" s="18"/>
      <c r="EE145" s="18"/>
      <c r="EF145" s="18"/>
      <c r="EG145" s="18"/>
      <c r="EH145" s="18"/>
      <c r="EI145" s="18"/>
      <c r="EJ145" s="18"/>
      <c r="EK145" s="18"/>
      <c r="EL145" s="18"/>
      <c r="EM145" s="18"/>
      <c r="EN145" s="1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18"/>
      <c r="FG145" s="18"/>
      <c r="FH145" s="18"/>
      <c r="FI145" s="18"/>
      <c r="FJ145" s="18"/>
      <c r="FK145" s="18"/>
      <c r="FL145" s="18"/>
      <c r="FM145" s="18"/>
      <c r="FN145" s="18"/>
      <c r="FO145" s="18"/>
      <c r="FP145" s="18"/>
      <c r="FQ145" s="18"/>
      <c r="FR145" s="18"/>
      <c r="FS145" s="18"/>
      <c r="FT145" s="18"/>
      <c r="FU145" s="18"/>
      <c r="FV145" s="18"/>
      <c r="FW145" s="18"/>
      <c r="FX145" s="18"/>
      <c r="FY145" s="18"/>
      <c r="FZ145" s="18"/>
      <c r="GA145" s="18"/>
      <c r="GB145" s="18"/>
      <c r="GC145" s="18"/>
      <c r="GD145" s="18"/>
      <c r="GE145" s="18"/>
      <c r="GF145" s="18"/>
      <c r="GG145" s="18"/>
      <c r="GH145" s="18"/>
      <c r="GI145" s="18"/>
      <c r="GJ145" s="18"/>
      <c r="GK145" s="18"/>
      <c r="GL145" s="18"/>
      <c r="GM145" s="18"/>
      <c r="GN145" s="18"/>
      <c r="GO145" s="18"/>
      <c r="GP145" s="18"/>
      <c r="GQ145" s="18"/>
      <c r="GR145" s="18"/>
      <c r="GS145" s="18"/>
      <c r="GT145" s="18"/>
      <c r="GU145" s="18"/>
      <c r="GV145" s="18"/>
      <c r="GW145" s="18"/>
      <c r="GX145" s="18"/>
      <c r="GY145" s="18"/>
      <c r="GZ145" s="18"/>
      <c r="HA145" s="18"/>
      <c r="HB145" s="18"/>
      <c r="HC145" s="18"/>
      <c r="HD145" s="18"/>
      <c r="HE145" s="18"/>
      <c r="HF145" s="18"/>
      <c r="HG145" s="18"/>
      <c r="HH145" s="18"/>
      <c r="HI145" s="18"/>
      <c r="HJ145" s="18"/>
      <c r="HK145" s="18"/>
      <c r="HL145" s="18"/>
      <c r="HM145" s="18"/>
      <c r="HN145" s="18"/>
      <c r="HO145" s="18"/>
      <c r="HP145" s="18"/>
      <c r="HQ145" s="18"/>
      <c r="HR145" s="18"/>
      <c r="HS145" s="18"/>
      <c r="HT145" s="18"/>
      <c r="HU145" s="18"/>
      <c r="HV145" s="18"/>
      <c r="HW145" s="18"/>
      <c r="HX145" s="18"/>
      <c r="HY145" s="18"/>
      <c r="HZ145" s="18"/>
      <c r="IA145" s="18"/>
      <c r="IB145" s="18"/>
      <c r="IC145" s="18"/>
      <c r="ID145" s="18"/>
      <c r="IE145" s="18"/>
      <c r="IF145" s="18"/>
      <c r="IG145" s="18"/>
      <c r="IH145" s="18"/>
      <c r="II145" s="18"/>
      <c r="IJ145" s="18"/>
      <c r="IK145" s="18"/>
      <c r="IL145" s="18"/>
      <c r="IM145" s="18"/>
      <c r="IN145" s="18"/>
      <c r="IO145" s="18"/>
      <c r="IP145" s="18"/>
      <c r="IQ145" s="18"/>
      <c r="IR145" s="18"/>
      <c r="IS145" s="18"/>
      <c r="IT145" s="18"/>
      <c r="IU145" s="18"/>
      <c r="IV145" s="18"/>
      <c r="IW145" s="18"/>
    </row>
    <row r="146" customFormat="false" ht="13.2" hidden="false" customHeight="false" outlineLevel="0" collapsed="false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/>
      <c r="DK146" s="18"/>
      <c r="DL146" s="18"/>
      <c r="DM146" s="18"/>
      <c r="DN146" s="18"/>
      <c r="DO146" s="18"/>
      <c r="DP146" s="18"/>
      <c r="DQ146" s="18"/>
      <c r="DR146" s="18"/>
      <c r="DS146" s="18"/>
      <c r="DT146" s="18"/>
      <c r="DU146" s="18"/>
      <c r="DV146" s="18"/>
      <c r="DW146" s="18"/>
      <c r="DX146" s="18"/>
      <c r="DY146" s="18"/>
      <c r="DZ146" s="18"/>
      <c r="EA146" s="18"/>
      <c r="EB146" s="18"/>
      <c r="EC146" s="18"/>
      <c r="ED146" s="18"/>
      <c r="EE146" s="18"/>
      <c r="EF146" s="18"/>
      <c r="EG146" s="18"/>
      <c r="EH146" s="18"/>
      <c r="EI146" s="18"/>
      <c r="EJ146" s="18"/>
      <c r="EK146" s="18"/>
      <c r="EL146" s="18"/>
      <c r="EM146" s="18"/>
      <c r="EN146" s="18"/>
      <c r="EO146" s="18"/>
      <c r="EP146" s="18"/>
      <c r="EQ146" s="18"/>
      <c r="ER146" s="18"/>
      <c r="ES146" s="18"/>
      <c r="ET146" s="18"/>
      <c r="EU146" s="18"/>
      <c r="EV146" s="18"/>
      <c r="EW146" s="18"/>
      <c r="EX146" s="18"/>
      <c r="EY146" s="18"/>
      <c r="EZ146" s="18"/>
      <c r="FA146" s="18"/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18"/>
      <c r="FO146" s="18"/>
      <c r="FP146" s="18"/>
      <c r="FQ146" s="18"/>
      <c r="FR146" s="18"/>
      <c r="FS146" s="18"/>
      <c r="FT146" s="18"/>
      <c r="FU146" s="18"/>
      <c r="FV146" s="18"/>
      <c r="FW146" s="18"/>
      <c r="FX146" s="18"/>
      <c r="FY146" s="18"/>
      <c r="FZ146" s="18"/>
      <c r="GA146" s="18"/>
      <c r="GB146" s="18"/>
      <c r="GC146" s="18"/>
      <c r="GD146" s="18"/>
      <c r="GE146" s="18"/>
      <c r="GF146" s="18"/>
      <c r="GG146" s="18"/>
      <c r="GH146" s="18"/>
      <c r="GI146" s="18"/>
      <c r="GJ146" s="18"/>
      <c r="GK146" s="18"/>
      <c r="GL146" s="18"/>
      <c r="GM146" s="18"/>
      <c r="GN146" s="18"/>
      <c r="GO146" s="18"/>
      <c r="GP146" s="18"/>
      <c r="GQ146" s="18"/>
      <c r="GR146" s="18"/>
      <c r="GS146" s="18"/>
      <c r="GT146" s="18"/>
      <c r="GU146" s="18"/>
      <c r="GV146" s="18"/>
      <c r="GW146" s="18"/>
      <c r="GX146" s="18"/>
      <c r="GY146" s="18"/>
      <c r="GZ146" s="18"/>
      <c r="HA146" s="18"/>
      <c r="HB146" s="18"/>
      <c r="HC146" s="18"/>
      <c r="HD146" s="18"/>
      <c r="HE146" s="18"/>
      <c r="HF146" s="18"/>
      <c r="HG146" s="18"/>
      <c r="HH146" s="18"/>
      <c r="HI146" s="18"/>
      <c r="HJ146" s="18"/>
      <c r="HK146" s="18"/>
      <c r="HL146" s="18"/>
      <c r="HM146" s="18"/>
      <c r="HN146" s="18"/>
      <c r="HO146" s="18"/>
      <c r="HP146" s="18"/>
      <c r="HQ146" s="18"/>
      <c r="HR146" s="18"/>
      <c r="HS146" s="18"/>
      <c r="HT146" s="18"/>
      <c r="HU146" s="18"/>
      <c r="HV146" s="18"/>
      <c r="HW146" s="18"/>
      <c r="HX146" s="18"/>
      <c r="HY146" s="18"/>
      <c r="HZ146" s="18"/>
      <c r="IA146" s="18"/>
      <c r="IB146" s="18"/>
      <c r="IC146" s="18"/>
      <c r="ID146" s="18"/>
      <c r="IE146" s="18"/>
      <c r="IF146" s="18"/>
      <c r="IG146" s="18"/>
      <c r="IH146" s="18"/>
      <c r="II146" s="18"/>
      <c r="IJ146" s="18"/>
      <c r="IK146" s="18"/>
      <c r="IL146" s="18"/>
      <c r="IM146" s="18"/>
      <c r="IN146" s="18"/>
      <c r="IO146" s="18"/>
      <c r="IP146" s="18"/>
      <c r="IQ146" s="18"/>
      <c r="IR146" s="18"/>
      <c r="IS146" s="18"/>
      <c r="IT146" s="18"/>
      <c r="IU146" s="18"/>
      <c r="IV146" s="18"/>
      <c r="IW146" s="18"/>
    </row>
    <row r="147" customFormat="false" ht="13.2" hidden="false" customHeight="false" outlineLevel="0" collapsed="false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  <c r="DG147" s="18"/>
      <c r="DH147" s="18"/>
      <c r="DI147" s="18"/>
      <c r="DJ147" s="18"/>
      <c r="DK147" s="18"/>
      <c r="DL147" s="18"/>
      <c r="DM147" s="18"/>
      <c r="DN147" s="18"/>
      <c r="DO147" s="18"/>
      <c r="DP147" s="18"/>
      <c r="DQ147" s="18"/>
      <c r="DR147" s="18"/>
      <c r="DS147" s="18"/>
      <c r="DT147" s="18"/>
      <c r="DU147" s="18"/>
      <c r="DV147" s="18"/>
      <c r="DW147" s="18"/>
      <c r="DX147" s="18"/>
      <c r="DY147" s="18"/>
      <c r="DZ147" s="18"/>
      <c r="EA147" s="18"/>
      <c r="EB147" s="18"/>
      <c r="EC147" s="18"/>
      <c r="ED147" s="18"/>
      <c r="EE147" s="18"/>
      <c r="EF147" s="18"/>
      <c r="EG147" s="18"/>
      <c r="EH147" s="18"/>
      <c r="EI147" s="18"/>
      <c r="EJ147" s="18"/>
      <c r="EK147" s="18"/>
      <c r="EL147" s="18"/>
      <c r="EM147" s="18"/>
      <c r="EN147" s="18"/>
      <c r="EO147" s="18"/>
      <c r="EP147" s="18"/>
      <c r="EQ147" s="18"/>
      <c r="ER147" s="18"/>
      <c r="ES147" s="18"/>
      <c r="ET147" s="18"/>
      <c r="EU147" s="18"/>
      <c r="EV147" s="18"/>
      <c r="EW147" s="18"/>
      <c r="EX147" s="18"/>
      <c r="EY147" s="18"/>
      <c r="EZ147" s="18"/>
      <c r="FA147" s="18"/>
      <c r="FB147" s="18"/>
      <c r="FC147" s="18"/>
      <c r="FD147" s="18"/>
      <c r="FE147" s="18"/>
      <c r="FF147" s="18"/>
      <c r="FG147" s="18"/>
      <c r="FH147" s="18"/>
      <c r="FI147" s="18"/>
      <c r="FJ147" s="18"/>
      <c r="FK147" s="18"/>
      <c r="FL147" s="18"/>
      <c r="FM147" s="18"/>
      <c r="FN147" s="18"/>
      <c r="FO147" s="18"/>
      <c r="FP147" s="18"/>
      <c r="FQ147" s="18"/>
      <c r="FR147" s="18"/>
      <c r="FS147" s="18"/>
      <c r="FT147" s="18"/>
      <c r="FU147" s="18"/>
      <c r="FV147" s="18"/>
      <c r="FW147" s="18"/>
      <c r="FX147" s="18"/>
      <c r="FY147" s="18"/>
      <c r="FZ147" s="18"/>
      <c r="GA147" s="18"/>
      <c r="GB147" s="18"/>
      <c r="GC147" s="18"/>
      <c r="GD147" s="18"/>
      <c r="GE147" s="18"/>
      <c r="GF147" s="18"/>
      <c r="GG147" s="18"/>
      <c r="GH147" s="18"/>
      <c r="GI147" s="18"/>
      <c r="GJ147" s="18"/>
      <c r="GK147" s="18"/>
      <c r="GL147" s="18"/>
      <c r="GM147" s="18"/>
      <c r="GN147" s="18"/>
      <c r="GO147" s="18"/>
      <c r="GP147" s="18"/>
      <c r="GQ147" s="18"/>
      <c r="GR147" s="18"/>
      <c r="GS147" s="18"/>
      <c r="GT147" s="18"/>
      <c r="GU147" s="18"/>
      <c r="GV147" s="18"/>
      <c r="GW147" s="18"/>
      <c r="GX147" s="18"/>
      <c r="GY147" s="18"/>
      <c r="GZ147" s="18"/>
      <c r="HA147" s="18"/>
      <c r="HB147" s="18"/>
      <c r="HC147" s="18"/>
      <c r="HD147" s="18"/>
      <c r="HE147" s="18"/>
      <c r="HF147" s="18"/>
      <c r="HG147" s="18"/>
      <c r="HH147" s="18"/>
      <c r="HI147" s="18"/>
      <c r="HJ147" s="18"/>
      <c r="HK147" s="18"/>
      <c r="HL147" s="18"/>
      <c r="HM147" s="18"/>
      <c r="HN147" s="18"/>
      <c r="HO147" s="18"/>
      <c r="HP147" s="18"/>
      <c r="HQ147" s="18"/>
      <c r="HR147" s="18"/>
      <c r="HS147" s="18"/>
      <c r="HT147" s="18"/>
      <c r="HU147" s="18"/>
      <c r="HV147" s="18"/>
      <c r="HW147" s="18"/>
      <c r="HX147" s="18"/>
      <c r="HY147" s="18"/>
      <c r="HZ147" s="18"/>
      <c r="IA147" s="18"/>
      <c r="IB147" s="18"/>
      <c r="IC147" s="18"/>
      <c r="ID147" s="18"/>
      <c r="IE147" s="18"/>
      <c r="IF147" s="18"/>
      <c r="IG147" s="18"/>
      <c r="IH147" s="18"/>
      <c r="II147" s="18"/>
      <c r="IJ147" s="18"/>
      <c r="IK147" s="18"/>
      <c r="IL147" s="18"/>
      <c r="IM147" s="18"/>
      <c r="IN147" s="18"/>
      <c r="IO147" s="18"/>
      <c r="IP147" s="18"/>
      <c r="IQ147" s="18"/>
      <c r="IR147" s="18"/>
      <c r="IS147" s="18"/>
      <c r="IT147" s="18"/>
      <c r="IU147" s="18"/>
      <c r="IV147" s="18"/>
      <c r="IW147" s="18"/>
    </row>
    <row r="148" customFormat="false" ht="13.2" hidden="false" customHeight="false" outlineLevel="0" collapsed="false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18"/>
      <c r="DH148" s="18"/>
      <c r="DI148" s="18"/>
      <c r="DJ148" s="18"/>
      <c r="DK148" s="18"/>
      <c r="DL148" s="18"/>
      <c r="DM148" s="18"/>
      <c r="DN148" s="18"/>
      <c r="DO148" s="18"/>
      <c r="DP148" s="18"/>
      <c r="DQ148" s="18"/>
      <c r="DR148" s="18"/>
      <c r="DS148" s="18"/>
      <c r="DT148" s="18"/>
      <c r="DU148" s="18"/>
      <c r="DV148" s="18"/>
      <c r="DW148" s="18"/>
      <c r="DX148" s="18"/>
      <c r="DY148" s="18"/>
      <c r="DZ148" s="18"/>
      <c r="EA148" s="18"/>
      <c r="EB148" s="18"/>
      <c r="EC148" s="18"/>
      <c r="ED148" s="18"/>
      <c r="EE148" s="18"/>
      <c r="EF148" s="18"/>
      <c r="EG148" s="18"/>
      <c r="EH148" s="18"/>
      <c r="EI148" s="18"/>
      <c r="EJ148" s="18"/>
      <c r="EK148" s="18"/>
      <c r="EL148" s="18"/>
      <c r="EM148" s="18"/>
      <c r="EN148" s="18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18"/>
      <c r="FB148" s="18"/>
      <c r="FC148" s="18"/>
      <c r="FD148" s="18"/>
      <c r="FE148" s="18"/>
      <c r="FF148" s="18"/>
      <c r="FG148" s="18"/>
      <c r="FH148" s="18"/>
      <c r="FI148" s="18"/>
      <c r="FJ148" s="18"/>
      <c r="FK148" s="18"/>
      <c r="FL148" s="18"/>
      <c r="FM148" s="18"/>
      <c r="FN148" s="18"/>
      <c r="FO148" s="18"/>
      <c r="FP148" s="18"/>
      <c r="FQ148" s="18"/>
      <c r="FR148" s="18"/>
      <c r="FS148" s="18"/>
      <c r="FT148" s="18"/>
      <c r="FU148" s="18"/>
      <c r="FV148" s="18"/>
      <c r="FW148" s="18"/>
      <c r="FX148" s="18"/>
      <c r="FY148" s="18"/>
      <c r="FZ148" s="18"/>
      <c r="GA148" s="18"/>
      <c r="GB148" s="18"/>
      <c r="GC148" s="18"/>
      <c r="GD148" s="18"/>
      <c r="GE148" s="18"/>
      <c r="GF148" s="18"/>
      <c r="GG148" s="18"/>
      <c r="GH148" s="18"/>
      <c r="GI148" s="18"/>
      <c r="GJ148" s="18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18"/>
      <c r="GV148" s="18"/>
      <c r="GW148" s="18"/>
      <c r="GX148" s="18"/>
      <c r="GY148" s="18"/>
      <c r="GZ148" s="18"/>
      <c r="HA148" s="18"/>
      <c r="HB148" s="18"/>
      <c r="HC148" s="18"/>
      <c r="HD148" s="18"/>
      <c r="HE148" s="18"/>
      <c r="HF148" s="18"/>
      <c r="HG148" s="18"/>
      <c r="HH148" s="18"/>
      <c r="HI148" s="18"/>
      <c r="HJ148" s="18"/>
      <c r="HK148" s="18"/>
      <c r="HL148" s="18"/>
      <c r="HM148" s="18"/>
      <c r="HN148" s="18"/>
      <c r="HO148" s="18"/>
      <c r="HP148" s="18"/>
      <c r="HQ148" s="18"/>
      <c r="HR148" s="18"/>
      <c r="HS148" s="18"/>
      <c r="HT148" s="18"/>
      <c r="HU148" s="18"/>
      <c r="HV148" s="18"/>
      <c r="HW148" s="18"/>
      <c r="HX148" s="18"/>
      <c r="HY148" s="18"/>
      <c r="HZ148" s="18"/>
      <c r="IA148" s="18"/>
      <c r="IB148" s="18"/>
      <c r="IC148" s="18"/>
      <c r="ID148" s="18"/>
      <c r="IE148" s="18"/>
      <c r="IF148" s="18"/>
      <c r="IG148" s="18"/>
      <c r="IH148" s="18"/>
      <c r="II148" s="18"/>
      <c r="IJ148" s="18"/>
      <c r="IK148" s="18"/>
      <c r="IL148" s="18"/>
      <c r="IM148" s="18"/>
      <c r="IN148" s="18"/>
      <c r="IO148" s="18"/>
      <c r="IP148" s="18"/>
      <c r="IQ148" s="18"/>
      <c r="IR148" s="18"/>
      <c r="IS148" s="18"/>
      <c r="IT148" s="18"/>
      <c r="IU148" s="18"/>
      <c r="IV148" s="18"/>
      <c r="IW148" s="18"/>
    </row>
    <row r="149" customFormat="false" ht="13.2" hidden="false" customHeight="false" outlineLevel="0" collapsed="false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  <c r="DG149" s="18"/>
      <c r="DH149" s="18"/>
      <c r="DI149" s="18"/>
      <c r="DJ149" s="18"/>
      <c r="DK149" s="18"/>
      <c r="DL149" s="18"/>
      <c r="DM149" s="18"/>
      <c r="DN149" s="18"/>
      <c r="DO149" s="18"/>
      <c r="DP149" s="18"/>
      <c r="DQ149" s="18"/>
      <c r="DR149" s="18"/>
      <c r="DS149" s="18"/>
      <c r="DT149" s="18"/>
      <c r="DU149" s="18"/>
      <c r="DV149" s="18"/>
      <c r="DW149" s="18"/>
      <c r="DX149" s="18"/>
      <c r="DY149" s="18"/>
      <c r="DZ149" s="18"/>
      <c r="EA149" s="18"/>
      <c r="EB149" s="18"/>
      <c r="EC149" s="18"/>
      <c r="ED149" s="18"/>
      <c r="EE149" s="18"/>
      <c r="EF149" s="18"/>
      <c r="EG149" s="18"/>
      <c r="EH149" s="18"/>
      <c r="EI149" s="18"/>
      <c r="EJ149" s="18"/>
      <c r="EK149" s="18"/>
      <c r="EL149" s="18"/>
      <c r="EM149" s="18"/>
      <c r="EN149" s="18"/>
      <c r="EO149" s="18"/>
      <c r="EP149" s="18"/>
      <c r="EQ149" s="18"/>
      <c r="ER149" s="18"/>
      <c r="ES149" s="18"/>
      <c r="ET149" s="18"/>
      <c r="EU149" s="18"/>
      <c r="EV149" s="18"/>
      <c r="EW149" s="18"/>
      <c r="EX149" s="18"/>
      <c r="EY149" s="18"/>
      <c r="EZ149" s="18"/>
      <c r="FA149" s="18"/>
      <c r="FB149" s="18"/>
      <c r="FC149" s="18"/>
      <c r="FD149" s="18"/>
      <c r="FE149" s="18"/>
      <c r="FF149" s="18"/>
      <c r="FG149" s="18"/>
      <c r="FH149" s="18"/>
      <c r="FI149" s="18"/>
      <c r="FJ149" s="18"/>
      <c r="FK149" s="18"/>
      <c r="FL149" s="18"/>
      <c r="FM149" s="18"/>
      <c r="FN149" s="18"/>
      <c r="FO149" s="18"/>
      <c r="FP149" s="18"/>
      <c r="FQ149" s="18"/>
      <c r="FR149" s="18"/>
      <c r="FS149" s="18"/>
      <c r="FT149" s="18"/>
      <c r="FU149" s="18"/>
      <c r="FV149" s="18"/>
      <c r="FW149" s="18"/>
      <c r="FX149" s="18"/>
      <c r="FY149" s="18"/>
      <c r="FZ149" s="18"/>
      <c r="GA149" s="18"/>
      <c r="GB149" s="18"/>
      <c r="GC149" s="18"/>
      <c r="GD149" s="18"/>
      <c r="GE149" s="18"/>
      <c r="GF149" s="18"/>
      <c r="GG149" s="18"/>
      <c r="GH149" s="18"/>
      <c r="GI149" s="18"/>
      <c r="GJ149" s="18"/>
      <c r="GK149" s="18"/>
      <c r="GL149" s="18"/>
      <c r="GM149" s="18"/>
      <c r="GN149" s="18"/>
      <c r="GO149" s="18"/>
      <c r="GP149" s="18"/>
      <c r="GQ149" s="18"/>
      <c r="GR149" s="18"/>
      <c r="GS149" s="18"/>
      <c r="GT149" s="18"/>
      <c r="GU149" s="18"/>
      <c r="GV149" s="18"/>
      <c r="GW149" s="18"/>
      <c r="GX149" s="18"/>
      <c r="GY149" s="18"/>
      <c r="GZ149" s="18"/>
      <c r="HA149" s="18"/>
      <c r="HB149" s="18"/>
      <c r="HC149" s="18"/>
      <c r="HD149" s="18"/>
      <c r="HE149" s="18"/>
      <c r="HF149" s="18"/>
      <c r="HG149" s="18"/>
      <c r="HH149" s="18"/>
      <c r="HI149" s="18"/>
      <c r="HJ149" s="18"/>
      <c r="HK149" s="18"/>
      <c r="HL149" s="18"/>
      <c r="HM149" s="18"/>
      <c r="HN149" s="18"/>
      <c r="HO149" s="18"/>
      <c r="HP149" s="18"/>
      <c r="HQ149" s="18"/>
      <c r="HR149" s="18"/>
      <c r="HS149" s="18"/>
      <c r="HT149" s="18"/>
      <c r="HU149" s="18"/>
      <c r="HV149" s="18"/>
      <c r="HW149" s="18"/>
      <c r="HX149" s="18"/>
      <c r="HY149" s="18"/>
      <c r="HZ149" s="18"/>
      <c r="IA149" s="18"/>
      <c r="IB149" s="18"/>
      <c r="IC149" s="18"/>
      <c r="ID149" s="18"/>
      <c r="IE149" s="18"/>
      <c r="IF149" s="18"/>
      <c r="IG149" s="18"/>
      <c r="IH149" s="18"/>
      <c r="II149" s="18"/>
      <c r="IJ149" s="18"/>
      <c r="IK149" s="18"/>
      <c r="IL149" s="18"/>
      <c r="IM149" s="18"/>
      <c r="IN149" s="18"/>
      <c r="IO149" s="18"/>
      <c r="IP149" s="18"/>
      <c r="IQ149" s="18"/>
      <c r="IR149" s="18"/>
      <c r="IS149" s="18"/>
      <c r="IT149" s="18"/>
      <c r="IU149" s="18"/>
      <c r="IV149" s="18"/>
      <c r="IW149" s="18"/>
    </row>
    <row r="150" customFormat="false" ht="13.2" hidden="false" customHeight="false" outlineLevel="0" collapsed="false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  <c r="DG150" s="18"/>
      <c r="DH150" s="18"/>
      <c r="DI150" s="18"/>
      <c r="DJ150" s="18"/>
      <c r="DK150" s="18"/>
      <c r="DL150" s="18"/>
      <c r="DM150" s="18"/>
      <c r="DN150" s="18"/>
      <c r="DO150" s="18"/>
      <c r="DP150" s="18"/>
      <c r="DQ150" s="18"/>
      <c r="DR150" s="18"/>
      <c r="DS150" s="18"/>
      <c r="DT150" s="18"/>
      <c r="DU150" s="18"/>
      <c r="DV150" s="18"/>
      <c r="DW150" s="18"/>
      <c r="DX150" s="18"/>
      <c r="DY150" s="18"/>
      <c r="DZ150" s="18"/>
      <c r="EA150" s="18"/>
      <c r="EB150" s="18"/>
      <c r="EC150" s="18"/>
      <c r="ED150" s="18"/>
      <c r="EE150" s="18"/>
      <c r="EF150" s="18"/>
      <c r="EG150" s="18"/>
      <c r="EH150" s="18"/>
      <c r="EI150" s="18"/>
      <c r="EJ150" s="18"/>
      <c r="EK150" s="18"/>
      <c r="EL150" s="18"/>
      <c r="EM150" s="18"/>
      <c r="EN150" s="18"/>
      <c r="EO150" s="18"/>
      <c r="EP150" s="18"/>
      <c r="EQ150" s="18"/>
      <c r="ER150" s="18"/>
      <c r="ES150" s="18"/>
      <c r="ET150" s="18"/>
      <c r="EU150" s="18"/>
      <c r="EV150" s="18"/>
      <c r="EW150" s="18"/>
      <c r="EX150" s="18"/>
      <c r="EY150" s="18"/>
      <c r="EZ150" s="18"/>
      <c r="FA150" s="18"/>
      <c r="FB150" s="18"/>
      <c r="FC150" s="18"/>
      <c r="FD150" s="18"/>
      <c r="FE150" s="18"/>
      <c r="FF150" s="18"/>
      <c r="FG150" s="18"/>
      <c r="FH150" s="18"/>
      <c r="FI150" s="18"/>
      <c r="FJ150" s="18"/>
      <c r="FK150" s="18"/>
      <c r="FL150" s="18"/>
      <c r="FM150" s="18"/>
      <c r="FN150" s="18"/>
      <c r="FO150" s="18"/>
      <c r="FP150" s="18"/>
      <c r="FQ150" s="18"/>
      <c r="FR150" s="18"/>
      <c r="FS150" s="18"/>
      <c r="FT150" s="18"/>
      <c r="FU150" s="18"/>
      <c r="FV150" s="18"/>
      <c r="FW150" s="18"/>
      <c r="FX150" s="18"/>
      <c r="FY150" s="18"/>
      <c r="FZ150" s="18"/>
      <c r="GA150" s="18"/>
      <c r="GB150" s="18"/>
      <c r="GC150" s="18"/>
      <c r="GD150" s="18"/>
      <c r="GE150" s="18"/>
      <c r="GF150" s="18"/>
      <c r="GG150" s="18"/>
      <c r="GH150" s="18"/>
      <c r="GI150" s="18"/>
      <c r="GJ150" s="18"/>
      <c r="GK150" s="18"/>
      <c r="GL150" s="18"/>
      <c r="GM150" s="18"/>
      <c r="GN150" s="18"/>
      <c r="GO150" s="18"/>
      <c r="GP150" s="18"/>
      <c r="GQ150" s="18"/>
      <c r="GR150" s="18"/>
      <c r="GS150" s="18"/>
      <c r="GT150" s="18"/>
      <c r="GU150" s="18"/>
      <c r="GV150" s="18"/>
      <c r="GW150" s="18"/>
      <c r="GX150" s="18"/>
      <c r="GY150" s="18"/>
      <c r="GZ150" s="18"/>
      <c r="HA150" s="18"/>
      <c r="HB150" s="18"/>
      <c r="HC150" s="18"/>
      <c r="HD150" s="18"/>
      <c r="HE150" s="18"/>
      <c r="HF150" s="18"/>
      <c r="HG150" s="18"/>
      <c r="HH150" s="18"/>
      <c r="HI150" s="18"/>
      <c r="HJ150" s="18"/>
      <c r="HK150" s="18"/>
      <c r="HL150" s="18"/>
      <c r="HM150" s="18"/>
      <c r="HN150" s="18"/>
      <c r="HO150" s="18"/>
      <c r="HP150" s="18"/>
      <c r="HQ150" s="18"/>
      <c r="HR150" s="18"/>
      <c r="HS150" s="18"/>
      <c r="HT150" s="18"/>
      <c r="HU150" s="18"/>
      <c r="HV150" s="18"/>
      <c r="HW150" s="18"/>
      <c r="HX150" s="18"/>
      <c r="HY150" s="18"/>
      <c r="HZ150" s="18"/>
      <c r="IA150" s="18"/>
      <c r="IB150" s="18"/>
      <c r="IC150" s="18"/>
      <c r="ID150" s="18"/>
      <c r="IE150" s="18"/>
      <c r="IF150" s="18"/>
      <c r="IG150" s="18"/>
      <c r="IH150" s="18"/>
      <c r="II150" s="18"/>
      <c r="IJ150" s="18"/>
      <c r="IK150" s="18"/>
      <c r="IL150" s="18"/>
      <c r="IM150" s="18"/>
      <c r="IN150" s="18"/>
      <c r="IO150" s="18"/>
      <c r="IP150" s="18"/>
      <c r="IQ150" s="18"/>
      <c r="IR150" s="18"/>
      <c r="IS150" s="18"/>
      <c r="IT150" s="18"/>
      <c r="IU150" s="18"/>
      <c r="IV150" s="18"/>
      <c r="IW150" s="18"/>
    </row>
    <row r="151" customFormat="false" ht="13.2" hidden="false" customHeight="false" outlineLevel="0" collapsed="false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  <c r="DG151" s="18"/>
      <c r="DH151" s="18"/>
      <c r="DI151" s="18"/>
      <c r="DJ151" s="18"/>
      <c r="DK151" s="18"/>
      <c r="DL151" s="18"/>
      <c r="DM151" s="18"/>
      <c r="DN151" s="18"/>
      <c r="DO151" s="18"/>
      <c r="DP151" s="18"/>
      <c r="DQ151" s="18"/>
      <c r="DR151" s="18"/>
      <c r="DS151" s="18"/>
      <c r="DT151" s="18"/>
      <c r="DU151" s="18"/>
      <c r="DV151" s="18"/>
      <c r="DW151" s="18"/>
      <c r="DX151" s="18"/>
      <c r="DY151" s="18"/>
      <c r="DZ151" s="18"/>
      <c r="EA151" s="18"/>
      <c r="EB151" s="18"/>
      <c r="EC151" s="18"/>
      <c r="ED151" s="18"/>
      <c r="EE151" s="18"/>
      <c r="EF151" s="18"/>
      <c r="EG151" s="18"/>
      <c r="EH151" s="18"/>
      <c r="EI151" s="18"/>
      <c r="EJ151" s="18"/>
      <c r="EK151" s="18"/>
      <c r="EL151" s="18"/>
      <c r="EM151" s="18"/>
      <c r="EN151" s="18"/>
      <c r="EO151" s="18"/>
      <c r="EP151" s="18"/>
      <c r="EQ151" s="18"/>
      <c r="ER151" s="18"/>
      <c r="ES151" s="18"/>
      <c r="ET151" s="18"/>
      <c r="EU151" s="18"/>
      <c r="EV151" s="18"/>
      <c r="EW151" s="18"/>
      <c r="EX151" s="18"/>
      <c r="EY151" s="18"/>
      <c r="EZ151" s="18"/>
      <c r="FA151" s="18"/>
      <c r="FB151" s="18"/>
      <c r="FC151" s="18"/>
      <c r="FD151" s="18"/>
      <c r="FE151" s="18"/>
      <c r="FF151" s="18"/>
      <c r="FG151" s="18"/>
      <c r="FH151" s="18"/>
      <c r="FI151" s="18"/>
      <c r="FJ151" s="18"/>
      <c r="FK151" s="18"/>
      <c r="FL151" s="18"/>
      <c r="FM151" s="18"/>
      <c r="FN151" s="18"/>
      <c r="FO151" s="18"/>
      <c r="FP151" s="18"/>
      <c r="FQ151" s="18"/>
      <c r="FR151" s="18"/>
      <c r="FS151" s="18"/>
      <c r="FT151" s="18"/>
      <c r="FU151" s="18"/>
      <c r="FV151" s="18"/>
      <c r="FW151" s="18"/>
      <c r="FX151" s="18"/>
      <c r="FY151" s="18"/>
      <c r="FZ151" s="18"/>
      <c r="GA151" s="18"/>
      <c r="GB151" s="18"/>
      <c r="GC151" s="18"/>
      <c r="GD151" s="18"/>
      <c r="GE151" s="18"/>
      <c r="GF151" s="18"/>
      <c r="GG151" s="18"/>
      <c r="GH151" s="18"/>
      <c r="GI151" s="18"/>
      <c r="GJ151" s="18"/>
      <c r="GK151" s="18"/>
      <c r="GL151" s="18"/>
      <c r="GM151" s="18"/>
      <c r="GN151" s="18"/>
      <c r="GO151" s="18"/>
      <c r="GP151" s="18"/>
      <c r="GQ151" s="18"/>
      <c r="GR151" s="18"/>
      <c r="GS151" s="18"/>
      <c r="GT151" s="18"/>
      <c r="GU151" s="18"/>
      <c r="GV151" s="18"/>
      <c r="GW151" s="18"/>
      <c r="GX151" s="18"/>
      <c r="GY151" s="18"/>
      <c r="GZ151" s="18"/>
      <c r="HA151" s="18"/>
      <c r="HB151" s="18"/>
      <c r="HC151" s="18"/>
      <c r="HD151" s="18"/>
      <c r="HE151" s="18"/>
      <c r="HF151" s="18"/>
      <c r="HG151" s="18"/>
      <c r="HH151" s="18"/>
      <c r="HI151" s="18"/>
      <c r="HJ151" s="18"/>
      <c r="HK151" s="18"/>
      <c r="HL151" s="18"/>
      <c r="HM151" s="18"/>
      <c r="HN151" s="18"/>
      <c r="HO151" s="18"/>
      <c r="HP151" s="18"/>
      <c r="HQ151" s="18"/>
      <c r="HR151" s="18"/>
      <c r="HS151" s="18"/>
      <c r="HT151" s="18"/>
      <c r="HU151" s="18"/>
      <c r="HV151" s="18"/>
      <c r="HW151" s="18"/>
      <c r="HX151" s="18"/>
      <c r="HY151" s="18"/>
      <c r="HZ151" s="18"/>
      <c r="IA151" s="18"/>
      <c r="IB151" s="18"/>
      <c r="IC151" s="18"/>
      <c r="ID151" s="18"/>
      <c r="IE151" s="18"/>
      <c r="IF151" s="18"/>
      <c r="IG151" s="18"/>
      <c r="IH151" s="18"/>
      <c r="II151" s="18"/>
      <c r="IJ151" s="18"/>
      <c r="IK151" s="18"/>
      <c r="IL151" s="18"/>
      <c r="IM151" s="18"/>
      <c r="IN151" s="18"/>
      <c r="IO151" s="18"/>
      <c r="IP151" s="18"/>
      <c r="IQ151" s="18"/>
      <c r="IR151" s="18"/>
      <c r="IS151" s="18"/>
      <c r="IT151" s="18"/>
      <c r="IU151" s="18"/>
      <c r="IV151" s="18"/>
      <c r="IW151" s="18"/>
    </row>
    <row r="152" customFormat="false" ht="13.2" hidden="false" customHeight="false" outlineLevel="0" collapsed="false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  <c r="DG152" s="18"/>
      <c r="DH152" s="18"/>
      <c r="DI152" s="18"/>
      <c r="DJ152" s="18"/>
      <c r="DK152" s="18"/>
      <c r="DL152" s="18"/>
      <c r="DM152" s="18"/>
      <c r="DN152" s="18"/>
      <c r="DO152" s="18"/>
      <c r="DP152" s="18"/>
      <c r="DQ152" s="18"/>
      <c r="DR152" s="18"/>
      <c r="DS152" s="18"/>
      <c r="DT152" s="18"/>
      <c r="DU152" s="18"/>
      <c r="DV152" s="18"/>
      <c r="DW152" s="18"/>
      <c r="DX152" s="18"/>
      <c r="DY152" s="18"/>
      <c r="DZ152" s="18"/>
      <c r="EA152" s="18"/>
      <c r="EB152" s="18"/>
      <c r="EC152" s="18"/>
      <c r="ED152" s="18"/>
      <c r="EE152" s="18"/>
      <c r="EF152" s="18"/>
      <c r="EG152" s="18"/>
      <c r="EH152" s="18"/>
      <c r="EI152" s="18"/>
      <c r="EJ152" s="18"/>
      <c r="EK152" s="18"/>
      <c r="EL152" s="18"/>
      <c r="EM152" s="18"/>
      <c r="EN152" s="18"/>
      <c r="EO152" s="18"/>
      <c r="EP152" s="18"/>
      <c r="EQ152" s="18"/>
      <c r="ER152" s="18"/>
      <c r="ES152" s="18"/>
      <c r="ET152" s="18"/>
      <c r="EU152" s="18"/>
      <c r="EV152" s="18"/>
      <c r="EW152" s="18"/>
      <c r="EX152" s="18"/>
      <c r="EY152" s="18"/>
      <c r="EZ152" s="18"/>
      <c r="FA152" s="18"/>
      <c r="FB152" s="18"/>
      <c r="FC152" s="18"/>
      <c r="FD152" s="18"/>
      <c r="FE152" s="18"/>
      <c r="FF152" s="18"/>
      <c r="FG152" s="18"/>
      <c r="FH152" s="18"/>
      <c r="FI152" s="18"/>
      <c r="FJ152" s="18"/>
      <c r="FK152" s="18"/>
      <c r="FL152" s="18"/>
      <c r="FM152" s="18"/>
      <c r="FN152" s="18"/>
      <c r="FO152" s="18"/>
      <c r="FP152" s="18"/>
      <c r="FQ152" s="18"/>
      <c r="FR152" s="18"/>
      <c r="FS152" s="18"/>
      <c r="FT152" s="18"/>
      <c r="FU152" s="18"/>
      <c r="FV152" s="18"/>
      <c r="FW152" s="18"/>
      <c r="FX152" s="18"/>
      <c r="FY152" s="18"/>
      <c r="FZ152" s="18"/>
      <c r="GA152" s="18"/>
      <c r="GB152" s="18"/>
      <c r="GC152" s="18"/>
      <c r="GD152" s="18"/>
      <c r="GE152" s="18"/>
      <c r="GF152" s="18"/>
      <c r="GG152" s="18"/>
      <c r="GH152" s="18"/>
      <c r="GI152" s="18"/>
      <c r="GJ152" s="18"/>
      <c r="GK152" s="18"/>
      <c r="GL152" s="18"/>
      <c r="GM152" s="18"/>
      <c r="GN152" s="18"/>
      <c r="GO152" s="18"/>
      <c r="GP152" s="18"/>
      <c r="GQ152" s="18"/>
      <c r="GR152" s="18"/>
      <c r="GS152" s="18"/>
      <c r="GT152" s="18"/>
      <c r="GU152" s="18"/>
      <c r="GV152" s="18"/>
      <c r="GW152" s="18"/>
      <c r="GX152" s="18"/>
      <c r="GY152" s="18"/>
      <c r="GZ152" s="18"/>
      <c r="HA152" s="18"/>
      <c r="HB152" s="18"/>
      <c r="HC152" s="18"/>
      <c r="HD152" s="18"/>
      <c r="HE152" s="18"/>
      <c r="HF152" s="18"/>
      <c r="HG152" s="18"/>
      <c r="HH152" s="18"/>
      <c r="HI152" s="18"/>
      <c r="HJ152" s="18"/>
      <c r="HK152" s="18"/>
      <c r="HL152" s="18"/>
      <c r="HM152" s="18"/>
      <c r="HN152" s="18"/>
      <c r="HO152" s="18"/>
      <c r="HP152" s="18"/>
      <c r="HQ152" s="18"/>
      <c r="HR152" s="18"/>
      <c r="HS152" s="18"/>
      <c r="HT152" s="18"/>
      <c r="HU152" s="18"/>
      <c r="HV152" s="18"/>
      <c r="HW152" s="18"/>
      <c r="HX152" s="18"/>
      <c r="HY152" s="18"/>
      <c r="HZ152" s="18"/>
      <c r="IA152" s="18"/>
      <c r="IB152" s="18"/>
      <c r="IC152" s="18"/>
      <c r="ID152" s="18"/>
      <c r="IE152" s="18"/>
      <c r="IF152" s="18"/>
      <c r="IG152" s="18"/>
      <c r="IH152" s="18"/>
      <c r="II152" s="18"/>
      <c r="IJ152" s="18"/>
      <c r="IK152" s="18"/>
      <c r="IL152" s="18"/>
      <c r="IM152" s="18"/>
      <c r="IN152" s="18"/>
      <c r="IO152" s="18"/>
      <c r="IP152" s="18"/>
      <c r="IQ152" s="18"/>
      <c r="IR152" s="18"/>
      <c r="IS152" s="18"/>
      <c r="IT152" s="18"/>
      <c r="IU152" s="18"/>
      <c r="IV152" s="18"/>
      <c r="IW152" s="18"/>
    </row>
    <row r="153" customFormat="false" ht="13.2" hidden="false" customHeight="false" outlineLevel="0" collapsed="false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  <c r="DG153" s="18"/>
      <c r="DH153" s="18"/>
      <c r="DI153" s="18"/>
      <c r="DJ153" s="18"/>
      <c r="DK153" s="18"/>
      <c r="DL153" s="18"/>
      <c r="DM153" s="18"/>
      <c r="DN153" s="18"/>
      <c r="DO153" s="18"/>
      <c r="DP153" s="18"/>
      <c r="DQ153" s="18"/>
      <c r="DR153" s="18"/>
      <c r="DS153" s="18"/>
      <c r="DT153" s="18"/>
      <c r="DU153" s="18"/>
      <c r="DV153" s="18"/>
      <c r="DW153" s="18"/>
      <c r="DX153" s="18"/>
      <c r="DY153" s="18"/>
      <c r="DZ153" s="18"/>
      <c r="EA153" s="18"/>
      <c r="EB153" s="18"/>
      <c r="EC153" s="18"/>
      <c r="ED153" s="18"/>
      <c r="EE153" s="18"/>
      <c r="EF153" s="18"/>
      <c r="EG153" s="18"/>
      <c r="EH153" s="18"/>
      <c r="EI153" s="18"/>
      <c r="EJ153" s="18"/>
      <c r="EK153" s="18"/>
      <c r="EL153" s="18"/>
      <c r="EM153" s="18"/>
      <c r="EN153" s="18"/>
      <c r="EO153" s="18"/>
      <c r="EP153" s="18"/>
      <c r="EQ153" s="18"/>
      <c r="ER153" s="18"/>
      <c r="ES153" s="18"/>
      <c r="ET153" s="18"/>
      <c r="EU153" s="18"/>
      <c r="EV153" s="18"/>
      <c r="EW153" s="18"/>
      <c r="EX153" s="18"/>
      <c r="EY153" s="18"/>
      <c r="EZ153" s="18"/>
      <c r="FA153" s="18"/>
      <c r="FB153" s="18"/>
      <c r="FC153" s="18"/>
      <c r="FD153" s="18"/>
      <c r="FE153" s="18"/>
      <c r="FF153" s="18"/>
      <c r="FG153" s="18"/>
      <c r="FH153" s="18"/>
      <c r="FI153" s="18"/>
      <c r="FJ153" s="18"/>
      <c r="FK153" s="18"/>
      <c r="FL153" s="18"/>
      <c r="FM153" s="18"/>
      <c r="FN153" s="18"/>
      <c r="FO153" s="18"/>
      <c r="FP153" s="18"/>
      <c r="FQ153" s="18"/>
      <c r="FR153" s="18"/>
      <c r="FS153" s="18"/>
      <c r="FT153" s="18"/>
      <c r="FU153" s="18"/>
      <c r="FV153" s="18"/>
      <c r="FW153" s="18"/>
      <c r="FX153" s="18"/>
      <c r="FY153" s="18"/>
      <c r="FZ153" s="18"/>
      <c r="GA153" s="18"/>
      <c r="GB153" s="18"/>
      <c r="GC153" s="18"/>
      <c r="GD153" s="18"/>
      <c r="GE153" s="18"/>
      <c r="GF153" s="18"/>
      <c r="GG153" s="18"/>
      <c r="GH153" s="18"/>
      <c r="GI153" s="18"/>
      <c r="GJ153" s="18"/>
      <c r="GK153" s="18"/>
      <c r="GL153" s="18"/>
      <c r="GM153" s="18"/>
      <c r="GN153" s="18"/>
      <c r="GO153" s="18"/>
      <c r="GP153" s="18"/>
      <c r="GQ153" s="18"/>
      <c r="GR153" s="18"/>
      <c r="GS153" s="18"/>
      <c r="GT153" s="18"/>
      <c r="GU153" s="18"/>
      <c r="GV153" s="18"/>
      <c r="GW153" s="18"/>
      <c r="GX153" s="18"/>
      <c r="GY153" s="18"/>
      <c r="GZ153" s="18"/>
      <c r="HA153" s="18"/>
      <c r="HB153" s="18"/>
      <c r="HC153" s="18"/>
      <c r="HD153" s="18"/>
      <c r="HE153" s="18"/>
      <c r="HF153" s="18"/>
      <c r="HG153" s="18"/>
      <c r="HH153" s="18"/>
      <c r="HI153" s="18"/>
      <c r="HJ153" s="18"/>
      <c r="HK153" s="18"/>
      <c r="HL153" s="18"/>
      <c r="HM153" s="18"/>
      <c r="HN153" s="18"/>
      <c r="HO153" s="18"/>
      <c r="HP153" s="18"/>
      <c r="HQ153" s="18"/>
      <c r="HR153" s="18"/>
      <c r="HS153" s="18"/>
      <c r="HT153" s="18"/>
      <c r="HU153" s="18"/>
      <c r="HV153" s="18"/>
      <c r="HW153" s="18"/>
      <c r="HX153" s="18"/>
      <c r="HY153" s="18"/>
      <c r="HZ153" s="18"/>
      <c r="IA153" s="18"/>
      <c r="IB153" s="18"/>
      <c r="IC153" s="18"/>
      <c r="ID153" s="18"/>
      <c r="IE153" s="18"/>
      <c r="IF153" s="18"/>
      <c r="IG153" s="18"/>
      <c r="IH153" s="18"/>
      <c r="II153" s="18"/>
      <c r="IJ153" s="18"/>
      <c r="IK153" s="18"/>
      <c r="IL153" s="18"/>
      <c r="IM153" s="18"/>
      <c r="IN153" s="18"/>
      <c r="IO153" s="18"/>
      <c r="IP153" s="18"/>
      <c r="IQ153" s="18"/>
      <c r="IR153" s="18"/>
      <c r="IS153" s="18"/>
      <c r="IT153" s="18"/>
      <c r="IU153" s="18"/>
      <c r="IV153" s="18"/>
      <c r="IW153" s="18"/>
    </row>
    <row r="154" customFormat="false" ht="13.2" hidden="false" customHeight="false" outlineLevel="0" collapsed="false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/>
      <c r="DH154" s="18"/>
      <c r="DI154" s="18"/>
      <c r="DJ154" s="18"/>
      <c r="DK154" s="18"/>
      <c r="DL154" s="18"/>
      <c r="DM154" s="18"/>
      <c r="DN154" s="18"/>
      <c r="DO154" s="18"/>
      <c r="DP154" s="18"/>
      <c r="DQ154" s="18"/>
      <c r="DR154" s="18"/>
      <c r="DS154" s="18"/>
      <c r="DT154" s="18"/>
      <c r="DU154" s="18"/>
      <c r="DV154" s="18"/>
      <c r="DW154" s="18"/>
      <c r="DX154" s="18"/>
      <c r="DY154" s="18"/>
      <c r="DZ154" s="18"/>
      <c r="EA154" s="18"/>
      <c r="EB154" s="18"/>
      <c r="EC154" s="18"/>
      <c r="ED154" s="18"/>
      <c r="EE154" s="18"/>
      <c r="EF154" s="18"/>
      <c r="EG154" s="18"/>
      <c r="EH154" s="18"/>
      <c r="EI154" s="18"/>
      <c r="EJ154" s="18"/>
      <c r="EK154" s="18"/>
      <c r="EL154" s="18"/>
      <c r="EM154" s="18"/>
      <c r="EN154" s="18"/>
      <c r="EO154" s="18"/>
      <c r="EP154" s="18"/>
      <c r="EQ154" s="18"/>
      <c r="ER154" s="18"/>
      <c r="ES154" s="18"/>
      <c r="ET154" s="18"/>
      <c r="EU154" s="18"/>
      <c r="EV154" s="18"/>
      <c r="EW154" s="18"/>
      <c r="EX154" s="18"/>
      <c r="EY154" s="18"/>
      <c r="EZ154" s="18"/>
      <c r="FA154" s="18"/>
      <c r="FB154" s="18"/>
      <c r="FC154" s="18"/>
      <c r="FD154" s="18"/>
      <c r="FE154" s="18"/>
      <c r="FF154" s="18"/>
      <c r="FG154" s="18"/>
      <c r="FH154" s="18"/>
      <c r="FI154" s="18"/>
      <c r="FJ154" s="18"/>
      <c r="FK154" s="18"/>
      <c r="FL154" s="18"/>
      <c r="FM154" s="18"/>
      <c r="FN154" s="18"/>
      <c r="FO154" s="18"/>
      <c r="FP154" s="18"/>
      <c r="FQ154" s="18"/>
      <c r="FR154" s="18"/>
      <c r="FS154" s="18"/>
      <c r="FT154" s="18"/>
      <c r="FU154" s="18"/>
      <c r="FV154" s="18"/>
      <c r="FW154" s="18"/>
      <c r="FX154" s="18"/>
      <c r="FY154" s="18"/>
      <c r="FZ154" s="18"/>
      <c r="GA154" s="18"/>
      <c r="GB154" s="18"/>
      <c r="GC154" s="18"/>
      <c r="GD154" s="18"/>
      <c r="GE154" s="18"/>
      <c r="GF154" s="18"/>
      <c r="GG154" s="18"/>
      <c r="GH154" s="18"/>
      <c r="GI154" s="18"/>
      <c r="GJ154" s="18"/>
      <c r="GK154" s="18"/>
      <c r="GL154" s="18"/>
      <c r="GM154" s="18"/>
      <c r="GN154" s="18"/>
      <c r="GO154" s="18"/>
      <c r="GP154" s="18"/>
      <c r="GQ154" s="18"/>
      <c r="GR154" s="18"/>
      <c r="GS154" s="18"/>
      <c r="GT154" s="18"/>
      <c r="GU154" s="18"/>
      <c r="GV154" s="18"/>
      <c r="GW154" s="18"/>
      <c r="GX154" s="18"/>
      <c r="GY154" s="18"/>
      <c r="GZ154" s="18"/>
      <c r="HA154" s="18"/>
      <c r="HB154" s="18"/>
      <c r="HC154" s="18"/>
      <c r="HD154" s="18"/>
      <c r="HE154" s="18"/>
      <c r="HF154" s="18"/>
      <c r="HG154" s="18"/>
      <c r="HH154" s="18"/>
      <c r="HI154" s="18"/>
      <c r="HJ154" s="18"/>
      <c r="HK154" s="18"/>
      <c r="HL154" s="18"/>
      <c r="HM154" s="18"/>
      <c r="HN154" s="18"/>
      <c r="HO154" s="18"/>
      <c r="HP154" s="18"/>
      <c r="HQ154" s="18"/>
      <c r="HR154" s="18"/>
      <c r="HS154" s="18"/>
      <c r="HT154" s="18"/>
      <c r="HU154" s="18"/>
      <c r="HV154" s="18"/>
      <c r="HW154" s="18"/>
      <c r="HX154" s="18"/>
      <c r="HY154" s="18"/>
      <c r="HZ154" s="18"/>
      <c r="IA154" s="18"/>
      <c r="IB154" s="18"/>
      <c r="IC154" s="18"/>
      <c r="ID154" s="18"/>
      <c r="IE154" s="18"/>
      <c r="IF154" s="18"/>
      <c r="IG154" s="18"/>
      <c r="IH154" s="18"/>
      <c r="II154" s="18"/>
      <c r="IJ154" s="18"/>
      <c r="IK154" s="18"/>
      <c r="IL154" s="18"/>
      <c r="IM154" s="18"/>
      <c r="IN154" s="18"/>
      <c r="IO154" s="18"/>
      <c r="IP154" s="18"/>
      <c r="IQ154" s="18"/>
      <c r="IR154" s="18"/>
      <c r="IS154" s="18"/>
      <c r="IT154" s="18"/>
      <c r="IU154" s="18"/>
      <c r="IV154" s="18"/>
      <c r="IW154" s="18"/>
    </row>
    <row r="155" customFormat="false" ht="13.2" hidden="false" customHeight="false" outlineLevel="0" collapsed="false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  <c r="DG155" s="18"/>
      <c r="DH155" s="18"/>
      <c r="DI155" s="18"/>
      <c r="DJ155" s="18"/>
      <c r="DK155" s="18"/>
      <c r="DL155" s="18"/>
      <c r="DM155" s="18"/>
      <c r="DN155" s="18"/>
      <c r="DO155" s="18"/>
      <c r="DP155" s="18"/>
      <c r="DQ155" s="18"/>
      <c r="DR155" s="18"/>
      <c r="DS155" s="18"/>
      <c r="DT155" s="18"/>
      <c r="DU155" s="18"/>
      <c r="DV155" s="18"/>
      <c r="DW155" s="18"/>
      <c r="DX155" s="18"/>
      <c r="DY155" s="18"/>
      <c r="DZ155" s="18"/>
      <c r="EA155" s="18"/>
      <c r="EB155" s="18"/>
      <c r="EC155" s="18"/>
      <c r="ED155" s="18"/>
      <c r="EE155" s="18"/>
      <c r="EF155" s="18"/>
      <c r="EG155" s="18"/>
      <c r="EH155" s="18"/>
      <c r="EI155" s="18"/>
      <c r="EJ155" s="18"/>
      <c r="EK155" s="18"/>
      <c r="EL155" s="18"/>
      <c r="EM155" s="18"/>
      <c r="EN155" s="18"/>
      <c r="EO155" s="18"/>
      <c r="EP155" s="18"/>
      <c r="EQ155" s="18"/>
      <c r="ER155" s="18"/>
      <c r="ES155" s="18"/>
      <c r="ET155" s="18"/>
      <c r="EU155" s="18"/>
      <c r="EV155" s="18"/>
      <c r="EW155" s="18"/>
      <c r="EX155" s="18"/>
      <c r="EY155" s="18"/>
      <c r="EZ155" s="18"/>
      <c r="FA155" s="18"/>
      <c r="FB155" s="18"/>
      <c r="FC155" s="18"/>
      <c r="FD155" s="18"/>
      <c r="FE155" s="18"/>
      <c r="FF155" s="18"/>
      <c r="FG155" s="18"/>
      <c r="FH155" s="18"/>
      <c r="FI155" s="18"/>
      <c r="FJ155" s="18"/>
      <c r="FK155" s="18"/>
      <c r="FL155" s="18"/>
      <c r="FM155" s="18"/>
      <c r="FN155" s="18"/>
      <c r="FO155" s="18"/>
      <c r="FP155" s="18"/>
      <c r="FQ155" s="18"/>
      <c r="FR155" s="18"/>
      <c r="FS155" s="18"/>
      <c r="FT155" s="18"/>
      <c r="FU155" s="18"/>
      <c r="FV155" s="18"/>
      <c r="FW155" s="18"/>
      <c r="FX155" s="18"/>
      <c r="FY155" s="18"/>
      <c r="FZ155" s="18"/>
      <c r="GA155" s="18"/>
      <c r="GB155" s="18"/>
      <c r="GC155" s="18"/>
      <c r="GD155" s="18"/>
      <c r="GE155" s="18"/>
      <c r="GF155" s="18"/>
      <c r="GG155" s="18"/>
      <c r="GH155" s="18"/>
      <c r="GI155" s="18"/>
      <c r="GJ155" s="18"/>
      <c r="GK155" s="18"/>
      <c r="GL155" s="18"/>
      <c r="GM155" s="18"/>
      <c r="GN155" s="18"/>
      <c r="GO155" s="18"/>
      <c r="GP155" s="18"/>
      <c r="GQ155" s="18"/>
      <c r="GR155" s="18"/>
      <c r="GS155" s="18"/>
      <c r="GT155" s="18"/>
      <c r="GU155" s="18"/>
      <c r="GV155" s="18"/>
      <c r="GW155" s="18"/>
      <c r="GX155" s="18"/>
      <c r="GY155" s="18"/>
      <c r="GZ155" s="18"/>
      <c r="HA155" s="18"/>
      <c r="HB155" s="18"/>
      <c r="HC155" s="18"/>
      <c r="HD155" s="18"/>
      <c r="HE155" s="18"/>
      <c r="HF155" s="18"/>
      <c r="HG155" s="18"/>
      <c r="HH155" s="18"/>
      <c r="HI155" s="18"/>
      <c r="HJ155" s="18"/>
      <c r="HK155" s="18"/>
      <c r="HL155" s="18"/>
      <c r="HM155" s="18"/>
      <c r="HN155" s="18"/>
      <c r="HO155" s="18"/>
      <c r="HP155" s="18"/>
      <c r="HQ155" s="18"/>
      <c r="HR155" s="18"/>
      <c r="HS155" s="18"/>
      <c r="HT155" s="18"/>
      <c r="HU155" s="18"/>
      <c r="HV155" s="18"/>
      <c r="HW155" s="18"/>
      <c r="HX155" s="18"/>
      <c r="HY155" s="18"/>
      <c r="HZ155" s="18"/>
      <c r="IA155" s="18"/>
      <c r="IB155" s="18"/>
      <c r="IC155" s="18"/>
      <c r="ID155" s="18"/>
      <c r="IE155" s="18"/>
      <c r="IF155" s="18"/>
      <c r="IG155" s="18"/>
      <c r="IH155" s="18"/>
      <c r="II155" s="18"/>
      <c r="IJ155" s="18"/>
      <c r="IK155" s="18"/>
      <c r="IL155" s="18"/>
      <c r="IM155" s="18"/>
      <c r="IN155" s="18"/>
      <c r="IO155" s="18"/>
      <c r="IP155" s="18"/>
      <c r="IQ155" s="18"/>
      <c r="IR155" s="18"/>
      <c r="IS155" s="18"/>
      <c r="IT155" s="18"/>
      <c r="IU155" s="18"/>
      <c r="IV155" s="18"/>
      <c r="IW155" s="18"/>
    </row>
    <row r="156" customFormat="false" ht="13.2" hidden="false" customHeight="false" outlineLevel="0" collapsed="false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8"/>
      <c r="DH156" s="18"/>
      <c r="DI156" s="18"/>
      <c r="DJ156" s="18"/>
      <c r="DK156" s="18"/>
      <c r="DL156" s="18"/>
      <c r="DM156" s="18"/>
      <c r="DN156" s="18"/>
      <c r="DO156" s="18"/>
      <c r="DP156" s="18"/>
      <c r="DQ156" s="18"/>
      <c r="DR156" s="18"/>
      <c r="DS156" s="18"/>
      <c r="DT156" s="18"/>
      <c r="DU156" s="18"/>
      <c r="DV156" s="18"/>
      <c r="DW156" s="18"/>
      <c r="DX156" s="18"/>
      <c r="DY156" s="18"/>
      <c r="DZ156" s="18"/>
      <c r="EA156" s="18"/>
      <c r="EB156" s="18"/>
      <c r="EC156" s="18"/>
      <c r="ED156" s="18"/>
      <c r="EE156" s="18"/>
      <c r="EF156" s="18"/>
      <c r="EG156" s="18"/>
      <c r="EH156" s="18"/>
      <c r="EI156" s="18"/>
      <c r="EJ156" s="18"/>
      <c r="EK156" s="18"/>
      <c r="EL156" s="18"/>
      <c r="EM156" s="18"/>
      <c r="EN156" s="18"/>
      <c r="EO156" s="18"/>
      <c r="EP156" s="18"/>
      <c r="EQ156" s="18"/>
      <c r="ER156" s="18"/>
      <c r="ES156" s="18"/>
      <c r="ET156" s="18"/>
      <c r="EU156" s="18"/>
      <c r="EV156" s="18"/>
      <c r="EW156" s="18"/>
      <c r="EX156" s="18"/>
      <c r="EY156" s="18"/>
      <c r="EZ156" s="18"/>
      <c r="FA156" s="18"/>
      <c r="FB156" s="18"/>
      <c r="FC156" s="18"/>
      <c r="FD156" s="18"/>
      <c r="FE156" s="18"/>
      <c r="FF156" s="18"/>
      <c r="FG156" s="18"/>
      <c r="FH156" s="18"/>
      <c r="FI156" s="18"/>
      <c r="FJ156" s="18"/>
      <c r="FK156" s="18"/>
      <c r="FL156" s="18"/>
      <c r="FM156" s="18"/>
      <c r="FN156" s="18"/>
      <c r="FO156" s="18"/>
      <c r="FP156" s="18"/>
      <c r="FQ156" s="18"/>
      <c r="FR156" s="18"/>
      <c r="FS156" s="18"/>
      <c r="FT156" s="18"/>
      <c r="FU156" s="18"/>
      <c r="FV156" s="18"/>
      <c r="FW156" s="18"/>
      <c r="FX156" s="18"/>
      <c r="FY156" s="18"/>
      <c r="FZ156" s="18"/>
      <c r="GA156" s="18"/>
      <c r="GB156" s="18"/>
      <c r="GC156" s="18"/>
      <c r="GD156" s="18"/>
      <c r="GE156" s="18"/>
      <c r="GF156" s="18"/>
      <c r="GG156" s="18"/>
      <c r="GH156" s="18"/>
      <c r="GI156" s="18"/>
      <c r="GJ156" s="18"/>
      <c r="GK156" s="18"/>
      <c r="GL156" s="18"/>
      <c r="GM156" s="18"/>
      <c r="GN156" s="18"/>
      <c r="GO156" s="18"/>
      <c r="GP156" s="18"/>
      <c r="GQ156" s="18"/>
      <c r="GR156" s="18"/>
      <c r="GS156" s="18"/>
      <c r="GT156" s="18"/>
      <c r="GU156" s="18"/>
      <c r="GV156" s="18"/>
      <c r="GW156" s="18"/>
      <c r="GX156" s="18"/>
      <c r="GY156" s="18"/>
      <c r="GZ156" s="18"/>
      <c r="HA156" s="18"/>
      <c r="HB156" s="18"/>
      <c r="HC156" s="18"/>
      <c r="HD156" s="18"/>
      <c r="HE156" s="18"/>
      <c r="HF156" s="18"/>
      <c r="HG156" s="18"/>
      <c r="HH156" s="18"/>
      <c r="HI156" s="18"/>
      <c r="HJ156" s="18"/>
      <c r="HK156" s="18"/>
      <c r="HL156" s="18"/>
      <c r="HM156" s="18"/>
      <c r="HN156" s="18"/>
      <c r="HO156" s="18"/>
      <c r="HP156" s="18"/>
      <c r="HQ156" s="18"/>
      <c r="HR156" s="18"/>
      <c r="HS156" s="18"/>
      <c r="HT156" s="18"/>
      <c r="HU156" s="18"/>
      <c r="HV156" s="18"/>
      <c r="HW156" s="18"/>
      <c r="HX156" s="18"/>
      <c r="HY156" s="18"/>
      <c r="HZ156" s="18"/>
      <c r="IA156" s="18"/>
      <c r="IB156" s="18"/>
      <c r="IC156" s="18"/>
      <c r="ID156" s="18"/>
      <c r="IE156" s="18"/>
      <c r="IF156" s="18"/>
      <c r="IG156" s="18"/>
      <c r="IH156" s="18"/>
      <c r="II156" s="18"/>
      <c r="IJ156" s="18"/>
      <c r="IK156" s="18"/>
      <c r="IL156" s="18"/>
      <c r="IM156" s="18"/>
      <c r="IN156" s="18"/>
      <c r="IO156" s="18"/>
      <c r="IP156" s="18"/>
      <c r="IQ156" s="18"/>
      <c r="IR156" s="18"/>
      <c r="IS156" s="18"/>
      <c r="IT156" s="18"/>
      <c r="IU156" s="18"/>
      <c r="IV156" s="18"/>
      <c r="IW156" s="18"/>
    </row>
    <row r="157" customFormat="false" ht="13.2" hidden="false" customHeight="false" outlineLevel="0" collapsed="false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8"/>
      <c r="DH157" s="18"/>
      <c r="DI157" s="18"/>
      <c r="DJ157" s="18"/>
      <c r="DK157" s="18"/>
      <c r="DL157" s="18"/>
      <c r="DM157" s="18"/>
      <c r="DN157" s="18"/>
      <c r="DO157" s="18"/>
      <c r="DP157" s="18"/>
      <c r="DQ157" s="18"/>
      <c r="DR157" s="18"/>
      <c r="DS157" s="18"/>
      <c r="DT157" s="18"/>
      <c r="DU157" s="18"/>
      <c r="DV157" s="18"/>
      <c r="DW157" s="18"/>
      <c r="DX157" s="18"/>
      <c r="DY157" s="18"/>
      <c r="DZ157" s="18"/>
      <c r="EA157" s="18"/>
      <c r="EB157" s="18"/>
      <c r="EC157" s="18"/>
      <c r="ED157" s="18"/>
      <c r="EE157" s="18"/>
      <c r="EF157" s="18"/>
      <c r="EG157" s="18"/>
      <c r="EH157" s="18"/>
      <c r="EI157" s="18"/>
      <c r="EJ157" s="18"/>
      <c r="EK157" s="18"/>
      <c r="EL157" s="18"/>
      <c r="EM157" s="18"/>
      <c r="EN157" s="18"/>
      <c r="EO157" s="18"/>
      <c r="EP157" s="18"/>
      <c r="EQ157" s="18"/>
      <c r="ER157" s="18"/>
      <c r="ES157" s="18"/>
      <c r="ET157" s="18"/>
      <c r="EU157" s="18"/>
      <c r="EV157" s="18"/>
      <c r="EW157" s="18"/>
      <c r="EX157" s="18"/>
      <c r="EY157" s="18"/>
      <c r="EZ157" s="18"/>
      <c r="FA157" s="18"/>
      <c r="FB157" s="18"/>
      <c r="FC157" s="18"/>
      <c r="FD157" s="18"/>
      <c r="FE157" s="18"/>
      <c r="FF157" s="18"/>
      <c r="FG157" s="18"/>
      <c r="FH157" s="18"/>
      <c r="FI157" s="18"/>
      <c r="FJ157" s="18"/>
      <c r="FK157" s="18"/>
      <c r="FL157" s="18"/>
      <c r="FM157" s="18"/>
      <c r="FN157" s="18"/>
      <c r="FO157" s="18"/>
      <c r="FP157" s="18"/>
      <c r="FQ157" s="18"/>
      <c r="FR157" s="18"/>
      <c r="FS157" s="18"/>
      <c r="FT157" s="18"/>
      <c r="FU157" s="18"/>
      <c r="FV157" s="18"/>
      <c r="FW157" s="18"/>
      <c r="FX157" s="18"/>
      <c r="FY157" s="18"/>
      <c r="FZ157" s="18"/>
      <c r="GA157" s="18"/>
      <c r="GB157" s="18"/>
      <c r="GC157" s="18"/>
      <c r="GD157" s="18"/>
      <c r="GE157" s="18"/>
      <c r="GF157" s="18"/>
      <c r="GG157" s="18"/>
      <c r="GH157" s="18"/>
      <c r="GI157" s="18"/>
      <c r="GJ157" s="18"/>
      <c r="GK157" s="18"/>
      <c r="GL157" s="18"/>
      <c r="GM157" s="18"/>
      <c r="GN157" s="18"/>
      <c r="GO157" s="18"/>
      <c r="GP157" s="18"/>
      <c r="GQ157" s="18"/>
      <c r="GR157" s="18"/>
      <c r="GS157" s="18"/>
      <c r="GT157" s="18"/>
      <c r="GU157" s="18"/>
      <c r="GV157" s="18"/>
      <c r="GW157" s="18"/>
      <c r="GX157" s="18"/>
      <c r="GY157" s="18"/>
      <c r="GZ157" s="18"/>
      <c r="HA157" s="18"/>
      <c r="HB157" s="18"/>
      <c r="HC157" s="18"/>
      <c r="HD157" s="18"/>
      <c r="HE157" s="18"/>
      <c r="HF157" s="18"/>
      <c r="HG157" s="18"/>
      <c r="HH157" s="18"/>
      <c r="HI157" s="18"/>
      <c r="HJ157" s="18"/>
      <c r="HK157" s="18"/>
      <c r="HL157" s="18"/>
      <c r="HM157" s="18"/>
      <c r="HN157" s="18"/>
      <c r="HO157" s="18"/>
      <c r="HP157" s="18"/>
      <c r="HQ157" s="18"/>
      <c r="HR157" s="18"/>
      <c r="HS157" s="18"/>
      <c r="HT157" s="18"/>
      <c r="HU157" s="18"/>
      <c r="HV157" s="18"/>
      <c r="HW157" s="18"/>
      <c r="HX157" s="18"/>
      <c r="HY157" s="18"/>
      <c r="HZ157" s="18"/>
      <c r="IA157" s="18"/>
      <c r="IB157" s="18"/>
      <c r="IC157" s="18"/>
      <c r="ID157" s="18"/>
      <c r="IE157" s="18"/>
      <c r="IF157" s="18"/>
      <c r="IG157" s="18"/>
      <c r="IH157" s="18"/>
      <c r="II157" s="18"/>
      <c r="IJ157" s="18"/>
      <c r="IK157" s="18"/>
      <c r="IL157" s="18"/>
      <c r="IM157" s="18"/>
      <c r="IN157" s="18"/>
      <c r="IO157" s="18"/>
      <c r="IP157" s="18"/>
      <c r="IQ157" s="18"/>
      <c r="IR157" s="18"/>
      <c r="IS157" s="18"/>
      <c r="IT157" s="18"/>
      <c r="IU157" s="18"/>
      <c r="IV157" s="18"/>
      <c r="IW157" s="18"/>
    </row>
    <row r="158" customFormat="false" ht="13.2" hidden="false" customHeight="false" outlineLevel="0" collapsed="false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  <c r="DG158" s="18"/>
      <c r="DH158" s="18"/>
      <c r="DI158" s="18"/>
      <c r="DJ158" s="18"/>
      <c r="DK158" s="18"/>
      <c r="DL158" s="18"/>
      <c r="DM158" s="18"/>
      <c r="DN158" s="18"/>
      <c r="DO158" s="18"/>
      <c r="DP158" s="18"/>
      <c r="DQ158" s="18"/>
      <c r="DR158" s="18"/>
      <c r="DS158" s="18"/>
      <c r="DT158" s="18"/>
      <c r="DU158" s="18"/>
      <c r="DV158" s="18"/>
      <c r="DW158" s="18"/>
      <c r="DX158" s="18"/>
      <c r="DY158" s="18"/>
      <c r="DZ158" s="18"/>
      <c r="EA158" s="18"/>
      <c r="EB158" s="18"/>
      <c r="EC158" s="18"/>
      <c r="ED158" s="18"/>
      <c r="EE158" s="18"/>
      <c r="EF158" s="18"/>
      <c r="EG158" s="18"/>
      <c r="EH158" s="18"/>
      <c r="EI158" s="18"/>
      <c r="EJ158" s="18"/>
      <c r="EK158" s="18"/>
      <c r="EL158" s="18"/>
      <c r="EM158" s="18"/>
      <c r="EN158" s="18"/>
      <c r="EO158" s="18"/>
      <c r="EP158" s="18"/>
      <c r="EQ158" s="18"/>
      <c r="ER158" s="18"/>
      <c r="ES158" s="18"/>
      <c r="ET158" s="18"/>
      <c r="EU158" s="18"/>
      <c r="EV158" s="18"/>
      <c r="EW158" s="18"/>
      <c r="EX158" s="18"/>
      <c r="EY158" s="18"/>
      <c r="EZ158" s="18"/>
      <c r="FA158" s="18"/>
      <c r="FB158" s="18"/>
      <c r="FC158" s="18"/>
      <c r="FD158" s="18"/>
      <c r="FE158" s="18"/>
      <c r="FF158" s="18"/>
      <c r="FG158" s="18"/>
      <c r="FH158" s="18"/>
      <c r="FI158" s="18"/>
      <c r="FJ158" s="18"/>
      <c r="FK158" s="18"/>
      <c r="FL158" s="18"/>
      <c r="FM158" s="18"/>
      <c r="FN158" s="18"/>
      <c r="FO158" s="18"/>
      <c r="FP158" s="18"/>
      <c r="FQ158" s="18"/>
      <c r="FR158" s="18"/>
      <c r="FS158" s="18"/>
      <c r="FT158" s="18"/>
      <c r="FU158" s="18"/>
      <c r="FV158" s="18"/>
      <c r="FW158" s="18"/>
      <c r="FX158" s="18"/>
      <c r="FY158" s="18"/>
      <c r="FZ158" s="18"/>
      <c r="GA158" s="18"/>
      <c r="GB158" s="18"/>
      <c r="GC158" s="18"/>
      <c r="GD158" s="18"/>
      <c r="GE158" s="18"/>
      <c r="GF158" s="18"/>
      <c r="GG158" s="18"/>
      <c r="GH158" s="18"/>
      <c r="GI158" s="18"/>
      <c r="GJ158" s="18"/>
      <c r="GK158" s="18"/>
      <c r="GL158" s="18"/>
      <c r="GM158" s="18"/>
      <c r="GN158" s="18"/>
      <c r="GO158" s="18"/>
      <c r="GP158" s="18"/>
      <c r="GQ158" s="18"/>
      <c r="GR158" s="18"/>
      <c r="GS158" s="18"/>
      <c r="GT158" s="18"/>
      <c r="GU158" s="18"/>
      <c r="GV158" s="18"/>
      <c r="GW158" s="18"/>
      <c r="GX158" s="18"/>
      <c r="GY158" s="18"/>
      <c r="GZ158" s="18"/>
      <c r="HA158" s="18"/>
      <c r="HB158" s="18"/>
      <c r="HC158" s="18"/>
      <c r="HD158" s="18"/>
      <c r="HE158" s="18"/>
      <c r="HF158" s="18"/>
      <c r="HG158" s="18"/>
      <c r="HH158" s="18"/>
      <c r="HI158" s="18"/>
      <c r="HJ158" s="18"/>
      <c r="HK158" s="18"/>
      <c r="HL158" s="18"/>
      <c r="HM158" s="18"/>
      <c r="HN158" s="18"/>
      <c r="HO158" s="18"/>
      <c r="HP158" s="18"/>
      <c r="HQ158" s="18"/>
      <c r="HR158" s="18"/>
      <c r="HS158" s="18"/>
      <c r="HT158" s="18"/>
      <c r="HU158" s="18"/>
      <c r="HV158" s="18"/>
      <c r="HW158" s="18"/>
      <c r="HX158" s="18"/>
      <c r="HY158" s="18"/>
      <c r="HZ158" s="18"/>
      <c r="IA158" s="18"/>
      <c r="IB158" s="18"/>
      <c r="IC158" s="18"/>
      <c r="ID158" s="18"/>
      <c r="IE158" s="18"/>
      <c r="IF158" s="18"/>
      <c r="IG158" s="18"/>
      <c r="IH158" s="18"/>
      <c r="II158" s="18"/>
      <c r="IJ158" s="18"/>
      <c r="IK158" s="18"/>
      <c r="IL158" s="18"/>
      <c r="IM158" s="18"/>
      <c r="IN158" s="18"/>
      <c r="IO158" s="18"/>
      <c r="IP158" s="18"/>
      <c r="IQ158" s="18"/>
      <c r="IR158" s="18"/>
      <c r="IS158" s="18"/>
      <c r="IT158" s="18"/>
      <c r="IU158" s="18"/>
      <c r="IV158" s="18"/>
      <c r="IW158" s="18"/>
    </row>
    <row r="159" customFormat="false" ht="13.2" hidden="false" customHeight="false" outlineLevel="0" collapsed="false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18"/>
      <c r="DI159" s="18"/>
      <c r="DJ159" s="18"/>
      <c r="DK159" s="18"/>
      <c r="DL159" s="18"/>
      <c r="DM159" s="18"/>
      <c r="DN159" s="18"/>
      <c r="DO159" s="18"/>
      <c r="DP159" s="18"/>
      <c r="DQ159" s="18"/>
      <c r="DR159" s="18"/>
      <c r="DS159" s="18"/>
      <c r="DT159" s="18"/>
      <c r="DU159" s="18"/>
      <c r="DV159" s="18"/>
      <c r="DW159" s="18"/>
      <c r="DX159" s="18"/>
      <c r="DY159" s="18"/>
      <c r="DZ159" s="18"/>
      <c r="EA159" s="18"/>
      <c r="EB159" s="18"/>
      <c r="EC159" s="18"/>
      <c r="ED159" s="18"/>
      <c r="EE159" s="18"/>
      <c r="EF159" s="18"/>
      <c r="EG159" s="18"/>
      <c r="EH159" s="18"/>
      <c r="EI159" s="18"/>
      <c r="EJ159" s="18"/>
      <c r="EK159" s="18"/>
      <c r="EL159" s="18"/>
      <c r="EM159" s="18"/>
      <c r="EN159" s="18"/>
      <c r="EO159" s="18"/>
      <c r="EP159" s="18"/>
      <c r="EQ159" s="18"/>
      <c r="ER159" s="18"/>
      <c r="ES159" s="18"/>
      <c r="ET159" s="18"/>
      <c r="EU159" s="18"/>
      <c r="EV159" s="18"/>
      <c r="EW159" s="18"/>
      <c r="EX159" s="18"/>
      <c r="EY159" s="18"/>
      <c r="EZ159" s="18"/>
      <c r="FA159" s="18"/>
      <c r="FB159" s="18"/>
      <c r="FC159" s="18"/>
      <c r="FD159" s="18"/>
      <c r="FE159" s="18"/>
      <c r="FF159" s="18"/>
      <c r="FG159" s="18"/>
      <c r="FH159" s="18"/>
      <c r="FI159" s="18"/>
      <c r="FJ159" s="18"/>
      <c r="FK159" s="18"/>
      <c r="FL159" s="18"/>
      <c r="FM159" s="18"/>
      <c r="FN159" s="18"/>
      <c r="FO159" s="18"/>
      <c r="FP159" s="18"/>
      <c r="FQ159" s="18"/>
      <c r="FR159" s="18"/>
      <c r="FS159" s="18"/>
      <c r="FT159" s="18"/>
      <c r="FU159" s="18"/>
      <c r="FV159" s="18"/>
      <c r="FW159" s="18"/>
      <c r="FX159" s="18"/>
      <c r="FY159" s="18"/>
      <c r="FZ159" s="18"/>
      <c r="GA159" s="18"/>
      <c r="GB159" s="18"/>
      <c r="GC159" s="18"/>
      <c r="GD159" s="18"/>
      <c r="GE159" s="18"/>
      <c r="GF159" s="18"/>
      <c r="GG159" s="18"/>
      <c r="GH159" s="18"/>
      <c r="GI159" s="18"/>
      <c r="GJ159" s="18"/>
      <c r="GK159" s="18"/>
      <c r="GL159" s="18"/>
      <c r="GM159" s="18"/>
      <c r="GN159" s="18"/>
      <c r="GO159" s="18"/>
      <c r="GP159" s="18"/>
      <c r="GQ159" s="18"/>
      <c r="GR159" s="18"/>
      <c r="GS159" s="18"/>
      <c r="GT159" s="18"/>
      <c r="GU159" s="18"/>
      <c r="GV159" s="18"/>
      <c r="GW159" s="18"/>
      <c r="GX159" s="18"/>
      <c r="GY159" s="18"/>
      <c r="GZ159" s="18"/>
      <c r="HA159" s="18"/>
      <c r="HB159" s="18"/>
      <c r="HC159" s="18"/>
      <c r="HD159" s="18"/>
      <c r="HE159" s="18"/>
      <c r="HF159" s="18"/>
      <c r="HG159" s="18"/>
      <c r="HH159" s="18"/>
      <c r="HI159" s="18"/>
      <c r="HJ159" s="18"/>
      <c r="HK159" s="18"/>
      <c r="HL159" s="18"/>
      <c r="HM159" s="18"/>
      <c r="HN159" s="18"/>
      <c r="HO159" s="18"/>
      <c r="HP159" s="18"/>
      <c r="HQ159" s="18"/>
      <c r="HR159" s="18"/>
      <c r="HS159" s="18"/>
      <c r="HT159" s="18"/>
      <c r="HU159" s="18"/>
      <c r="HV159" s="18"/>
      <c r="HW159" s="18"/>
      <c r="HX159" s="18"/>
      <c r="HY159" s="18"/>
      <c r="HZ159" s="18"/>
      <c r="IA159" s="18"/>
      <c r="IB159" s="18"/>
      <c r="IC159" s="18"/>
      <c r="ID159" s="18"/>
      <c r="IE159" s="18"/>
      <c r="IF159" s="18"/>
      <c r="IG159" s="18"/>
      <c r="IH159" s="18"/>
      <c r="II159" s="18"/>
      <c r="IJ159" s="18"/>
      <c r="IK159" s="18"/>
      <c r="IL159" s="18"/>
      <c r="IM159" s="18"/>
      <c r="IN159" s="18"/>
      <c r="IO159" s="18"/>
      <c r="IP159" s="18"/>
      <c r="IQ159" s="18"/>
      <c r="IR159" s="18"/>
      <c r="IS159" s="18"/>
      <c r="IT159" s="18"/>
      <c r="IU159" s="18"/>
      <c r="IV159" s="18"/>
      <c r="IW159" s="18"/>
    </row>
    <row r="160" customFormat="false" ht="13.2" hidden="false" customHeight="false" outlineLevel="0" collapsed="false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18"/>
      <c r="DI160" s="18"/>
      <c r="DJ160" s="18"/>
      <c r="DK160" s="18"/>
      <c r="DL160" s="18"/>
      <c r="DM160" s="18"/>
      <c r="DN160" s="18"/>
      <c r="DO160" s="18"/>
      <c r="DP160" s="18"/>
      <c r="DQ160" s="18"/>
      <c r="DR160" s="18"/>
      <c r="DS160" s="18"/>
      <c r="DT160" s="18"/>
      <c r="DU160" s="18"/>
      <c r="DV160" s="18"/>
      <c r="DW160" s="18"/>
      <c r="DX160" s="18"/>
      <c r="DY160" s="18"/>
      <c r="DZ160" s="18"/>
      <c r="EA160" s="18"/>
      <c r="EB160" s="18"/>
      <c r="EC160" s="18"/>
      <c r="ED160" s="18"/>
      <c r="EE160" s="18"/>
      <c r="EF160" s="18"/>
      <c r="EG160" s="18"/>
      <c r="EH160" s="18"/>
      <c r="EI160" s="18"/>
      <c r="EJ160" s="18"/>
      <c r="EK160" s="18"/>
      <c r="EL160" s="18"/>
      <c r="EM160" s="18"/>
      <c r="EN160" s="18"/>
      <c r="EO160" s="18"/>
      <c r="EP160" s="18"/>
      <c r="EQ160" s="18"/>
      <c r="ER160" s="18"/>
      <c r="ES160" s="18"/>
      <c r="ET160" s="18"/>
      <c r="EU160" s="18"/>
      <c r="EV160" s="18"/>
      <c r="EW160" s="18"/>
      <c r="EX160" s="18"/>
      <c r="EY160" s="18"/>
      <c r="EZ160" s="18"/>
      <c r="FA160" s="18"/>
      <c r="FB160" s="18"/>
      <c r="FC160" s="18"/>
      <c r="FD160" s="18"/>
      <c r="FE160" s="18"/>
      <c r="FF160" s="18"/>
      <c r="FG160" s="18"/>
      <c r="FH160" s="18"/>
      <c r="FI160" s="18"/>
      <c r="FJ160" s="18"/>
      <c r="FK160" s="18"/>
      <c r="FL160" s="18"/>
      <c r="FM160" s="18"/>
      <c r="FN160" s="18"/>
      <c r="FO160" s="18"/>
      <c r="FP160" s="18"/>
      <c r="FQ160" s="18"/>
      <c r="FR160" s="18"/>
      <c r="FS160" s="18"/>
      <c r="FT160" s="18"/>
      <c r="FU160" s="18"/>
      <c r="FV160" s="18"/>
      <c r="FW160" s="18"/>
      <c r="FX160" s="18"/>
      <c r="FY160" s="18"/>
      <c r="FZ160" s="18"/>
      <c r="GA160" s="18"/>
      <c r="GB160" s="18"/>
      <c r="GC160" s="18"/>
      <c r="GD160" s="18"/>
      <c r="GE160" s="18"/>
      <c r="GF160" s="18"/>
      <c r="GG160" s="18"/>
      <c r="GH160" s="18"/>
      <c r="GI160" s="18"/>
      <c r="GJ160" s="18"/>
      <c r="GK160" s="18"/>
      <c r="GL160" s="18"/>
      <c r="GM160" s="18"/>
      <c r="GN160" s="18"/>
      <c r="GO160" s="18"/>
      <c r="GP160" s="18"/>
      <c r="GQ160" s="18"/>
      <c r="GR160" s="18"/>
      <c r="GS160" s="18"/>
      <c r="GT160" s="18"/>
      <c r="GU160" s="18"/>
      <c r="GV160" s="18"/>
      <c r="GW160" s="18"/>
      <c r="GX160" s="18"/>
      <c r="GY160" s="18"/>
      <c r="GZ160" s="18"/>
      <c r="HA160" s="18"/>
      <c r="HB160" s="18"/>
      <c r="HC160" s="18"/>
      <c r="HD160" s="18"/>
      <c r="HE160" s="18"/>
      <c r="HF160" s="18"/>
      <c r="HG160" s="18"/>
      <c r="HH160" s="18"/>
      <c r="HI160" s="18"/>
      <c r="HJ160" s="18"/>
      <c r="HK160" s="18"/>
      <c r="HL160" s="18"/>
      <c r="HM160" s="18"/>
      <c r="HN160" s="18"/>
      <c r="HO160" s="18"/>
      <c r="HP160" s="18"/>
      <c r="HQ160" s="18"/>
      <c r="HR160" s="18"/>
      <c r="HS160" s="18"/>
      <c r="HT160" s="18"/>
      <c r="HU160" s="18"/>
      <c r="HV160" s="18"/>
      <c r="HW160" s="18"/>
      <c r="HX160" s="18"/>
      <c r="HY160" s="18"/>
      <c r="HZ160" s="18"/>
      <c r="IA160" s="18"/>
      <c r="IB160" s="18"/>
      <c r="IC160" s="18"/>
      <c r="ID160" s="18"/>
      <c r="IE160" s="18"/>
      <c r="IF160" s="18"/>
      <c r="IG160" s="18"/>
      <c r="IH160" s="18"/>
      <c r="II160" s="18"/>
      <c r="IJ160" s="18"/>
      <c r="IK160" s="18"/>
      <c r="IL160" s="18"/>
      <c r="IM160" s="18"/>
      <c r="IN160" s="18"/>
      <c r="IO160" s="18"/>
      <c r="IP160" s="18"/>
      <c r="IQ160" s="18"/>
      <c r="IR160" s="18"/>
      <c r="IS160" s="18"/>
      <c r="IT160" s="18"/>
      <c r="IU160" s="18"/>
      <c r="IV160" s="18"/>
      <c r="IW160" s="18"/>
    </row>
    <row r="161" customFormat="false" ht="13.2" hidden="false" customHeight="false" outlineLevel="0" collapsed="false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/>
      <c r="DH161" s="18"/>
      <c r="DI161" s="18"/>
      <c r="DJ161" s="18"/>
      <c r="DK161" s="18"/>
      <c r="DL161" s="18"/>
      <c r="DM161" s="18"/>
      <c r="DN161" s="18"/>
      <c r="DO161" s="18"/>
      <c r="DP161" s="18"/>
      <c r="DQ161" s="18"/>
      <c r="DR161" s="18"/>
      <c r="DS161" s="18"/>
      <c r="DT161" s="18"/>
      <c r="DU161" s="18"/>
      <c r="DV161" s="18"/>
      <c r="DW161" s="18"/>
      <c r="DX161" s="18"/>
      <c r="DY161" s="18"/>
      <c r="DZ161" s="18"/>
      <c r="EA161" s="18"/>
      <c r="EB161" s="18"/>
      <c r="EC161" s="18"/>
      <c r="ED161" s="18"/>
      <c r="EE161" s="18"/>
      <c r="EF161" s="18"/>
      <c r="EG161" s="18"/>
      <c r="EH161" s="18"/>
      <c r="EI161" s="18"/>
      <c r="EJ161" s="18"/>
      <c r="EK161" s="18"/>
      <c r="EL161" s="18"/>
      <c r="EM161" s="18"/>
      <c r="EN161" s="18"/>
      <c r="EO161" s="18"/>
      <c r="EP161" s="18"/>
      <c r="EQ161" s="18"/>
      <c r="ER161" s="18"/>
      <c r="ES161" s="18"/>
      <c r="ET161" s="18"/>
      <c r="EU161" s="18"/>
      <c r="EV161" s="18"/>
      <c r="EW161" s="18"/>
      <c r="EX161" s="18"/>
      <c r="EY161" s="18"/>
      <c r="EZ161" s="18"/>
      <c r="FA161" s="18"/>
      <c r="FB161" s="18"/>
      <c r="FC161" s="18"/>
      <c r="FD161" s="18"/>
      <c r="FE161" s="18"/>
      <c r="FF161" s="18"/>
      <c r="FG161" s="18"/>
      <c r="FH161" s="18"/>
      <c r="FI161" s="18"/>
      <c r="FJ161" s="18"/>
      <c r="FK161" s="18"/>
      <c r="FL161" s="18"/>
      <c r="FM161" s="18"/>
      <c r="FN161" s="18"/>
      <c r="FO161" s="18"/>
      <c r="FP161" s="18"/>
      <c r="FQ161" s="18"/>
      <c r="FR161" s="18"/>
      <c r="FS161" s="18"/>
      <c r="FT161" s="18"/>
      <c r="FU161" s="18"/>
      <c r="FV161" s="18"/>
      <c r="FW161" s="18"/>
      <c r="FX161" s="18"/>
      <c r="FY161" s="18"/>
      <c r="FZ161" s="18"/>
      <c r="GA161" s="18"/>
      <c r="GB161" s="18"/>
      <c r="GC161" s="18"/>
      <c r="GD161" s="18"/>
      <c r="GE161" s="18"/>
      <c r="GF161" s="18"/>
      <c r="GG161" s="18"/>
      <c r="GH161" s="18"/>
      <c r="GI161" s="18"/>
      <c r="GJ161" s="18"/>
      <c r="GK161" s="18"/>
      <c r="GL161" s="18"/>
      <c r="GM161" s="18"/>
      <c r="GN161" s="18"/>
      <c r="GO161" s="18"/>
      <c r="GP161" s="18"/>
      <c r="GQ161" s="18"/>
      <c r="GR161" s="18"/>
      <c r="GS161" s="18"/>
      <c r="GT161" s="18"/>
      <c r="GU161" s="18"/>
      <c r="GV161" s="18"/>
      <c r="GW161" s="18"/>
      <c r="GX161" s="18"/>
      <c r="GY161" s="18"/>
      <c r="GZ161" s="18"/>
      <c r="HA161" s="18"/>
      <c r="HB161" s="18"/>
      <c r="HC161" s="18"/>
      <c r="HD161" s="18"/>
      <c r="HE161" s="18"/>
      <c r="HF161" s="18"/>
      <c r="HG161" s="18"/>
      <c r="HH161" s="18"/>
      <c r="HI161" s="18"/>
      <c r="HJ161" s="18"/>
      <c r="HK161" s="18"/>
      <c r="HL161" s="18"/>
      <c r="HM161" s="18"/>
      <c r="HN161" s="18"/>
      <c r="HO161" s="18"/>
      <c r="HP161" s="18"/>
      <c r="HQ161" s="18"/>
      <c r="HR161" s="18"/>
      <c r="HS161" s="18"/>
      <c r="HT161" s="18"/>
      <c r="HU161" s="18"/>
      <c r="HV161" s="18"/>
      <c r="HW161" s="18"/>
      <c r="HX161" s="18"/>
      <c r="HY161" s="18"/>
      <c r="HZ161" s="18"/>
      <c r="IA161" s="18"/>
      <c r="IB161" s="18"/>
      <c r="IC161" s="18"/>
      <c r="ID161" s="18"/>
      <c r="IE161" s="18"/>
      <c r="IF161" s="18"/>
      <c r="IG161" s="18"/>
      <c r="IH161" s="18"/>
      <c r="II161" s="18"/>
      <c r="IJ161" s="18"/>
      <c r="IK161" s="18"/>
      <c r="IL161" s="18"/>
      <c r="IM161" s="18"/>
      <c r="IN161" s="18"/>
      <c r="IO161" s="18"/>
      <c r="IP161" s="18"/>
      <c r="IQ161" s="18"/>
      <c r="IR161" s="18"/>
      <c r="IS161" s="18"/>
      <c r="IT161" s="18"/>
      <c r="IU161" s="18"/>
      <c r="IV161" s="18"/>
      <c r="IW161" s="18"/>
    </row>
    <row r="162" customFormat="false" ht="13.2" hidden="false" customHeight="false" outlineLevel="0" collapsed="false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/>
      <c r="DK162" s="18"/>
      <c r="DL162" s="18"/>
      <c r="DM162" s="18"/>
      <c r="DN162" s="18"/>
      <c r="DO162" s="18"/>
      <c r="DP162" s="18"/>
      <c r="DQ162" s="18"/>
      <c r="DR162" s="18"/>
      <c r="DS162" s="18"/>
      <c r="DT162" s="18"/>
      <c r="DU162" s="18"/>
      <c r="DV162" s="18"/>
      <c r="DW162" s="18"/>
      <c r="DX162" s="18"/>
      <c r="DY162" s="18"/>
      <c r="DZ162" s="18"/>
      <c r="EA162" s="18"/>
      <c r="EB162" s="18"/>
      <c r="EC162" s="18"/>
      <c r="ED162" s="18"/>
      <c r="EE162" s="18"/>
      <c r="EF162" s="18"/>
      <c r="EG162" s="18"/>
      <c r="EH162" s="18"/>
      <c r="EI162" s="18"/>
      <c r="EJ162" s="18"/>
      <c r="EK162" s="18"/>
      <c r="EL162" s="18"/>
      <c r="EM162" s="18"/>
      <c r="EN162" s="18"/>
      <c r="EO162" s="18"/>
      <c r="EP162" s="18"/>
      <c r="EQ162" s="18"/>
      <c r="ER162" s="18"/>
      <c r="ES162" s="18"/>
      <c r="ET162" s="18"/>
      <c r="EU162" s="18"/>
      <c r="EV162" s="18"/>
      <c r="EW162" s="18"/>
      <c r="EX162" s="18"/>
      <c r="EY162" s="18"/>
      <c r="EZ162" s="18"/>
      <c r="FA162" s="18"/>
      <c r="FB162" s="18"/>
      <c r="FC162" s="18"/>
      <c r="FD162" s="18"/>
      <c r="FE162" s="18"/>
      <c r="FF162" s="18"/>
      <c r="FG162" s="18"/>
      <c r="FH162" s="18"/>
      <c r="FI162" s="18"/>
      <c r="FJ162" s="18"/>
      <c r="FK162" s="18"/>
      <c r="FL162" s="18"/>
      <c r="FM162" s="18"/>
      <c r="FN162" s="18"/>
      <c r="FO162" s="18"/>
      <c r="FP162" s="18"/>
      <c r="FQ162" s="18"/>
      <c r="FR162" s="18"/>
      <c r="FS162" s="18"/>
      <c r="FT162" s="18"/>
      <c r="FU162" s="18"/>
      <c r="FV162" s="18"/>
      <c r="FW162" s="18"/>
      <c r="FX162" s="18"/>
      <c r="FY162" s="18"/>
      <c r="FZ162" s="18"/>
      <c r="GA162" s="18"/>
      <c r="GB162" s="18"/>
      <c r="GC162" s="18"/>
      <c r="GD162" s="18"/>
      <c r="GE162" s="18"/>
      <c r="GF162" s="18"/>
      <c r="GG162" s="18"/>
      <c r="GH162" s="18"/>
      <c r="GI162" s="18"/>
      <c r="GJ162" s="18"/>
      <c r="GK162" s="18"/>
      <c r="GL162" s="18"/>
      <c r="GM162" s="18"/>
      <c r="GN162" s="18"/>
      <c r="GO162" s="18"/>
      <c r="GP162" s="18"/>
      <c r="GQ162" s="18"/>
      <c r="GR162" s="18"/>
      <c r="GS162" s="18"/>
      <c r="GT162" s="18"/>
      <c r="GU162" s="18"/>
      <c r="GV162" s="18"/>
      <c r="GW162" s="18"/>
      <c r="GX162" s="18"/>
      <c r="GY162" s="18"/>
      <c r="GZ162" s="18"/>
      <c r="HA162" s="18"/>
      <c r="HB162" s="18"/>
      <c r="HC162" s="18"/>
      <c r="HD162" s="18"/>
      <c r="HE162" s="18"/>
      <c r="HF162" s="18"/>
      <c r="HG162" s="18"/>
      <c r="HH162" s="18"/>
      <c r="HI162" s="18"/>
      <c r="HJ162" s="18"/>
      <c r="HK162" s="18"/>
      <c r="HL162" s="18"/>
      <c r="HM162" s="18"/>
      <c r="HN162" s="18"/>
      <c r="HO162" s="18"/>
      <c r="HP162" s="18"/>
      <c r="HQ162" s="18"/>
      <c r="HR162" s="18"/>
      <c r="HS162" s="18"/>
      <c r="HT162" s="18"/>
      <c r="HU162" s="18"/>
      <c r="HV162" s="18"/>
      <c r="HW162" s="18"/>
      <c r="HX162" s="18"/>
      <c r="HY162" s="18"/>
      <c r="HZ162" s="18"/>
      <c r="IA162" s="18"/>
      <c r="IB162" s="18"/>
      <c r="IC162" s="18"/>
      <c r="ID162" s="18"/>
      <c r="IE162" s="18"/>
      <c r="IF162" s="18"/>
      <c r="IG162" s="18"/>
      <c r="IH162" s="18"/>
      <c r="II162" s="18"/>
      <c r="IJ162" s="18"/>
      <c r="IK162" s="18"/>
      <c r="IL162" s="18"/>
      <c r="IM162" s="18"/>
      <c r="IN162" s="18"/>
      <c r="IO162" s="18"/>
      <c r="IP162" s="18"/>
      <c r="IQ162" s="18"/>
      <c r="IR162" s="18"/>
      <c r="IS162" s="18"/>
      <c r="IT162" s="18"/>
      <c r="IU162" s="18"/>
      <c r="IV162" s="18"/>
      <c r="IW162" s="18"/>
    </row>
    <row r="163" customFormat="false" ht="13.2" hidden="false" customHeight="false" outlineLevel="0" collapsed="false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/>
      <c r="DK163" s="18"/>
      <c r="DL163" s="18"/>
      <c r="DM163" s="18"/>
      <c r="DN163" s="18"/>
      <c r="DO163" s="18"/>
      <c r="DP163" s="18"/>
      <c r="DQ163" s="18"/>
      <c r="DR163" s="18"/>
      <c r="DS163" s="18"/>
      <c r="DT163" s="18"/>
      <c r="DU163" s="18"/>
      <c r="DV163" s="18"/>
      <c r="DW163" s="18"/>
      <c r="DX163" s="18"/>
      <c r="DY163" s="18"/>
      <c r="DZ163" s="18"/>
      <c r="EA163" s="18"/>
      <c r="EB163" s="18"/>
      <c r="EC163" s="18"/>
      <c r="ED163" s="18"/>
      <c r="EE163" s="18"/>
      <c r="EF163" s="18"/>
      <c r="EG163" s="18"/>
      <c r="EH163" s="18"/>
      <c r="EI163" s="18"/>
      <c r="EJ163" s="18"/>
      <c r="EK163" s="18"/>
      <c r="EL163" s="18"/>
      <c r="EM163" s="18"/>
      <c r="EN163" s="18"/>
      <c r="EO163" s="18"/>
      <c r="EP163" s="18"/>
      <c r="EQ163" s="18"/>
      <c r="ER163" s="18"/>
      <c r="ES163" s="18"/>
      <c r="ET163" s="18"/>
      <c r="EU163" s="18"/>
      <c r="EV163" s="18"/>
      <c r="EW163" s="18"/>
      <c r="EX163" s="18"/>
      <c r="EY163" s="18"/>
      <c r="EZ163" s="18"/>
      <c r="FA163" s="18"/>
      <c r="FB163" s="18"/>
      <c r="FC163" s="18"/>
      <c r="FD163" s="18"/>
      <c r="FE163" s="18"/>
      <c r="FF163" s="18"/>
      <c r="FG163" s="18"/>
      <c r="FH163" s="18"/>
      <c r="FI163" s="18"/>
      <c r="FJ163" s="18"/>
      <c r="FK163" s="18"/>
      <c r="FL163" s="18"/>
      <c r="FM163" s="18"/>
      <c r="FN163" s="18"/>
      <c r="FO163" s="18"/>
      <c r="FP163" s="18"/>
      <c r="FQ163" s="18"/>
      <c r="FR163" s="18"/>
      <c r="FS163" s="18"/>
      <c r="FT163" s="18"/>
      <c r="FU163" s="18"/>
      <c r="FV163" s="18"/>
      <c r="FW163" s="18"/>
      <c r="FX163" s="18"/>
      <c r="FY163" s="18"/>
      <c r="FZ163" s="18"/>
      <c r="GA163" s="18"/>
      <c r="GB163" s="18"/>
      <c r="GC163" s="18"/>
      <c r="GD163" s="18"/>
      <c r="GE163" s="18"/>
      <c r="GF163" s="18"/>
      <c r="GG163" s="18"/>
      <c r="GH163" s="18"/>
      <c r="GI163" s="18"/>
      <c r="GJ163" s="18"/>
      <c r="GK163" s="18"/>
      <c r="GL163" s="18"/>
      <c r="GM163" s="18"/>
      <c r="GN163" s="18"/>
      <c r="GO163" s="18"/>
      <c r="GP163" s="18"/>
      <c r="GQ163" s="18"/>
      <c r="GR163" s="18"/>
      <c r="GS163" s="18"/>
      <c r="GT163" s="18"/>
      <c r="GU163" s="18"/>
      <c r="GV163" s="18"/>
      <c r="GW163" s="18"/>
      <c r="GX163" s="18"/>
      <c r="GY163" s="18"/>
      <c r="GZ163" s="18"/>
      <c r="HA163" s="18"/>
      <c r="HB163" s="18"/>
      <c r="HC163" s="18"/>
      <c r="HD163" s="18"/>
      <c r="HE163" s="18"/>
      <c r="HF163" s="18"/>
      <c r="HG163" s="18"/>
      <c r="HH163" s="18"/>
      <c r="HI163" s="18"/>
      <c r="HJ163" s="18"/>
      <c r="HK163" s="18"/>
      <c r="HL163" s="18"/>
      <c r="HM163" s="18"/>
      <c r="HN163" s="18"/>
      <c r="HO163" s="18"/>
      <c r="HP163" s="18"/>
      <c r="HQ163" s="18"/>
      <c r="HR163" s="18"/>
      <c r="HS163" s="18"/>
      <c r="HT163" s="18"/>
      <c r="HU163" s="18"/>
      <c r="HV163" s="18"/>
      <c r="HW163" s="18"/>
      <c r="HX163" s="18"/>
      <c r="HY163" s="18"/>
      <c r="HZ163" s="18"/>
      <c r="IA163" s="18"/>
      <c r="IB163" s="18"/>
      <c r="IC163" s="18"/>
      <c r="ID163" s="18"/>
      <c r="IE163" s="18"/>
      <c r="IF163" s="18"/>
      <c r="IG163" s="18"/>
      <c r="IH163" s="18"/>
      <c r="II163" s="18"/>
      <c r="IJ163" s="18"/>
      <c r="IK163" s="18"/>
      <c r="IL163" s="18"/>
      <c r="IM163" s="18"/>
      <c r="IN163" s="18"/>
      <c r="IO163" s="18"/>
      <c r="IP163" s="18"/>
      <c r="IQ163" s="18"/>
      <c r="IR163" s="18"/>
      <c r="IS163" s="18"/>
      <c r="IT163" s="18"/>
      <c r="IU163" s="18"/>
      <c r="IV163" s="18"/>
      <c r="IW163" s="18"/>
    </row>
    <row r="164" customFormat="false" ht="13.2" hidden="false" customHeight="false" outlineLevel="0" collapsed="false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/>
      <c r="DG164" s="18"/>
      <c r="DH164" s="18"/>
      <c r="DI164" s="18"/>
      <c r="DJ164" s="18"/>
      <c r="DK164" s="18"/>
      <c r="DL164" s="18"/>
      <c r="DM164" s="18"/>
      <c r="DN164" s="18"/>
      <c r="DO164" s="18"/>
      <c r="DP164" s="18"/>
      <c r="DQ164" s="18"/>
      <c r="DR164" s="18"/>
      <c r="DS164" s="18"/>
      <c r="DT164" s="18"/>
      <c r="DU164" s="18"/>
      <c r="DV164" s="18"/>
      <c r="DW164" s="18"/>
      <c r="DX164" s="18"/>
      <c r="DY164" s="18"/>
      <c r="DZ164" s="18"/>
      <c r="EA164" s="18"/>
      <c r="EB164" s="18"/>
      <c r="EC164" s="18"/>
      <c r="ED164" s="18"/>
      <c r="EE164" s="18"/>
      <c r="EF164" s="18"/>
      <c r="EG164" s="18"/>
      <c r="EH164" s="18"/>
      <c r="EI164" s="18"/>
      <c r="EJ164" s="18"/>
      <c r="EK164" s="18"/>
      <c r="EL164" s="18"/>
      <c r="EM164" s="18"/>
      <c r="EN164" s="18"/>
      <c r="EO164" s="18"/>
      <c r="EP164" s="18"/>
      <c r="EQ164" s="18"/>
      <c r="ER164" s="18"/>
      <c r="ES164" s="18"/>
      <c r="ET164" s="18"/>
      <c r="EU164" s="18"/>
      <c r="EV164" s="18"/>
      <c r="EW164" s="18"/>
      <c r="EX164" s="18"/>
      <c r="EY164" s="18"/>
      <c r="EZ164" s="18"/>
      <c r="FA164" s="18"/>
      <c r="FB164" s="18"/>
      <c r="FC164" s="18"/>
      <c r="FD164" s="18"/>
      <c r="FE164" s="18"/>
      <c r="FF164" s="18"/>
      <c r="FG164" s="18"/>
      <c r="FH164" s="18"/>
      <c r="FI164" s="18"/>
      <c r="FJ164" s="18"/>
      <c r="FK164" s="18"/>
      <c r="FL164" s="18"/>
      <c r="FM164" s="18"/>
      <c r="FN164" s="18"/>
      <c r="FO164" s="18"/>
      <c r="FP164" s="18"/>
      <c r="FQ164" s="18"/>
      <c r="FR164" s="18"/>
      <c r="FS164" s="18"/>
      <c r="FT164" s="18"/>
      <c r="FU164" s="18"/>
      <c r="FV164" s="18"/>
      <c r="FW164" s="18"/>
      <c r="FX164" s="18"/>
      <c r="FY164" s="18"/>
      <c r="FZ164" s="18"/>
      <c r="GA164" s="18"/>
      <c r="GB164" s="18"/>
      <c r="GC164" s="18"/>
      <c r="GD164" s="18"/>
      <c r="GE164" s="18"/>
      <c r="GF164" s="18"/>
      <c r="GG164" s="18"/>
      <c r="GH164" s="18"/>
      <c r="GI164" s="18"/>
      <c r="GJ164" s="18"/>
      <c r="GK164" s="18"/>
      <c r="GL164" s="18"/>
      <c r="GM164" s="18"/>
      <c r="GN164" s="18"/>
      <c r="GO164" s="18"/>
      <c r="GP164" s="18"/>
      <c r="GQ164" s="18"/>
      <c r="GR164" s="18"/>
      <c r="GS164" s="18"/>
      <c r="GT164" s="18"/>
      <c r="GU164" s="18"/>
      <c r="GV164" s="18"/>
      <c r="GW164" s="18"/>
      <c r="GX164" s="18"/>
      <c r="GY164" s="18"/>
      <c r="GZ164" s="18"/>
      <c r="HA164" s="18"/>
      <c r="HB164" s="18"/>
      <c r="HC164" s="18"/>
      <c r="HD164" s="18"/>
      <c r="HE164" s="18"/>
      <c r="HF164" s="18"/>
      <c r="HG164" s="18"/>
      <c r="HH164" s="18"/>
      <c r="HI164" s="18"/>
      <c r="HJ164" s="18"/>
      <c r="HK164" s="18"/>
      <c r="HL164" s="18"/>
      <c r="HM164" s="18"/>
      <c r="HN164" s="18"/>
      <c r="HO164" s="18"/>
      <c r="HP164" s="18"/>
      <c r="HQ164" s="18"/>
      <c r="HR164" s="18"/>
      <c r="HS164" s="18"/>
      <c r="HT164" s="18"/>
      <c r="HU164" s="18"/>
      <c r="HV164" s="18"/>
      <c r="HW164" s="18"/>
      <c r="HX164" s="18"/>
      <c r="HY164" s="18"/>
      <c r="HZ164" s="18"/>
      <c r="IA164" s="18"/>
      <c r="IB164" s="18"/>
      <c r="IC164" s="18"/>
      <c r="ID164" s="18"/>
      <c r="IE164" s="18"/>
      <c r="IF164" s="18"/>
      <c r="IG164" s="18"/>
      <c r="IH164" s="18"/>
      <c r="II164" s="18"/>
      <c r="IJ164" s="18"/>
      <c r="IK164" s="18"/>
      <c r="IL164" s="18"/>
      <c r="IM164" s="18"/>
      <c r="IN164" s="18"/>
      <c r="IO164" s="18"/>
      <c r="IP164" s="18"/>
      <c r="IQ164" s="18"/>
      <c r="IR164" s="18"/>
      <c r="IS164" s="18"/>
      <c r="IT164" s="18"/>
      <c r="IU164" s="18"/>
      <c r="IV164" s="18"/>
      <c r="IW164" s="18"/>
    </row>
    <row r="165" customFormat="false" ht="13.2" hidden="false" customHeight="false" outlineLevel="0" collapsed="false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  <c r="DG165" s="18"/>
      <c r="DH165" s="18"/>
      <c r="DI165" s="18"/>
      <c r="DJ165" s="18"/>
      <c r="DK165" s="18"/>
      <c r="DL165" s="18"/>
      <c r="DM165" s="18"/>
      <c r="DN165" s="18"/>
      <c r="DO165" s="18"/>
      <c r="DP165" s="18"/>
      <c r="DQ165" s="18"/>
      <c r="DR165" s="18"/>
      <c r="DS165" s="18"/>
      <c r="DT165" s="18"/>
      <c r="DU165" s="18"/>
      <c r="DV165" s="18"/>
      <c r="DW165" s="18"/>
      <c r="DX165" s="18"/>
      <c r="DY165" s="18"/>
      <c r="DZ165" s="18"/>
      <c r="EA165" s="18"/>
      <c r="EB165" s="18"/>
      <c r="EC165" s="18"/>
      <c r="ED165" s="18"/>
      <c r="EE165" s="18"/>
      <c r="EF165" s="18"/>
      <c r="EG165" s="18"/>
      <c r="EH165" s="18"/>
      <c r="EI165" s="18"/>
      <c r="EJ165" s="18"/>
      <c r="EK165" s="18"/>
      <c r="EL165" s="18"/>
      <c r="EM165" s="18"/>
      <c r="EN165" s="18"/>
      <c r="EO165" s="18"/>
      <c r="EP165" s="18"/>
      <c r="EQ165" s="18"/>
      <c r="ER165" s="18"/>
      <c r="ES165" s="18"/>
      <c r="ET165" s="18"/>
      <c r="EU165" s="18"/>
      <c r="EV165" s="18"/>
      <c r="EW165" s="18"/>
      <c r="EX165" s="18"/>
      <c r="EY165" s="18"/>
      <c r="EZ165" s="18"/>
      <c r="FA165" s="18"/>
      <c r="FB165" s="18"/>
      <c r="FC165" s="18"/>
      <c r="FD165" s="18"/>
      <c r="FE165" s="18"/>
      <c r="FF165" s="18"/>
      <c r="FG165" s="18"/>
      <c r="FH165" s="18"/>
      <c r="FI165" s="18"/>
      <c r="FJ165" s="18"/>
      <c r="FK165" s="18"/>
      <c r="FL165" s="18"/>
      <c r="FM165" s="18"/>
      <c r="FN165" s="18"/>
      <c r="FO165" s="18"/>
      <c r="FP165" s="18"/>
      <c r="FQ165" s="18"/>
      <c r="FR165" s="18"/>
      <c r="FS165" s="18"/>
      <c r="FT165" s="18"/>
      <c r="FU165" s="18"/>
      <c r="FV165" s="18"/>
      <c r="FW165" s="18"/>
      <c r="FX165" s="18"/>
      <c r="FY165" s="18"/>
      <c r="FZ165" s="18"/>
      <c r="GA165" s="18"/>
      <c r="GB165" s="18"/>
      <c r="GC165" s="18"/>
      <c r="GD165" s="18"/>
      <c r="GE165" s="18"/>
      <c r="GF165" s="18"/>
      <c r="GG165" s="18"/>
      <c r="GH165" s="18"/>
      <c r="GI165" s="18"/>
      <c r="GJ165" s="18"/>
      <c r="GK165" s="18"/>
      <c r="GL165" s="18"/>
      <c r="GM165" s="18"/>
      <c r="GN165" s="18"/>
      <c r="GO165" s="18"/>
      <c r="GP165" s="18"/>
      <c r="GQ165" s="18"/>
      <c r="GR165" s="18"/>
      <c r="GS165" s="18"/>
      <c r="GT165" s="18"/>
      <c r="GU165" s="18"/>
      <c r="GV165" s="18"/>
      <c r="GW165" s="18"/>
      <c r="GX165" s="18"/>
      <c r="GY165" s="18"/>
      <c r="GZ165" s="18"/>
      <c r="HA165" s="18"/>
      <c r="HB165" s="18"/>
      <c r="HC165" s="18"/>
      <c r="HD165" s="18"/>
      <c r="HE165" s="18"/>
      <c r="HF165" s="18"/>
      <c r="HG165" s="18"/>
      <c r="HH165" s="18"/>
      <c r="HI165" s="18"/>
      <c r="HJ165" s="18"/>
      <c r="HK165" s="18"/>
      <c r="HL165" s="18"/>
      <c r="HM165" s="18"/>
      <c r="HN165" s="18"/>
      <c r="HO165" s="18"/>
      <c r="HP165" s="18"/>
      <c r="HQ165" s="18"/>
      <c r="HR165" s="18"/>
      <c r="HS165" s="18"/>
      <c r="HT165" s="18"/>
      <c r="HU165" s="18"/>
      <c r="HV165" s="18"/>
      <c r="HW165" s="18"/>
      <c r="HX165" s="18"/>
      <c r="HY165" s="18"/>
      <c r="HZ165" s="18"/>
      <c r="IA165" s="18"/>
      <c r="IB165" s="18"/>
      <c r="IC165" s="18"/>
      <c r="ID165" s="18"/>
      <c r="IE165" s="18"/>
      <c r="IF165" s="18"/>
      <c r="IG165" s="18"/>
      <c r="IH165" s="18"/>
      <c r="II165" s="18"/>
      <c r="IJ165" s="18"/>
      <c r="IK165" s="18"/>
      <c r="IL165" s="18"/>
      <c r="IM165" s="18"/>
      <c r="IN165" s="18"/>
      <c r="IO165" s="18"/>
      <c r="IP165" s="18"/>
      <c r="IQ165" s="18"/>
      <c r="IR165" s="18"/>
      <c r="IS165" s="18"/>
      <c r="IT165" s="18"/>
      <c r="IU165" s="18"/>
      <c r="IV165" s="18"/>
      <c r="IW165" s="18"/>
    </row>
    <row r="166" customFormat="false" ht="13.2" hidden="false" customHeight="false" outlineLevel="0" collapsed="false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  <c r="DG166" s="18"/>
      <c r="DH166" s="18"/>
      <c r="DI166" s="18"/>
      <c r="DJ166" s="18"/>
      <c r="DK166" s="18"/>
      <c r="DL166" s="18"/>
      <c r="DM166" s="18"/>
      <c r="DN166" s="18"/>
      <c r="DO166" s="18"/>
      <c r="DP166" s="18"/>
      <c r="DQ166" s="18"/>
      <c r="DR166" s="18"/>
      <c r="DS166" s="18"/>
      <c r="DT166" s="18"/>
      <c r="DU166" s="18"/>
      <c r="DV166" s="18"/>
      <c r="DW166" s="18"/>
      <c r="DX166" s="18"/>
      <c r="DY166" s="18"/>
      <c r="DZ166" s="18"/>
      <c r="EA166" s="18"/>
      <c r="EB166" s="18"/>
      <c r="EC166" s="18"/>
      <c r="ED166" s="18"/>
      <c r="EE166" s="18"/>
      <c r="EF166" s="18"/>
      <c r="EG166" s="18"/>
      <c r="EH166" s="18"/>
      <c r="EI166" s="18"/>
      <c r="EJ166" s="18"/>
      <c r="EK166" s="18"/>
      <c r="EL166" s="18"/>
      <c r="EM166" s="18"/>
      <c r="EN166" s="18"/>
      <c r="EO166" s="18"/>
      <c r="EP166" s="18"/>
      <c r="EQ166" s="18"/>
      <c r="ER166" s="18"/>
      <c r="ES166" s="18"/>
      <c r="ET166" s="18"/>
      <c r="EU166" s="18"/>
      <c r="EV166" s="18"/>
      <c r="EW166" s="18"/>
      <c r="EX166" s="18"/>
      <c r="EY166" s="18"/>
      <c r="EZ166" s="18"/>
      <c r="FA166" s="18"/>
      <c r="FB166" s="18"/>
      <c r="FC166" s="18"/>
      <c r="FD166" s="18"/>
      <c r="FE166" s="18"/>
      <c r="FF166" s="18"/>
      <c r="FG166" s="18"/>
      <c r="FH166" s="18"/>
      <c r="FI166" s="18"/>
      <c r="FJ166" s="18"/>
      <c r="FK166" s="18"/>
      <c r="FL166" s="18"/>
      <c r="FM166" s="18"/>
      <c r="FN166" s="18"/>
      <c r="FO166" s="18"/>
      <c r="FP166" s="18"/>
      <c r="FQ166" s="18"/>
      <c r="FR166" s="18"/>
      <c r="FS166" s="18"/>
      <c r="FT166" s="18"/>
      <c r="FU166" s="18"/>
      <c r="FV166" s="18"/>
      <c r="FW166" s="18"/>
      <c r="FX166" s="18"/>
      <c r="FY166" s="18"/>
      <c r="FZ166" s="18"/>
      <c r="GA166" s="18"/>
      <c r="GB166" s="18"/>
      <c r="GC166" s="18"/>
      <c r="GD166" s="18"/>
      <c r="GE166" s="18"/>
      <c r="GF166" s="18"/>
      <c r="GG166" s="18"/>
      <c r="GH166" s="18"/>
      <c r="GI166" s="18"/>
      <c r="GJ166" s="18"/>
      <c r="GK166" s="18"/>
      <c r="GL166" s="18"/>
      <c r="GM166" s="18"/>
      <c r="GN166" s="18"/>
      <c r="GO166" s="18"/>
      <c r="GP166" s="18"/>
      <c r="GQ166" s="18"/>
      <c r="GR166" s="18"/>
      <c r="GS166" s="18"/>
      <c r="GT166" s="18"/>
      <c r="GU166" s="18"/>
      <c r="GV166" s="18"/>
      <c r="GW166" s="18"/>
      <c r="GX166" s="18"/>
      <c r="GY166" s="18"/>
      <c r="GZ166" s="18"/>
      <c r="HA166" s="18"/>
      <c r="HB166" s="18"/>
      <c r="HC166" s="18"/>
      <c r="HD166" s="18"/>
      <c r="HE166" s="18"/>
      <c r="HF166" s="18"/>
      <c r="HG166" s="18"/>
      <c r="HH166" s="18"/>
      <c r="HI166" s="18"/>
      <c r="HJ166" s="18"/>
      <c r="HK166" s="18"/>
      <c r="HL166" s="18"/>
      <c r="HM166" s="18"/>
      <c r="HN166" s="18"/>
      <c r="HO166" s="18"/>
      <c r="HP166" s="18"/>
      <c r="HQ166" s="18"/>
      <c r="HR166" s="18"/>
      <c r="HS166" s="18"/>
      <c r="HT166" s="18"/>
      <c r="HU166" s="18"/>
      <c r="HV166" s="18"/>
      <c r="HW166" s="18"/>
      <c r="HX166" s="18"/>
      <c r="HY166" s="18"/>
      <c r="HZ166" s="18"/>
      <c r="IA166" s="18"/>
      <c r="IB166" s="18"/>
      <c r="IC166" s="18"/>
      <c r="ID166" s="18"/>
      <c r="IE166" s="18"/>
      <c r="IF166" s="18"/>
      <c r="IG166" s="18"/>
      <c r="IH166" s="18"/>
      <c r="II166" s="18"/>
      <c r="IJ166" s="18"/>
      <c r="IK166" s="18"/>
      <c r="IL166" s="18"/>
      <c r="IM166" s="18"/>
      <c r="IN166" s="18"/>
      <c r="IO166" s="18"/>
      <c r="IP166" s="18"/>
      <c r="IQ166" s="18"/>
      <c r="IR166" s="18"/>
      <c r="IS166" s="18"/>
      <c r="IT166" s="18"/>
      <c r="IU166" s="18"/>
      <c r="IV166" s="18"/>
      <c r="IW166" s="18"/>
    </row>
    <row r="167" customFormat="false" ht="13.2" hidden="false" customHeight="false" outlineLevel="0" collapsed="false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  <c r="DG167" s="18"/>
      <c r="DH167" s="18"/>
      <c r="DI167" s="18"/>
      <c r="DJ167" s="18"/>
      <c r="DK167" s="18"/>
      <c r="DL167" s="18"/>
      <c r="DM167" s="18"/>
      <c r="DN167" s="18"/>
      <c r="DO167" s="18"/>
      <c r="DP167" s="18"/>
      <c r="DQ167" s="18"/>
      <c r="DR167" s="18"/>
      <c r="DS167" s="18"/>
      <c r="DT167" s="18"/>
      <c r="DU167" s="18"/>
      <c r="DV167" s="18"/>
      <c r="DW167" s="18"/>
      <c r="DX167" s="18"/>
      <c r="DY167" s="18"/>
      <c r="DZ167" s="18"/>
      <c r="EA167" s="18"/>
      <c r="EB167" s="18"/>
      <c r="EC167" s="18"/>
      <c r="ED167" s="18"/>
      <c r="EE167" s="18"/>
      <c r="EF167" s="18"/>
      <c r="EG167" s="18"/>
      <c r="EH167" s="18"/>
      <c r="EI167" s="18"/>
      <c r="EJ167" s="18"/>
      <c r="EK167" s="18"/>
      <c r="EL167" s="18"/>
      <c r="EM167" s="18"/>
      <c r="EN167" s="18"/>
      <c r="EO167" s="18"/>
      <c r="EP167" s="18"/>
      <c r="EQ167" s="18"/>
      <c r="ER167" s="18"/>
      <c r="ES167" s="18"/>
      <c r="ET167" s="18"/>
      <c r="EU167" s="18"/>
      <c r="EV167" s="18"/>
      <c r="EW167" s="18"/>
      <c r="EX167" s="18"/>
      <c r="EY167" s="18"/>
      <c r="EZ167" s="18"/>
      <c r="FA167" s="18"/>
      <c r="FB167" s="18"/>
      <c r="FC167" s="18"/>
      <c r="FD167" s="18"/>
      <c r="FE167" s="18"/>
      <c r="FF167" s="18"/>
      <c r="FG167" s="18"/>
      <c r="FH167" s="18"/>
      <c r="FI167" s="18"/>
      <c r="FJ167" s="18"/>
      <c r="FK167" s="18"/>
      <c r="FL167" s="18"/>
      <c r="FM167" s="18"/>
      <c r="FN167" s="18"/>
      <c r="FO167" s="18"/>
      <c r="FP167" s="18"/>
      <c r="FQ167" s="18"/>
      <c r="FR167" s="18"/>
      <c r="FS167" s="18"/>
      <c r="FT167" s="18"/>
      <c r="FU167" s="18"/>
      <c r="FV167" s="18"/>
      <c r="FW167" s="18"/>
      <c r="FX167" s="18"/>
      <c r="FY167" s="18"/>
      <c r="FZ167" s="18"/>
      <c r="GA167" s="18"/>
      <c r="GB167" s="18"/>
      <c r="GC167" s="18"/>
      <c r="GD167" s="18"/>
      <c r="GE167" s="18"/>
      <c r="GF167" s="18"/>
      <c r="GG167" s="18"/>
      <c r="GH167" s="18"/>
      <c r="GI167" s="18"/>
      <c r="GJ167" s="18"/>
      <c r="GK167" s="18"/>
      <c r="GL167" s="18"/>
      <c r="GM167" s="18"/>
      <c r="GN167" s="18"/>
      <c r="GO167" s="18"/>
      <c r="GP167" s="18"/>
      <c r="GQ167" s="18"/>
      <c r="GR167" s="18"/>
      <c r="GS167" s="18"/>
      <c r="GT167" s="18"/>
      <c r="GU167" s="18"/>
      <c r="GV167" s="18"/>
      <c r="GW167" s="18"/>
      <c r="GX167" s="18"/>
      <c r="GY167" s="18"/>
      <c r="GZ167" s="18"/>
      <c r="HA167" s="18"/>
      <c r="HB167" s="18"/>
      <c r="HC167" s="18"/>
      <c r="HD167" s="18"/>
      <c r="HE167" s="18"/>
      <c r="HF167" s="18"/>
      <c r="HG167" s="18"/>
      <c r="HH167" s="18"/>
      <c r="HI167" s="18"/>
      <c r="HJ167" s="18"/>
      <c r="HK167" s="18"/>
      <c r="HL167" s="18"/>
      <c r="HM167" s="18"/>
      <c r="HN167" s="18"/>
      <c r="HO167" s="18"/>
      <c r="HP167" s="18"/>
      <c r="HQ167" s="18"/>
      <c r="HR167" s="18"/>
      <c r="HS167" s="18"/>
      <c r="HT167" s="18"/>
      <c r="HU167" s="18"/>
      <c r="HV167" s="18"/>
      <c r="HW167" s="18"/>
      <c r="HX167" s="18"/>
      <c r="HY167" s="18"/>
      <c r="HZ167" s="18"/>
      <c r="IA167" s="18"/>
      <c r="IB167" s="18"/>
      <c r="IC167" s="18"/>
      <c r="ID167" s="18"/>
      <c r="IE167" s="18"/>
      <c r="IF167" s="18"/>
      <c r="IG167" s="18"/>
      <c r="IH167" s="18"/>
      <c r="II167" s="18"/>
      <c r="IJ167" s="18"/>
      <c r="IK167" s="18"/>
      <c r="IL167" s="18"/>
      <c r="IM167" s="18"/>
      <c r="IN167" s="18"/>
      <c r="IO167" s="18"/>
      <c r="IP167" s="18"/>
      <c r="IQ167" s="18"/>
      <c r="IR167" s="18"/>
      <c r="IS167" s="18"/>
      <c r="IT167" s="18"/>
      <c r="IU167" s="18"/>
      <c r="IV167" s="18"/>
      <c r="IW167" s="18"/>
    </row>
    <row r="168" customFormat="false" ht="13.2" hidden="false" customHeight="false" outlineLevel="0" collapsed="false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  <c r="DG168" s="18"/>
      <c r="DH168" s="18"/>
      <c r="DI168" s="18"/>
      <c r="DJ168" s="18"/>
      <c r="DK168" s="18"/>
      <c r="DL168" s="18"/>
      <c r="DM168" s="18"/>
      <c r="DN168" s="18"/>
      <c r="DO168" s="18"/>
      <c r="DP168" s="18"/>
      <c r="DQ168" s="18"/>
      <c r="DR168" s="18"/>
      <c r="DS168" s="18"/>
      <c r="DT168" s="18"/>
      <c r="DU168" s="18"/>
      <c r="DV168" s="18"/>
      <c r="DW168" s="18"/>
      <c r="DX168" s="18"/>
      <c r="DY168" s="18"/>
      <c r="DZ168" s="18"/>
      <c r="EA168" s="18"/>
      <c r="EB168" s="18"/>
      <c r="EC168" s="18"/>
      <c r="ED168" s="18"/>
      <c r="EE168" s="18"/>
      <c r="EF168" s="18"/>
      <c r="EG168" s="18"/>
      <c r="EH168" s="18"/>
      <c r="EI168" s="18"/>
      <c r="EJ168" s="18"/>
      <c r="EK168" s="18"/>
      <c r="EL168" s="18"/>
      <c r="EM168" s="18"/>
      <c r="EN168" s="18"/>
      <c r="EO168" s="18"/>
      <c r="EP168" s="18"/>
      <c r="EQ168" s="18"/>
      <c r="ER168" s="18"/>
      <c r="ES168" s="18"/>
      <c r="ET168" s="18"/>
      <c r="EU168" s="18"/>
      <c r="EV168" s="18"/>
      <c r="EW168" s="18"/>
      <c r="EX168" s="18"/>
      <c r="EY168" s="18"/>
      <c r="EZ168" s="18"/>
      <c r="FA168" s="18"/>
      <c r="FB168" s="18"/>
      <c r="FC168" s="18"/>
      <c r="FD168" s="18"/>
      <c r="FE168" s="18"/>
      <c r="FF168" s="18"/>
      <c r="FG168" s="18"/>
      <c r="FH168" s="18"/>
      <c r="FI168" s="18"/>
      <c r="FJ168" s="18"/>
      <c r="FK168" s="18"/>
      <c r="FL168" s="18"/>
      <c r="FM168" s="18"/>
      <c r="FN168" s="18"/>
      <c r="FO168" s="18"/>
      <c r="FP168" s="18"/>
      <c r="FQ168" s="18"/>
      <c r="FR168" s="18"/>
      <c r="FS168" s="18"/>
      <c r="FT168" s="18"/>
      <c r="FU168" s="18"/>
      <c r="FV168" s="18"/>
      <c r="FW168" s="18"/>
      <c r="FX168" s="18"/>
      <c r="FY168" s="18"/>
      <c r="FZ168" s="18"/>
      <c r="GA168" s="18"/>
      <c r="GB168" s="18"/>
      <c r="GC168" s="18"/>
      <c r="GD168" s="18"/>
      <c r="GE168" s="18"/>
      <c r="GF168" s="18"/>
      <c r="GG168" s="18"/>
      <c r="GH168" s="18"/>
      <c r="GI168" s="18"/>
      <c r="GJ168" s="18"/>
      <c r="GK168" s="18"/>
      <c r="GL168" s="18"/>
      <c r="GM168" s="18"/>
      <c r="GN168" s="18"/>
      <c r="GO168" s="18"/>
      <c r="GP168" s="18"/>
      <c r="GQ168" s="18"/>
      <c r="GR168" s="18"/>
      <c r="GS168" s="18"/>
      <c r="GT168" s="18"/>
      <c r="GU168" s="18"/>
      <c r="GV168" s="18"/>
      <c r="GW168" s="18"/>
      <c r="GX168" s="18"/>
      <c r="GY168" s="18"/>
      <c r="GZ168" s="18"/>
      <c r="HA168" s="18"/>
      <c r="HB168" s="18"/>
      <c r="HC168" s="18"/>
      <c r="HD168" s="18"/>
      <c r="HE168" s="18"/>
      <c r="HF168" s="18"/>
      <c r="HG168" s="18"/>
      <c r="HH168" s="18"/>
      <c r="HI168" s="18"/>
      <c r="HJ168" s="18"/>
      <c r="HK168" s="18"/>
      <c r="HL168" s="18"/>
      <c r="HM168" s="18"/>
      <c r="HN168" s="18"/>
      <c r="HO168" s="18"/>
      <c r="HP168" s="18"/>
      <c r="HQ168" s="18"/>
      <c r="HR168" s="18"/>
      <c r="HS168" s="18"/>
      <c r="HT168" s="18"/>
      <c r="HU168" s="18"/>
      <c r="HV168" s="18"/>
      <c r="HW168" s="18"/>
      <c r="HX168" s="18"/>
      <c r="HY168" s="18"/>
      <c r="HZ168" s="18"/>
      <c r="IA168" s="18"/>
      <c r="IB168" s="18"/>
      <c r="IC168" s="18"/>
      <c r="ID168" s="18"/>
      <c r="IE168" s="18"/>
      <c r="IF168" s="18"/>
      <c r="IG168" s="18"/>
      <c r="IH168" s="18"/>
      <c r="II168" s="18"/>
      <c r="IJ168" s="18"/>
      <c r="IK168" s="18"/>
      <c r="IL168" s="18"/>
      <c r="IM168" s="18"/>
      <c r="IN168" s="18"/>
      <c r="IO168" s="18"/>
      <c r="IP168" s="18"/>
      <c r="IQ168" s="18"/>
      <c r="IR168" s="18"/>
      <c r="IS168" s="18"/>
      <c r="IT168" s="18"/>
      <c r="IU168" s="18"/>
      <c r="IV168" s="18"/>
      <c r="IW168" s="18"/>
    </row>
    <row r="169" customFormat="false" ht="13.2" hidden="false" customHeight="false" outlineLevel="0" collapsed="false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/>
      <c r="DH169" s="18"/>
      <c r="DI169" s="18"/>
      <c r="DJ169" s="18"/>
      <c r="DK169" s="18"/>
      <c r="DL169" s="18"/>
      <c r="DM169" s="18"/>
      <c r="DN169" s="18"/>
      <c r="DO169" s="18"/>
      <c r="DP169" s="18"/>
      <c r="DQ169" s="18"/>
      <c r="DR169" s="18"/>
      <c r="DS169" s="18"/>
      <c r="DT169" s="18"/>
      <c r="DU169" s="18"/>
      <c r="DV169" s="18"/>
      <c r="DW169" s="18"/>
      <c r="DX169" s="18"/>
      <c r="DY169" s="18"/>
      <c r="DZ169" s="18"/>
      <c r="EA169" s="18"/>
      <c r="EB169" s="18"/>
      <c r="EC169" s="18"/>
      <c r="ED169" s="18"/>
      <c r="EE169" s="18"/>
      <c r="EF169" s="18"/>
      <c r="EG169" s="18"/>
      <c r="EH169" s="18"/>
      <c r="EI169" s="18"/>
      <c r="EJ169" s="18"/>
      <c r="EK169" s="18"/>
      <c r="EL169" s="18"/>
      <c r="EM169" s="18"/>
      <c r="EN169" s="18"/>
      <c r="EO169" s="18"/>
      <c r="EP169" s="18"/>
      <c r="EQ169" s="18"/>
      <c r="ER169" s="18"/>
      <c r="ES169" s="18"/>
      <c r="ET169" s="18"/>
      <c r="EU169" s="18"/>
      <c r="EV169" s="18"/>
      <c r="EW169" s="18"/>
      <c r="EX169" s="18"/>
      <c r="EY169" s="18"/>
      <c r="EZ169" s="18"/>
      <c r="FA169" s="18"/>
      <c r="FB169" s="18"/>
      <c r="FC169" s="18"/>
      <c r="FD169" s="18"/>
      <c r="FE169" s="18"/>
      <c r="FF169" s="18"/>
      <c r="FG169" s="18"/>
      <c r="FH169" s="18"/>
      <c r="FI169" s="18"/>
      <c r="FJ169" s="18"/>
      <c r="FK169" s="18"/>
      <c r="FL169" s="18"/>
      <c r="FM169" s="18"/>
      <c r="FN169" s="18"/>
      <c r="FO169" s="18"/>
      <c r="FP169" s="18"/>
      <c r="FQ169" s="18"/>
      <c r="FR169" s="18"/>
      <c r="FS169" s="18"/>
      <c r="FT169" s="18"/>
      <c r="FU169" s="18"/>
      <c r="FV169" s="18"/>
      <c r="FW169" s="18"/>
      <c r="FX169" s="18"/>
      <c r="FY169" s="18"/>
      <c r="FZ169" s="18"/>
      <c r="GA169" s="18"/>
      <c r="GB169" s="18"/>
      <c r="GC169" s="18"/>
      <c r="GD169" s="18"/>
      <c r="GE169" s="18"/>
      <c r="GF169" s="18"/>
      <c r="GG169" s="18"/>
      <c r="GH169" s="18"/>
      <c r="GI169" s="18"/>
      <c r="GJ169" s="18"/>
      <c r="GK169" s="18"/>
      <c r="GL169" s="18"/>
      <c r="GM169" s="18"/>
      <c r="GN169" s="18"/>
      <c r="GO169" s="18"/>
      <c r="GP169" s="18"/>
      <c r="GQ169" s="18"/>
      <c r="GR169" s="18"/>
      <c r="GS169" s="18"/>
      <c r="GT169" s="18"/>
      <c r="GU169" s="18"/>
      <c r="GV169" s="18"/>
      <c r="GW169" s="18"/>
      <c r="GX169" s="18"/>
      <c r="GY169" s="18"/>
      <c r="GZ169" s="18"/>
      <c r="HA169" s="18"/>
      <c r="HB169" s="18"/>
      <c r="HC169" s="18"/>
      <c r="HD169" s="18"/>
      <c r="HE169" s="18"/>
      <c r="HF169" s="18"/>
      <c r="HG169" s="18"/>
      <c r="HH169" s="18"/>
      <c r="HI169" s="18"/>
      <c r="HJ169" s="18"/>
      <c r="HK169" s="18"/>
      <c r="HL169" s="18"/>
      <c r="HM169" s="18"/>
      <c r="HN169" s="18"/>
      <c r="HO169" s="18"/>
      <c r="HP169" s="18"/>
      <c r="HQ169" s="18"/>
      <c r="HR169" s="18"/>
      <c r="HS169" s="18"/>
      <c r="HT169" s="18"/>
      <c r="HU169" s="18"/>
      <c r="HV169" s="18"/>
      <c r="HW169" s="18"/>
      <c r="HX169" s="18"/>
      <c r="HY169" s="18"/>
      <c r="HZ169" s="18"/>
      <c r="IA169" s="18"/>
      <c r="IB169" s="18"/>
      <c r="IC169" s="18"/>
      <c r="ID169" s="18"/>
      <c r="IE169" s="18"/>
      <c r="IF169" s="18"/>
      <c r="IG169" s="18"/>
      <c r="IH169" s="18"/>
      <c r="II169" s="18"/>
      <c r="IJ169" s="18"/>
      <c r="IK169" s="18"/>
      <c r="IL169" s="18"/>
      <c r="IM169" s="18"/>
      <c r="IN169" s="18"/>
      <c r="IO169" s="18"/>
      <c r="IP169" s="18"/>
      <c r="IQ169" s="18"/>
      <c r="IR169" s="18"/>
      <c r="IS169" s="18"/>
      <c r="IT169" s="18"/>
      <c r="IU169" s="18"/>
      <c r="IV169" s="18"/>
      <c r="IW169" s="18"/>
    </row>
    <row r="170" customFormat="false" ht="13.2" hidden="false" customHeight="false" outlineLevel="0" collapsed="false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/>
      <c r="DK170" s="18"/>
      <c r="DL170" s="18"/>
      <c r="DM170" s="18"/>
      <c r="DN170" s="18"/>
      <c r="DO170" s="18"/>
      <c r="DP170" s="18"/>
      <c r="DQ170" s="18"/>
      <c r="DR170" s="18"/>
      <c r="DS170" s="18"/>
      <c r="DT170" s="18"/>
      <c r="DU170" s="18"/>
      <c r="DV170" s="18"/>
      <c r="DW170" s="18"/>
      <c r="DX170" s="18"/>
      <c r="DY170" s="18"/>
      <c r="DZ170" s="18"/>
      <c r="EA170" s="18"/>
      <c r="EB170" s="18"/>
      <c r="EC170" s="18"/>
      <c r="ED170" s="18"/>
      <c r="EE170" s="18"/>
      <c r="EF170" s="18"/>
      <c r="EG170" s="18"/>
      <c r="EH170" s="18"/>
      <c r="EI170" s="18"/>
      <c r="EJ170" s="18"/>
      <c r="EK170" s="18"/>
      <c r="EL170" s="18"/>
      <c r="EM170" s="18"/>
      <c r="EN170" s="18"/>
      <c r="EO170" s="18"/>
      <c r="EP170" s="18"/>
      <c r="EQ170" s="18"/>
      <c r="ER170" s="18"/>
      <c r="ES170" s="18"/>
      <c r="ET170" s="18"/>
      <c r="EU170" s="18"/>
      <c r="EV170" s="18"/>
      <c r="EW170" s="18"/>
      <c r="EX170" s="18"/>
      <c r="EY170" s="18"/>
      <c r="EZ170" s="18"/>
      <c r="FA170" s="18"/>
      <c r="FB170" s="18"/>
      <c r="FC170" s="18"/>
      <c r="FD170" s="18"/>
      <c r="FE170" s="18"/>
      <c r="FF170" s="18"/>
      <c r="FG170" s="18"/>
      <c r="FH170" s="18"/>
      <c r="FI170" s="18"/>
      <c r="FJ170" s="18"/>
      <c r="FK170" s="18"/>
      <c r="FL170" s="18"/>
      <c r="FM170" s="18"/>
      <c r="FN170" s="18"/>
      <c r="FO170" s="18"/>
      <c r="FP170" s="18"/>
      <c r="FQ170" s="18"/>
      <c r="FR170" s="18"/>
      <c r="FS170" s="18"/>
      <c r="FT170" s="18"/>
      <c r="FU170" s="18"/>
      <c r="FV170" s="18"/>
      <c r="FW170" s="18"/>
      <c r="FX170" s="18"/>
      <c r="FY170" s="18"/>
      <c r="FZ170" s="18"/>
      <c r="GA170" s="18"/>
      <c r="GB170" s="18"/>
      <c r="GC170" s="18"/>
      <c r="GD170" s="18"/>
      <c r="GE170" s="18"/>
      <c r="GF170" s="18"/>
      <c r="GG170" s="18"/>
      <c r="GH170" s="18"/>
      <c r="GI170" s="18"/>
      <c r="GJ170" s="18"/>
      <c r="GK170" s="18"/>
      <c r="GL170" s="18"/>
      <c r="GM170" s="18"/>
      <c r="GN170" s="18"/>
      <c r="GO170" s="18"/>
      <c r="GP170" s="18"/>
      <c r="GQ170" s="18"/>
      <c r="GR170" s="18"/>
      <c r="GS170" s="18"/>
      <c r="GT170" s="18"/>
      <c r="GU170" s="18"/>
      <c r="GV170" s="18"/>
      <c r="GW170" s="18"/>
      <c r="GX170" s="18"/>
      <c r="GY170" s="18"/>
      <c r="GZ170" s="18"/>
      <c r="HA170" s="18"/>
      <c r="HB170" s="18"/>
      <c r="HC170" s="18"/>
      <c r="HD170" s="18"/>
      <c r="HE170" s="18"/>
      <c r="HF170" s="18"/>
      <c r="HG170" s="18"/>
      <c r="HH170" s="18"/>
      <c r="HI170" s="18"/>
      <c r="HJ170" s="18"/>
      <c r="HK170" s="18"/>
      <c r="HL170" s="18"/>
      <c r="HM170" s="18"/>
      <c r="HN170" s="18"/>
      <c r="HO170" s="18"/>
      <c r="HP170" s="18"/>
      <c r="HQ170" s="18"/>
      <c r="HR170" s="18"/>
      <c r="HS170" s="18"/>
      <c r="HT170" s="18"/>
      <c r="HU170" s="18"/>
      <c r="HV170" s="18"/>
      <c r="HW170" s="18"/>
      <c r="HX170" s="18"/>
      <c r="HY170" s="18"/>
      <c r="HZ170" s="18"/>
      <c r="IA170" s="18"/>
      <c r="IB170" s="18"/>
      <c r="IC170" s="18"/>
      <c r="ID170" s="18"/>
      <c r="IE170" s="18"/>
      <c r="IF170" s="18"/>
      <c r="IG170" s="18"/>
      <c r="IH170" s="18"/>
      <c r="II170" s="18"/>
      <c r="IJ170" s="18"/>
      <c r="IK170" s="18"/>
      <c r="IL170" s="18"/>
      <c r="IM170" s="18"/>
      <c r="IN170" s="18"/>
      <c r="IO170" s="18"/>
      <c r="IP170" s="18"/>
      <c r="IQ170" s="18"/>
      <c r="IR170" s="18"/>
      <c r="IS170" s="18"/>
      <c r="IT170" s="18"/>
      <c r="IU170" s="18"/>
      <c r="IV170" s="18"/>
      <c r="IW170" s="18"/>
    </row>
    <row r="171" customFormat="false" ht="13.2" hidden="false" customHeight="false" outlineLevel="0" collapsed="false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8"/>
      <c r="EG171" s="18"/>
      <c r="EH171" s="18"/>
      <c r="EI171" s="18"/>
      <c r="EJ171" s="18"/>
      <c r="EK171" s="18"/>
      <c r="EL171" s="18"/>
      <c r="EM171" s="18"/>
      <c r="EN171" s="18"/>
      <c r="EO171" s="18"/>
      <c r="EP171" s="18"/>
      <c r="EQ171" s="18"/>
      <c r="ER171" s="18"/>
      <c r="ES171" s="18"/>
      <c r="ET171" s="18"/>
      <c r="EU171" s="18"/>
      <c r="EV171" s="18"/>
      <c r="EW171" s="18"/>
      <c r="EX171" s="18"/>
      <c r="EY171" s="18"/>
      <c r="EZ171" s="18"/>
      <c r="FA171" s="18"/>
      <c r="FB171" s="18"/>
      <c r="FC171" s="18"/>
      <c r="FD171" s="18"/>
      <c r="FE171" s="18"/>
      <c r="FF171" s="18"/>
      <c r="FG171" s="18"/>
      <c r="FH171" s="18"/>
      <c r="FI171" s="18"/>
      <c r="FJ171" s="18"/>
      <c r="FK171" s="18"/>
      <c r="FL171" s="18"/>
      <c r="FM171" s="18"/>
      <c r="FN171" s="18"/>
      <c r="FO171" s="18"/>
      <c r="FP171" s="18"/>
      <c r="FQ171" s="18"/>
      <c r="FR171" s="18"/>
      <c r="FS171" s="18"/>
      <c r="FT171" s="18"/>
      <c r="FU171" s="18"/>
      <c r="FV171" s="18"/>
      <c r="FW171" s="18"/>
      <c r="FX171" s="18"/>
      <c r="FY171" s="18"/>
      <c r="FZ171" s="18"/>
      <c r="GA171" s="18"/>
      <c r="GB171" s="18"/>
      <c r="GC171" s="18"/>
      <c r="GD171" s="18"/>
      <c r="GE171" s="18"/>
      <c r="GF171" s="18"/>
      <c r="GG171" s="18"/>
      <c r="GH171" s="18"/>
      <c r="GI171" s="18"/>
      <c r="GJ171" s="18"/>
      <c r="GK171" s="18"/>
      <c r="GL171" s="18"/>
      <c r="GM171" s="18"/>
      <c r="GN171" s="18"/>
      <c r="GO171" s="18"/>
      <c r="GP171" s="18"/>
      <c r="GQ171" s="18"/>
      <c r="GR171" s="18"/>
      <c r="GS171" s="18"/>
      <c r="GT171" s="18"/>
      <c r="GU171" s="18"/>
      <c r="GV171" s="18"/>
      <c r="GW171" s="18"/>
      <c r="GX171" s="18"/>
      <c r="GY171" s="18"/>
      <c r="GZ171" s="18"/>
      <c r="HA171" s="18"/>
      <c r="HB171" s="18"/>
      <c r="HC171" s="18"/>
      <c r="HD171" s="18"/>
      <c r="HE171" s="18"/>
      <c r="HF171" s="18"/>
      <c r="HG171" s="18"/>
      <c r="HH171" s="18"/>
      <c r="HI171" s="18"/>
      <c r="HJ171" s="18"/>
      <c r="HK171" s="18"/>
      <c r="HL171" s="18"/>
      <c r="HM171" s="18"/>
      <c r="HN171" s="18"/>
      <c r="HO171" s="18"/>
      <c r="HP171" s="18"/>
      <c r="HQ171" s="18"/>
      <c r="HR171" s="18"/>
      <c r="HS171" s="18"/>
      <c r="HT171" s="18"/>
      <c r="HU171" s="18"/>
      <c r="HV171" s="18"/>
      <c r="HW171" s="18"/>
      <c r="HX171" s="18"/>
      <c r="HY171" s="18"/>
      <c r="HZ171" s="18"/>
      <c r="IA171" s="18"/>
      <c r="IB171" s="18"/>
      <c r="IC171" s="18"/>
      <c r="ID171" s="18"/>
      <c r="IE171" s="18"/>
      <c r="IF171" s="18"/>
      <c r="IG171" s="18"/>
      <c r="IH171" s="18"/>
      <c r="II171" s="18"/>
      <c r="IJ171" s="18"/>
      <c r="IK171" s="18"/>
      <c r="IL171" s="18"/>
      <c r="IM171" s="18"/>
      <c r="IN171" s="18"/>
      <c r="IO171" s="18"/>
      <c r="IP171" s="18"/>
      <c r="IQ171" s="18"/>
      <c r="IR171" s="18"/>
      <c r="IS171" s="18"/>
      <c r="IT171" s="18"/>
      <c r="IU171" s="18"/>
      <c r="IV171" s="18"/>
      <c r="IW171" s="18"/>
    </row>
    <row r="172" customFormat="false" ht="13.2" hidden="false" customHeight="false" outlineLevel="0" collapsed="false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/>
      <c r="DK172" s="18"/>
      <c r="DL172" s="18"/>
      <c r="DM172" s="18"/>
      <c r="DN172" s="18"/>
      <c r="DO172" s="18"/>
      <c r="DP172" s="18"/>
      <c r="DQ172" s="18"/>
      <c r="DR172" s="18"/>
      <c r="DS172" s="18"/>
      <c r="DT172" s="18"/>
      <c r="DU172" s="18"/>
      <c r="DV172" s="18"/>
      <c r="DW172" s="18"/>
      <c r="DX172" s="18"/>
      <c r="DY172" s="18"/>
      <c r="DZ172" s="18"/>
      <c r="EA172" s="18"/>
      <c r="EB172" s="18"/>
      <c r="EC172" s="18"/>
      <c r="ED172" s="18"/>
      <c r="EE172" s="18"/>
      <c r="EF172" s="18"/>
      <c r="EG172" s="18"/>
      <c r="EH172" s="18"/>
      <c r="EI172" s="18"/>
      <c r="EJ172" s="18"/>
      <c r="EK172" s="18"/>
      <c r="EL172" s="18"/>
      <c r="EM172" s="18"/>
      <c r="EN172" s="18"/>
      <c r="EO172" s="18"/>
      <c r="EP172" s="18"/>
      <c r="EQ172" s="18"/>
      <c r="ER172" s="18"/>
      <c r="ES172" s="18"/>
      <c r="ET172" s="18"/>
      <c r="EU172" s="18"/>
      <c r="EV172" s="18"/>
      <c r="EW172" s="18"/>
      <c r="EX172" s="18"/>
      <c r="EY172" s="18"/>
      <c r="EZ172" s="18"/>
      <c r="FA172" s="18"/>
      <c r="FB172" s="18"/>
      <c r="FC172" s="18"/>
      <c r="FD172" s="18"/>
      <c r="FE172" s="18"/>
      <c r="FF172" s="18"/>
      <c r="FG172" s="18"/>
      <c r="FH172" s="18"/>
      <c r="FI172" s="18"/>
      <c r="FJ172" s="18"/>
      <c r="FK172" s="18"/>
      <c r="FL172" s="18"/>
      <c r="FM172" s="18"/>
      <c r="FN172" s="18"/>
      <c r="FO172" s="18"/>
      <c r="FP172" s="18"/>
      <c r="FQ172" s="18"/>
      <c r="FR172" s="18"/>
      <c r="FS172" s="18"/>
      <c r="FT172" s="18"/>
      <c r="FU172" s="18"/>
      <c r="FV172" s="18"/>
      <c r="FW172" s="18"/>
      <c r="FX172" s="18"/>
      <c r="FY172" s="18"/>
      <c r="FZ172" s="18"/>
      <c r="GA172" s="18"/>
      <c r="GB172" s="18"/>
      <c r="GC172" s="18"/>
      <c r="GD172" s="18"/>
      <c r="GE172" s="18"/>
      <c r="GF172" s="18"/>
      <c r="GG172" s="18"/>
      <c r="GH172" s="18"/>
      <c r="GI172" s="18"/>
      <c r="GJ172" s="18"/>
      <c r="GK172" s="18"/>
      <c r="GL172" s="18"/>
      <c r="GM172" s="18"/>
      <c r="GN172" s="18"/>
      <c r="GO172" s="18"/>
      <c r="GP172" s="18"/>
      <c r="GQ172" s="18"/>
      <c r="GR172" s="18"/>
      <c r="GS172" s="18"/>
      <c r="GT172" s="18"/>
      <c r="GU172" s="18"/>
      <c r="GV172" s="18"/>
      <c r="GW172" s="18"/>
      <c r="GX172" s="18"/>
      <c r="GY172" s="18"/>
      <c r="GZ172" s="18"/>
      <c r="HA172" s="18"/>
      <c r="HB172" s="18"/>
      <c r="HC172" s="18"/>
      <c r="HD172" s="18"/>
      <c r="HE172" s="18"/>
      <c r="HF172" s="18"/>
      <c r="HG172" s="18"/>
      <c r="HH172" s="18"/>
      <c r="HI172" s="18"/>
      <c r="HJ172" s="18"/>
      <c r="HK172" s="18"/>
      <c r="HL172" s="18"/>
      <c r="HM172" s="18"/>
      <c r="HN172" s="18"/>
      <c r="HO172" s="18"/>
      <c r="HP172" s="18"/>
      <c r="HQ172" s="18"/>
      <c r="HR172" s="18"/>
      <c r="HS172" s="18"/>
      <c r="HT172" s="18"/>
      <c r="HU172" s="18"/>
      <c r="HV172" s="18"/>
      <c r="HW172" s="18"/>
      <c r="HX172" s="18"/>
      <c r="HY172" s="18"/>
      <c r="HZ172" s="18"/>
      <c r="IA172" s="18"/>
      <c r="IB172" s="18"/>
      <c r="IC172" s="18"/>
      <c r="ID172" s="18"/>
      <c r="IE172" s="18"/>
      <c r="IF172" s="18"/>
      <c r="IG172" s="18"/>
      <c r="IH172" s="18"/>
      <c r="II172" s="18"/>
      <c r="IJ172" s="18"/>
      <c r="IK172" s="18"/>
      <c r="IL172" s="18"/>
      <c r="IM172" s="18"/>
      <c r="IN172" s="18"/>
      <c r="IO172" s="18"/>
      <c r="IP172" s="18"/>
      <c r="IQ172" s="18"/>
      <c r="IR172" s="18"/>
      <c r="IS172" s="18"/>
      <c r="IT172" s="18"/>
      <c r="IU172" s="18"/>
      <c r="IV172" s="18"/>
      <c r="IW172" s="18"/>
    </row>
    <row r="173" customFormat="false" ht="13.2" hidden="false" customHeight="false" outlineLevel="0" collapsed="false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/>
      <c r="DK173" s="18"/>
      <c r="DL173" s="18"/>
      <c r="DM173" s="18"/>
      <c r="DN173" s="18"/>
      <c r="DO173" s="18"/>
      <c r="DP173" s="18"/>
      <c r="DQ173" s="18"/>
      <c r="DR173" s="18"/>
      <c r="DS173" s="18"/>
      <c r="DT173" s="18"/>
      <c r="DU173" s="18"/>
      <c r="DV173" s="18"/>
      <c r="DW173" s="18"/>
      <c r="DX173" s="18"/>
      <c r="DY173" s="18"/>
      <c r="DZ173" s="18"/>
      <c r="EA173" s="18"/>
      <c r="EB173" s="18"/>
      <c r="EC173" s="18"/>
      <c r="ED173" s="18"/>
      <c r="EE173" s="18"/>
      <c r="EF173" s="18"/>
      <c r="EG173" s="18"/>
      <c r="EH173" s="18"/>
      <c r="EI173" s="18"/>
      <c r="EJ173" s="18"/>
      <c r="EK173" s="18"/>
      <c r="EL173" s="18"/>
      <c r="EM173" s="18"/>
      <c r="EN173" s="18"/>
      <c r="EO173" s="18"/>
      <c r="EP173" s="18"/>
      <c r="EQ173" s="18"/>
      <c r="ER173" s="18"/>
      <c r="ES173" s="18"/>
      <c r="ET173" s="18"/>
      <c r="EU173" s="18"/>
      <c r="EV173" s="18"/>
      <c r="EW173" s="18"/>
      <c r="EX173" s="18"/>
      <c r="EY173" s="18"/>
      <c r="EZ173" s="18"/>
      <c r="FA173" s="18"/>
      <c r="FB173" s="18"/>
      <c r="FC173" s="18"/>
      <c r="FD173" s="18"/>
      <c r="FE173" s="18"/>
      <c r="FF173" s="18"/>
      <c r="FG173" s="18"/>
      <c r="FH173" s="18"/>
      <c r="FI173" s="18"/>
      <c r="FJ173" s="18"/>
      <c r="FK173" s="18"/>
      <c r="FL173" s="18"/>
      <c r="FM173" s="18"/>
      <c r="FN173" s="18"/>
      <c r="FO173" s="18"/>
      <c r="FP173" s="18"/>
      <c r="FQ173" s="18"/>
      <c r="FR173" s="18"/>
      <c r="FS173" s="18"/>
      <c r="FT173" s="18"/>
      <c r="FU173" s="18"/>
      <c r="FV173" s="18"/>
      <c r="FW173" s="18"/>
      <c r="FX173" s="18"/>
      <c r="FY173" s="18"/>
      <c r="FZ173" s="18"/>
      <c r="GA173" s="18"/>
      <c r="GB173" s="18"/>
      <c r="GC173" s="18"/>
      <c r="GD173" s="18"/>
      <c r="GE173" s="18"/>
      <c r="GF173" s="18"/>
      <c r="GG173" s="18"/>
      <c r="GH173" s="18"/>
      <c r="GI173" s="18"/>
      <c r="GJ173" s="18"/>
      <c r="GK173" s="18"/>
      <c r="GL173" s="18"/>
      <c r="GM173" s="18"/>
      <c r="GN173" s="18"/>
      <c r="GO173" s="18"/>
      <c r="GP173" s="18"/>
      <c r="GQ173" s="18"/>
      <c r="GR173" s="18"/>
      <c r="GS173" s="18"/>
      <c r="GT173" s="18"/>
      <c r="GU173" s="18"/>
      <c r="GV173" s="18"/>
      <c r="GW173" s="18"/>
      <c r="GX173" s="18"/>
      <c r="GY173" s="18"/>
      <c r="GZ173" s="18"/>
      <c r="HA173" s="18"/>
      <c r="HB173" s="18"/>
      <c r="HC173" s="18"/>
      <c r="HD173" s="18"/>
      <c r="HE173" s="18"/>
      <c r="HF173" s="18"/>
      <c r="HG173" s="18"/>
      <c r="HH173" s="18"/>
      <c r="HI173" s="18"/>
      <c r="HJ173" s="18"/>
      <c r="HK173" s="18"/>
      <c r="HL173" s="18"/>
      <c r="HM173" s="18"/>
      <c r="HN173" s="18"/>
      <c r="HO173" s="18"/>
      <c r="HP173" s="18"/>
      <c r="HQ173" s="18"/>
      <c r="HR173" s="18"/>
      <c r="HS173" s="18"/>
      <c r="HT173" s="18"/>
      <c r="HU173" s="18"/>
      <c r="HV173" s="18"/>
      <c r="HW173" s="18"/>
      <c r="HX173" s="18"/>
      <c r="HY173" s="18"/>
      <c r="HZ173" s="18"/>
      <c r="IA173" s="18"/>
      <c r="IB173" s="18"/>
      <c r="IC173" s="18"/>
      <c r="ID173" s="18"/>
      <c r="IE173" s="18"/>
      <c r="IF173" s="18"/>
      <c r="IG173" s="18"/>
      <c r="IH173" s="18"/>
      <c r="II173" s="18"/>
      <c r="IJ173" s="18"/>
      <c r="IK173" s="18"/>
      <c r="IL173" s="18"/>
      <c r="IM173" s="18"/>
      <c r="IN173" s="18"/>
      <c r="IO173" s="18"/>
      <c r="IP173" s="18"/>
      <c r="IQ173" s="18"/>
      <c r="IR173" s="18"/>
      <c r="IS173" s="18"/>
      <c r="IT173" s="18"/>
      <c r="IU173" s="18"/>
      <c r="IV173" s="18"/>
      <c r="IW173" s="18"/>
    </row>
    <row r="174" customFormat="false" ht="13.2" hidden="false" customHeight="false" outlineLevel="0" collapsed="false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/>
      <c r="DK174" s="18"/>
      <c r="DL174" s="18"/>
      <c r="DM174" s="18"/>
      <c r="DN174" s="18"/>
      <c r="DO174" s="18"/>
      <c r="DP174" s="18"/>
      <c r="DQ174" s="18"/>
      <c r="DR174" s="18"/>
      <c r="DS174" s="18"/>
      <c r="DT174" s="18"/>
      <c r="DU174" s="18"/>
      <c r="DV174" s="18"/>
      <c r="DW174" s="18"/>
      <c r="DX174" s="18"/>
      <c r="DY174" s="18"/>
      <c r="DZ174" s="18"/>
      <c r="EA174" s="18"/>
      <c r="EB174" s="18"/>
      <c r="EC174" s="18"/>
      <c r="ED174" s="18"/>
      <c r="EE174" s="18"/>
      <c r="EF174" s="18"/>
      <c r="EG174" s="18"/>
      <c r="EH174" s="18"/>
      <c r="EI174" s="18"/>
      <c r="EJ174" s="18"/>
      <c r="EK174" s="18"/>
      <c r="EL174" s="18"/>
      <c r="EM174" s="18"/>
      <c r="EN174" s="18"/>
      <c r="EO174" s="18"/>
      <c r="EP174" s="18"/>
      <c r="EQ174" s="18"/>
      <c r="ER174" s="18"/>
      <c r="ES174" s="18"/>
      <c r="ET174" s="18"/>
      <c r="EU174" s="18"/>
      <c r="EV174" s="18"/>
      <c r="EW174" s="18"/>
      <c r="EX174" s="18"/>
      <c r="EY174" s="18"/>
      <c r="EZ174" s="18"/>
      <c r="FA174" s="18"/>
      <c r="FB174" s="18"/>
      <c r="FC174" s="18"/>
      <c r="FD174" s="18"/>
      <c r="FE174" s="18"/>
      <c r="FF174" s="18"/>
      <c r="FG174" s="18"/>
      <c r="FH174" s="18"/>
      <c r="FI174" s="18"/>
      <c r="FJ174" s="18"/>
      <c r="FK174" s="18"/>
      <c r="FL174" s="18"/>
      <c r="FM174" s="18"/>
      <c r="FN174" s="18"/>
      <c r="FO174" s="18"/>
      <c r="FP174" s="18"/>
      <c r="FQ174" s="18"/>
      <c r="FR174" s="18"/>
      <c r="FS174" s="18"/>
      <c r="FT174" s="18"/>
      <c r="FU174" s="18"/>
      <c r="FV174" s="18"/>
      <c r="FW174" s="18"/>
      <c r="FX174" s="18"/>
      <c r="FY174" s="18"/>
      <c r="FZ174" s="18"/>
      <c r="GA174" s="18"/>
      <c r="GB174" s="18"/>
      <c r="GC174" s="18"/>
      <c r="GD174" s="18"/>
      <c r="GE174" s="18"/>
      <c r="GF174" s="18"/>
      <c r="GG174" s="18"/>
      <c r="GH174" s="18"/>
      <c r="GI174" s="18"/>
      <c r="GJ174" s="18"/>
      <c r="GK174" s="18"/>
      <c r="GL174" s="18"/>
      <c r="GM174" s="18"/>
      <c r="GN174" s="18"/>
      <c r="GO174" s="18"/>
      <c r="GP174" s="18"/>
      <c r="GQ174" s="18"/>
      <c r="GR174" s="18"/>
      <c r="GS174" s="18"/>
      <c r="GT174" s="18"/>
      <c r="GU174" s="18"/>
      <c r="GV174" s="18"/>
      <c r="GW174" s="18"/>
      <c r="GX174" s="18"/>
      <c r="GY174" s="18"/>
      <c r="GZ174" s="18"/>
      <c r="HA174" s="18"/>
      <c r="HB174" s="18"/>
      <c r="HC174" s="18"/>
      <c r="HD174" s="18"/>
      <c r="HE174" s="18"/>
      <c r="HF174" s="18"/>
      <c r="HG174" s="18"/>
      <c r="HH174" s="18"/>
      <c r="HI174" s="18"/>
      <c r="HJ174" s="18"/>
      <c r="HK174" s="18"/>
      <c r="HL174" s="18"/>
      <c r="HM174" s="18"/>
      <c r="HN174" s="18"/>
      <c r="HO174" s="18"/>
      <c r="HP174" s="18"/>
      <c r="HQ174" s="18"/>
      <c r="HR174" s="18"/>
      <c r="HS174" s="18"/>
      <c r="HT174" s="18"/>
      <c r="HU174" s="18"/>
      <c r="HV174" s="18"/>
      <c r="HW174" s="18"/>
      <c r="HX174" s="18"/>
      <c r="HY174" s="18"/>
      <c r="HZ174" s="18"/>
      <c r="IA174" s="18"/>
      <c r="IB174" s="18"/>
      <c r="IC174" s="18"/>
      <c r="ID174" s="18"/>
      <c r="IE174" s="18"/>
      <c r="IF174" s="18"/>
      <c r="IG174" s="18"/>
      <c r="IH174" s="18"/>
      <c r="II174" s="18"/>
      <c r="IJ174" s="18"/>
      <c r="IK174" s="18"/>
      <c r="IL174" s="18"/>
      <c r="IM174" s="18"/>
      <c r="IN174" s="18"/>
      <c r="IO174" s="18"/>
      <c r="IP174" s="18"/>
      <c r="IQ174" s="18"/>
      <c r="IR174" s="18"/>
      <c r="IS174" s="18"/>
      <c r="IT174" s="18"/>
      <c r="IU174" s="18"/>
      <c r="IV174" s="18"/>
      <c r="IW174" s="18"/>
    </row>
    <row r="175" customFormat="false" ht="13.2" hidden="false" customHeight="false" outlineLevel="0" collapsed="false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  <c r="DG175" s="18"/>
      <c r="DH175" s="18"/>
      <c r="DI175" s="18"/>
      <c r="DJ175" s="18"/>
      <c r="DK175" s="18"/>
      <c r="DL175" s="18"/>
      <c r="DM175" s="18"/>
      <c r="DN175" s="18"/>
      <c r="DO175" s="18"/>
      <c r="DP175" s="18"/>
      <c r="DQ175" s="18"/>
      <c r="DR175" s="18"/>
      <c r="DS175" s="18"/>
      <c r="DT175" s="18"/>
      <c r="DU175" s="18"/>
      <c r="DV175" s="18"/>
      <c r="DW175" s="18"/>
      <c r="DX175" s="18"/>
      <c r="DY175" s="18"/>
      <c r="DZ175" s="18"/>
      <c r="EA175" s="18"/>
      <c r="EB175" s="18"/>
      <c r="EC175" s="18"/>
      <c r="ED175" s="18"/>
      <c r="EE175" s="18"/>
      <c r="EF175" s="18"/>
      <c r="EG175" s="18"/>
      <c r="EH175" s="18"/>
      <c r="EI175" s="18"/>
      <c r="EJ175" s="18"/>
      <c r="EK175" s="18"/>
      <c r="EL175" s="18"/>
      <c r="EM175" s="18"/>
      <c r="EN175" s="18"/>
      <c r="EO175" s="18"/>
      <c r="EP175" s="18"/>
      <c r="EQ175" s="18"/>
      <c r="ER175" s="18"/>
      <c r="ES175" s="18"/>
      <c r="ET175" s="18"/>
      <c r="EU175" s="18"/>
      <c r="EV175" s="18"/>
      <c r="EW175" s="18"/>
      <c r="EX175" s="18"/>
      <c r="EY175" s="18"/>
      <c r="EZ175" s="18"/>
      <c r="FA175" s="18"/>
      <c r="FB175" s="18"/>
      <c r="FC175" s="18"/>
      <c r="FD175" s="18"/>
      <c r="FE175" s="18"/>
      <c r="FF175" s="18"/>
      <c r="FG175" s="18"/>
      <c r="FH175" s="18"/>
      <c r="FI175" s="18"/>
      <c r="FJ175" s="18"/>
      <c r="FK175" s="18"/>
      <c r="FL175" s="18"/>
      <c r="FM175" s="18"/>
      <c r="FN175" s="18"/>
      <c r="FO175" s="18"/>
      <c r="FP175" s="18"/>
      <c r="FQ175" s="18"/>
      <c r="FR175" s="18"/>
      <c r="FS175" s="18"/>
      <c r="FT175" s="18"/>
      <c r="FU175" s="18"/>
      <c r="FV175" s="18"/>
      <c r="FW175" s="18"/>
      <c r="FX175" s="18"/>
      <c r="FY175" s="18"/>
      <c r="FZ175" s="18"/>
      <c r="GA175" s="18"/>
      <c r="GB175" s="18"/>
      <c r="GC175" s="18"/>
      <c r="GD175" s="18"/>
      <c r="GE175" s="18"/>
      <c r="GF175" s="18"/>
      <c r="GG175" s="18"/>
      <c r="GH175" s="18"/>
      <c r="GI175" s="18"/>
      <c r="GJ175" s="18"/>
      <c r="GK175" s="18"/>
      <c r="GL175" s="18"/>
      <c r="GM175" s="18"/>
      <c r="GN175" s="18"/>
      <c r="GO175" s="18"/>
      <c r="GP175" s="18"/>
      <c r="GQ175" s="18"/>
      <c r="GR175" s="18"/>
      <c r="GS175" s="18"/>
      <c r="GT175" s="18"/>
      <c r="GU175" s="18"/>
      <c r="GV175" s="18"/>
      <c r="GW175" s="18"/>
      <c r="GX175" s="18"/>
      <c r="GY175" s="18"/>
      <c r="GZ175" s="18"/>
      <c r="HA175" s="18"/>
      <c r="HB175" s="18"/>
      <c r="HC175" s="18"/>
      <c r="HD175" s="18"/>
      <c r="HE175" s="18"/>
      <c r="HF175" s="18"/>
      <c r="HG175" s="18"/>
      <c r="HH175" s="18"/>
      <c r="HI175" s="18"/>
      <c r="HJ175" s="18"/>
      <c r="HK175" s="18"/>
      <c r="HL175" s="18"/>
      <c r="HM175" s="18"/>
      <c r="HN175" s="18"/>
      <c r="HO175" s="18"/>
      <c r="HP175" s="18"/>
      <c r="HQ175" s="18"/>
      <c r="HR175" s="18"/>
      <c r="HS175" s="18"/>
      <c r="HT175" s="18"/>
      <c r="HU175" s="18"/>
      <c r="HV175" s="18"/>
      <c r="HW175" s="18"/>
      <c r="HX175" s="18"/>
      <c r="HY175" s="18"/>
      <c r="HZ175" s="18"/>
      <c r="IA175" s="18"/>
      <c r="IB175" s="18"/>
      <c r="IC175" s="18"/>
      <c r="ID175" s="18"/>
      <c r="IE175" s="18"/>
      <c r="IF175" s="18"/>
      <c r="IG175" s="18"/>
      <c r="IH175" s="18"/>
      <c r="II175" s="18"/>
      <c r="IJ175" s="18"/>
      <c r="IK175" s="18"/>
      <c r="IL175" s="18"/>
      <c r="IM175" s="18"/>
      <c r="IN175" s="18"/>
      <c r="IO175" s="18"/>
      <c r="IP175" s="18"/>
      <c r="IQ175" s="18"/>
      <c r="IR175" s="18"/>
      <c r="IS175" s="18"/>
      <c r="IT175" s="18"/>
      <c r="IU175" s="18"/>
      <c r="IV175" s="18"/>
      <c r="IW175" s="18"/>
    </row>
    <row r="176" customFormat="false" ht="13.2" hidden="false" customHeight="false" outlineLevel="0" collapsed="false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  <c r="DG176" s="18"/>
      <c r="DH176" s="18"/>
      <c r="DI176" s="18"/>
      <c r="DJ176" s="18"/>
      <c r="DK176" s="18"/>
      <c r="DL176" s="18"/>
      <c r="DM176" s="18"/>
      <c r="DN176" s="18"/>
      <c r="DO176" s="18"/>
      <c r="DP176" s="18"/>
      <c r="DQ176" s="18"/>
      <c r="DR176" s="18"/>
      <c r="DS176" s="18"/>
      <c r="DT176" s="18"/>
      <c r="DU176" s="18"/>
      <c r="DV176" s="18"/>
      <c r="DW176" s="18"/>
      <c r="DX176" s="18"/>
      <c r="DY176" s="18"/>
      <c r="DZ176" s="18"/>
      <c r="EA176" s="18"/>
      <c r="EB176" s="18"/>
      <c r="EC176" s="18"/>
      <c r="ED176" s="18"/>
      <c r="EE176" s="18"/>
      <c r="EF176" s="18"/>
      <c r="EG176" s="18"/>
      <c r="EH176" s="18"/>
      <c r="EI176" s="18"/>
      <c r="EJ176" s="18"/>
      <c r="EK176" s="18"/>
      <c r="EL176" s="18"/>
      <c r="EM176" s="18"/>
      <c r="EN176" s="18"/>
      <c r="EO176" s="18"/>
      <c r="EP176" s="18"/>
      <c r="EQ176" s="18"/>
      <c r="ER176" s="18"/>
      <c r="ES176" s="18"/>
      <c r="ET176" s="18"/>
      <c r="EU176" s="18"/>
      <c r="EV176" s="18"/>
      <c r="EW176" s="18"/>
      <c r="EX176" s="18"/>
      <c r="EY176" s="18"/>
      <c r="EZ176" s="18"/>
      <c r="FA176" s="18"/>
      <c r="FB176" s="18"/>
      <c r="FC176" s="18"/>
      <c r="FD176" s="18"/>
      <c r="FE176" s="18"/>
      <c r="FF176" s="18"/>
      <c r="FG176" s="18"/>
      <c r="FH176" s="18"/>
      <c r="FI176" s="18"/>
      <c r="FJ176" s="18"/>
      <c r="FK176" s="18"/>
      <c r="FL176" s="18"/>
      <c r="FM176" s="18"/>
      <c r="FN176" s="18"/>
      <c r="FO176" s="18"/>
      <c r="FP176" s="18"/>
      <c r="FQ176" s="18"/>
      <c r="FR176" s="18"/>
      <c r="FS176" s="18"/>
      <c r="FT176" s="18"/>
      <c r="FU176" s="18"/>
      <c r="FV176" s="18"/>
      <c r="FW176" s="18"/>
      <c r="FX176" s="18"/>
      <c r="FY176" s="18"/>
      <c r="FZ176" s="18"/>
      <c r="GA176" s="18"/>
      <c r="GB176" s="18"/>
      <c r="GC176" s="18"/>
      <c r="GD176" s="18"/>
      <c r="GE176" s="18"/>
      <c r="GF176" s="18"/>
      <c r="GG176" s="18"/>
      <c r="GH176" s="18"/>
      <c r="GI176" s="18"/>
      <c r="GJ176" s="18"/>
      <c r="GK176" s="18"/>
      <c r="GL176" s="18"/>
      <c r="GM176" s="18"/>
      <c r="GN176" s="18"/>
      <c r="GO176" s="18"/>
      <c r="GP176" s="18"/>
      <c r="GQ176" s="18"/>
      <c r="GR176" s="18"/>
      <c r="GS176" s="18"/>
      <c r="GT176" s="18"/>
      <c r="GU176" s="18"/>
      <c r="GV176" s="18"/>
      <c r="GW176" s="18"/>
      <c r="GX176" s="18"/>
      <c r="GY176" s="18"/>
      <c r="GZ176" s="18"/>
      <c r="HA176" s="18"/>
      <c r="HB176" s="18"/>
      <c r="HC176" s="18"/>
      <c r="HD176" s="18"/>
      <c r="HE176" s="18"/>
      <c r="HF176" s="18"/>
      <c r="HG176" s="18"/>
      <c r="HH176" s="18"/>
      <c r="HI176" s="18"/>
      <c r="HJ176" s="18"/>
      <c r="HK176" s="18"/>
      <c r="HL176" s="18"/>
      <c r="HM176" s="18"/>
      <c r="HN176" s="18"/>
      <c r="HO176" s="18"/>
      <c r="HP176" s="18"/>
      <c r="HQ176" s="18"/>
      <c r="HR176" s="18"/>
      <c r="HS176" s="18"/>
      <c r="HT176" s="18"/>
      <c r="HU176" s="18"/>
      <c r="HV176" s="18"/>
      <c r="HW176" s="18"/>
      <c r="HX176" s="18"/>
      <c r="HY176" s="18"/>
      <c r="HZ176" s="18"/>
      <c r="IA176" s="18"/>
      <c r="IB176" s="18"/>
      <c r="IC176" s="18"/>
      <c r="ID176" s="18"/>
      <c r="IE176" s="18"/>
      <c r="IF176" s="18"/>
      <c r="IG176" s="18"/>
      <c r="IH176" s="18"/>
      <c r="II176" s="18"/>
      <c r="IJ176" s="18"/>
      <c r="IK176" s="18"/>
      <c r="IL176" s="18"/>
      <c r="IM176" s="18"/>
      <c r="IN176" s="18"/>
      <c r="IO176" s="18"/>
      <c r="IP176" s="18"/>
      <c r="IQ176" s="18"/>
      <c r="IR176" s="18"/>
      <c r="IS176" s="18"/>
      <c r="IT176" s="18"/>
      <c r="IU176" s="18"/>
      <c r="IV176" s="18"/>
      <c r="IW176" s="18"/>
    </row>
    <row r="177" customFormat="false" ht="13.2" hidden="false" customHeight="false" outlineLevel="0" collapsed="false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  <c r="DG177" s="18"/>
      <c r="DH177" s="18"/>
      <c r="DI177" s="18"/>
      <c r="DJ177" s="18"/>
      <c r="DK177" s="18"/>
      <c r="DL177" s="18"/>
      <c r="DM177" s="18"/>
      <c r="DN177" s="18"/>
      <c r="DO177" s="18"/>
      <c r="DP177" s="18"/>
      <c r="DQ177" s="18"/>
      <c r="DR177" s="18"/>
      <c r="DS177" s="18"/>
      <c r="DT177" s="18"/>
      <c r="DU177" s="18"/>
      <c r="DV177" s="18"/>
      <c r="DW177" s="18"/>
      <c r="DX177" s="18"/>
      <c r="DY177" s="18"/>
      <c r="DZ177" s="18"/>
      <c r="EA177" s="18"/>
      <c r="EB177" s="18"/>
      <c r="EC177" s="18"/>
      <c r="ED177" s="18"/>
      <c r="EE177" s="18"/>
      <c r="EF177" s="18"/>
      <c r="EG177" s="18"/>
      <c r="EH177" s="18"/>
      <c r="EI177" s="18"/>
      <c r="EJ177" s="18"/>
      <c r="EK177" s="18"/>
      <c r="EL177" s="18"/>
      <c r="EM177" s="18"/>
      <c r="EN177" s="18"/>
      <c r="EO177" s="18"/>
      <c r="EP177" s="18"/>
      <c r="EQ177" s="18"/>
      <c r="ER177" s="18"/>
      <c r="ES177" s="18"/>
      <c r="ET177" s="18"/>
      <c r="EU177" s="18"/>
      <c r="EV177" s="18"/>
      <c r="EW177" s="18"/>
      <c r="EX177" s="18"/>
      <c r="EY177" s="18"/>
      <c r="EZ177" s="18"/>
      <c r="FA177" s="18"/>
      <c r="FB177" s="18"/>
      <c r="FC177" s="18"/>
      <c r="FD177" s="18"/>
      <c r="FE177" s="18"/>
      <c r="FF177" s="18"/>
      <c r="FG177" s="18"/>
      <c r="FH177" s="18"/>
      <c r="FI177" s="18"/>
      <c r="FJ177" s="18"/>
      <c r="FK177" s="18"/>
      <c r="FL177" s="18"/>
      <c r="FM177" s="18"/>
      <c r="FN177" s="18"/>
      <c r="FO177" s="18"/>
      <c r="FP177" s="18"/>
      <c r="FQ177" s="18"/>
      <c r="FR177" s="18"/>
      <c r="FS177" s="18"/>
      <c r="FT177" s="18"/>
      <c r="FU177" s="18"/>
      <c r="FV177" s="18"/>
      <c r="FW177" s="18"/>
      <c r="FX177" s="18"/>
      <c r="FY177" s="18"/>
      <c r="FZ177" s="18"/>
      <c r="GA177" s="18"/>
      <c r="GB177" s="18"/>
      <c r="GC177" s="18"/>
      <c r="GD177" s="18"/>
      <c r="GE177" s="18"/>
      <c r="GF177" s="18"/>
      <c r="GG177" s="18"/>
      <c r="GH177" s="18"/>
      <c r="GI177" s="18"/>
      <c r="GJ177" s="18"/>
      <c r="GK177" s="18"/>
      <c r="GL177" s="18"/>
      <c r="GM177" s="18"/>
      <c r="GN177" s="18"/>
      <c r="GO177" s="18"/>
      <c r="GP177" s="18"/>
      <c r="GQ177" s="18"/>
      <c r="GR177" s="18"/>
      <c r="GS177" s="18"/>
      <c r="GT177" s="18"/>
      <c r="GU177" s="18"/>
      <c r="GV177" s="18"/>
      <c r="GW177" s="18"/>
      <c r="GX177" s="18"/>
      <c r="GY177" s="18"/>
      <c r="GZ177" s="18"/>
      <c r="HA177" s="18"/>
      <c r="HB177" s="18"/>
      <c r="HC177" s="18"/>
      <c r="HD177" s="18"/>
      <c r="HE177" s="18"/>
      <c r="HF177" s="18"/>
      <c r="HG177" s="18"/>
      <c r="HH177" s="18"/>
      <c r="HI177" s="18"/>
      <c r="HJ177" s="18"/>
      <c r="HK177" s="18"/>
      <c r="HL177" s="18"/>
      <c r="HM177" s="18"/>
      <c r="HN177" s="18"/>
      <c r="HO177" s="18"/>
      <c r="HP177" s="18"/>
      <c r="HQ177" s="18"/>
      <c r="HR177" s="18"/>
      <c r="HS177" s="18"/>
      <c r="HT177" s="18"/>
      <c r="HU177" s="18"/>
      <c r="HV177" s="18"/>
      <c r="HW177" s="18"/>
      <c r="HX177" s="18"/>
      <c r="HY177" s="18"/>
      <c r="HZ177" s="18"/>
      <c r="IA177" s="18"/>
      <c r="IB177" s="18"/>
      <c r="IC177" s="18"/>
      <c r="ID177" s="18"/>
      <c r="IE177" s="18"/>
      <c r="IF177" s="18"/>
      <c r="IG177" s="18"/>
      <c r="IH177" s="18"/>
      <c r="II177" s="18"/>
      <c r="IJ177" s="18"/>
      <c r="IK177" s="18"/>
      <c r="IL177" s="18"/>
      <c r="IM177" s="18"/>
      <c r="IN177" s="18"/>
      <c r="IO177" s="18"/>
      <c r="IP177" s="18"/>
      <c r="IQ177" s="18"/>
      <c r="IR177" s="18"/>
      <c r="IS177" s="18"/>
      <c r="IT177" s="18"/>
      <c r="IU177" s="18"/>
      <c r="IV177" s="18"/>
      <c r="IW177" s="18"/>
    </row>
    <row r="178" customFormat="false" ht="13.2" hidden="false" customHeight="false" outlineLevel="0" collapsed="false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  <c r="DG178" s="18"/>
      <c r="DH178" s="18"/>
      <c r="DI178" s="18"/>
      <c r="DJ178" s="18"/>
      <c r="DK178" s="18"/>
      <c r="DL178" s="18"/>
      <c r="DM178" s="18"/>
      <c r="DN178" s="18"/>
      <c r="DO178" s="18"/>
      <c r="DP178" s="18"/>
      <c r="DQ178" s="18"/>
      <c r="DR178" s="18"/>
      <c r="DS178" s="18"/>
      <c r="DT178" s="18"/>
      <c r="DU178" s="18"/>
      <c r="DV178" s="18"/>
      <c r="DW178" s="18"/>
      <c r="DX178" s="18"/>
      <c r="DY178" s="18"/>
      <c r="DZ178" s="18"/>
      <c r="EA178" s="18"/>
      <c r="EB178" s="18"/>
      <c r="EC178" s="18"/>
      <c r="ED178" s="18"/>
      <c r="EE178" s="18"/>
      <c r="EF178" s="18"/>
      <c r="EG178" s="18"/>
      <c r="EH178" s="18"/>
      <c r="EI178" s="18"/>
      <c r="EJ178" s="18"/>
      <c r="EK178" s="18"/>
      <c r="EL178" s="18"/>
      <c r="EM178" s="18"/>
      <c r="EN178" s="18"/>
      <c r="EO178" s="18"/>
      <c r="EP178" s="18"/>
      <c r="EQ178" s="18"/>
      <c r="ER178" s="18"/>
      <c r="ES178" s="18"/>
      <c r="ET178" s="18"/>
      <c r="EU178" s="18"/>
      <c r="EV178" s="18"/>
      <c r="EW178" s="18"/>
      <c r="EX178" s="18"/>
      <c r="EY178" s="18"/>
      <c r="EZ178" s="18"/>
      <c r="FA178" s="18"/>
      <c r="FB178" s="18"/>
      <c r="FC178" s="18"/>
      <c r="FD178" s="18"/>
      <c r="FE178" s="18"/>
      <c r="FF178" s="18"/>
      <c r="FG178" s="18"/>
      <c r="FH178" s="18"/>
      <c r="FI178" s="18"/>
      <c r="FJ178" s="18"/>
      <c r="FK178" s="18"/>
      <c r="FL178" s="18"/>
      <c r="FM178" s="18"/>
      <c r="FN178" s="18"/>
      <c r="FO178" s="18"/>
      <c r="FP178" s="18"/>
      <c r="FQ178" s="18"/>
      <c r="FR178" s="18"/>
      <c r="FS178" s="18"/>
      <c r="FT178" s="18"/>
      <c r="FU178" s="18"/>
      <c r="FV178" s="18"/>
      <c r="FW178" s="18"/>
      <c r="FX178" s="18"/>
      <c r="FY178" s="18"/>
      <c r="FZ178" s="18"/>
      <c r="GA178" s="18"/>
      <c r="GB178" s="18"/>
      <c r="GC178" s="18"/>
      <c r="GD178" s="18"/>
      <c r="GE178" s="18"/>
      <c r="GF178" s="18"/>
      <c r="GG178" s="18"/>
      <c r="GH178" s="18"/>
      <c r="GI178" s="18"/>
      <c r="GJ178" s="18"/>
      <c r="GK178" s="18"/>
      <c r="GL178" s="18"/>
      <c r="GM178" s="18"/>
      <c r="GN178" s="18"/>
      <c r="GO178" s="18"/>
      <c r="GP178" s="18"/>
      <c r="GQ178" s="18"/>
      <c r="GR178" s="18"/>
      <c r="GS178" s="18"/>
      <c r="GT178" s="18"/>
      <c r="GU178" s="18"/>
      <c r="GV178" s="18"/>
      <c r="GW178" s="18"/>
      <c r="GX178" s="18"/>
      <c r="GY178" s="18"/>
      <c r="GZ178" s="18"/>
      <c r="HA178" s="18"/>
      <c r="HB178" s="18"/>
      <c r="HC178" s="18"/>
      <c r="HD178" s="18"/>
      <c r="HE178" s="18"/>
      <c r="HF178" s="18"/>
      <c r="HG178" s="18"/>
      <c r="HH178" s="18"/>
      <c r="HI178" s="18"/>
      <c r="HJ178" s="18"/>
      <c r="HK178" s="18"/>
      <c r="HL178" s="18"/>
      <c r="HM178" s="18"/>
      <c r="HN178" s="18"/>
      <c r="HO178" s="18"/>
      <c r="HP178" s="18"/>
      <c r="HQ178" s="18"/>
      <c r="HR178" s="18"/>
      <c r="HS178" s="18"/>
      <c r="HT178" s="18"/>
      <c r="HU178" s="18"/>
      <c r="HV178" s="18"/>
      <c r="HW178" s="18"/>
      <c r="HX178" s="18"/>
      <c r="HY178" s="18"/>
      <c r="HZ178" s="18"/>
      <c r="IA178" s="18"/>
      <c r="IB178" s="18"/>
      <c r="IC178" s="18"/>
      <c r="ID178" s="18"/>
      <c r="IE178" s="18"/>
      <c r="IF178" s="18"/>
      <c r="IG178" s="18"/>
      <c r="IH178" s="18"/>
      <c r="II178" s="18"/>
      <c r="IJ178" s="18"/>
      <c r="IK178" s="18"/>
      <c r="IL178" s="18"/>
      <c r="IM178" s="18"/>
      <c r="IN178" s="18"/>
      <c r="IO178" s="18"/>
      <c r="IP178" s="18"/>
      <c r="IQ178" s="18"/>
      <c r="IR178" s="18"/>
      <c r="IS178" s="18"/>
      <c r="IT178" s="18"/>
      <c r="IU178" s="18"/>
      <c r="IV178" s="18"/>
      <c r="IW178" s="18"/>
    </row>
    <row r="179" customFormat="false" ht="13.2" hidden="false" customHeight="false" outlineLevel="0" collapsed="false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  <c r="DG179" s="18"/>
      <c r="DH179" s="18"/>
      <c r="DI179" s="18"/>
      <c r="DJ179" s="18"/>
      <c r="DK179" s="18"/>
      <c r="DL179" s="18"/>
      <c r="DM179" s="18"/>
      <c r="DN179" s="18"/>
      <c r="DO179" s="18"/>
      <c r="DP179" s="18"/>
      <c r="DQ179" s="18"/>
      <c r="DR179" s="18"/>
      <c r="DS179" s="18"/>
      <c r="DT179" s="18"/>
      <c r="DU179" s="18"/>
      <c r="DV179" s="18"/>
      <c r="DW179" s="18"/>
      <c r="DX179" s="18"/>
      <c r="DY179" s="18"/>
      <c r="DZ179" s="18"/>
      <c r="EA179" s="18"/>
      <c r="EB179" s="18"/>
      <c r="EC179" s="18"/>
      <c r="ED179" s="18"/>
      <c r="EE179" s="18"/>
      <c r="EF179" s="18"/>
      <c r="EG179" s="18"/>
      <c r="EH179" s="18"/>
      <c r="EI179" s="18"/>
      <c r="EJ179" s="18"/>
      <c r="EK179" s="18"/>
      <c r="EL179" s="18"/>
      <c r="EM179" s="18"/>
      <c r="EN179" s="18"/>
      <c r="EO179" s="18"/>
      <c r="EP179" s="18"/>
      <c r="EQ179" s="18"/>
      <c r="ER179" s="18"/>
      <c r="ES179" s="18"/>
      <c r="ET179" s="18"/>
      <c r="EU179" s="18"/>
      <c r="EV179" s="18"/>
      <c r="EW179" s="18"/>
      <c r="EX179" s="18"/>
      <c r="EY179" s="18"/>
      <c r="EZ179" s="18"/>
      <c r="FA179" s="18"/>
      <c r="FB179" s="18"/>
      <c r="FC179" s="18"/>
      <c r="FD179" s="18"/>
      <c r="FE179" s="18"/>
      <c r="FF179" s="18"/>
      <c r="FG179" s="18"/>
      <c r="FH179" s="18"/>
      <c r="FI179" s="18"/>
      <c r="FJ179" s="18"/>
      <c r="FK179" s="18"/>
      <c r="FL179" s="18"/>
      <c r="FM179" s="18"/>
      <c r="FN179" s="18"/>
      <c r="FO179" s="18"/>
      <c r="FP179" s="18"/>
      <c r="FQ179" s="18"/>
      <c r="FR179" s="18"/>
      <c r="FS179" s="18"/>
      <c r="FT179" s="18"/>
      <c r="FU179" s="18"/>
      <c r="FV179" s="18"/>
      <c r="FW179" s="18"/>
      <c r="FX179" s="18"/>
      <c r="FY179" s="18"/>
      <c r="FZ179" s="18"/>
      <c r="GA179" s="18"/>
      <c r="GB179" s="18"/>
      <c r="GC179" s="18"/>
      <c r="GD179" s="18"/>
      <c r="GE179" s="18"/>
      <c r="GF179" s="18"/>
      <c r="GG179" s="18"/>
      <c r="GH179" s="18"/>
      <c r="GI179" s="18"/>
      <c r="GJ179" s="18"/>
      <c r="GK179" s="18"/>
      <c r="GL179" s="18"/>
      <c r="GM179" s="18"/>
      <c r="GN179" s="18"/>
      <c r="GO179" s="18"/>
      <c r="GP179" s="18"/>
      <c r="GQ179" s="18"/>
      <c r="GR179" s="18"/>
      <c r="GS179" s="18"/>
      <c r="GT179" s="18"/>
      <c r="GU179" s="18"/>
      <c r="GV179" s="18"/>
      <c r="GW179" s="18"/>
      <c r="GX179" s="18"/>
      <c r="GY179" s="18"/>
      <c r="GZ179" s="18"/>
      <c r="HA179" s="18"/>
      <c r="HB179" s="18"/>
      <c r="HC179" s="18"/>
      <c r="HD179" s="18"/>
      <c r="HE179" s="18"/>
      <c r="HF179" s="18"/>
      <c r="HG179" s="18"/>
      <c r="HH179" s="18"/>
      <c r="HI179" s="18"/>
      <c r="HJ179" s="18"/>
      <c r="HK179" s="18"/>
      <c r="HL179" s="18"/>
      <c r="HM179" s="18"/>
      <c r="HN179" s="18"/>
      <c r="HO179" s="18"/>
      <c r="HP179" s="18"/>
      <c r="HQ179" s="18"/>
      <c r="HR179" s="18"/>
      <c r="HS179" s="18"/>
      <c r="HT179" s="18"/>
      <c r="HU179" s="18"/>
      <c r="HV179" s="18"/>
      <c r="HW179" s="18"/>
      <c r="HX179" s="18"/>
      <c r="HY179" s="18"/>
      <c r="HZ179" s="18"/>
      <c r="IA179" s="18"/>
      <c r="IB179" s="18"/>
      <c r="IC179" s="18"/>
      <c r="ID179" s="18"/>
      <c r="IE179" s="18"/>
      <c r="IF179" s="18"/>
      <c r="IG179" s="18"/>
      <c r="IH179" s="18"/>
      <c r="II179" s="18"/>
      <c r="IJ179" s="18"/>
      <c r="IK179" s="18"/>
      <c r="IL179" s="18"/>
      <c r="IM179" s="18"/>
      <c r="IN179" s="18"/>
      <c r="IO179" s="18"/>
      <c r="IP179" s="18"/>
      <c r="IQ179" s="18"/>
      <c r="IR179" s="18"/>
      <c r="IS179" s="18"/>
      <c r="IT179" s="18"/>
      <c r="IU179" s="18"/>
      <c r="IV179" s="18"/>
      <c r="IW179" s="18"/>
    </row>
    <row r="180" customFormat="false" ht="13.2" hidden="false" customHeight="false" outlineLevel="0" collapsed="false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  <c r="DG180" s="18"/>
      <c r="DH180" s="18"/>
      <c r="DI180" s="18"/>
      <c r="DJ180" s="18"/>
      <c r="DK180" s="18"/>
      <c r="DL180" s="18"/>
      <c r="DM180" s="18"/>
      <c r="DN180" s="18"/>
      <c r="DO180" s="18"/>
      <c r="DP180" s="18"/>
      <c r="DQ180" s="18"/>
      <c r="DR180" s="18"/>
      <c r="DS180" s="18"/>
      <c r="DT180" s="18"/>
      <c r="DU180" s="18"/>
      <c r="DV180" s="18"/>
      <c r="DW180" s="18"/>
      <c r="DX180" s="18"/>
      <c r="DY180" s="18"/>
      <c r="DZ180" s="18"/>
      <c r="EA180" s="18"/>
      <c r="EB180" s="18"/>
      <c r="EC180" s="18"/>
      <c r="ED180" s="18"/>
      <c r="EE180" s="18"/>
      <c r="EF180" s="18"/>
      <c r="EG180" s="18"/>
      <c r="EH180" s="18"/>
      <c r="EI180" s="18"/>
      <c r="EJ180" s="18"/>
      <c r="EK180" s="18"/>
      <c r="EL180" s="18"/>
      <c r="EM180" s="18"/>
      <c r="EN180" s="18"/>
      <c r="EO180" s="18"/>
      <c r="EP180" s="18"/>
      <c r="EQ180" s="18"/>
      <c r="ER180" s="18"/>
      <c r="ES180" s="18"/>
      <c r="ET180" s="18"/>
      <c r="EU180" s="18"/>
      <c r="EV180" s="18"/>
      <c r="EW180" s="18"/>
      <c r="EX180" s="18"/>
      <c r="EY180" s="18"/>
      <c r="EZ180" s="18"/>
      <c r="FA180" s="18"/>
      <c r="FB180" s="18"/>
      <c r="FC180" s="18"/>
      <c r="FD180" s="18"/>
      <c r="FE180" s="18"/>
      <c r="FF180" s="18"/>
      <c r="FG180" s="18"/>
      <c r="FH180" s="18"/>
      <c r="FI180" s="18"/>
      <c r="FJ180" s="18"/>
      <c r="FK180" s="18"/>
      <c r="FL180" s="18"/>
      <c r="FM180" s="18"/>
      <c r="FN180" s="18"/>
      <c r="FO180" s="18"/>
      <c r="FP180" s="18"/>
      <c r="FQ180" s="18"/>
      <c r="FR180" s="18"/>
      <c r="FS180" s="18"/>
      <c r="FT180" s="18"/>
      <c r="FU180" s="18"/>
      <c r="FV180" s="18"/>
      <c r="FW180" s="18"/>
      <c r="FX180" s="18"/>
      <c r="FY180" s="18"/>
      <c r="FZ180" s="18"/>
      <c r="GA180" s="18"/>
      <c r="GB180" s="18"/>
      <c r="GC180" s="18"/>
      <c r="GD180" s="18"/>
      <c r="GE180" s="18"/>
      <c r="GF180" s="18"/>
      <c r="GG180" s="18"/>
      <c r="GH180" s="18"/>
      <c r="GI180" s="18"/>
      <c r="GJ180" s="18"/>
      <c r="GK180" s="18"/>
      <c r="GL180" s="18"/>
      <c r="GM180" s="18"/>
      <c r="GN180" s="18"/>
      <c r="GO180" s="18"/>
      <c r="GP180" s="18"/>
      <c r="GQ180" s="18"/>
      <c r="GR180" s="18"/>
      <c r="GS180" s="18"/>
      <c r="GT180" s="18"/>
      <c r="GU180" s="18"/>
      <c r="GV180" s="18"/>
      <c r="GW180" s="18"/>
      <c r="GX180" s="18"/>
      <c r="GY180" s="18"/>
      <c r="GZ180" s="18"/>
      <c r="HA180" s="18"/>
      <c r="HB180" s="18"/>
      <c r="HC180" s="18"/>
      <c r="HD180" s="18"/>
      <c r="HE180" s="18"/>
      <c r="HF180" s="18"/>
      <c r="HG180" s="18"/>
      <c r="HH180" s="18"/>
      <c r="HI180" s="18"/>
      <c r="HJ180" s="18"/>
      <c r="HK180" s="18"/>
      <c r="HL180" s="18"/>
      <c r="HM180" s="18"/>
      <c r="HN180" s="18"/>
      <c r="HO180" s="18"/>
      <c r="HP180" s="18"/>
      <c r="HQ180" s="18"/>
      <c r="HR180" s="18"/>
      <c r="HS180" s="18"/>
      <c r="HT180" s="18"/>
      <c r="HU180" s="18"/>
      <c r="HV180" s="18"/>
      <c r="HW180" s="18"/>
      <c r="HX180" s="18"/>
      <c r="HY180" s="18"/>
      <c r="HZ180" s="18"/>
      <c r="IA180" s="18"/>
      <c r="IB180" s="18"/>
      <c r="IC180" s="18"/>
      <c r="ID180" s="18"/>
      <c r="IE180" s="18"/>
      <c r="IF180" s="18"/>
      <c r="IG180" s="18"/>
      <c r="IH180" s="18"/>
      <c r="II180" s="18"/>
      <c r="IJ180" s="18"/>
      <c r="IK180" s="18"/>
      <c r="IL180" s="18"/>
      <c r="IM180" s="18"/>
      <c r="IN180" s="18"/>
      <c r="IO180" s="18"/>
      <c r="IP180" s="18"/>
      <c r="IQ180" s="18"/>
      <c r="IR180" s="18"/>
      <c r="IS180" s="18"/>
      <c r="IT180" s="18"/>
      <c r="IU180" s="18"/>
      <c r="IV180" s="18"/>
      <c r="IW180" s="18"/>
    </row>
    <row r="181" customFormat="false" ht="13.2" hidden="false" customHeight="false" outlineLevel="0" collapsed="false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  <c r="DG181" s="18"/>
      <c r="DH181" s="18"/>
      <c r="DI181" s="18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8"/>
      <c r="FK181" s="18"/>
      <c r="FL181" s="18"/>
      <c r="FM181" s="18"/>
      <c r="FN181" s="18"/>
      <c r="FO181" s="18"/>
      <c r="FP181" s="18"/>
      <c r="FQ181" s="18"/>
      <c r="FR181" s="18"/>
      <c r="FS181" s="18"/>
      <c r="FT181" s="18"/>
      <c r="FU181" s="18"/>
      <c r="FV181" s="18"/>
      <c r="FW181" s="18"/>
      <c r="FX181" s="18"/>
      <c r="FY181" s="18"/>
      <c r="FZ181" s="18"/>
      <c r="GA181" s="18"/>
      <c r="GB181" s="18"/>
      <c r="GC181" s="18"/>
      <c r="GD181" s="18"/>
      <c r="GE181" s="18"/>
      <c r="GF181" s="18"/>
      <c r="GG181" s="18"/>
      <c r="GH181" s="18"/>
      <c r="GI181" s="18"/>
      <c r="GJ181" s="18"/>
      <c r="GK181" s="18"/>
      <c r="GL181" s="18"/>
      <c r="GM181" s="18"/>
      <c r="GN181" s="18"/>
      <c r="GO181" s="18"/>
      <c r="GP181" s="18"/>
      <c r="GQ181" s="18"/>
      <c r="GR181" s="18"/>
      <c r="GS181" s="18"/>
      <c r="GT181" s="18"/>
      <c r="GU181" s="18"/>
      <c r="GV181" s="18"/>
      <c r="GW181" s="18"/>
      <c r="GX181" s="18"/>
      <c r="GY181" s="18"/>
      <c r="GZ181" s="18"/>
      <c r="HA181" s="18"/>
      <c r="HB181" s="18"/>
      <c r="HC181" s="18"/>
      <c r="HD181" s="18"/>
      <c r="HE181" s="18"/>
      <c r="HF181" s="18"/>
      <c r="HG181" s="18"/>
      <c r="HH181" s="18"/>
      <c r="HI181" s="18"/>
      <c r="HJ181" s="18"/>
      <c r="HK181" s="18"/>
      <c r="HL181" s="18"/>
      <c r="HM181" s="18"/>
      <c r="HN181" s="18"/>
      <c r="HO181" s="18"/>
      <c r="HP181" s="18"/>
      <c r="HQ181" s="18"/>
      <c r="HR181" s="18"/>
      <c r="HS181" s="18"/>
      <c r="HT181" s="18"/>
      <c r="HU181" s="18"/>
      <c r="HV181" s="18"/>
      <c r="HW181" s="18"/>
      <c r="HX181" s="18"/>
      <c r="HY181" s="18"/>
      <c r="HZ181" s="18"/>
      <c r="IA181" s="18"/>
      <c r="IB181" s="18"/>
      <c r="IC181" s="18"/>
      <c r="ID181" s="18"/>
      <c r="IE181" s="18"/>
      <c r="IF181" s="18"/>
      <c r="IG181" s="18"/>
      <c r="IH181" s="18"/>
      <c r="II181" s="18"/>
      <c r="IJ181" s="18"/>
      <c r="IK181" s="18"/>
      <c r="IL181" s="18"/>
      <c r="IM181" s="18"/>
      <c r="IN181" s="18"/>
      <c r="IO181" s="18"/>
      <c r="IP181" s="18"/>
      <c r="IQ181" s="18"/>
      <c r="IR181" s="18"/>
      <c r="IS181" s="18"/>
      <c r="IT181" s="18"/>
      <c r="IU181" s="18"/>
      <c r="IV181" s="18"/>
      <c r="IW181" s="18"/>
    </row>
    <row r="182" customFormat="false" ht="13.2" hidden="false" customHeight="false" outlineLevel="0" collapsed="false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  <c r="DG182" s="18"/>
      <c r="DH182" s="18"/>
      <c r="DI182" s="18"/>
      <c r="DJ182" s="18"/>
      <c r="DK182" s="18"/>
      <c r="DL182" s="18"/>
      <c r="DM182" s="18"/>
      <c r="DN182" s="18"/>
      <c r="DO182" s="18"/>
      <c r="DP182" s="18"/>
      <c r="DQ182" s="18"/>
      <c r="DR182" s="18"/>
      <c r="DS182" s="18"/>
      <c r="DT182" s="18"/>
      <c r="DU182" s="18"/>
      <c r="DV182" s="18"/>
      <c r="DW182" s="18"/>
      <c r="DX182" s="18"/>
      <c r="DY182" s="18"/>
      <c r="DZ182" s="18"/>
      <c r="EA182" s="18"/>
      <c r="EB182" s="18"/>
      <c r="EC182" s="18"/>
      <c r="ED182" s="18"/>
      <c r="EE182" s="18"/>
      <c r="EF182" s="18"/>
      <c r="EG182" s="18"/>
      <c r="EH182" s="18"/>
      <c r="EI182" s="18"/>
      <c r="EJ182" s="18"/>
      <c r="EK182" s="18"/>
      <c r="EL182" s="18"/>
      <c r="EM182" s="18"/>
      <c r="EN182" s="18"/>
      <c r="EO182" s="18"/>
      <c r="EP182" s="18"/>
      <c r="EQ182" s="18"/>
      <c r="ER182" s="18"/>
      <c r="ES182" s="18"/>
      <c r="ET182" s="18"/>
      <c r="EU182" s="18"/>
      <c r="EV182" s="18"/>
      <c r="EW182" s="18"/>
      <c r="EX182" s="18"/>
      <c r="EY182" s="18"/>
      <c r="EZ182" s="18"/>
      <c r="FA182" s="18"/>
      <c r="FB182" s="18"/>
      <c r="FC182" s="18"/>
      <c r="FD182" s="18"/>
      <c r="FE182" s="18"/>
      <c r="FF182" s="18"/>
      <c r="FG182" s="18"/>
      <c r="FH182" s="18"/>
      <c r="FI182" s="18"/>
      <c r="FJ182" s="18"/>
      <c r="FK182" s="18"/>
      <c r="FL182" s="18"/>
      <c r="FM182" s="18"/>
      <c r="FN182" s="18"/>
      <c r="FO182" s="18"/>
      <c r="FP182" s="18"/>
      <c r="FQ182" s="18"/>
      <c r="FR182" s="18"/>
      <c r="FS182" s="18"/>
      <c r="FT182" s="18"/>
      <c r="FU182" s="18"/>
      <c r="FV182" s="18"/>
      <c r="FW182" s="18"/>
      <c r="FX182" s="18"/>
      <c r="FY182" s="18"/>
      <c r="FZ182" s="18"/>
      <c r="GA182" s="18"/>
      <c r="GB182" s="18"/>
      <c r="GC182" s="18"/>
      <c r="GD182" s="18"/>
      <c r="GE182" s="18"/>
      <c r="GF182" s="18"/>
      <c r="GG182" s="18"/>
      <c r="GH182" s="18"/>
      <c r="GI182" s="18"/>
      <c r="GJ182" s="18"/>
      <c r="GK182" s="18"/>
      <c r="GL182" s="18"/>
      <c r="GM182" s="18"/>
      <c r="GN182" s="18"/>
      <c r="GO182" s="18"/>
      <c r="GP182" s="18"/>
      <c r="GQ182" s="18"/>
      <c r="GR182" s="18"/>
      <c r="GS182" s="18"/>
      <c r="GT182" s="18"/>
      <c r="GU182" s="18"/>
      <c r="GV182" s="18"/>
      <c r="GW182" s="18"/>
      <c r="GX182" s="18"/>
      <c r="GY182" s="18"/>
      <c r="GZ182" s="18"/>
      <c r="HA182" s="18"/>
      <c r="HB182" s="18"/>
      <c r="HC182" s="18"/>
      <c r="HD182" s="18"/>
      <c r="HE182" s="18"/>
      <c r="HF182" s="18"/>
      <c r="HG182" s="18"/>
      <c r="HH182" s="18"/>
      <c r="HI182" s="18"/>
      <c r="HJ182" s="18"/>
      <c r="HK182" s="18"/>
      <c r="HL182" s="18"/>
      <c r="HM182" s="18"/>
      <c r="HN182" s="18"/>
      <c r="HO182" s="18"/>
      <c r="HP182" s="18"/>
      <c r="HQ182" s="18"/>
      <c r="HR182" s="18"/>
      <c r="HS182" s="18"/>
      <c r="HT182" s="18"/>
      <c r="HU182" s="18"/>
      <c r="HV182" s="18"/>
      <c r="HW182" s="18"/>
      <c r="HX182" s="18"/>
      <c r="HY182" s="18"/>
      <c r="HZ182" s="18"/>
      <c r="IA182" s="18"/>
      <c r="IB182" s="18"/>
      <c r="IC182" s="18"/>
      <c r="ID182" s="18"/>
      <c r="IE182" s="18"/>
      <c r="IF182" s="18"/>
      <c r="IG182" s="18"/>
      <c r="IH182" s="18"/>
      <c r="II182" s="18"/>
      <c r="IJ182" s="18"/>
      <c r="IK182" s="18"/>
      <c r="IL182" s="18"/>
      <c r="IM182" s="18"/>
      <c r="IN182" s="18"/>
      <c r="IO182" s="18"/>
      <c r="IP182" s="18"/>
      <c r="IQ182" s="18"/>
      <c r="IR182" s="18"/>
      <c r="IS182" s="18"/>
      <c r="IT182" s="18"/>
      <c r="IU182" s="18"/>
      <c r="IV182" s="18"/>
      <c r="IW182" s="18"/>
    </row>
    <row r="183" customFormat="false" ht="13.2" hidden="false" customHeight="false" outlineLevel="0" collapsed="false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  <c r="DG183" s="18"/>
      <c r="DH183" s="18"/>
      <c r="DI183" s="18"/>
      <c r="DJ183" s="18"/>
      <c r="DK183" s="18"/>
      <c r="DL183" s="18"/>
      <c r="DM183" s="18"/>
      <c r="DN183" s="18"/>
      <c r="DO183" s="18"/>
      <c r="DP183" s="18"/>
      <c r="DQ183" s="18"/>
      <c r="DR183" s="18"/>
      <c r="DS183" s="18"/>
      <c r="DT183" s="18"/>
      <c r="DU183" s="18"/>
      <c r="DV183" s="18"/>
      <c r="DW183" s="18"/>
      <c r="DX183" s="18"/>
      <c r="DY183" s="18"/>
      <c r="DZ183" s="18"/>
      <c r="EA183" s="18"/>
      <c r="EB183" s="18"/>
      <c r="EC183" s="18"/>
      <c r="ED183" s="18"/>
      <c r="EE183" s="18"/>
      <c r="EF183" s="18"/>
      <c r="EG183" s="18"/>
      <c r="EH183" s="18"/>
      <c r="EI183" s="18"/>
      <c r="EJ183" s="18"/>
      <c r="EK183" s="18"/>
      <c r="EL183" s="18"/>
      <c r="EM183" s="18"/>
      <c r="EN183" s="18"/>
      <c r="EO183" s="18"/>
      <c r="EP183" s="18"/>
      <c r="EQ183" s="18"/>
      <c r="ER183" s="18"/>
      <c r="ES183" s="18"/>
      <c r="ET183" s="18"/>
      <c r="EU183" s="18"/>
      <c r="EV183" s="18"/>
      <c r="EW183" s="18"/>
      <c r="EX183" s="18"/>
      <c r="EY183" s="18"/>
      <c r="EZ183" s="18"/>
      <c r="FA183" s="18"/>
      <c r="FB183" s="18"/>
      <c r="FC183" s="18"/>
      <c r="FD183" s="18"/>
      <c r="FE183" s="18"/>
      <c r="FF183" s="18"/>
      <c r="FG183" s="18"/>
      <c r="FH183" s="18"/>
      <c r="FI183" s="18"/>
      <c r="FJ183" s="18"/>
      <c r="FK183" s="18"/>
      <c r="FL183" s="18"/>
      <c r="FM183" s="18"/>
      <c r="FN183" s="18"/>
      <c r="FO183" s="18"/>
      <c r="FP183" s="18"/>
      <c r="FQ183" s="18"/>
      <c r="FR183" s="18"/>
      <c r="FS183" s="18"/>
      <c r="FT183" s="18"/>
      <c r="FU183" s="18"/>
      <c r="FV183" s="18"/>
      <c r="FW183" s="18"/>
      <c r="FX183" s="18"/>
      <c r="FY183" s="18"/>
      <c r="FZ183" s="18"/>
      <c r="GA183" s="18"/>
      <c r="GB183" s="18"/>
      <c r="GC183" s="18"/>
      <c r="GD183" s="18"/>
      <c r="GE183" s="18"/>
      <c r="GF183" s="18"/>
      <c r="GG183" s="18"/>
      <c r="GH183" s="18"/>
      <c r="GI183" s="18"/>
      <c r="GJ183" s="18"/>
      <c r="GK183" s="18"/>
      <c r="GL183" s="18"/>
      <c r="GM183" s="18"/>
      <c r="GN183" s="18"/>
      <c r="GO183" s="18"/>
      <c r="GP183" s="18"/>
      <c r="GQ183" s="18"/>
      <c r="GR183" s="18"/>
      <c r="GS183" s="18"/>
      <c r="GT183" s="18"/>
      <c r="GU183" s="18"/>
      <c r="GV183" s="18"/>
      <c r="GW183" s="18"/>
      <c r="GX183" s="18"/>
      <c r="GY183" s="18"/>
      <c r="GZ183" s="18"/>
      <c r="HA183" s="18"/>
      <c r="HB183" s="18"/>
      <c r="HC183" s="18"/>
      <c r="HD183" s="18"/>
      <c r="HE183" s="18"/>
      <c r="HF183" s="18"/>
      <c r="HG183" s="18"/>
      <c r="HH183" s="18"/>
      <c r="HI183" s="18"/>
      <c r="HJ183" s="18"/>
      <c r="HK183" s="18"/>
      <c r="HL183" s="18"/>
      <c r="HM183" s="18"/>
      <c r="HN183" s="18"/>
      <c r="HO183" s="18"/>
      <c r="HP183" s="18"/>
      <c r="HQ183" s="18"/>
      <c r="HR183" s="18"/>
      <c r="HS183" s="18"/>
      <c r="HT183" s="18"/>
      <c r="HU183" s="18"/>
      <c r="HV183" s="18"/>
      <c r="HW183" s="18"/>
      <c r="HX183" s="18"/>
      <c r="HY183" s="18"/>
      <c r="HZ183" s="18"/>
      <c r="IA183" s="18"/>
      <c r="IB183" s="18"/>
      <c r="IC183" s="18"/>
      <c r="ID183" s="18"/>
      <c r="IE183" s="18"/>
      <c r="IF183" s="18"/>
      <c r="IG183" s="18"/>
      <c r="IH183" s="18"/>
      <c r="II183" s="18"/>
      <c r="IJ183" s="18"/>
      <c r="IK183" s="18"/>
      <c r="IL183" s="18"/>
      <c r="IM183" s="18"/>
      <c r="IN183" s="18"/>
      <c r="IO183" s="18"/>
      <c r="IP183" s="18"/>
      <c r="IQ183" s="18"/>
      <c r="IR183" s="18"/>
      <c r="IS183" s="18"/>
      <c r="IT183" s="18"/>
      <c r="IU183" s="18"/>
      <c r="IV183" s="18"/>
      <c r="IW183" s="18"/>
    </row>
    <row r="184" customFormat="false" ht="13.2" hidden="false" customHeight="false" outlineLevel="0" collapsed="false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/>
      <c r="DH184" s="18"/>
      <c r="DI184" s="18"/>
      <c r="DJ184" s="18"/>
      <c r="DK184" s="18"/>
      <c r="DL184" s="18"/>
      <c r="DM184" s="18"/>
      <c r="DN184" s="18"/>
      <c r="DO184" s="18"/>
      <c r="DP184" s="18"/>
      <c r="DQ184" s="18"/>
      <c r="DR184" s="18"/>
      <c r="DS184" s="18"/>
      <c r="DT184" s="18"/>
      <c r="DU184" s="18"/>
      <c r="DV184" s="18"/>
      <c r="DW184" s="18"/>
      <c r="DX184" s="18"/>
      <c r="DY184" s="18"/>
      <c r="DZ184" s="18"/>
      <c r="EA184" s="18"/>
      <c r="EB184" s="18"/>
      <c r="EC184" s="18"/>
      <c r="ED184" s="18"/>
      <c r="EE184" s="18"/>
      <c r="EF184" s="18"/>
      <c r="EG184" s="18"/>
      <c r="EH184" s="18"/>
      <c r="EI184" s="18"/>
      <c r="EJ184" s="18"/>
      <c r="EK184" s="18"/>
      <c r="EL184" s="18"/>
      <c r="EM184" s="18"/>
      <c r="EN184" s="18"/>
      <c r="EO184" s="18"/>
      <c r="EP184" s="18"/>
      <c r="EQ184" s="18"/>
      <c r="ER184" s="18"/>
      <c r="ES184" s="18"/>
      <c r="ET184" s="18"/>
      <c r="EU184" s="18"/>
      <c r="EV184" s="18"/>
      <c r="EW184" s="18"/>
      <c r="EX184" s="18"/>
      <c r="EY184" s="18"/>
      <c r="EZ184" s="18"/>
      <c r="FA184" s="18"/>
      <c r="FB184" s="18"/>
      <c r="FC184" s="18"/>
      <c r="FD184" s="18"/>
      <c r="FE184" s="18"/>
      <c r="FF184" s="18"/>
      <c r="FG184" s="18"/>
      <c r="FH184" s="18"/>
      <c r="FI184" s="18"/>
      <c r="FJ184" s="18"/>
      <c r="FK184" s="18"/>
      <c r="FL184" s="18"/>
      <c r="FM184" s="18"/>
      <c r="FN184" s="18"/>
      <c r="FO184" s="18"/>
      <c r="FP184" s="18"/>
      <c r="FQ184" s="18"/>
      <c r="FR184" s="18"/>
      <c r="FS184" s="18"/>
      <c r="FT184" s="18"/>
      <c r="FU184" s="18"/>
      <c r="FV184" s="18"/>
      <c r="FW184" s="18"/>
      <c r="FX184" s="18"/>
      <c r="FY184" s="18"/>
      <c r="FZ184" s="18"/>
      <c r="GA184" s="18"/>
      <c r="GB184" s="18"/>
      <c r="GC184" s="18"/>
      <c r="GD184" s="18"/>
      <c r="GE184" s="18"/>
      <c r="GF184" s="18"/>
      <c r="GG184" s="18"/>
      <c r="GH184" s="18"/>
      <c r="GI184" s="18"/>
      <c r="GJ184" s="18"/>
      <c r="GK184" s="18"/>
      <c r="GL184" s="18"/>
      <c r="GM184" s="18"/>
      <c r="GN184" s="18"/>
      <c r="GO184" s="18"/>
      <c r="GP184" s="18"/>
      <c r="GQ184" s="18"/>
      <c r="GR184" s="18"/>
      <c r="GS184" s="18"/>
      <c r="GT184" s="18"/>
      <c r="GU184" s="18"/>
      <c r="GV184" s="18"/>
      <c r="GW184" s="18"/>
      <c r="GX184" s="18"/>
      <c r="GY184" s="18"/>
      <c r="GZ184" s="18"/>
      <c r="HA184" s="18"/>
      <c r="HB184" s="18"/>
      <c r="HC184" s="18"/>
      <c r="HD184" s="18"/>
      <c r="HE184" s="18"/>
      <c r="HF184" s="18"/>
      <c r="HG184" s="18"/>
      <c r="HH184" s="18"/>
      <c r="HI184" s="18"/>
      <c r="HJ184" s="18"/>
      <c r="HK184" s="18"/>
      <c r="HL184" s="18"/>
      <c r="HM184" s="18"/>
      <c r="HN184" s="18"/>
      <c r="HO184" s="18"/>
      <c r="HP184" s="18"/>
      <c r="HQ184" s="18"/>
      <c r="HR184" s="18"/>
      <c r="HS184" s="18"/>
      <c r="HT184" s="18"/>
      <c r="HU184" s="18"/>
      <c r="HV184" s="18"/>
      <c r="HW184" s="18"/>
      <c r="HX184" s="18"/>
      <c r="HY184" s="18"/>
      <c r="HZ184" s="18"/>
      <c r="IA184" s="18"/>
      <c r="IB184" s="18"/>
      <c r="IC184" s="18"/>
      <c r="ID184" s="18"/>
      <c r="IE184" s="18"/>
      <c r="IF184" s="18"/>
      <c r="IG184" s="18"/>
      <c r="IH184" s="18"/>
      <c r="II184" s="18"/>
      <c r="IJ184" s="18"/>
      <c r="IK184" s="18"/>
      <c r="IL184" s="18"/>
      <c r="IM184" s="18"/>
      <c r="IN184" s="18"/>
      <c r="IO184" s="18"/>
      <c r="IP184" s="18"/>
      <c r="IQ184" s="18"/>
      <c r="IR184" s="18"/>
      <c r="IS184" s="18"/>
      <c r="IT184" s="18"/>
      <c r="IU184" s="18"/>
      <c r="IV184" s="18"/>
      <c r="IW184" s="18"/>
    </row>
    <row r="185" customFormat="false" ht="13.2" hidden="false" customHeight="false" outlineLevel="0" collapsed="false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/>
      <c r="DG185" s="18"/>
      <c r="DH185" s="18"/>
      <c r="DI185" s="18"/>
      <c r="DJ185" s="18"/>
      <c r="DK185" s="18"/>
      <c r="DL185" s="18"/>
      <c r="DM185" s="18"/>
      <c r="DN185" s="18"/>
      <c r="DO185" s="18"/>
      <c r="DP185" s="18"/>
      <c r="DQ185" s="18"/>
      <c r="DR185" s="18"/>
      <c r="DS185" s="18"/>
      <c r="DT185" s="18"/>
      <c r="DU185" s="18"/>
      <c r="DV185" s="18"/>
      <c r="DW185" s="18"/>
      <c r="DX185" s="18"/>
      <c r="DY185" s="18"/>
      <c r="DZ185" s="18"/>
      <c r="EA185" s="18"/>
      <c r="EB185" s="18"/>
      <c r="EC185" s="18"/>
      <c r="ED185" s="18"/>
      <c r="EE185" s="18"/>
      <c r="EF185" s="18"/>
      <c r="EG185" s="18"/>
      <c r="EH185" s="18"/>
      <c r="EI185" s="18"/>
      <c r="EJ185" s="18"/>
      <c r="EK185" s="18"/>
      <c r="EL185" s="18"/>
      <c r="EM185" s="18"/>
      <c r="EN185" s="18"/>
      <c r="EO185" s="18"/>
      <c r="EP185" s="18"/>
      <c r="EQ185" s="18"/>
      <c r="ER185" s="18"/>
      <c r="ES185" s="18"/>
      <c r="ET185" s="18"/>
      <c r="EU185" s="18"/>
      <c r="EV185" s="18"/>
      <c r="EW185" s="18"/>
      <c r="EX185" s="18"/>
      <c r="EY185" s="18"/>
      <c r="EZ185" s="18"/>
      <c r="FA185" s="18"/>
      <c r="FB185" s="18"/>
      <c r="FC185" s="18"/>
      <c r="FD185" s="18"/>
      <c r="FE185" s="18"/>
      <c r="FF185" s="18"/>
      <c r="FG185" s="18"/>
      <c r="FH185" s="18"/>
      <c r="FI185" s="18"/>
      <c r="FJ185" s="18"/>
      <c r="FK185" s="18"/>
      <c r="FL185" s="18"/>
      <c r="FM185" s="18"/>
      <c r="FN185" s="18"/>
      <c r="FO185" s="18"/>
      <c r="FP185" s="18"/>
      <c r="FQ185" s="18"/>
      <c r="FR185" s="18"/>
      <c r="FS185" s="18"/>
      <c r="FT185" s="18"/>
      <c r="FU185" s="18"/>
      <c r="FV185" s="18"/>
      <c r="FW185" s="18"/>
      <c r="FX185" s="18"/>
      <c r="FY185" s="18"/>
      <c r="FZ185" s="18"/>
      <c r="GA185" s="18"/>
      <c r="GB185" s="18"/>
      <c r="GC185" s="18"/>
      <c r="GD185" s="18"/>
      <c r="GE185" s="18"/>
      <c r="GF185" s="18"/>
      <c r="GG185" s="18"/>
      <c r="GH185" s="18"/>
      <c r="GI185" s="18"/>
      <c r="GJ185" s="18"/>
      <c r="GK185" s="18"/>
      <c r="GL185" s="18"/>
      <c r="GM185" s="18"/>
      <c r="GN185" s="18"/>
      <c r="GO185" s="18"/>
      <c r="GP185" s="18"/>
      <c r="GQ185" s="18"/>
      <c r="GR185" s="18"/>
      <c r="GS185" s="18"/>
      <c r="GT185" s="18"/>
      <c r="GU185" s="18"/>
      <c r="GV185" s="18"/>
      <c r="GW185" s="18"/>
      <c r="GX185" s="18"/>
      <c r="GY185" s="18"/>
      <c r="GZ185" s="18"/>
      <c r="HA185" s="18"/>
      <c r="HB185" s="18"/>
      <c r="HC185" s="18"/>
      <c r="HD185" s="18"/>
      <c r="HE185" s="18"/>
      <c r="HF185" s="18"/>
      <c r="HG185" s="18"/>
      <c r="HH185" s="18"/>
      <c r="HI185" s="18"/>
      <c r="HJ185" s="18"/>
      <c r="HK185" s="18"/>
      <c r="HL185" s="18"/>
      <c r="HM185" s="18"/>
      <c r="HN185" s="18"/>
      <c r="HO185" s="18"/>
      <c r="HP185" s="18"/>
      <c r="HQ185" s="18"/>
      <c r="HR185" s="18"/>
      <c r="HS185" s="18"/>
      <c r="HT185" s="18"/>
      <c r="HU185" s="18"/>
      <c r="HV185" s="18"/>
      <c r="HW185" s="18"/>
      <c r="HX185" s="18"/>
      <c r="HY185" s="18"/>
      <c r="HZ185" s="18"/>
      <c r="IA185" s="18"/>
      <c r="IB185" s="18"/>
      <c r="IC185" s="18"/>
      <c r="ID185" s="18"/>
      <c r="IE185" s="18"/>
      <c r="IF185" s="18"/>
      <c r="IG185" s="18"/>
      <c r="IH185" s="18"/>
      <c r="II185" s="18"/>
      <c r="IJ185" s="18"/>
      <c r="IK185" s="18"/>
      <c r="IL185" s="18"/>
      <c r="IM185" s="18"/>
      <c r="IN185" s="18"/>
      <c r="IO185" s="18"/>
      <c r="IP185" s="18"/>
      <c r="IQ185" s="18"/>
      <c r="IR185" s="18"/>
      <c r="IS185" s="18"/>
      <c r="IT185" s="18"/>
      <c r="IU185" s="18"/>
      <c r="IV185" s="18"/>
      <c r="IW185" s="18"/>
    </row>
    <row r="186" customFormat="false" ht="13.2" hidden="false" customHeight="false" outlineLevel="0" collapsed="false"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U186" s="405"/>
      <c r="V186" s="405"/>
      <c r="W186" s="405"/>
      <c r="X186" s="405"/>
      <c r="Y186" s="405"/>
      <c r="Z186" s="405"/>
      <c r="AA186" s="405"/>
      <c r="AB186" s="405"/>
      <c r="AC186" s="405"/>
      <c r="AD186" s="405"/>
      <c r="AE186" s="405"/>
      <c r="AF186" s="405"/>
      <c r="AG186" s="405"/>
      <c r="AH186" s="405"/>
      <c r="AI186" s="405"/>
      <c r="AJ186" s="405"/>
      <c r="AK186" s="405"/>
      <c r="AL186" s="405"/>
    </row>
    <row r="187" customFormat="false" ht="13.2" hidden="false" customHeight="false" outlineLevel="0" collapsed="false">
      <c r="H187" s="18"/>
      <c r="Q187" s="18"/>
      <c r="U187" s="405"/>
      <c r="V187" s="405"/>
      <c r="W187" s="405"/>
      <c r="X187" s="405"/>
      <c r="Y187" s="405"/>
      <c r="Z187" s="405"/>
      <c r="AA187" s="405"/>
      <c r="AB187" s="405"/>
      <c r="AC187" s="405"/>
      <c r="AD187" s="405"/>
      <c r="AE187" s="405"/>
      <c r="AF187" s="405"/>
      <c r="AG187" s="405"/>
      <c r="AH187" s="405"/>
      <c r="AI187" s="405"/>
      <c r="AJ187" s="405"/>
      <c r="AK187" s="405"/>
      <c r="AL187" s="405"/>
    </row>
    <row r="188" customFormat="false" ht="13.2" hidden="false" customHeight="false" outlineLevel="0" collapsed="false">
      <c r="H188" s="18"/>
      <c r="U188" s="405"/>
      <c r="V188" s="405"/>
      <c r="W188" s="405"/>
      <c r="X188" s="405"/>
      <c r="Y188" s="405"/>
      <c r="Z188" s="405"/>
      <c r="AA188" s="405"/>
      <c r="AB188" s="405"/>
      <c r="AC188" s="405"/>
      <c r="AD188" s="405"/>
      <c r="AE188" s="405"/>
      <c r="AF188" s="405"/>
      <c r="AG188" s="405"/>
      <c r="AH188" s="405"/>
      <c r="AI188" s="405"/>
      <c r="AJ188" s="405"/>
      <c r="AK188" s="405"/>
      <c r="AL188" s="405"/>
    </row>
    <row r="189" customFormat="false" ht="13.2" hidden="false" customHeight="false" outlineLevel="0" collapsed="false">
      <c r="H189" s="18"/>
      <c r="U189" s="405"/>
      <c r="V189" s="405"/>
      <c r="W189" s="405"/>
      <c r="X189" s="405"/>
      <c r="Y189" s="405"/>
      <c r="Z189" s="405"/>
      <c r="AA189" s="405"/>
      <c r="AB189" s="405"/>
      <c r="AC189" s="405"/>
      <c r="AD189" s="405"/>
      <c r="AE189" s="405"/>
      <c r="AF189" s="405"/>
      <c r="AG189" s="405"/>
      <c r="AH189" s="405"/>
      <c r="AI189" s="405"/>
      <c r="AJ189" s="405"/>
      <c r="AK189" s="405"/>
      <c r="AL189" s="405"/>
    </row>
    <row r="190" customFormat="false" ht="13.2" hidden="false" customHeight="false" outlineLevel="0" collapsed="false">
      <c r="H190" s="18"/>
      <c r="U190" s="405"/>
      <c r="V190" s="405"/>
      <c r="W190" s="405"/>
      <c r="X190" s="405"/>
      <c r="Y190" s="405"/>
      <c r="Z190" s="405"/>
      <c r="AA190" s="405"/>
      <c r="AB190" s="405"/>
      <c r="AC190" s="405"/>
      <c r="AD190" s="405"/>
      <c r="AE190" s="405"/>
      <c r="AF190" s="405"/>
      <c r="AG190" s="405"/>
      <c r="AH190" s="405"/>
      <c r="AI190" s="405"/>
      <c r="AJ190" s="405"/>
      <c r="AK190" s="405"/>
      <c r="AL190" s="405"/>
    </row>
    <row r="191" customFormat="false" ht="13.2" hidden="false" customHeight="false" outlineLevel="0" collapsed="false">
      <c r="U191" s="405"/>
      <c r="V191" s="405"/>
      <c r="W191" s="405"/>
      <c r="X191" s="405"/>
      <c r="Y191" s="405"/>
      <c r="Z191" s="405"/>
      <c r="AA191" s="405"/>
      <c r="AB191" s="405"/>
      <c r="AC191" s="405"/>
      <c r="AD191" s="405"/>
      <c r="AE191" s="405"/>
      <c r="AF191" s="405"/>
      <c r="AG191" s="405"/>
      <c r="AH191" s="405"/>
      <c r="AI191" s="405"/>
      <c r="AJ191" s="405"/>
      <c r="AK191" s="405"/>
      <c r="AL191" s="405"/>
    </row>
    <row r="192" customFormat="false" ht="13.2" hidden="false" customHeight="false" outlineLevel="0" collapsed="false">
      <c r="U192" s="405"/>
      <c r="V192" s="405"/>
      <c r="W192" s="405"/>
      <c r="X192" s="405"/>
      <c r="Y192" s="405"/>
      <c r="Z192" s="405"/>
      <c r="AA192" s="405"/>
      <c r="AB192" s="405"/>
      <c r="AC192" s="405"/>
      <c r="AD192" s="405"/>
      <c r="AE192" s="405"/>
      <c r="AF192" s="405"/>
      <c r="AG192" s="405"/>
      <c r="AH192" s="405"/>
      <c r="AI192" s="405"/>
      <c r="AJ192" s="405"/>
      <c r="AK192" s="405"/>
      <c r="AL192" s="405"/>
    </row>
    <row r="193" customFormat="false" ht="13.2" hidden="false" customHeight="false" outlineLevel="0" collapsed="false">
      <c r="U193" s="405"/>
      <c r="V193" s="405"/>
      <c r="W193" s="405"/>
      <c r="X193" s="405"/>
      <c r="Y193" s="405"/>
      <c r="Z193" s="405"/>
      <c r="AA193" s="405"/>
      <c r="AB193" s="405"/>
      <c r="AC193" s="405"/>
      <c r="AD193" s="405"/>
      <c r="AE193" s="405"/>
      <c r="AF193" s="405"/>
      <c r="AG193" s="405"/>
      <c r="AH193" s="405"/>
      <c r="AI193" s="405"/>
      <c r="AJ193" s="405"/>
      <c r="AK193" s="405"/>
      <c r="AL193" s="405"/>
    </row>
    <row r="194" customFormat="false" ht="13.2" hidden="false" customHeight="false" outlineLevel="0" collapsed="false">
      <c r="U194" s="405"/>
      <c r="V194" s="405"/>
      <c r="W194" s="405"/>
      <c r="X194" s="405"/>
      <c r="Y194" s="405"/>
      <c r="Z194" s="405"/>
      <c r="AA194" s="405"/>
      <c r="AB194" s="405"/>
      <c r="AC194" s="405"/>
      <c r="AD194" s="405"/>
      <c r="AE194" s="405"/>
      <c r="AF194" s="405"/>
      <c r="AG194" s="405"/>
      <c r="AH194" s="405"/>
      <c r="AI194" s="405"/>
      <c r="AJ194" s="405"/>
      <c r="AK194" s="405"/>
      <c r="AL194" s="405"/>
    </row>
    <row r="195" customFormat="false" ht="13.2" hidden="false" customHeight="false" outlineLevel="0" collapsed="false">
      <c r="U195" s="405"/>
      <c r="V195" s="405"/>
      <c r="W195" s="405"/>
      <c r="X195" s="405"/>
      <c r="Y195" s="405"/>
      <c r="Z195" s="405"/>
      <c r="AA195" s="405"/>
      <c r="AB195" s="405"/>
      <c r="AC195" s="405"/>
      <c r="AD195" s="405"/>
      <c r="AE195" s="405"/>
      <c r="AF195" s="405"/>
      <c r="AG195" s="405"/>
      <c r="AH195" s="405"/>
      <c r="AI195" s="405"/>
      <c r="AJ195" s="405"/>
      <c r="AK195" s="405"/>
      <c r="AL195" s="405"/>
    </row>
    <row r="196" customFormat="false" ht="13.2" hidden="false" customHeight="false" outlineLevel="0" collapsed="false">
      <c r="U196" s="405"/>
      <c r="V196" s="405"/>
      <c r="W196" s="405"/>
      <c r="X196" s="405"/>
      <c r="Y196" s="405"/>
      <c r="Z196" s="405"/>
      <c r="AA196" s="405"/>
      <c r="AB196" s="405"/>
      <c r="AC196" s="405"/>
      <c r="AD196" s="405"/>
      <c r="AE196" s="405"/>
      <c r="AF196" s="405"/>
      <c r="AG196" s="405"/>
      <c r="AH196" s="405"/>
      <c r="AI196" s="405"/>
      <c r="AJ196" s="405"/>
      <c r="AK196" s="405"/>
      <c r="AL196" s="405"/>
    </row>
    <row r="197" customFormat="false" ht="13.2" hidden="false" customHeight="false" outlineLevel="0" collapsed="false">
      <c r="U197" s="405"/>
      <c r="V197" s="405"/>
      <c r="W197" s="405"/>
      <c r="X197" s="405"/>
      <c r="Y197" s="405"/>
      <c r="Z197" s="405"/>
      <c r="AA197" s="405"/>
      <c r="AB197" s="405"/>
      <c r="AC197" s="405"/>
      <c r="AD197" s="405"/>
      <c r="AE197" s="405"/>
      <c r="AF197" s="405"/>
      <c r="AG197" s="405"/>
      <c r="AH197" s="405"/>
      <c r="AI197" s="405"/>
      <c r="AJ197" s="405"/>
      <c r="AK197" s="405"/>
      <c r="AL197" s="405"/>
    </row>
    <row r="198" customFormat="false" ht="13.2" hidden="false" customHeight="false" outlineLevel="0" collapsed="false">
      <c r="U198" s="405"/>
      <c r="V198" s="405"/>
      <c r="W198" s="405"/>
      <c r="X198" s="405"/>
      <c r="Y198" s="405"/>
      <c r="Z198" s="405"/>
      <c r="AA198" s="405"/>
      <c r="AB198" s="405"/>
      <c r="AC198" s="405"/>
      <c r="AD198" s="405"/>
      <c r="AE198" s="405"/>
      <c r="AF198" s="405"/>
      <c r="AG198" s="405"/>
      <c r="AH198" s="405"/>
      <c r="AI198" s="405"/>
      <c r="AJ198" s="405"/>
      <c r="AK198" s="405"/>
      <c r="AL198" s="405"/>
    </row>
    <row r="199" customFormat="false" ht="13.2" hidden="false" customHeight="false" outlineLevel="0" collapsed="false">
      <c r="U199" s="405"/>
      <c r="V199" s="405"/>
      <c r="W199" s="405"/>
      <c r="X199" s="405"/>
      <c r="Y199" s="405"/>
      <c r="Z199" s="405"/>
      <c r="AA199" s="405"/>
      <c r="AB199" s="405"/>
      <c r="AC199" s="405"/>
      <c r="AD199" s="405"/>
      <c r="AE199" s="405"/>
      <c r="AF199" s="405"/>
      <c r="AG199" s="405"/>
      <c r="AH199" s="405"/>
      <c r="AI199" s="405"/>
      <c r="AJ199" s="405"/>
      <c r="AK199" s="405"/>
      <c r="AL199" s="405"/>
    </row>
    <row r="200" customFormat="false" ht="13.2" hidden="false" customHeight="false" outlineLevel="0" collapsed="false">
      <c r="U200" s="405"/>
      <c r="V200" s="405"/>
      <c r="W200" s="405"/>
      <c r="X200" s="405"/>
      <c r="Y200" s="405"/>
      <c r="Z200" s="405"/>
      <c r="AA200" s="405"/>
      <c r="AB200" s="405"/>
      <c r="AC200" s="405"/>
      <c r="AD200" s="405"/>
      <c r="AE200" s="405"/>
      <c r="AF200" s="405"/>
      <c r="AG200" s="405"/>
      <c r="AH200" s="405"/>
      <c r="AI200" s="405"/>
      <c r="AJ200" s="405"/>
      <c r="AK200" s="405"/>
      <c r="AL200" s="405"/>
    </row>
    <row r="201" customFormat="false" ht="13.2" hidden="false" customHeight="false" outlineLevel="0" collapsed="false">
      <c r="U201" s="405"/>
      <c r="V201" s="405"/>
      <c r="W201" s="405"/>
      <c r="X201" s="405"/>
      <c r="Y201" s="405"/>
      <c r="Z201" s="405"/>
      <c r="AA201" s="405"/>
      <c r="AB201" s="405"/>
      <c r="AC201" s="405"/>
      <c r="AD201" s="405"/>
      <c r="AE201" s="405"/>
      <c r="AF201" s="405"/>
      <c r="AG201" s="405"/>
      <c r="AH201" s="405"/>
      <c r="AI201" s="405"/>
      <c r="AJ201" s="405"/>
      <c r="AK201" s="405"/>
      <c r="AL201" s="405"/>
    </row>
    <row r="202" customFormat="false" ht="13.2" hidden="false" customHeight="false" outlineLevel="0" collapsed="false">
      <c r="U202" s="405"/>
      <c r="V202" s="405"/>
      <c r="W202" s="405"/>
      <c r="X202" s="405"/>
      <c r="Y202" s="405"/>
      <c r="Z202" s="405"/>
      <c r="AA202" s="405"/>
      <c r="AB202" s="405"/>
      <c r="AC202" s="405"/>
      <c r="AD202" s="405"/>
      <c r="AE202" s="405"/>
      <c r="AF202" s="405"/>
      <c r="AG202" s="405"/>
      <c r="AH202" s="405"/>
      <c r="AI202" s="405"/>
      <c r="AJ202" s="405"/>
      <c r="AK202" s="405"/>
      <c r="AL202" s="405"/>
    </row>
    <row r="203" customFormat="false" ht="13.2" hidden="false" customHeight="false" outlineLevel="0" collapsed="false">
      <c r="U203" s="405"/>
      <c r="V203" s="405"/>
      <c r="W203" s="405"/>
      <c r="X203" s="405"/>
      <c r="Y203" s="405"/>
      <c r="Z203" s="405"/>
      <c r="AA203" s="405"/>
      <c r="AB203" s="405"/>
      <c r="AC203" s="405"/>
      <c r="AD203" s="405"/>
      <c r="AE203" s="405"/>
      <c r="AF203" s="405"/>
      <c r="AG203" s="405"/>
      <c r="AH203" s="405"/>
      <c r="AI203" s="405"/>
      <c r="AJ203" s="405"/>
      <c r="AK203" s="405"/>
      <c r="AL203" s="405"/>
    </row>
    <row r="204" customFormat="false" ht="13.2" hidden="false" customHeight="false" outlineLevel="0" collapsed="false">
      <c r="U204" s="405"/>
      <c r="V204" s="405"/>
      <c r="W204" s="405"/>
      <c r="X204" s="405"/>
      <c r="Y204" s="405"/>
      <c r="Z204" s="405"/>
      <c r="AA204" s="405"/>
      <c r="AB204" s="405"/>
      <c r="AC204" s="405"/>
      <c r="AD204" s="405"/>
      <c r="AE204" s="405"/>
      <c r="AF204" s="405"/>
      <c r="AG204" s="405"/>
      <c r="AH204" s="405"/>
      <c r="AI204" s="405"/>
      <c r="AJ204" s="405"/>
      <c r="AK204" s="405"/>
      <c r="AL204" s="405"/>
    </row>
    <row r="205" customFormat="false" ht="13.2" hidden="false" customHeight="false" outlineLevel="0" collapsed="false">
      <c r="U205" s="405"/>
      <c r="V205" s="405"/>
      <c r="W205" s="405"/>
      <c r="X205" s="405"/>
      <c r="Y205" s="405"/>
      <c r="Z205" s="405"/>
      <c r="AA205" s="405"/>
      <c r="AB205" s="405"/>
      <c r="AC205" s="405"/>
      <c r="AD205" s="405"/>
      <c r="AE205" s="405"/>
      <c r="AF205" s="405"/>
      <c r="AG205" s="405"/>
      <c r="AH205" s="405"/>
      <c r="AI205" s="405"/>
      <c r="AJ205" s="405"/>
      <c r="AK205" s="405"/>
      <c r="AL205" s="405"/>
    </row>
    <row r="206" customFormat="false" ht="13.2" hidden="false" customHeight="false" outlineLevel="0" collapsed="false">
      <c r="U206" s="405"/>
      <c r="V206" s="405"/>
      <c r="W206" s="405"/>
      <c r="X206" s="405"/>
      <c r="Y206" s="405"/>
      <c r="Z206" s="405"/>
      <c r="AA206" s="405"/>
      <c r="AB206" s="405"/>
      <c r="AC206" s="405"/>
      <c r="AD206" s="405"/>
      <c r="AE206" s="405"/>
      <c r="AF206" s="405"/>
      <c r="AG206" s="405"/>
      <c r="AH206" s="405"/>
      <c r="AI206" s="405"/>
      <c r="AJ206" s="405"/>
      <c r="AK206" s="405"/>
      <c r="AL206" s="405"/>
    </row>
    <row r="207" customFormat="false" ht="13.2" hidden="false" customHeight="false" outlineLevel="0" collapsed="false">
      <c r="U207" s="405"/>
      <c r="V207" s="405"/>
      <c r="W207" s="405"/>
      <c r="X207" s="405"/>
      <c r="Y207" s="405"/>
      <c r="Z207" s="405"/>
      <c r="AA207" s="405"/>
      <c r="AB207" s="405"/>
      <c r="AC207" s="405"/>
      <c r="AD207" s="405"/>
      <c r="AE207" s="405"/>
      <c r="AF207" s="405"/>
      <c r="AG207" s="405"/>
      <c r="AH207" s="405"/>
      <c r="AI207" s="405"/>
      <c r="AJ207" s="405"/>
      <c r="AK207" s="405"/>
      <c r="AL207" s="405"/>
    </row>
    <row r="208" customFormat="false" ht="13.2" hidden="false" customHeight="false" outlineLevel="0" collapsed="false">
      <c r="U208" s="405"/>
      <c r="V208" s="405"/>
      <c r="W208" s="405"/>
      <c r="X208" s="405"/>
      <c r="Y208" s="405"/>
      <c r="Z208" s="405"/>
      <c r="AA208" s="405"/>
      <c r="AB208" s="405"/>
      <c r="AC208" s="405"/>
      <c r="AD208" s="405"/>
      <c r="AE208" s="405"/>
      <c r="AF208" s="405"/>
      <c r="AG208" s="405"/>
      <c r="AH208" s="405"/>
      <c r="AI208" s="405"/>
      <c r="AJ208" s="405"/>
      <c r="AK208" s="405"/>
      <c r="AL208" s="405"/>
    </row>
    <row r="209" customFormat="false" ht="13.2" hidden="false" customHeight="false" outlineLevel="0" collapsed="false">
      <c r="U209" s="405"/>
      <c r="V209" s="405"/>
      <c r="W209" s="405"/>
      <c r="X209" s="405"/>
      <c r="Y209" s="405"/>
      <c r="Z209" s="405"/>
      <c r="AA209" s="405"/>
      <c r="AB209" s="405"/>
      <c r="AC209" s="405"/>
      <c r="AD209" s="405"/>
      <c r="AE209" s="405"/>
      <c r="AF209" s="405"/>
      <c r="AG209" s="405"/>
      <c r="AH209" s="405"/>
      <c r="AI209" s="405"/>
      <c r="AJ209" s="405"/>
      <c r="AK209" s="405"/>
      <c r="AL209" s="405"/>
    </row>
    <row r="210" customFormat="false" ht="13.2" hidden="false" customHeight="false" outlineLevel="0" collapsed="false">
      <c r="U210" s="405"/>
      <c r="V210" s="405"/>
      <c r="W210" s="405"/>
      <c r="X210" s="405"/>
      <c r="Y210" s="405"/>
      <c r="Z210" s="405"/>
      <c r="AA210" s="405"/>
      <c r="AB210" s="405"/>
      <c r="AC210" s="405"/>
      <c r="AD210" s="405"/>
      <c r="AE210" s="405"/>
      <c r="AF210" s="405"/>
      <c r="AG210" s="405"/>
      <c r="AH210" s="405"/>
      <c r="AI210" s="405"/>
      <c r="AJ210" s="405"/>
      <c r="AK210" s="405"/>
      <c r="AL210" s="405"/>
    </row>
    <row r="211" customFormat="false" ht="13.2" hidden="false" customHeight="false" outlineLevel="0" collapsed="false">
      <c r="U211" s="405"/>
      <c r="V211" s="405"/>
      <c r="W211" s="405"/>
      <c r="X211" s="405"/>
      <c r="Y211" s="405"/>
      <c r="Z211" s="405"/>
      <c r="AA211" s="405"/>
      <c r="AB211" s="405"/>
      <c r="AC211" s="405"/>
      <c r="AD211" s="405"/>
      <c r="AE211" s="405"/>
      <c r="AF211" s="405"/>
      <c r="AG211" s="405"/>
      <c r="AH211" s="405"/>
      <c r="AI211" s="405"/>
      <c r="AJ211" s="405"/>
      <c r="AK211" s="405"/>
      <c r="AL211" s="405"/>
    </row>
    <row r="212" customFormat="false" ht="13.2" hidden="false" customHeight="false" outlineLevel="0" collapsed="false">
      <c r="U212" s="405"/>
      <c r="V212" s="405"/>
      <c r="W212" s="405"/>
      <c r="X212" s="405"/>
      <c r="Y212" s="405"/>
      <c r="Z212" s="405"/>
      <c r="AA212" s="405"/>
      <c r="AB212" s="405"/>
      <c r="AC212" s="405"/>
      <c r="AD212" s="405"/>
      <c r="AE212" s="405"/>
      <c r="AF212" s="405"/>
      <c r="AG212" s="405"/>
      <c r="AH212" s="405"/>
      <c r="AI212" s="405"/>
      <c r="AJ212" s="405"/>
      <c r="AK212" s="405"/>
      <c r="AL212" s="405"/>
    </row>
    <row r="213" customFormat="false" ht="13.2" hidden="false" customHeight="false" outlineLevel="0" collapsed="false">
      <c r="U213" s="405"/>
      <c r="V213" s="405"/>
      <c r="W213" s="405"/>
      <c r="X213" s="405"/>
      <c r="Y213" s="405"/>
      <c r="Z213" s="405"/>
      <c r="AA213" s="405"/>
      <c r="AB213" s="405"/>
      <c r="AC213" s="405"/>
      <c r="AD213" s="405"/>
      <c r="AE213" s="405"/>
      <c r="AF213" s="405"/>
      <c r="AG213" s="405"/>
      <c r="AH213" s="405"/>
      <c r="AI213" s="405"/>
      <c r="AJ213" s="405"/>
      <c r="AK213" s="405"/>
      <c r="AL213" s="405"/>
    </row>
    <row r="214" customFormat="false" ht="13.2" hidden="false" customHeight="false" outlineLevel="0" collapsed="false">
      <c r="U214" s="405"/>
      <c r="V214" s="405"/>
      <c r="W214" s="405"/>
      <c r="X214" s="405"/>
      <c r="Y214" s="405"/>
      <c r="Z214" s="405"/>
      <c r="AA214" s="405"/>
      <c r="AB214" s="405"/>
      <c r="AC214" s="405"/>
      <c r="AD214" s="405"/>
      <c r="AE214" s="405"/>
      <c r="AF214" s="405"/>
      <c r="AG214" s="405"/>
      <c r="AH214" s="405"/>
      <c r="AI214" s="405"/>
      <c r="AJ214" s="405"/>
      <c r="AK214" s="405"/>
      <c r="AL214" s="405"/>
    </row>
    <row r="215" customFormat="false" ht="13.2" hidden="false" customHeight="false" outlineLevel="0" collapsed="false">
      <c r="U215" s="405"/>
      <c r="V215" s="405"/>
      <c r="W215" s="405"/>
      <c r="X215" s="405"/>
      <c r="Y215" s="405"/>
      <c r="Z215" s="405"/>
      <c r="AA215" s="405"/>
      <c r="AB215" s="405"/>
      <c r="AC215" s="405"/>
      <c r="AD215" s="405"/>
      <c r="AE215" s="405"/>
      <c r="AF215" s="405"/>
      <c r="AG215" s="405"/>
      <c r="AH215" s="405"/>
      <c r="AI215" s="405"/>
      <c r="AJ215" s="405"/>
      <c r="AK215" s="405"/>
      <c r="AL215" s="405"/>
    </row>
    <row r="216" customFormat="false" ht="13.2" hidden="false" customHeight="false" outlineLevel="0" collapsed="false">
      <c r="U216" s="405"/>
      <c r="V216" s="405"/>
      <c r="W216" s="405"/>
      <c r="X216" s="405"/>
      <c r="Y216" s="405"/>
      <c r="Z216" s="405"/>
      <c r="AA216" s="405"/>
      <c r="AB216" s="405"/>
      <c r="AC216" s="405"/>
      <c r="AD216" s="405"/>
      <c r="AE216" s="405"/>
      <c r="AF216" s="405"/>
      <c r="AG216" s="405"/>
      <c r="AH216" s="405"/>
      <c r="AI216" s="405"/>
      <c r="AJ216" s="405"/>
      <c r="AK216" s="405"/>
      <c r="AL216" s="405"/>
    </row>
    <row r="217" customFormat="false" ht="13.2" hidden="false" customHeight="false" outlineLevel="0" collapsed="false">
      <c r="U217" s="405"/>
      <c r="V217" s="405"/>
      <c r="W217" s="405"/>
      <c r="X217" s="405"/>
      <c r="Y217" s="405"/>
      <c r="Z217" s="405"/>
      <c r="AA217" s="405"/>
      <c r="AB217" s="405"/>
      <c r="AC217" s="405"/>
      <c r="AD217" s="405"/>
      <c r="AE217" s="405"/>
      <c r="AF217" s="405"/>
      <c r="AG217" s="405"/>
      <c r="AH217" s="405"/>
      <c r="AI217" s="405"/>
      <c r="AJ217" s="405"/>
      <c r="AK217" s="405"/>
      <c r="AL217" s="405"/>
    </row>
    <row r="218" customFormat="false" ht="13.2" hidden="false" customHeight="false" outlineLevel="0" collapsed="false">
      <c r="U218" s="405"/>
      <c r="V218" s="405"/>
      <c r="W218" s="405"/>
      <c r="X218" s="405"/>
      <c r="Y218" s="405"/>
      <c r="Z218" s="405"/>
      <c r="AA218" s="405"/>
      <c r="AB218" s="405"/>
      <c r="AC218" s="405"/>
      <c r="AD218" s="405"/>
      <c r="AE218" s="405"/>
      <c r="AF218" s="405"/>
      <c r="AG218" s="405"/>
      <c r="AH218" s="405"/>
      <c r="AI218" s="405"/>
      <c r="AJ218" s="405"/>
      <c r="AK218" s="405"/>
      <c r="AL218" s="405"/>
    </row>
    <row r="219" customFormat="false" ht="13.2" hidden="false" customHeight="false" outlineLevel="0" collapsed="false">
      <c r="U219" s="405"/>
      <c r="V219" s="405"/>
      <c r="W219" s="405"/>
      <c r="X219" s="405"/>
      <c r="Y219" s="405"/>
      <c r="Z219" s="405"/>
      <c r="AA219" s="405"/>
      <c r="AB219" s="405"/>
      <c r="AC219" s="405"/>
      <c r="AD219" s="405"/>
      <c r="AE219" s="405"/>
      <c r="AF219" s="405"/>
      <c r="AG219" s="405"/>
      <c r="AH219" s="405"/>
      <c r="AI219" s="405"/>
      <c r="AJ219" s="405"/>
      <c r="AK219" s="405"/>
      <c r="AL219" s="405"/>
    </row>
    <row r="220" customFormat="false" ht="13.2" hidden="false" customHeight="false" outlineLevel="0" collapsed="false">
      <c r="U220" s="405"/>
      <c r="V220" s="405"/>
      <c r="W220" s="405"/>
      <c r="X220" s="405"/>
      <c r="Y220" s="405"/>
      <c r="Z220" s="405"/>
      <c r="AA220" s="405"/>
      <c r="AB220" s="405"/>
      <c r="AC220" s="405"/>
      <c r="AD220" s="405"/>
      <c r="AE220" s="405"/>
      <c r="AF220" s="405"/>
      <c r="AG220" s="405"/>
      <c r="AH220" s="405"/>
      <c r="AI220" s="405"/>
      <c r="AJ220" s="405"/>
      <c r="AK220" s="405"/>
      <c r="AL220" s="405"/>
    </row>
    <row r="221" customFormat="false" ht="13.2" hidden="false" customHeight="false" outlineLevel="0" collapsed="false">
      <c r="U221" s="405"/>
      <c r="V221" s="405"/>
      <c r="W221" s="405"/>
      <c r="X221" s="405"/>
      <c r="Y221" s="405"/>
      <c r="Z221" s="405"/>
      <c r="AA221" s="405"/>
      <c r="AB221" s="405"/>
      <c r="AC221" s="405"/>
      <c r="AD221" s="405"/>
      <c r="AE221" s="405"/>
      <c r="AF221" s="405"/>
      <c r="AG221" s="405"/>
      <c r="AH221" s="405"/>
      <c r="AI221" s="405"/>
      <c r="AJ221" s="405"/>
      <c r="AK221" s="405"/>
      <c r="AL221" s="405"/>
    </row>
    <row r="222" customFormat="false" ht="13.2" hidden="false" customHeight="false" outlineLevel="0" collapsed="false">
      <c r="U222" s="405"/>
      <c r="V222" s="405"/>
      <c r="W222" s="405"/>
      <c r="X222" s="405"/>
      <c r="Y222" s="405"/>
      <c r="Z222" s="405"/>
      <c r="AA222" s="405"/>
      <c r="AB222" s="405"/>
      <c r="AC222" s="405"/>
      <c r="AD222" s="405"/>
      <c r="AE222" s="405"/>
      <c r="AF222" s="405"/>
      <c r="AG222" s="405"/>
      <c r="AH222" s="405"/>
      <c r="AI222" s="405"/>
      <c r="AJ222" s="405"/>
      <c r="AK222" s="405"/>
      <c r="AL222" s="405"/>
    </row>
    <row r="223" customFormat="false" ht="13.2" hidden="false" customHeight="false" outlineLevel="0" collapsed="false">
      <c r="U223" s="405"/>
      <c r="V223" s="405"/>
      <c r="W223" s="405"/>
      <c r="X223" s="405"/>
      <c r="Y223" s="405"/>
      <c r="Z223" s="405"/>
      <c r="AA223" s="405"/>
      <c r="AB223" s="405"/>
      <c r="AC223" s="405"/>
      <c r="AD223" s="405"/>
      <c r="AE223" s="405"/>
      <c r="AF223" s="405"/>
      <c r="AG223" s="405"/>
      <c r="AH223" s="405"/>
      <c r="AI223" s="405"/>
      <c r="AJ223" s="405"/>
      <c r="AK223" s="405"/>
      <c r="AL223" s="405"/>
    </row>
    <row r="224" customFormat="false" ht="13.2" hidden="false" customHeight="false" outlineLevel="0" collapsed="false">
      <c r="U224" s="405"/>
      <c r="V224" s="405"/>
      <c r="W224" s="405"/>
      <c r="X224" s="405"/>
      <c r="Y224" s="405"/>
      <c r="Z224" s="405"/>
      <c r="AA224" s="405"/>
      <c r="AB224" s="405"/>
      <c r="AC224" s="405"/>
      <c r="AD224" s="405"/>
      <c r="AE224" s="405"/>
      <c r="AF224" s="405"/>
      <c r="AG224" s="405"/>
      <c r="AH224" s="405"/>
      <c r="AI224" s="405"/>
      <c r="AJ224" s="405"/>
      <c r="AK224" s="405"/>
      <c r="AL224" s="405"/>
    </row>
    <row r="225" customFormat="false" ht="13.2" hidden="false" customHeight="false" outlineLevel="0" collapsed="false">
      <c r="U225" s="405"/>
      <c r="V225" s="405"/>
      <c r="W225" s="405"/>
      <c r="X225" s="405"/>
      <c r="Y225" s="405"/>
      <c r="Z225" s="405"/>
      <c r="AA225" s="405"/>
      <c r="AB225" s="405"/>
      <c r="AC225" s="405"/>
      <c r="AD225" s="405"/>
      <c r="AE225" s="405"/>
      <c r="AF225" s="405"/>
      <c r="AG225" s="405"/>
      <c r="AH225" s="405"/>
      <c r="AI225" s="405"/>
      <c r="AJ225" s="405"/>
      <c r="AK225" s="405"/>
      <c r="AL225" s="405"/>
    </row>
    <row r="226" customFormat="false" ht="13.2" hidden="false" customHeight="false" outlineLevel="0" collapsed="false">
      <c r="U226" s="405"/>
      <c r="V226" s="405"/>
      <c r="W226" s="405"/>
      <c r="X226" s="405"/>
      <c r="Y226" s="405"/>
      <c r="Z226" s="405"/>
      <c r="AA226" s="405"/>
      <c r="AB226" s="405"/>
      <c r="AC226" s="405"/>
      <c r="AD226" s="405"/>
      <c r="AE226" s="405"/>
      <c r="AF226" s="405"/>
      <c r="AG226" s="405"/>
      <c r="AH226" s="405"/>
      <c r="AI226" s="405"/>
      <c r="AJ226" s="405"/>
      <c r="AK226" s="405"/>
      <c r="AL226" s="405"/>
    </row>
    <row r="227" customFormat="false" ht="13.2" hidden="false" customHeight="false" outlineLevel="0" collapsed="false">
      <c r="U227" s="405"/>
      <c r="V227" s="405"/>
      <c r="W227" s="405"/>
      <c r="X227" s="405"/>
      <c r="Y227" s="405"/>
      <c r="Z227" s="405"/>
      <c r="AA227" s="405"/>
      <c r="AB227" s="405"/>
      <c r="AC227" s="405"/>
      <c r="AD227" s="405"/>
      <c r="AE227" s="405"/>
      <c r="AF227" s="405"/>
      <c r="AG227" s="405"/>
      <c r="AH227" s="405"/>
      <c r="AI227" s="405"/>
      <c r="AJ227" s="405"/>
      <c r="AK227" s="405"/>
      <c r="AL227" s="405"/>
    </row>
    <row r="228" customFormat="false" ht="13.2" hidden="false" customHeight="false" outlineLevel="0" collapsed="false">
      <c r="U228" s="405"/>
      <c r="V228" s="405"/>
      <c r="W228" s="405"/>
      <c r="X228" s="405"/>
      <c r="Y228" s="405"/>
      <c r="Z228" s="405"/>
      <c r="AA228" s="405"/>
      <c r="AB228" s="405"/>
      <c r="AC228" s="405"/>
      <c r="AD228" s="405"/>
      <c r="AE228" s="405"/>
      <c r="AF228" s="405"/>
      <c r="AG228" s="405"/>
      <c r="AH228" s="405"/>
      <c r="AI228" s="405"/>
      <c r="AJ228" s="405"/>
      <c r="AK228" s="405"/>
      <c r="AL228" s="405"/>
    </row>
    <row r="229" customFormat="false" ht="13.2" hidden="false" customHeight="false" outlineLevel="0" collapsed="false">
      <c r="U229" s="405"/>
      <c r="V229" s="405"/>
      <c r="W229" s="405"/>
      <c r="X229" s="405"/>
      <c r="Y229" s="405"/>
      <c r="Z229" s="405"/>
      <c r="AA229" s="405"/>
      <c r="AB229" s="405"/>
      <c r="AC229" s="405"/>
      <c r="AD229" s="405"/>
      <c r="AE229" s="405"/>
      <c r="AF229" s="405"/>
      <c r="AG229" s="405"/>
      <c r="AH229" s="405"/>
      <c r="AI229" s="405"/>
      <c r="AJ229" s="405"/>
      <c r="AK229" s="405"/>
      <c r="AL229" s="405"/>
    </row>
    <row r="230" customFormat="false" ht="13.2" hidden="false" customHeight="false" outlineLevel="0" collapsed="false">
      <c r="U230" s="405"/>
      <c r="V230" s="405"/>
      <c r="W230" s="405"/>
      <c r="X230" s="405"/>
      <c r="Y230" s="405"/>
      <c r="Z230" s="405"/>
      <c r="AA230" s="405"/>
      <c r="AB230" s="405"/>
      <c r="AC230" s="405"/>
      <c r="AD230" s="405"/>
      <c r="AE230" s="405"/>
      <c r="AF230" s="405"/>
      <c r="AG230" s="405"/>
      <c r="AH230" s="405"/>
      <c r="AI230" s="405"/>
      <c r="AJ230" s="405"/>
      <c r="AK230" s="405"/>
      <c r="AL230" s="405"/>
    </row>
    <row r="231" customFormat="false" ht="13.2" hidden="false" customHeight="false" outlineLevel="0" collapsed="false">
      <c r="U231" s="405"/>
      <c r="V231" s="405"/>
      <c r="W231" s="405"/>
      <c r="X231" s="405"/>
      <c r="Y231" s="405"/>
      <c r="Z231" s="405"/>
      <c r="AA231" s="405"/>
      <c r="AB231" s="405"/>
      <c r="AC231" s="405"/>
      <c r="AD231" s="405"/>
      <c r="AE231" s="405"/>
      <c r="AF231" s="405"/>
      <c r="AG231" s="405"/>
      <c r="AH231" s="405"/>
      <c r="AI231" s="405"/>
      <c r="AJ231" s="405"/>
      <c r="AK231" s="405"/>
      <c r="AL231" s="405"/>
    </row>
    <row r="232" customFormat="false" ht="13.2" hidden="false" customHeight="false" outlineLevel="0" collapsed="false">
      <c r="U232" s="405"/>
      <c r="V232" s="405"/>
      <c r="W232" s="405"/>
      <c r="X232" s="405"/>
      <c r="Y232" s="405"/>
      <c r="Z232" s="405"/>
      <c r="AA232" s="405"/>
      <c r="AB232" s="405"/>
      <c r="AC232" s="405"/>
      <c r="AD232" s="405"/>
      <c r="AE232" s="405"/>
      <c r="AF232" s="405"/>
      <c r="AG232" s="405"/>
      <c r="AH232" s="405"/>
      <c r="AI232" s="405"/>
      <c r="AJ232" s="405"/>
      <c r="AK232" s="405"/>
      <c r="AL232" s="405"/>
    </row>
    <row r="233" customFormat="false" ht="13.2" hidden="false" customHeight="false" outlineLevel="0" collapsed="false">
      <c r="U233" s="405"/>
      <c r="V233" s="405"/>
      <c r="W233" s="405"/>
      <c r="X233" s="405"/>
      <c r="Y233" s="405"/>
      <c r="Z233" s="405"/>
      <c r="AA233" s="405"/>
      <c r="AB233" s="405"/>
      <c r="AC233" s="405"/>
      <c r="AD233" s="405"/>
      <c r="AE233" s="405"/>
      <c r="AF233" s="405"/>
      <c r="AG233" s="405"/>
      <c r="AH233" s="405"/>
      <c r="AI233" s="405"/>
      <c r="AJ233" s="405"/>
      <c r="AK233" s="405"/>
      <c r="AL233" s="405"/>
    </row>
    <row r="234" customFormat="false" ht="13.2" hidden="false" customHeight="false" outlineLevel="0" collapsed="false">
      <c r="U234" s="405"/>
      <c r="V234" s="405"/>
      <c r="W234" s="405"/>
      <c r="X234" s="405"/>
      <c r="Y234" s="405"/>
      <c r="Z234" s="405"/>
      <c r="AA234" s="405"/>
      <c r="AB234" s="405"/>
      <c r="AC234" s="405"/>
      <c r="AD234" s="405"/>
      <c r="AE234" s="405"/>
      <c r="AF234" s="405"/>
      <c r="AG234" s="405"/>
      <c r="AH234" s="405"/>
      <c r="AI234" s="405"/>
      <c r="AJ234" s="405"/>
      <c r="AK234" s="405"/>
      <c r="AL234" s="405"/>
    </row>
    <row r="235" customFormat="false" ht="13.2" hidden="false" customHeight="false" outlineLevel="0" collapsed="false">
      <c r="U235" s="405"/>
      <c r="V235" s="405"/>
      <c r="W235" s="405"/>
      <c r="X235" s="405"/>
      <c r="Y235" s="405"/>
      <c r="Z235" s="405"/>
      <c r="AA235" s="405"/>
      <c r="AB235" s="405"/>
      <c r="AC235" s="405"/>
      <c r="AD235" s="405"/>
      <c r="AE235" s="405"/>
      <c r="AF235" s="405"/>
      <c r="AG235" s="405"/>
      <c r="AH235" s="405"/>
      <c r="AI235" s="405"/>
      <c r="AJ235" s="405"/>
      <c r="AK235" s="405"/>
      <c r="AL235" s="405"/>
    </row>
    <row r="236" customFormat="false" ht="13.2" hidden="false" customHeight="false" outlineLevel="0" collapsed="false">
      <c r="U236" s="405"/>
      <c r="V236" s="405"/>
      <c r="W236" s="405"/>
      <c r="X236" s="405"/>
      <c r="Y236" s="405"/>
      <c r="Z236" s="405"/>
      <c r="AA236" s="405"/>
      <c r="AB236" s="405"/>
      <c r="AC236" s="405"/>
      <c r="AD236" s="405"/>
      <c r="AE236" s="405"/>
      <c r="AF236" s="405"/>
      <c r="AG236" s="405"/>
      <c r="AH236" s="405"/>
      <c r="AI236" s="405"/>
      <c r="AJ236" s="405"/>
      <c r="AK236" s="405"/>
      <c r="AL236" s="405"/>
    </row>
    <row r="237" customFormat="false" ht="13.2" hidden="false" customHeight="false" outlineLevel="0" collapsed="false">
      <c r="U237" s="405"/>
      <c r="V237" s="405"/>
      <c r="W237" s="405"/>
      <c r="X237" s="405"/>
      <c r="Y237" s="405"/>
      <c r="Z237" s="405"/>
      <c r="AA237" s="405"/>
      <c r="AB237" s="405"/>
      <c r="AC237" s="405"/>
      <c r="AD237" s="405"/>
      <c r="AE237" s="405"/>
      <c r="AF237" s="405"/>
      <c r="AG237" s="405"/>
      <c r="AH237" s="405"/>
      <c r="AI237" s="405"/>
      <c r="AJ237" s="405"/>
      <c r="AK237" s="405"/>
      <c r="AL237" s="405"/>
    </row>
    <row r="238" customFormat="false" ht="13.2" hidden="false" customHeight="false" outlineLevel="0" collapsed="false">
      <c r="U238" s="405"/>
      <c r="V238" s="405"/>
      <c r="W238" s="405"/>
      <c r="X238" s="405"/>
      <c r="Y238" s="405"/>
      <c r="Z238" s="405"/>
      <c r="AA238" s="405"/>
      <c r="AB238" s="405"/>
      <c r="AC238" s="405"/>
      <c r="AD238" s="405"/>
      <c r="AE238" s="405"/>
      <c r="AF238" s="405"/>
      <c r="AG238" s="405"/>
      <c r="AH238" s="405"/>
      <c r="AI238" s="405"/>
      <c r="AJ238" s="405"/>
      <c r="AK238" s="405"/>
      <c r="AL238" s="405"/>
    </row>
    <row r="239" customFormat="false" ht="13.2" hidden="false" customHeight="false" outlineLevel="0" collapsed="false">
      <c r="U239" s="405"/>
      <c r="V239" s="405"/>
      <c r="W239" s="405"/>
      <c r="X239" s="405"/>
      <c r="Y239" s="405"/>
      <c r="Z239" s="405"/>
      <c r="AA239" s="405"/>
      <c r="AB239" s="405"/>
      <c r="AC239" s="405"/>
      <c r="AD239" s="405"/>
      <c r="AE239" s="405"/>
      <c r="AF239" s="405"/>
      <c r="AG239" s="405"/>
      <c r="AH239" s="405"/>
      <c r="AI239" s="405"/>
      <c r="AJ239" s="405"/>
      <c r="AK239" s="405"/>
      <c r="AL239" s="405"/>
    </row>
    <row r="240" customFormat="false" ht="13.2" hidden="false" customHeight="false" outlineLevel="0" collapsed="false">
      <c r="U240" s="405"/>
      <c r="V240" s="405"/>
      <c r="W240" s="405"/>
      <c r="X240" s="405"/>
      <c r="Y240" s="405"/>
      <c r="Z240" s="405"/>
      <c r="AA240" s="405"/>
      <c r="AB240" s="405"/>
      <c r="AC240" s="405"/>
      <c r="AD240" s="405"/>
      <c r="AE240" s="405"/>
      <c r="AF240" s="405"/>
      <c r="AG240" s="405"/>
      <c r="AH240" s="405"/>
      <c r="AI240" s="405"/>
      <c r="AJ240" s="405"/>
      <c r="AK240" s="405"/>
      <c r="AL240" s="405"/>
    </row>
    <row r="241" customFormat="false" ht="13.2" hidden="false" customHeight="false" outlineLevel="0" collapsed="false">
      <c r="U241" s="405"/>
      <c r="V241" s="405"/>
      <c r="W241" s="405"/>
      <c r="X241" s="405"/>
      <c r="Y241" s="405"/>
      <c r="Z241" s="405"/>
      <c r="AA241" s="405"/>
      <c r="AB241" s="405"/>
      <c r="AC241" s="405"/>
      <c r="AD241" s="405"/>
      <c r="AE241" s="405"/>
      <c r="AF241" s="405"/>
      <c r="AG241" s="405"/>
      <c r="AH241" s="405"/>
      <c r="AI241" s="405"/>
      <c r="AJ241" s="405"/>
      <c r="AK241" s="405"/>
      <c r="AL241" s="405"/>
    </row>
    <row r="242" customFormat="false" ht="13.2" hidden="false" customHeight="false" outlineLevel="0" collapsed="false">
      <c r="U242" s="405"/>
      <c r="V242" s="405"/>
      <c r="W242" s="405"/>
      <c r="X242" s="405"/>
      <c r="Y242" s="405"/>
      <c r="Z242" s="405"/>
      <c r="AA242" s="405"/>
      <c r="AB242" s="405"/>
      <c r="AC242" s="405"/>
      <c r="AD242" s="405"/>
      <c r="AE242" s="405"/>
      <c r="AF242" s="405"/>
      <c r="AG242" s="405"/>
      <c r="AH242" s="405"/>
      <c r="AI242" s="405"/>
      <c r="AJ242" s="405"/>
      <c r="AK242" s="405"/>
      <c r="AL242" s="405"/>
    </row>
    <row r="243" customFormat="false" ht="13.2" hidden="false" customHeight="false" outlineLevel="0" collapsed="false">
      <c r="U243" s="405"/>
      <c r="V243" s="405"/>
      <c r="W243" s="405"/>
      <c r="X243" s="405"/>
      <c r="Y243" s="405"/>
      <c r="Z243" s="405"/>
      <c r="AA243" s="405"/>
      <c r="AB243" s="405"/>
      <c r="AC243" s="405"/>
      <c r="AD243" s="405"/>
      <c r="AE243" s="405"/>
      <c r="AF243" s="405"/>
      <c r="AG243" s="405"/>
      <c r="AH243" s="405"/>
      <c r="AI243" s="405"/>
      <c r="AJ243" s="405"/>
      <c r="AK243" s="405"/>
      <c r="AL243" s="405"/>
    </row>
    <row r="244" customFormat="false" ht="13.2" hidden="false" customHeight="false" outlineLevel="0" collapsed="false">
      <c r="U244" s="405"/>
      <c r="V244" s="405"/>
      <c r="W244" s="405"/>
      <c r="X244" s="405"/>
      <c r="Y244" s="405"/>
      <c r="Z244" s="405"/>
      <c r="AA244" s="405"/>
      <c r="AB244" s="405"/>
      <c r="AC244" s="405"/>
      <c r="AD244" s="405"/>
      <c r="AE244" s="405"/>
      <c r="AF244" s="405"/>
      <c r="AG244" s="405"/>
      <c r="AH244" s="405"/>
      <c r="AI244" s="405"/>
      <c r="AJ244" s="405"/>
      <c r="AK244" s="405"/>
      <c r="AL244" s="405"/>
    </row>
    <row r="245" customFormat="false" ht="13.2" hidden="false" customHeight="false" outlineLevel="0" collapsed="false">
      <c r="U245" s="405"/>
      <c r="V245" s="405"/>
      <c r="W245" s="405"/>
      <c r="X245" s="405"/>
      <c r="Y245" s="405"/>
      <c r="Z245" s="405"/>
      <c r="AA245" s="405"/>
      <c r="AB245" s="405"/>
      <c r="AC245" s="405"/>
      <c r="AD245" s="405"/>
      <c r="AE245" s="405"/>
      <c r="AF245" s="405"/>
      <c r="AG245" s="405"/>
      <c r="AH245" s="405"/>
      <c r="AI245" s="405"/>
      <c r="AJ245" s="405"/>
      <c r="AK245" s="405"/>
      <c r="AL245" s="405"/>
    </row>
    <row r="246" customFormat="false" ht="13.2" hidden="false" customHeight="false" outlineLevel="0" collapsed="false">
      <c r="U246" s="405"/>
      <c r="V246" s="405"/>
      <c r="W246" s="405"/>
      <c r="X246" s="405"/>
      <c r="Y246" s="405"/>
      <c r="Z246" s="405"/>
      <c r="AA246" s="405"/>
      <c r="AB246" s="405"/>
      <c r="AC246" s="405"/>
      <c r="AD246" s="405"/>
      <c r="AE246" s="405"/>
      <c r="AF246" s="405"/>
      <c r="AG246" s="405"/>
      <c r="AH246" s="405"/>
      <c r="AI246" s="405"/>
      <c r="AJ246" s="405"/>
      <c r="AK246" s="405"/>
      <c r="AL246" s="405"/>
    </row>
    <row r="247" customFormat="false" ht="13.2" hidden="false" customHeight="false" outlineLevel="0" collapsed="false">
      <c r="U247" s="405"/>
      <c r="V247" s="405"/>
      <c r="W247" s="405"/>
      <c r="X247" s="405"/>
      <c r="Y247" s="405"/>
      <c r="Z247" s="405"/>
      <c r="AA247" s="405"/>
      <c r="AB247" s="405"/>
      <c r="AC247" s="405"/>
      <c r="AD247" s="405"/>
      <c r="AE247" s="405"/>
      <c r="AF247" s="405"/>
      <c r="AG247" s="405"/>
      <c r="AH247" s="405"/>
      <c r="AI247" s="405"/>
      <c r="AJ247" s="405"/>
      <c r="AK247" s="405"/>
      <c r="AL247" s="405"/>
    </row>
    <row r="248" customFormat="false" ht="13.2" hidden="false" customHeight="false" outlineLevel="0" collapsed="false">
      <c r="U248" s="405"/>
      <c r="V248" s="405"/>
      <c r="W248" s="405"/>
      <c r="X248" s="405"/>
      <c r="Y248" s="405"/>
      <c r="Z248" s="405"/>
      <c r="AA248" s="405"/>
      <c r="AB248" s="405"/>
      <c r="AC248" s="405"/>
      <c r="AD248" s="405"/>
      <c r="AE248" s="405"/>
      <c r="AF248" s="405"/>
      <c r="AG248" s="405"/>
      <c r="AH248" s="405"/>
      <c r="AI248" s="405"/>
      <c r="AJ248" s="405"/>
      <c r="AK248" s="405"/>
      <c r="AL248" s="405"/>
    </row>
    <row r="249" customFormat="false" ht="13.2" hidden="false" customHeight="false" outlineLevel="0" collapsed="false">
      <c r="U249" s="405"/>
      <c r="V249" s="405"/>
      <c r="W249" s="405"/>
      <c r="X249" s="405"/>
      <c r="Y249" s="405"/>
      <c r="Z249" s="405"/>
      <c r="AA249" s="405"/>
      <c r="AB249" s="405"/>
      <c r="AC249" s="405"/>
      <c r="AD249" s="405"/>
      <c r="AE249" s="405"/>
      <c r="AF249" s="405"/>
      <c r="AG249" s="405"/>
      <c r="AH249" s="405"/>
      <c r="AI249" s="405"/>
      <c r="AJ249" s="405"/>
      <c r="AK249" s="405"/>
      <c r="AL249" s="405"/>
    </row>
    <row r="250" customFormat="false" ht="13.2" hidden="false" customHeight="false" outlineLevel="0" collapsed="false">
      <c r="U250" s="405"/>
      <c r="V250" s="405"/>
      <c r="W250" s="405"/>
      <c r="X250" s="405"/>
      <c r="Y250" s="405"/>
      <c r="Z250" s="405"/>
      <c r="AA250" s="405"/>
      <c r="AB250" s="405"/>
      <c r="AC250" s="405"/>
      <c r="AD250" s="405"/>
      <c r="AE250" s="405"/>
      <c r="AF250" s="405"/>
      <c r="AG250" s="405"/>
      <c r="AH250" s="405"/>
      <c r="AI250" s="405"/>
      <c r="AJ250" s="405"/>
      <c r="AK250" s="405"/>
      <c r="AL250" s="405"/>
    </row>
    <row r="251" customFormat="false" ht="13.2" hidden="false" customHeight="false" outlineLevel="0" collapsed="false">
      <c r="U251" s="405"/>
      <c r="V251" s="405"/>
      <c r="W251" s="405"/>
      <c r="X251" s="405"/>
      <c r="Y251" s="405"/>
      <c r="Z251" s="405"/>
      <c r="AA251" s="405"/>
      <c r="AB251" s="405"/>
      <c r="AC251" s="405"/>
      <c r="AD251" s="405"/>
      <c r="AE251" s="405"/>
      <c r="AF251" s="405"/>
      <c r="AG251" s="405"/>
      <c r="AH251" s="405"/>
      <c r="AI251" s="405"/>
      <c r="AJ251" s="405"/>
      <c r="AK251" s="405"/>
      <c r="AL251" s="405"/>
    </row>
    <row r="252" customFormat="false" ht="13.2" hidden="false" customHeight="false" outlineLevel="0" collapsed="false">
      <c r="U252" s="405"/>
      <c r="V252" s="405"/>
      <c r="W252" s="405"/>
      <c r="X252" s="405"/>
      <c r="Y252" s="405"/>
      <c r="Z252" s="405"/>
      <c r="AA252" s="405"/>
      <c r="AB252" s="405"/>
      <c r="AC252" s="405"/>
      <c r="AD252" s="405"/>
      <c r="AE252" s="405"/>
      <c r="AF252" s="405"/>
      <c r="AG252" s="405"/>
      <c r="AH252" s="405"/>
      <c r="AI252" s="405"/>
      <c r="AJ252" s="405"/>
      <c r="AK252" s="405"/>
      <c r="AL252" s="405"/>
    </row>
    <row r="253" customFormat="false" ht="13.2" hidden="false" customHeight="false" outlineLevel="0" collapsed="false">
      <c r="U253" s="405"/>
      <c r="V253" s="405"/>
      <c r="W253" s="405"/>
      <c r="X253" s="405"/>
      <c r="Y253" s="405"/>
      <c r="Z253" s="405"/>
      <c r="AA253" s="405"/>
      <c r="AB253" s="405"/>
      <c r="AC253" s="405"/>
      <c r="AD253" s="405"/>
      <c r="AE253" s="405"/>
      <c r="AF253" s="405"/>
      <c r="AG253" s="405"/>
      <c r="AH253" s="405"/>
      <c r="AI253" s="405"/>
      <c r="AJ253" s="405"/>
      <c r="AK253" s="405"/>
      <c r="AL253" s="405"/>
    </row>
    <row r="254" customFormat="false" ht="13.2" hidden="false" customHeight="false" outlineLevel="0" collapsed="false">
      <c r="U254" s="405"/>
      <c r="V254" s="405"/>
      <c r="W254" s="405"/>
      <c r="X254" s="405"/>
      <c r="Y254" s="405"/>
      <c r="Z254" s="405"/>
      <c r="AA254" s="405"/>
      <c r="AB254" s="405"/>
      <c r="AC254" s="405"/>
      <c r="AD254" s="405"/>
      <c r="AE254" s="405"/>
      <c r="AF254" s="405"/>
      <c r="AG254" s="405"/>
      <c r="AH254" s="405"/>
      <c r="AI254" s="405"/>
      <c r="AJ254" s="405"/>
      <c r="AK254" s="405"/>
      <c r="AL254" s="405"/>
    </row>
    <row r="255" customFormat="false" ht="13.2" hidden="false" customHeight="false" outlineLevel="0" collapsed="false">
      <c r="U255" s="405"/>
      <c r="V255" s="405"/>
      <c r="W255" s="405"/>
      <c r="X255" s="405"/>
      <c r="Y255" s="405"/>
      <c r="Z255" s="405"/>
      <c r="AA255" s="405"/>
      <c r="AB255" s="405"/>
      <c r="AC255" s="405"/>
      <c r="AD255" s="405"/>
      <c r="AE255" s="405"/>
      <c r="AF255" s="405"/>
      <c r="AG255" s="405"/>
      <c r="AH255" s="405"/>
      <c r="AI255" s="405"/>
      <c r="AJ255" s="405"/>
      <c r="AK255" s="405"/>
      <c r="AL255" s="405"/>
    </row>
    <row r="256" customFormat="false" ht="13.2" hidden="false" customHeight="false" outlineLevel="0" collapsed="false">
      <c r="U256" s="405"/>
      <c r="V256" s="405"/>
      <c r="W256" s="405"/>
      <c r="X256" s="405"/>
      <c r="Y256" s="405"/>
      <c r="Z256" s="405"/>
      <c r="AA256" s="405"/>
      <c r="AB256" s="405"/>
      <c r="AC256" s="405"/>
      <c r="AD256" s="405"/>
      <c r="AE256" s="405"/>
      <c r="AF256" s="405"/>
      <c r="AG256" s="405"/>
      <c r="AH256" s="405"/>
      <c r="AI256" s="405"/>
      <c r="AJ256" s="405"/>
      <c r="AK256" s="405"/>
      <c r="AL256" s="405"/>
    </row>
    <row r="257" customFormat="false" ht="13.2" hidden="false" customHeight="false" outlineLevel="0" collapsed="false">
      <c r="U257" s="405"/>
      <c r="V257" s="405"/>
      <c r="W257" s="405"/>
      <c r="X257" s="405"/>
      <c r="Y257" s="405"/>
      <c r="Z257" s="405"/>
      <c r="AA257" s="405"/>
      <c r="AB257" s="405"/>
      <c r="AC257" s="405"/>
      <c r="AD257" s="405"/>
      <c r="AE257" s="405"/>
      <c r="AF257" s="405"/>
      <c r="AG257" s="405"/>
      <c r="AH257" s="405"/>
      <c r="AI257" s="405"/>
      <c r="AJ257" s="405"/>
      <c r="AK257" s="405"/>
      <c r="AL257" s="405"/>
    </row>
    <row r="258" customFormat="false" ht="13.2" hidden="false" customHeight="false" outlineLevel="0" collapsed="false">
      <c r="U258" s="405"/>
      <c r="V258" s="405"/>
      <c r="W258" s="405"/>
      <c r="X258" s="405"/>
      <c r="Y258" s="405"/>
      <c r="Z258" s="405"/>
      <c r="AA258" s="405"/>
      <c r="AB258" s="405"/>
      <c r="AC258" s="405"/>
      <c r="AD258" s="405"/>
      <c r="AE258" s="405"/>
      <c r="AF258" s="405"/>
      <c r="AG258" s="405"/>
      <c r="AH258" s="405"/>
      <c r="AI258" s="405"/>
      <c r="AJ258" s="405"/>
      <c r="AK258" s="405"/>
      <c r="AL258" s="405"/>
    </row>
    <row r="259" customFormat="false" ht="13.2" hidden="false" customHeight="false" outlineLevel="0" collapsed="false">
      <c r="U259" s="405"/>
      <c r="V259" s="405"/>
      <c r="W259" s="405"/>
      <c r="X259" s="405"/>
      <c r="Y259" s="405"/>
      <c r="Z259" s="405"/>
      <c r="AA259" s="405"/>
      <c r="AB259" s="405"/>
      <c r="AC259" s="405"/>
      <c r="AD259" s="405"/>
      <c r="AE259" s="405"/>
      <c r="AF259" s="405"/>
      <c r="AG259" s="405"/>
      <c r="AH259" s="405"/>
      <c r="AI259" s="405"/>
      <c r="AJ259" s="405"/>
      <c r="AK259" s="405"/>
      <c r="AL259" s="405"/>
    </row>
    <row r="260" customFormat="false" ht="13.2" hidden="false" customHeight="false" outlineLevel="0" collapsed="false">
      <c r="U260" s="405"/>
      <c r="V260" s="405"/>
      <c r="W260" s="405"/>
      <c r="X260" s="405"/>
      <c r="Y260" s="405"/>
      <c r="Z260" s="405"/>
      <c r="AA260" s="405"/>
      <c r="AB260" s="405"/>
      <c r="AC260" s="405"/>
      <c r="AD260" s="405"/>
      <c r="AE260" s="405"/>
      <c r="AF260" s="405"/>
      <c r="AG260" s="405"/>
      <c r="AH260" s="405"/>
      <c r="AI260" s="405"/>
      <c r="AJ260" s="405"/>
    </row>
    <row r="261" customFormat="false" ht="13.2" hidden="false" customHeight="false" outlineLevel="0" collapsed="false">
      <c r="U261" s="405"/>
      <c r="V261" s="405"/>
      <c r="W261" s="405"/>
      <c r="X261" s="405"/>
      <c r="Y261" s="405"/>
      <c r="Z261" s="405"/>
      <c r="AA261" s="405"/>
      <c r="AB261" s="405"/>
      <c r="AC261" s="405"/>
      <c r="AD261" s="405"/>
      <c r="AE261" s="405"/>
      <c r="AF261" s="405"/>
      <c r="AG261" s="405"/>
      <c r="AH261" s="405"/>
      <c r="AI261" s="405"/>
      <c r="AJ261" s="405"/>
    </row>
    <row r="262" customFormat="false" ht="13.2" hidden="false" customHeight="false" outlineLevel="0" collapsed="false">
      <c r="U262" s="405"/>
      <c r="V262" s="405"/>
      <c r="W262" s="405"/>
      <c r="X262" s="405"/>
      <c r="Y262" s="405"/>
      <c r="Z262" s="405"/>
      <c r="AA262" s="405"/>
      <c r="AB262" s="405"/>
      <c r="AC262" s="405"/>
      <c r="AD262" s="405"/>
      <c r="AE262" s="405"/>
      <c r="AF262" s="405"/>
      <c r="AG262" s="405"/>
      <c r="AH262" s="405"/>
      <c r="AI262" s="405"/>
      <c r="AJ262" s="405"/>
    </row>
    <row r="263" customFormat="false" ht="13.2" hidden="false" customHeight="false" outlineLevel="0" collapsed="false">
      <c r="U263" s="405"/>
      <c r="V263" s="405"/>
      <c r="W263" s="405"/>
      <c r="X263" s="405"/>
      <c r="Y263" s="405"/>
      <c r="Z263" s="405"/>
      <c r="AA263" s="405"/>
      <c r="AB263" s="405"/>
      <c r="AC263" s="405"/>
      <c r="AD263" s="405"/>
      <c r="AE263" s="405"/>
      <c r="AF263" s="405"/>
      <c r="AG263" s="405"/>
      <c r="AH263" s="405"/>
      <c r="AI263" s="405"/>
      <c r="AJ263" s="405"/>
    </row>
    <row r="264" customFormat="false" ht="13.2" hidden="false" customHeight="false" outlineLevel="0" collapsed="false">
      <c r="U264" s="405"/>
      <c r="V264" s="405"/>
      <c r="W264" s="405"/>
      <c r="X264" s="405"/>
      <c r="Y264" s="405"/>
      <c r="Z264" s="405"/>
      <c r="AA264" s="405"/>
      <c r="AB264" s="405"/>
      <c r="AC264" s="405"/>
      <c r="AD264" s="405"/>
      <c r="AE264" s="405"/>
      <c r="AF264" s="405"/>
      <c r="AG264" s="405"/>
      <c r="AH264" s="405"/>
      <c r="AI264" s="405"/>
      <c r="AJ264" s="405"/>
    </row>
    <row r="265" customFormat="false" ht="13.2" hidden="false" customHeight="false" outlineLevel="0" collapsed="false">
      <c r="U265" s="405"/>
      <c r="V265" s="405"/>
      <c r="W265" s="405"/>
      <c r="X265" s="405"/>
      <c r="Y265" s="405"/>
      <c r="Z265" s="405"/>
      <c r="AA265" s="405"/>
      <c r="AB265" s="405"/>
      <c r="AC265" s="405"/>
      <c r="AD265" s="405"/>
      <c r="AE265" s="405"/>
      <c r="AF265" s="405"/>
      <c r="AG265" s="405"/>
      <c r="AH265" s="405"/>
      <c r="AI265" s="405"/>
      <c r="AJ265" s="405"/>
    </row>
    <row r="266" customFormat="false" ht="13.2" hidden="false" customHeight="false" outlineLevel="0" collapsed="false">
      <c r="V266" s="405"/>
      <c r="W266" s="405"/>
      <c r="X266" s="405"/>
      <c r="Y266" s="405"/>
      <c r="Z266" s="405"/>
      <c r="AA266" s="405"/>
      <c r="AB266" s="405"/>
      <c r="AC266" s="405"/>
      <c r="AD266" s="405"/>
      <c r="AE266" s="405"/>
      <c r="AF266" s="405"/>
      <c r="AG266" s="405"/>
      <c r="AH266" s="405"/>
      <c r="AI266" s="405"/>
      <c r="AJ266" s="405"/>
    </row>
    <row r="267" customFormat="false" ht="13.2" hidden="false" customHeight="false" outlineLevel="0" collapsed="false">
      <c r="V267" s="405"/>
      <c r="W267" s="405"/>
      <c r="X267" s="405"/>
      <c r="Y267" s="405"/>
      <c r="Z267" s="405"/>
      <c r="AA267" s="405"/>
      <c r="AB267" s="405"/>
      <c r="AC267" s="405"/>
      <c r="AD267" s="405"/>
      <c r="AE267" s="405"/>
      <c r="AF267" s="405"/>
      <c r="AG267" s="405"/>
      <c r="AH267" s="405"/>
      <c r="AI267" s="405"/>
      <c r="AJ267" s="405"/>
    </row>
  </sheetData>
  <sheetProtection sheet="true" password="ea2e" objects="true" scenarios="true"/>
  <mergeCells count="14">
    <mergeCell ref="H4:H5"/>
    <mergeCell ref="I4:I5"/>
    <mergeCell ref="J4:J5"/>
    <mergeCell ref="K4:N4"/>
    <mergeCell ref="O4:O5"/>
    <mergeCell ref="P4:P5"/>
    <mergeCell ref="S4:S5"/>
    <mergeCell ref="T4:T5"/>
    <mergeCell ref="U4:U5"/>
    <mergeCell ref="V4:V5"/>
    <mergeCell ref="W4:Y4"/>
    <mergeCell ref="Z4:AC4"/>
    <mergeCell ref="AD4:AG4"/>
    <mergeCell ref="AH4:AH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F44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G4" activeCellId="0" sqref="G4:O26"/>
    </sheetView>
  </sheetViews>
  <sheetFormatPr defaultColWidth="8.875" defaultRowHeight="13.2" customHeight="false" zeroHeight="false" outlineLevelRow="0" outlineLevelCol="0"/>
  <cols>
    <col collapsed="false" customWidth="false" hidden="false" outlineLevel="0" max="1" min="1" style="405" width="8.87"/>
    <col collapsed="false" customWidth="true" hidden="false" outlineLevel="0" max="2" min="2" style="405" width="34.87"/>
    <col collapsed="false" customWidth="true" hidden="false" outlineLevel="0" max="3" min="3" style="405" width="10.66"/>
    <col collapsed="false" customWidth="false" hidden="false" outlineLevel="0" max="7" min="4" style="405" width="8.87"/>
    <col collapsed="false" customWidth="true" hidden="false" outlineLevel="0" max="8" min="8" style="405" width="10.55"/>
    <col collapsed="false" customWidth="false" hidden="false" outlineLevel="0" max="9" min="9" style="405" width="8.87"/>
    <col collapsed="false" customWidth="true" hidden="false" outlineLevel="0" max="10" min="10" style="405" width="9.99"/>
    <col collapsed="false" customWidth="false" hidden="false" outlineLevel="0" max="12" min="11" style="405" width="8.87"/>
    <col collapsed="false" customWidth="true" hidden="false" outlineLevel="0" max="13" min="13" style="405" width="7.32"/>
    <col collapsed="false" customWidth="true" hidden="false" outlineLevel="0" max="14" min="14" style="405" width="8.43"/>
    <col collapsed="false" customWidth="true" hidden="false" outlineLevel="0" max="15" min="15" style="405" width="13.99"/>
    <col collapsed="false" customWidth="false" hidden="false" outlineLevel="0" max="16" min="16" style="405" width="8.87"/>
    <col collapsed="false" customWidth="true" hidden="false" outlineLevel="0" max="17" min="17" style="405" width="6.87"/>
    <col collapsed="false" customWidth="true" hidden="false" outlineLevel="0" max="18" min="18" style="405" width="12.32"/>
    <col collapsed="false" customWidth="true" hidden="false" outlineLevel="0" max="19" min="19" style="405" width="10.55"/>
    <col collapsed="false" customWidth="true" hidden="false" outlineLevel="0" max="20" min="20" style="405" width="11.32"/>
    <col collapsed="false" customWidth="true" hidden="false" outlineLevel="0" max="21" min="21" style="405" width="11.99"/>
    <col collapsed="false" customWidth="true" hidden="false" outlineLevel="0" max="23" min="22" style="405" width="11.55"/>
    <col collapsed="false" customWidth="true" hidden="false" outlineLevel="0" max="24" min="24" style="405" width="10.43"/>
    <col collapsed="false" customWidth="true" hidden="false" outlineLevel="0" max="25" min="25" style="405" width="11.43"/>
    <col collapsed="false" customWidth="true" hidden="false" outlineLevel="0" max="26" min="26" style="405" width="12.32"/>
    <col collapsed="false" customWidth="true" hidden="false" outlineLevel="0" max="27" min="27" style="405" width="13.87"/>
    <col collapsed="false" customWidth="true" hidden="false" outlineLevel="0" max="28" min="28" style="405" width="11.87"/>
    <col collapsed="false" customWidth="true" hidden="false" outlineLevel="0" max="29" min="29" style="405" width="13.87"/>
    <col collapsed="false" customWidth="true" hidden="false" outlineLevel="0" max="30" min="30" style="405" width="10.55"/>
    <col collapsed="false" customWidth="true" hidden="false" outlineLevel="0" max="31" min="31" style="405" width="10.43"/>
    <col collapsed="false" customWidth="true" hidden="false" outlineLevel="0" max="32" min="32" style="405" width="9.66"/>
    <col collapsed="false" customWidth="true" hidden="false" outlineLevel="0" max="33" min="33" style="405" width="11.66"/>
    <col collapsed="false" customWidth="true" hidden="false" outlineLevel="0" max="34" min="34" style="405" width="10.1"/>
    <col collapsed="false" customWidth="false" hidden="false" outlineLevel="0" max="257" min="35" style="405" width="8.87"/>
  </cols>
  <sheetData>
    <row r="2" customFormat="false" ht="13.2" hidden="false" customHeight="false" outlineLevel="0" collapsed="false">
      <c r="A2" s="354" t="s">
        <v>415</v>
      </c>
      <c r="B2" s="1"/>
      <c r="C2" s="1"/>
      <c r="D2" s="1"/>
      <c r="E2" s="1"/>
      <c r="F2" s="1"/>
      <c r="H2" s="1"/>
      <c r="I2" s="354" t="s">
        <v>473</v>
      </c>
      <c r="J2" s="1"/>
      <c r="K2" s="1"/>
      <c r="L2" s="1"/>
      <c r="M2" s="1"/>
      <c r="N2" s="1"/>
      <c r="O2" s="1"/>
      <c r="S2" s="1"/>
      <c r="T2" s="1"/>
      <c r="U2" s="354" t="s">
        <v>474</v>
      </c>
      <c r="V2" s="1"/>
      <c r="W2" s="1"/>
      <c r="X2" s="1"/>
      <c r="Y2" s="1"/>
      <c r="Z2" s="1"/>
    </row>
    <row r="3" customFormat="false" ht="13.2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R3" s="1"/>
      <c r="S3" s="1"/>
      <c r="T3" s="1"/>
      <c r="U3" s="1"/>
      <c r="V3" s="1"/>
      <c r="W3" s="1"/>
      <c r="X3" s="1"/>
      <c r="Y3" s="1"/>
      <c r="Z3" s="1"/>
    </row>
    <row r="4" customFormat="false" ht="18.75" hidden="false" customHeight="true" outlineLevel="0" collapsed="false">
      <c r="A4" s="741"/>
      <c r="B4" s="742"/>
      <c r="C4" s="742"/>
      <c r="D4" s="743"/>
      <c r="G4" s="420" t="s">
        <v>96</v>
      </c>
      <c r="H4" s="686" t="s">
        <v>475</v>
      </c>
      <c r="I4" s="686"/>
      <c r="J4" s="686"/>
      <c r="K4" s="686" t="s">
        <v>476</v>
      </c>
      <c r="L4" s="686"/>
      <c r="M4" s="686"/>
      <c r="N4" s="686"/>
      <c r="O4" s="744" t="s">
        <v>477</v>
      </c>
      <c r="Q4" s="420" t="s">
        <v>96</v>
      </c>
      <c r="R4" s="420" t="s">
        <v>222</v>
      </c>
      <c r="S4" s="420" t="s">
        <v>311</v>
      </c>
      <c r="T4" s="686" t="s">
        <v>478</v>
      </c>
      <c r="U4" s="686"/>
      <c r="V4" s="686"/>
      <c r="W4" s="686"/>
      <c r="X4" s="686" t="s">
        <v>479</v>
      </c>
      <c r="Y4" s="686"/>
      <c r="Z4" s="686"/>
      <c r="AA4" s="686" t="s">
        <v>480</v>
      </c>
      <c r="AB4" s="686"/>
      <c r="AC4" s="686"/>
      <c r="AD4" s="686" t="s">
        <v>481</v>
      </c>
      <c r="AE4" s="686"/>
      <c r="AF4" s="686"/>
    </row>
    <row r="5" customFormat="false" ht="21.75" hidden="false" customHeight="true" outlineLevel="0" collapsed="false">
      <c r="A5" s="486" t="s">
        <v>433</v>
      </c>
      <c r="B5" s="74"/>
      <c r="C5" s="709" t="n">
        <f aca="false">'Input-Detail'!AZ29</f>
        <v>55</v>
      </c>
      <c r="D5" s="710"/>
      <c r="G5" s="420"/>
      <c r="H5" s="688" t="s">
        <v>88</v>
      </c>
      <c r="I5" s="688" t="s">
        <v>93</v>
      </c>
      <c r="J5" s="688" t="s">
        <v>101</v>
      </c>
      <c r="K5" s="688" t="s">
        <v>88</v>
      </c>
      <c r="L5" s="688" t="s">
        <v>93</v>
      </c>
      <c r="M5" s="688" t="s">
        <v>101</v>
      </c>
      <c r="N5" s="689" t="s">
        <v>282</v>
      </c>
      <c r="O5" s="744"/>
      <c r="Q5" s="420"/>
      <c r="R5" s="420"/>
      <c r="S5" s="420"/>
      <c r="T5" s="688" t="s">
        <v>482</v>
      </c>
      <c r="U5" s="688" t="s">
        <v>427</v>
      </c>
      <c r="V5" s="688" t="s">
        <v>428</v>
      </c>
      <c r="W5" s="689" t="s">
        <v>282</v>
      </c>
      <c r="X5" s="688" t="s">
        <v>88</v>
      </c>
      <c r="Y5" s="688" t="s">
        <v>93</v>
      </c>
      <c r="Z5" s="688" t="s">
        <v>101</v>
      </c>
      <c r="AA5" s="688" t="s">
        <v>88</v>
      </c>
      <c r="AB5" s="688" t="s">
        <v>93</v>
      </c>
      <c r="AC5" s="688" t="s">
        <v>101</v>
      </c>
      <c r="AD5" s="688" t="s">
        <v>88</v>
      </c>
      <c r="AE5" s="688" t="s">
        <v>93</v>
      </c>
      <c r="AF5" s="688" t="s">
        <v>101</v>
      </c>
    </row>
    <row r="6" customFormat="false" ht="13.8" hidden="false" customHeight="false" outlineLevel="0" collapsed="false">
      <c r="A6" s="486" t="s">
        <v>483</v>
      </c>
      <c r="B6" s="74"/>
      <c r="C6" s="745" t="n">
        <f aca="false">'Input-Detail'!BV11</f>
        <v>25</v>
      </c>
      <c r="D6" s="488"/>
      <c r="G6" s="537" t="s">
        <v>114</v>
      </c>
      <c r="H6" s="695"/>
      <c r="I6" s="695"/>
      <c r="J6" s="695"/>
      <c r="K6" s="746"/>
      <c r="L6" s="746"/>
      <c r="M6" s="746"/>
      <c r="N6" s="747"/>
      <c r="O6" s="747"/>
      <c r="Q6" s="537" t="s">
        <v>114</v>
      </c>
      <c r="R6" s="595" t="n">
        <f aca="false">'Time Value'!I6</f>
        <v>19016173</v>
      </c>
      <c r="S6" s="600" t="n">
        <f aca="false">'Time Value'!J6</f>
        <v>0</v>
      </c>
      <c r="T6" s="695"/>
      <c r="U6" s="695"/>
      <c r="V6" s="695"/>
      <c r="W6" s="695"/>
      <c r="X6" s="695"/>
      <c r="Y6" s="695"/>
      <c r="Z6" s="695"/>
      <c r="AA6" s="695"/>
      <c r="AB6" s="695"/>
      <c r="AC6" s="695"/>
      <c r="AD6" s="695"/>
      <c r="AE6" s="695"/>
      <c r="AF6" s="695"/>
    </row>
    <row r="7" customFormat="false" ht="13.2" hidden="false" customHeight="false" outlineLevel="0" collapsed="false">
      <c r="A7" s="486" t="s">
        <v>484</v>
      </c>
      <c r="B7" s="74"/>
      <c r="C7" s="707"/>
      <c r="D7" s="488"/>
      <c r="G7" s="537" t="n">
        <v>1</v>
      </c>
      <c r="H7" s="658" t="n">
        <f aca="false">AD7</f>
        <v>183.640509789102</v>
      </c>
      <c r="I7" s="658" t="n">
        <f aca="false">AE7</f>
        <v>45.2345783110988</v>
      </c>
      <c r="J7" s="658" t="n">
        <f aca="false">AF7</f>
        <v>1130.60812013698</v>
      </c>
      <c r="K7" s="748" t="n">
        <f aca="false">H7*$C$20</f>
        <v>234.141649981104</v>
      </c>
      <c r="L7" s="748" t="n">
        <f aca="false">I7*$C$21</f>
        <v>57.674087346651</v>
      </c>
      <c r="M7" s="748" t="n">
        <f aca="false">J7*$C$22</f>
        <v>7.12283115686299</v>
      </c>
      <c r="N7" s="749" t="n">
        <f aca="false">SUM(K7:M7)</f>
        <v>298.938568484618</v>
      </c>
      <c r="O7" s="749" t="n">
        <f aca="false">V7*$C$8*$C$23</f>
        <v>8178.32229830007</v>
      </c>
      <c r="Q7" s="537" t="n">
        <v>1</v>
      </c>
      <c r="R7" s="595" t="n">
        <f aca="false">'Time Value'!I7</f>
        <v>19565364.35</v>
      </c>
      <c r="S7" s="600" t="n">
        <f aca="false">'Time Value'!J7</f>
        <v>0.06</v>
      </c>
      <c r="T7" s="658" t="n">
        <f aca="false">'Time Value'!K7</f>
        <v>-2821.82077693353</v>
      </c>
      <c r="U7" s="658" t="n">
        <f aca="false">'Time Value'!L7</f>
        <v>3379.47202409094</v>
      </c>
      <c r="V7" s="658" t="n">
        <f aca="false">'Time Value'!M7</f>
        <v>3379.47202409094</v>
      </c>
      <c r="W7" s="658" t="n">
        <f aca="false">'Time Value'!N7</f>
        <v>3937.12327124834</v>
      </c>
      <c r="X7" s="658" t="n">
        <f aca="false">$C$15*60*T7/1000</f>
        <v>-0</v>
      </c>
      <c r="Y7" s="658" t="n">
        <f aca="false">$C$16*60*T7/1000</f>
        <v>-25.3963869924018</v>
      </c>
      <c r="Z7" s="658" t="n">
        <f aca="false">$C$17*60*T7/1000</f>
        <v>-423.27311654003</v>
      </c>
      <c r="AA7" s="658" t="n">
        <f aca="false">V7*$C$8*$C$10/1000</f>
        <v>183.640509789102</v>
      </c>
      <c r="AB7" s="658" t="n">
        <f aca="false">V7*$C$8*$C$11/1000</f>
        <v>70.6309653035006</v>
      </c>
      <c r="AC7" s="658" t="n">
        <f aca="false">V7*$C$8*$C$12/1000</f>
        <v>1553.88123667701</v>
      </c>
      <c r="AD7" s="658" t="n">
        <f aca="false">X7+AA7</f>
        <v>183.640509789102</v>
      </c>
      <c r="AE7" s="658" t="n">
        <f aca="false">Y7+AB7</f>
        <v>45.2345783110988</v>
      </c>
      <c r="AF7" s="658" t="n">
        <f aca="false">Z7+AC7</f>
        <v>1130.60812013698</v>
      </c>
    </row>
    <row r="8" customFormat="false" ht="13.2" hidden="false" customHeight="false" outlineLevel="0" collapsed="false">
      <c r="A8" s="712"/>
      <c r="B8" s="74" t="s">
        <v>428</v>
      </c>
      <c r="C8" s="750" t="n">
        <f aca="false">C5/C6</f>
        <v>2.2</v>
      </c>
      <c r="D8" s="488"/>
      <c r="G8" s="537" t="n">
        <v>2</v>
      </c>
      <c r="H8" s="658" t="n">
        <f aca="false">AD8</f>
        <v>377.5904396004</v>
      </c>
      <c r="I8" s="658" t="n">
        <f aca="false">AE8</f>
        <v>141.933806824632</v>
      </c>
      <c r="J8" s="658" t="n">
        <f aca="false">AF8</f>
        <v>3140.1079385652</v>
      </c>
      <c r="K8" s="748" t="n">
        <f aca="false">H8*$C$20</f>
        <v>481.427810490511</v>
      </c>
      <c r="L8" s="748" t="n">
        <f aca="false">I8*$C$21</f>
        <v>180.965603701406</v>
      </c>
      <c r="M8" s="748" t="n">
        <f aca="false">J8*$C$22</f>
        <v>19.7826800129608</v>
      </c>
      <c r="N8" s="749" t="n">
        <f aca="false">SUM(K8:M8)</f>
        <v>682.176094204877</v>
      </c>
      <c r="O8" s="749" t="n">
        <f aca="false">V8*$C$8*$C$23</f>
        <v>16815.7685652</v>
      </c>
      <c r="Q8" s="537" t="n">
        <v>2</v>
      </c>
      <c r="R8" s="595" t="n">
        <f aca="false">'Time Value'!I8</f>
        <v>20114555.7</v>
      </c>
      <c r="S8" s="600" t="n">
        <f aca="false">'Time Value'!J8</f>
        <v>0.15</v>
      </c>
      <c r="T8" s="658" t="n">
        <f aca="false">'Time Value'!K8</f>
        <v>-365.920592152033</v>
      </c>
      <c r="U8" s="658" t="n">
        <f aca="false">'Time Value'!L8</f>
        <v>6948.66469636362</v>
      </c>
      <c r="V8" s="658" t="n">
        <f aca="false">'Time Value'!M8</f>
        <v>6948.66469636365</v>
      </c>
      <c r="W8" s="658" t="n">
        <f aca="false">'Time Value'!N8</f>
        <v>13531.4088005752</v>
      </c>
      <c r="X8" s="658" t="n">
        <f aca="false">$C$15*60*T8/1000</f>
        <v>-0</v>
      </c>
      <c r="Y8" s="658" t="n">
        <f aca="false">$C$16*60*T8/1000</f>
        <v>-3.2932853293683</v>
      </c>
      <c r="Z8" s="658" t="n">
        <f aca="false">$C$17*60*T8/1000</f>
        <v>-54.888088822805</v>
      </c>
      <c r="AA8" s="658" t="n">
        <f aca="false">V8*$C$8*$C$10/1000</f>
        <v>377.5904396004</v>
      </c>
      <c r="AB8" s="658" t="n">
        <f aca="false">V8*$C$8*$C$11/1000</f>
        <v>145.227092154</v>
      </c>
      <c r="AC8" s="658" t="n">
        <f aca="false">V8*$C$8*$C$12/1000</f>
        <v>3194.996027388</v>
      </c>
      <c r="AD8" s="658" t="n">
        <f aca="false">X8+AA8</f>
        <v>377.5904396004</v>
      </c>
      <c r="AE8" s="658" t="n">
        <f aca="false">Y8+AB8</f>
        <v>141.933806824632</v>
      </c>
      <c r="AF8" s="658" t="n">
        <f aca="false">Z8+AC8</f>
        <v>3140.1079385652</v>
      </c>
    </row>
    <row r="9" customFormat="false" ht="13.2" hidden="false" customHeight="false" outlineLevel="0" collapsed="false">
      <c r="A9" s="486" t="s">
        <v>485</v>
      </c>
      <c r="B9" s="74"/>
      <c r="C9" s="711"/>
      <c r="D9" s="488"/>
      <c r="G9" s="537" t="n">
        <v>3</v>
      </c>
      <c r="H9" s="658" t="n">
        <f aca="false">AD9</f>
        <v>581.8497894339</v>
      </c>
      <c r="I9" s="658" t="n">
        <f aca="false">AE9</f>
        <v>213.393446864123</v>
      </c>
      <c r="J9" s="658" t="n">
        <f aca="false">AF9</f>
        <v>4750.09547734339</v>
      </c>
      <c r="K9" s="748" t="n">
        <f aca="false">H9*$C$20</f>
        <v>741.858481528222</v>
      </c>
      <c r="L9" s="748" t="n">
        <f aca="false">I9*$C$21</f>
        <v>272.076644751757</v>
      </c>
      <c r="M9" s="748" t="n">
        <f aca="false">J9*$C$22</f>
        <v>29.9256015072633</v>
      </c>
      <c r="N9" s="749" t="n">
        <f aca="false">SUM(K9:M9)</f>
        <v>1043.86072778724</v>
      </c>
      <c r="O9" s="749" t="n">
        <f aca="false">V9*$C$8*$C$23</f>
        <v>25912.3388007</v>
      </c>
      <c r="Q9" s="537" t="n">
        <v>3</v>
      </c>
      <c r="R9" s="595" t="n">
        <f aca="false">'Time Value'!I9</f>
        <v>20663747.05</v>
      </c>
      <c r="S9" s="600" t="n">
        <f aca="false">'Time Value'!J9</f>
        <v>0.2</v>
      </c>
      <c r="T9" s="658" t="n">
        <f aca="false">'Time Value'!K9</f>
        <v>-1154.99263193075</v>
      </c>
      <c r="U9" s="658" t="n">
        <f aca="false">'Time Value'!L9</f>
        <v>10707.5780168182</v>
      </c>
      <c r="V9" s="658" t="n">
        <f aca="false">'Time Value'!M9</f>
        <v>10707.5780168182</v>
      </c>
      <c r="W9" s="658" t="n">
        <f aca="false">'Time Value'!N9</f>
        <v>20260.1634017056</v>
      </c>
      <c r="X9" s="658" t="n">
        <f aca="false">$C$15*60*T9/1000</f>
        <v>-0</v>
      </c>
      <c r="Y9" s="658" t="n">
        <f aca="false">$C$16*60*T9/1000</f>
        <v>-10.3949336873767</v>
      </c>
      <c r="Z9" s="658" t="n">
        <f aca="false">$C$17*60*T9/1000</f>
        <v>-173.248894789612</v>
      </c>
      <c r="AA9" s="658" t="n">
        <f aca="false">V9*$C$8*$C$10/1000</f>
        <v>581.8497894339</v>
      </c>
      <c r="AB9" s="658" t="n">
        <f aca="false">V9*$C$8*$C$11/1000</f>
        <v>223.7883805515</v>
      </c>
      <c r="AC9" s="658" t="n">
        <f aca="false">V9*$C$8*$C$12/1000</f>
        <v>4923.344372133</v>
      </c>
      <c r="AD9" s="658" t="n">
        <f aca="false">X9+AA9</f>
        <v>581.8497894339</v>
      </c>
      <c r="AE9" s="658" t="n">
        <f aca="false">Y9+AB9</f>
        <v>213.393446864123</v>
      </c>
      <c r="AF9" s="658" t="n">
        <f aca="false">Z9+AC9</f>
        <v>4750.09547734339</v>
      </c>
    </row>
    <row r="10" customFormat="false" ht="13.2" hidden="false" customHeight="false" outlineLevel="0" collapsed="false">
      <c r="A10" s="486"/>
      <c r="B10" s="74" t="s">
        <v>88</v>
      </c>
      <c r="C10" s="709" t="n">
        <f aca="false">'Input-Detail'!BV14</f>
        <v>24.7</v>
      </c>
      <c r="D10" s="488"/>
      <c r="E10" s="50"/>
      <c r="F10" s="50"/>
      <c r="G10" s="537" t="n">
        <v>4</v>
      </c>
      <c r="H10" s="658" t="n">
        <f aca="false">AD10</f>
        <v>796.4185592896</v>
      </c>
      <c r="I10" s="658" t="n">
        <f aca="false">AE10</f>
        <v>301.717559581449</v>
      </c>
      <c r="J10" s="658" t="n">
        <f aca="false">AF10</f>
        <v>6662.30508900282</v>
      </c>
      <c r="K10" s="748" t="n">
        <f aca="false">H10*$C$20</f>
        <v>1015.43366309424</v>
      </c>
      <c r="L10" s="748" t="n">
        <f aca="false">I10*$C$21</f>
        <v>384.689888466348</v>
      </c>
      <c r="M10" s="748" t="n">
        <f aca="false">J10*$C$22</f>
        <v>41.9725220607178</v>
      </c>
      <c r="N10" s="749" t="n">
        <f aca="false">SUM(K10:M10)</f>
        <v>1442.09607362131</v>
      </c>
      <c r="O10" s="749" t="n">
        <f aca="false">V10*$C$8*$C$23</f>
        <v>35468.0330048</v>
      </c>
      <c r="Q10" s="537" t="n">
        <v>4</v>
      </c>
      <c r="R10" s="595" t="n">
        <f aca="false">'Time Value'!I10</f>
        <v>21212938.4</v>
      </c>
      <c r="S10" s="600" t="n">
        <f aca="false">'Time Value'!J10</f>
        <v>0.25</v>
      </c>
      <c r="T10" s="658" t="n">
        <f aca="false">'Time Value'!K10</f>
        <v>-510.80787939451</v>
      </c>
      <c r="U10" s="658" t="n">
        <f aca="false">'Time Value'!L10</f>
        <v>14656.2119854545</v>
      </c>
      <c r="V10" s="658" t="n">
        <f aca="false">'Time Value'!M10</f>
        <v>14656.2119854545</v>
      </c>
      <c r="W10" s="658" t="n">
        <f aca="false">'Time Value'!N10</f>
        <v>28801.6160915146</v>
      </c>
      <c r="X10" s="658" t="n">
        <f aca="false">$C$15*60*T10/1000</f>
        <v>-0</v>
      </c>
      <c r="Y10" s="658" t="n">
        <f aca="false">$C$16*60*T10/1000</f>
        <v>-4.59727091455059</v>
      </c>
      <c r="Z10" s="658" t="n">
        <f aca="false">$C$17*60*T10/1000</f>
        <v>-76.6211819091764</v>
      </c>
      <c r="AA10" s="658" t="n">
        <f aca="false">V10*$C$8*$C$10/1000</f>
        <v>796.4185592896</v>
      </c>
      <c r="AB10" s="658" t="n">
        <f aca="false">V10*$C$8*$C$11/1000</f>
        <v>306.314830496</v>
      </c>
      <c r="AC10" s="658" t="n">
        <f aca="false">V10*$C$8*$C$12/1000</f>
        <v>6738.926270912</v>
      </c>
      <c r="AD10" s="658" t="n">
        <f aca="false">X10+AA10</f>
        <v>796.4185592896</v>
      </c>
      <c r="AE10" s="658" t="n">
        <f aca="false">Y10+AB10</f>
        <v>301.717559581449</v>
      </c>
      <c r="AF10" s="658" t="n">
        <f aca="false">Z10+AC10</f>
        <v>6662.30508900282</v>
      </c>
    </row>
    <row r="11" customFormat="false" ht="13.2" hidden="false" customHeight="false" outlineLevel="0" collapsed="false">
      <c r="A11" s="712"/>
      <c r="B11" s="74" t="s">
        <v>93</v>
      </c>
      <c r="C11" s="709" t="n">
        <f aca="false">'Input-Detail'!BV15</f>
        <v>9.5</v>
      </c>
      <c r="D11" s="488"/>
      <c r="G11" s="537" t="n">
        <v>5</v>
      </c>
      <c r="H11" s="658" t="n">
        <f aca="false">AD11</f>
        <v>1021.2967491675</v>
      </c>
      <c r="I11" s="658" t="n">
        <f aca="false">AE11</f>
        <v>397.651970812677</v>
      </c>
      <c r="J11" s="658" t="n">
        <f aca="false">AF11</f>
        <v>8722.50053747795</v>
      </c>
      <c r="K11" s="748" t="n">
        <f aca="false">H11*$C$20</f>
        <v>1302.15335518856</v>
      </c>
      <c r="L11" s="748" t="n">
        <f aca="false">I11*$C$21</f>
        <v>507.006262786163</v>
      </c>
      <c r="M11" s="748" t="n">
        <f aca="false">J11*$C$22</f>
        <v>54.9517533861111</v>
      </c>
      <c r="N11" s="749" t="n">
        <f aca="false">SUM(K11:M11)</f>
        <v>1864.11137136084</v>
      </c>
      <c r="O11" s="749" t="n">
        <f aca="false">V11*$C$8*$C$23</f>
        <v>45482.8511775</v>
      </c>
      <c r="Q11" s="537" t="n">
        <v>5</v>
      </c>
      <c r="R11" s="595" t="n">
        <f aca="false">'Time Value'!I11</f>
        <v>21762129.75</v>
      </c>
      <c r="S11" s="600" t="n">
        <f aca="false">'Time Value'!J11</f>
        <v>0.3</v>
      </c>
      <c r="T11" s="658" t="n">
        <f aca="false">'Time Value'!K11</f>
        <v>538.392091686275</v>
      </c>
      <c r="U11" s="658" t="n">
        <f aca="false">'Time Value'!L11</f>
        <v>18794.5666022727</v>
      </c>
      <c r="V11" s="658" t="n">
        <f aca="false">'Time Value'!M11</f>
        <v>18794.5666022727</v>
      </c>
      <c r="W11" s="658" t="n">
        <f aca="false">'Time Value'!N11</f>
        <v>38127.5252962318</v>
      </c>
      <c r="X11" s="658" t="n">
        <f aca="false">$C$15*60*T11/1000</f>
        <v>0</v>
      </c>
      <c r="Y11" s="658" t="n">
        <f aca="false">$C$16*60*T11/1000</f>
        <v>4.84552882517648</v>
      </c>
      <c r="Z11" s="658" t="n">
        <f aca="false">$C$17*60*T11/1000</f>
        <v>80.7588137529413</v>
      </c>
      <c r="AA11" s="658" t="n">
        <f aca="false">V11*$C$8*$C$10/1000</f>
        <v>1021.2967491675</v>
      </c>
      <c r="AB11" s="658" t="n">
        <f aca="false">V11*$C$8*$C$11/1000</f>
        <v>392.8064419875</v>
      </c>
      <c r="AC11" s="658" t="n">
        <f aca="false">V11*$C$8*$C$12/1000</f>
        <v>8641.74172372501</v>
      </c>
      <c r="AD11" s="658" t="n">
        <f aca="false">X11+AA11</f>
        <v>1021.2967491675</v>
      </c>
      <c r="AE11" s="658" t="n">
        <f aca="false">Y11+AB11</f>
        <v>397.651970812677</v>
      </c>
      <c r="AF11" s="658" t="n">
        <f aca="false">Z11+AC11</f>
        <v>8722.50053747795</v>
      </c>
    </row>
    <row r="12" customFormat="false" ht="13.2" hidden="false" customHeight="false" outlineLevel="0" collapsed="false">
      <c r="A12" s="712"/>
      <c r="B12" s="74" t="s">
        <v>101</v>
      </c>
      <c r="C12" s="709" t="n">
        <f aca="false">'Input-Detail'!BV16</f>
        <v>209</v>
      </c>
      <c r="D12" s="714"/>
      <c r="G12" s="537" t="n">
        <v>6</v>
      </c>
      <c r="H12" s="658" t="n">
        <f aca="false">AD12</f>
        <v>1256.4843590676</v>
      </c>
      <c r="I12" s="658" t="n">
        <f aca="false">AE12</f>
        <v>490.284052795042</v>
      </c>
      <c r="J12" s="658" t="n">
        <f aca="false">AF12</f>
        <v>10748.8046933894</v>
      </c>
      <c r="K12" s="748" t="n">
        <f aca="false">H12*$C$20</f>
        <v>1602.01755781119</v>
      </c>
      <c r="L12" s="748" t="n">
        <f aca="false">I12*$C$21</f>
        <v>625.112167313678</v>
      </c>
      <c r="M12" s="748" t="n">
        <f aca="false">J12*$C$22</f>
        <v>67.717469568353</v>
      </c>
      <c r="N12" s="749" t="n">
        <f aca="false">SUM(K12:M12)</f>
        <v>2294.84719469322</v>
      </c>
      <c r="O12" s="749" t="n">
        <f aca="false">V12*$C$8*$C$23</f>
        <v>55956.7933188</v>
      </c>
      <c r="Q12" s="537" t="n">
        <v>6</v>
      </c>
      <c r="R12" s="595" t="n">
        <f aca="false">'Time Value'!I12</f>
        <v>22311321.1</v>
      </c>
      <c r="S12" s="600" t="n">
        <f aca="false">'Time Value'!J12</f>
        <v>0.35</v>
      </c>
      <c r="T12" s="658" t="n">
        <f aca="false">'Time Value'!K12</f>
        <v>780.093085449047</v>
      </c>
      <c r="U12" s="658" t="n">
        <f aca="false">'Time Value'!L12</f>
        <v>23122.6418672727</v>
      </c>
      <c r="V12" s="658" t="n">
        <f aca="false">'Time Value'!M12</f>
        <v>23122.6418672727</v>
      </c>
      <c r="W12" s="658" t="n">
        <f aca="false">'Time Value'!N12</f>
        <v>47025.3768199945</v>
      </c>
      <c r="X12" s="658" t="n">
        <f aca="false">$C$15*60*T12/1000</f>
        <v>0</v>
      </c>
      <c r="Y12" s="658" t="n">
        <f aca="false">$C$16*60*T12/1000</f>
        <v>7.02083776904142</v>
      </c>
      <c r="Z12" s="658" t="n">
        <f aca="false">$C$17*60*T12/1000</f>
        <v>117.013962817357</v>
      </c>
      <c r="AA12" s="658" t="n">
        <f aca="false">V12*$C$8*$C$10/1000</f>
        <v>1256.4843590676</v>
      </c>
      <c r="AB12" s="658" t="n">
        <f aca="false">V12*$C$8*$C$11/1000</f>
        <v>483.263215026</v>
      </c>
      <c r="AC12" s="658" t="n">
        <f aca="false">V12*$C$8*$C$12/1000</f>
        <v>10631.790730572</v>
      </c>
      <c r="AD12" s="658" t="n">
        <f aca="false">X12+AA12</f>
        <v>1256.4843590676</v>
      </c>
      <c r="AE12" s="658" t="n">
        <f aca="false">Y12+AB12</f>
        <v>490.284052795042</v>
      </c>
      <c r="AF12" s="658" t="n">
        <f aca="false">Z12+AC12</f>
        <v>10748.8046933894</v>
      </c>
    </row>
    <row r="13" customFormat="false" ht="13.2" hidden="false" customHeight="false" outlineLevel="0" collapsed="false">
      <c r="A13" s="712"/>
      <c r="B13" s="74"/>
      <c r="C13" s="711"/>
      <c r="D13" s="488"/>
      <c r="G13" s="537" t="n">
        <v>7</v>
      </c>
      <c r="H13" s="658" t="n">
        <f aca="false">AD13</f>
        <v>1501.9813889899</v>
      </c>
      <c r="I13" s="658" t="n">
        <f aca="false">AE13</f>
        <v>589.651527625957</v>
      </c>
      <c r="J13" s="658" t="n">
        <f aca="false">AF13</f>
        <v>12908.5129250273</v>
      </c>
      <c r="K13" s="748" t="n">
        <f aca="false">H13*$C$20</f>
        <v>1915.02627096212</v>
      </c>
      <c r="L13" s="748" t="n">
        <f aca="false">I13*$C$21</f>
        <v>751.805697723096</v>
      </c>
      <c r="M13" s="748" t="n">
        <f aca="false">J13*$C$22</f>
        <v>81.3236314276719</v>
      </c>
      <c r="N13" s="749" t="n">
        <f aca="false">SUM(K13:M13)</f>
        <v>2748.15560011289</v>
      </c>
      <c r="O13" s="749" t="n">
        <f aca="false">V13*$C$8*$C$23</f>
        <v>66889.8594287</v>
      </c>
      <c r="Q13" s="537" t="n">
        <v>7</v>
      </c>
      <c r="R13" s="595" t="n">
        <f aca="false">'Time Value'!I13</f>
        <v>22860512.45</v>
      </c>
      <c r="S13" s="600" t="n">
        <f aca="false">'Time Value'!J13</f>
        <v>0.4</v>
      </c>
      <c r="T13" s="658" t="n">
        <f aca="false">'Time Value'!K13</f>
        <v>1329.59755716194</v>
      </c>
      <c r="U13" s="658" t="n">
        <f aca="false">'Time Value'!L13</f>
        <v>27640.4377804545</v>
      </c>
      <c r="V13" s="658" t="n">
        <f aca="false">'Time Value'!M13</f>
        <v>27640.4377804546</v>
      </c>
      <c r="W13" s="658" t="n">
        <f aca="false">'Time Value'!N13</f>
        <v>56610.473118071</v>
      </c>
      <c r="X13" s="658" t="n">
        <f aca="false">$C$15*60*T13/1000</f>
        <v>0</v>
      </c>
      <c r="Y13" s="658" t="n">
        <f aca="false">$C$16*60*T13/1000</f>
        <v>11.9663780144575</v>
      </c>
      <c r="Z13" s="658" t="n">
        <f aca="false">$C$17*60*T13/1000</f>
        <v>199.439633574291</v>
      </c>
      <c r="AA13" s="658" t="n">
        <f aca="false">V13*$C$8*$C$10/1000</f>
        <v>1501.9813889899</v>
      </c>
      <c r="AB13" s="658" t="n">
        <f aca="false">V13*$C$8*$C$11/1000</f>
        <v>577.6851496115</v>
      </c>
      <c r="AC13" s="658" t="n">
        <f aca="false">V13*$C$8*$C$12/1000</f>
        <v>12709.073291453</v>
      </c>
      <c r="AD13" s="658" t="n">
        <f aca="false">X13+AA13</f>
        <v>1501.9813889899</v>
      </c>
      <c r="AE13" s="658" t="n">
        <f aca="false">Y13+AB13</f>
        <v>589.651527625957</v>
      </c>
      <c r="AF13" s="658" t="n">
        <f aca="false">Z13+AC13</f>
        <v>12908.5129250273</v>
      </c>
    </row>
    <row r="14" customFormat="false" ht="13.2" hidden="false" customHeight="false" outlineLevel="0" collapsed="false">
      <c r="A14" s="486" t="s">
        <v>486</v>
      </c>
      <c r="B14" s="74"/>
      <c r="C14" s="751"/>
      <c r="D14" s="488"/>
      <c r="G14" s="537" t="n">
        <v>8</v>
      </c>
      <c r="H14" s="658" t="n">
        <f aca="false">AD14</f>
        <v>1757.7878389344</v>
      </c>
      <c r="I14" s="658" t="n">
        <f aca="false">AE14</f>
        <v>696.960105635402</v>
      </c>
      <c r="J14" s="658" t="n">
        <f aca="false">AF14</f>
        <v>15221.720404558</v>
      </c>
      <c r="K14" s="748" t="n">
        <f aca="false">H14*$C$20</f>
        <v>2241.17949464136</v>
      </c>
      <c r="L14" s="748" t="n">
        <f aca="false">I14*$C$21</f>
        <v>888.624134685138</v>
      </c>
      <c r="M14" s="748" t="n">
        <f aca="false">J14*$C$22</f>
        <v>95.8968385487157</v>
      </c>
      <c r="N14" s="749" t="n">
        <f aca="false">SUM(K14:M14)</f>
        <v>3225.70046787522</v>
      </c>
      <c r="O14" s="749" t="n">
        <f aca="false">V14*$C$8*$C$23</f>
        <v>78282.0495072001</v>
      </c>
      <c r="Q14" s="537" t="n">
        <v>8</v>
      </c>
      <c r="R14" s="595" t="n">
        <f aca="false">'Time Value'!I14</f>
        <v>23409703.8</v>
      </c>
      <c r="S14" s="600" t="n">
        <f aca="false">'Time Value'!J14</f>
        <v>0.45</v>
      </c>
      <c r="T14" s="658" t="n">
        <f aca="false">'Time Value'!K14</f>
        <v>2320.87332126685</v>
      </c>
      <c r="U14" s="658" t="n">
        <f aca="false">'Time Value'!L14</f>
        <v>32347.9543418182</v>
      </c>
      <c r="V14" s="658" t="n">
        <f aca="false">'Time Value'!M14</f>
        <v>32347.9543418182</v>
      </c>
      <c r="W14" s="658" t="n">
        <f aca="false">'Time Value'!N14</f>
        <v>67016.7820049032</v>
      </c>
      <c r="X14" s="658" t="n">
        <f aca="false">$C$15*60*T14/1000</f>
        <v>0</v>
      </c>
      <c r="Y14" s="658" t="n">
        <f aca="false">$C$16*60*T14/1000</f>
        <v>20.8878598914017</v>
      </c>
      <c r="Z14" s="658" t="n">
        <f aca="false">$C$17*60*T14/1000</f>
        <v>348.130998190028</v>
      </c>
      <c r="AA14" s="658" t="n">
        <f aca="false">V14*$C$8*$C$10/1000</f>
        <v>1757.7878389344</v>
      </c>
      <c r="AB14" s="658" t="n">
        <f aca="false">V14*$C$8*$C$11/1000</f>
        <v>676.072245744001</v>
      </c>
      <c r="AC14" s="658" t="n">
        <f aca="false">V14*$C$8*$C$12/1000</f>
        <v>14873.589406368</v>
      </c>
      <c r="AD14" s="658" t="n">
        <f aca="false">X14+AA14</f>
        <v>1757.7878389344</v>
      </c>
      <c r="AE14" s="658" t="n">
        <f aca="false">Y14+AB14</f>
        <v>696.960105635402</v>
      </c>
      <c r="AF14" s="658" t="n">
        <f aca="false">Z14+AC14</f>
        <v>15221.720404558</v>
      </c>
    </row>
    <row r="15" customFormat="false" ht="13.2" hidden="false" customHeight="false" outlineLevel="0" collapsed="false">
      <c r="A15" s="712"/>
      <c r="B15" s="74" t="s">
        <v>88</v>
      </c>
      <c r="C15" s="752" t="n">
        <f aca="false">'Input-Detail'!BV18</f>
        <v>0</v>
      </c>
      <c r="D15" s="488"/>
      <c r="G15" s="537" t="n">
        <v>9</v>
      </c>
      <c r="H15" s="658" t="n">
        <f aca="false">AD15</f>
        <v>2023.9037089011</v>
      </c>
      <c r="I15" s="658" t="n">
        <f aca="false">AE15</f>
        <v>801.469531937131</v>
      </c>
      <c r="J15" s="658" t="n">
        <f aca="false">AF15</f>
        <v>17509.4228838775</v>
      </c>
      <c r="K15" s="748" t="n">
        <f aca="false">H15*$C$20</f>
        <v>2580.4772288489</v>
      </c>
      <c r="L15" s="748" t="n">
        <f aca="false">I15*$C$21</f>
        <v>1021.87365321984</v>
      </c>
      <c r="M15" s="748" t="n">
        <f aca="false">J15*$C$22</f>
        <v>110.309364168428</v>
      </c>
      <c r="N15" s="749" t="n">
        <f aca="false">SUM(K15:M15)</f>
        <v>3712.66024623717</v>
      </c>
      <c r="O15" s="749" t="n">
        <f aca="false">V15*$C$8*$C$23</f>
        <v>90133.3635543</v>
      </c>
      <c r="Q15" s="537" t="n">
        <v>9</v>
      </c>
      <c r="R15" s="595" t="n">
        <f aca="false">'Time Value'!I15</f>
        <v>23958895.15</v>
      </c>
      <c r="S15" s="600" t="n">
        <f aca="false">'Time Value'!J15</f>
        <v>0.5</v>
      </c>
      <c r="T15" s="658" t="n">
        <f aca="false">'Time Value'!K15</f>
        <v>2560.55872373675</v>
      </c>
      <c r="U15" s="658" t="n">
        <f aca="false">'Time Value'!L15</f>
        <v>37245.1915513636</v>
      </c>
      <c r="V15" s="658" t="n">
        <f aca="false">'Time Value'!M15</f>
        <v>37245.1915513637</v>
      </c>
      <c r="W15" s="658" t="n">
        <f aca="false">'Time Value'!N15</f>
        <v>77050.941826464</v>
      </c>
      <c r="X15" s="658" t="n">
        <f aca="false">$C$15*60*T15/1000</f>
        <v>0</v>
      </c>
      <c r="Y15" s="658" t="n">
        <f aca="false">$C$16*60*T15/1000</f>
        <v>23.0450285136307</v>
      </c>
      <c r="Z15" s="658" t="n">
        <f aca="false">$C$17*60*T15/1000</f>
        <v>384.083808560512</v>
      </c>
      <c r="AA15" s="658" t="n">
        <f aca="false">V15*$C$8*$C$10/1000</f>
        <v>2023.9037089011</v>
      </c>
      <c r="AB15" s="658" t="n">
        <f aca="false">V15*$C$8*$C$11/1000</f>
        <v>778.4245034235</v>
      </c>
      <c r="AC15" s="658" t="n">
        <f aca="false">V15*$C$8*$C$12/1000</f>
        <v>17125.339075317</v>
      </c>
      <c r="AD15" s="658" t="n">
        <f aca="false">X15+AA15</f>
        <v>2023.9037089011</v>
      </c>
      <c r="AE15" s="658" t="n">
        <f aca="false">Y15+AB15</f>
        <v>801.469531937131</v>
      </c>
      <c r="AF15" s="658" t="n">
        <f aca="false">Z15+AC15</f>
        <v>17509.4228838775</v>
      </c>
    </row>
    <row r="16" customFormat="false" ht="13.2" hidden="false" customHeight="false" outlineLevel="0" collapsed="false">
      <c r="A16" s="712"/>
      <c r="B16" s="74" t="s">
        <v>93</v>
      </c>
      <c r="C16" s="752" t="n">
        <f aca="false">'Input-Detail'!BV19</f>
        <v>0.15</v>
      </c>
      <c r="D16" s="714"/>
      <c r="G16" s="537" t="n">
        <v>10</v>
      </c>
      <c r="H16" s="658" t="n">
        <f aca="false">AD16</f>
        <v>2300.32899889</v>
      </c>
      <c r="I16" s="658" t="n">
        <f aca="false">AE16</f>
        <v>918.670936324889</v>
      </c>
      <c r="J16" s="658" t="n">
        <f aca="false">AF16</f>
        <v>20029.8058595481</v>
      </c>
      <c r="K16" s="748" t="n">
        <f aca="false">H16*$C$20</f>
        <v>2932.91947358475</v>
      </c>
      <c r="L16" s="748" t="n">
        <f aca="false">I16*$C$21</f>
        <v>1171.30544381423</v>
      </c>
      <c r="M16" s="748" t="n">
        <f aca="false">J16*$C$22</f>
        <v>126.187776915153</v>
      </c>
      <c r="N16" s="749" t="n">
        <f aca="false">SUM(K16:M16)</f>
        <v>4230.41269431414</v>
      </c>
      <c r="O16" s="749" t="n">
        <f aca="false">V16*$C$8*$C$23</f>
        <v>102443.80157</v>
      </c>
      <c r="Q16" s="537" t="n">
        <v>10</v>
      </c>
      <c r="R16" s="595" t="n">
        <f aca="false">'Time Value'!I16</f>
        <v>24508086.5</v>
      </c>
      <c r="S16" s="600" t="n">
        <f aca="false">'Time Value'!J16</f>
        <v>0.55</v>
      </c>
      <c r="T16" s="658" t="n">
        <f aca="false">'Time Value'!K16</f>
        <v>3769.89040832092</v>
      </c>
      <c r="U16" s="658" t="n">
        <f aca="false">'Time Value'!L16</f>
        <v>42332.1494090909</v>
      </c>
      <c r="V16" s="658" t="n">
        <f aca="false">'Time Value'!M16</f>
        <v>42332.1494090909</v>
      </c>
      <c r="W16" s="658" t="n">
        <f aca="false">'Time Value'!N16</f>
        <v>88434.1892265028</v>
      </c>
      <c r="X16" s="658" t="n">
        <f aca="false">$C$15*60*T16/1000</f>
        <v>0</v>
      </c>
      <c r="Y16" s="658" t="n">
        <f aca="false">$C$16*60*T16/1000</f>
        <v>33.9290136748883</v>
      </c>
      <c r="Z16" s="658" t="n">
        <f aca="false">$C$17*60*T16/1000</f>
        <v>565.483561248138</v>
      </c>
      <c r="AA16" s="658" t="n">
        <f aca="false">V16*$C$8*$C$10/1000</f>
        <v>2300.32899889</v>
      </c>
      <c r="AB16" s="658" t="n">
        <f aca="false">V16*$C$8*$C$11/1000</f>
        <v>884.74192265</v>
      </c>
      <c r="AC16" s="658" t="n">
        <f aca="false">V16*$C$8*$C$12/1000</f>
        <v>19464.3222983</v>
      </c>
      <c r="AD16" s="658" t="n">
        <f aca="false">X16+AA16</f>
        <v>2300.32899889</v>
      </c>
      <c r="AE16" s="658" t="n">
        <f aca="false">Y16+AB16</f>
        <v>918.670936324889</v>
      </c>
      <c r="AF16" s="658" t="n">
        <f aca="false">Z16+AC16</f>
        <v>20029.8058595481</v>
      </c>
    </row>
    <row r="17" customFormat="false" ht="13.2" hidden="false" customHeight="false" outlineLevel="0" collapsed="false">
      <c r="A17" s="712"/>
      <c r="B17" s="74" t="s">
        <v>101</v>
      </c>
      <c r="C17" s="752" t="n">
        <f aca="false">'Input-Detail'!BV20</f>
        <v>2.5</v>
      </c>
      <c r="D17" s="710"/>
      <c r="G17" s="537" t="n">
        <v>11</v>
      </c>
      <c r="H17" s="658" t="n">
        <f aca="false">AD17</f>
        <v>2587.0637089011</v>
      </c>
      <c r="I17" s="658" t="n">
        <f aca="false">AE17</f>
        <v>1034.60967723078</v>
      </c>
      <c r="J17" s="658" t="n">
        <f aca="false">AF17</f>
        <v>22550.2919721051</v>
      </c>
      <c r="K17" s="748" t="n">
        <f aca="false">H17*$C$20</f>
        <v>3298.5062288489</v>
      </c>
      <c r="L17" s="748" t="n">
        <f aca="false">I17*$C$21</f>
        <v>1319.12733846925</v>
      </c>
      <c r="M17" s="748" t="n">
        <f aca="false">J17*$C$22</f>
        <v>142.066839424262</v>
      </c>
      <c r="N17" s="749" t="n">
        <f aca="false">SUM(K17:M17)</f>
        <v>4759.70040674242</v>
      </c>
      <c r="O17" s="749" t="n">
        <f aca="false">V17*$C$8*$C$23</f>
        <v>115213.3635543</v>
      </c>
      <c r="Q17" s="537" t="n">
        <v>11</v>
      </c>
      <c r="R17" s="595" t="n">
        <f aca="false">'Time Value'!I17</f>
        <v>25057277.85</v>
      </c>
      <c r="S17" s="600" t="n">
        <f aca="false">'Time Value'!J17</f>
        <v>0.6</v>
      </c>
      <c r="T17" s="658" t="n">
        <f aca="false">'Time Value'!K17</f>
        <v>4398.35264525378</v>
      </c>
      <c r="U17" s="658" t="n">
        <f aca="false">'Time Value'!L17</f>
        <v>47608.827915</v>
      </c>
      <c r="V17" s="658" t="n">
        <f aca="false">'Time Value'!M17</f>
        <v>47608.827915</v>
      </c>
      <c r="W17" s="658" t="n">
        <f aca="false">'Time Value'!N17</f>
        <v>99616.0084752538</v>
      </c>
      <c r="X17" s="658" t="n">
        <f aca="false">$C$15*60*T17/1000</f>
        <v>0</v>
      </c>
      <c r="Y17" s="658" t="n">
        <f aca="false">$C$16*60*T17/1000</f>
        <v>39.585173807284</v>
      </c>
      <c r="Z17" s="658" t="n">
        <f aca="false">$C$17*60*T17/1000</f>
        <v>659.752896788066</v>
      </c>
      <c r="AA17" s="658" t="n">
        <f aca="false">V17*$C$8*$C$10/1000</f>
        <v>2587.0637089011</v>
      </c>
      <c r="AB17" s="658" t="n">
        <f aca="false">V17*$C$8*$C$11/1000</f>
        <v>995.024503423501</v>
      </c>
      <c r="AC17" s="658" t="n">
        <f aca="false">V17*$C$8*$C$12/1000</f>
        <v>21890.539075317</v>
      </c>
      <c r="AD17" s="658" t="n">
        <f aca="false">X17+AA17</f>
        <v>2587.0637089011</v>
      </c>
      <c r="AE17" s="658" t="n">
        <f aca="false">Y17+AB17</f>
        <v>1034.60967723078</v>
      </c>
      <c r="AF17" s="658" t="n">
        <f aca="false">Z17+AC17</f>
        <v>22550.2919721051</v>
      </c>
    </row>
    <row r="18" customFormat="false" ht="13.2" hidden="false" customHeight="false" outlineLevel="0" collapsed="false">
      <c r="A18" s="486"/>
      <c r="B18" s="707"/>
      <c r="C18" s="707"/>
      <c r="D18" s="710"/>
      <c r="G18" s="537" t="n">
        <v>12</v>
      </c>
      <c r="H18" s="658" t="n">
        <f aca="false">AD18</f>
        <v>2884.1078389344</v>
      </c>
      <c r="I18" s="658" t="n">
        <f aca="false">AE18</f>
        <v>1157.81950686422</v>
      </c>
      <c r="J18" s="658" t="n">
        <f aca="false">AF18</f>
        <v>25213.1104250383</v>
      </c>
      <c r="K18" s="748" t="n">
        <f aca="false">H18*$C$20</f>
        <v>3677.23749464136</v>
      </c>
      <c r="L18" s="748" t="n">
        <f aca="false">I18*$C$21</f>
        <v>1476.21987125188</v>
      </c>
      <c r="M18" s="748" t="n">
        <f aca="false">J18*$C$22</f>
        <v>158.842595677741</v>
      </c>
      <c r="N18" s="749" t="n">
        <f aca="false">SUM(K18:M18)</f>
        <v>5312.29996157098</v>
      </c>
      <c r="O18" s="749" t="n">
        <f aca="false">V18*$C$8*$C$23</f>
        <v>128442.0495072</v>
      </c>
      <c r="Q18" s="537" t="n">
        <v>12</v>
      </c>
      <c r="R18" s="595" t="n">
        <f aca="false">'Time Value'!I18</f>
        <v>25606469.2</v>
      </c>
      <c r="S18" s="600" t="n">
        <f aca="false">'Time Value'!J18</f>
        <v>0.65</v>
      </c>
      <c r="T18" s="658" t="n">
        <f aca="false">'Time Value'!K18</f>
        <v>5394.1401244686</v>
      </c>
      <c r="U18" s="658" t="n">
        <f aca="false">'Time Value'!L18</f>
        <v>53075.2270690909</v>
      </c>
      <c r="V18" s="658" t="n">
        <f aca="false">'Time Value'!M18</f>
        <v>53075.2270690909</v>
      </c>
      <c r="W18" s="658" t="n">
        <f aca="false">'Time Value'!N18</f>
        <v>111544.59426265</v>
      </c>
      <c r="X18" s="658" t="n">
        <f aca="false">$C$15*60*T18/1000</f>
        <v>0</v>
      </c>
      <c r="Y18" s="658" t="n">
        <f aca="false">$C$16*60*T18/1000</f>
        <v>48.5472611202174</v>
      </c>
      <c r="Z18" s="658" t="n">
        <f aca="false">$C$17*60*T18/1000</f>
        <v>809.12101867029</v>
      </c>
      <c r="AA18" s="658" t="n">
        <f aca="false">V18*$C$8*$C$10/1000</f>
        <v>2884.1078389344</v>
      </c>
      <c r="AB18" s="658" t="n">
        <f aca="false">V18*$C$8*$C$11/1000</f>
        <v>1109.272245744</v>
      </c>
      <c r="AC18" s="658" t="n">
        <f aca="false">V18*$C$8*$C$12/1000</f>
        <v>24403.989406368</v>
      </c>
      <c r="AD18" s="658" t="n">
        <f aca="false">X18+AA18</f>
        <v>2884.1078389344</v>
      </c>
      <c r="AE18" s="658" t="n">
        <f aca="false">Y18+AB18</f>
        <v>1157.81950686422</v>
      </c>
      <c r="AF18" s="658" t="n">
        <f aca="false">Z18+AC18</f>
        <v>25213.1104250383</v>
      </c>
    </row>
    <row r="19" customFormat="false" ht="13.2" hidden="false" customHeight="false" outlineLevel="0" collapsed="false">
      <c r="A19" s="486" t="s">
        <v>487</v>
      </c>
      <c r="B19" s="74"/>
      <c r="C19" s="751"/>
      <c r="D19" s="488"/>
      <c r="G19" s="537" t="n">
        <v>13</v>
      </c>
      <c r="H19" s="658" t="n">
        <f aca="false">AD19</f>
        <v>3191.4613889899</v>
      </c>
      <c r="I19" s="658" t="n">
        <f aca="false">AE19</f>
        <v>1282.33626571334</v>
      </c>
      <c r="J19" s="658" t="n">
        <f aca="false">AF19</f>
        <v>27918.858559817</v>
      </c>
      <c r="K19" s="748" t="n">
        <f aca="false">H19*$C$20</f>
        <v>4069.11327096212</v>
      </c>
      <c r="L19" s="748" t="n">
        <f aca="false">I19*$C$21</f>
        <v>1634.97873878451</v>
      </c>
      <c r="M19" s="748" t="n">
        <f aca="false">J19*$C$22</f>
        <v>175.888808926847</v>
      </c>
      <c r="N19" s="749" t="n">
        <f aca="false">SUM(K19:M19)</f>
        <v>5879.98081867348</v>
      </c>
      <c r="O19" s="749" t="n">
        <f aca="false">V19*$C$8*$C$23</f>
        <v>142129.8594287</v>
      </c>
      <c r="Q19" s="537" t="n">
        <v>13</v>
      </c>
      <c r="R19" s="595" t="n">
        <f aca="false">'Time Value'!I19</f>
        <v>26155660.55</v>
      </c>
      <c r="S19" s="600" t="n">
        <f aca="false">'Time Value'!J19</f>
        <v>0.7</v>
      </c>
      <c r="T19" s="658" t="n">
        <f aca="false">'Time Value'!K19</f>
        <v>6094.56845576016</v>
      </c>
      <c r="U19" s="658" t="n">
        <f aca="false">'Time Value'!L19</f>
        <v>58731.3468713636</v>
      </c>
      <c r="V19" s="658" t="n">
        <f aca="false">'Time Value'!M19</f>
        <v>58731.3468713636</v>
      </c>
      <c r="W19" s="658" t="n">
        <f aca="false">'Time Value'!N19</f>
        <v>123557.262198487</v>
      </c>
      <c r="X19" s="658" t="n">
        <f aca="false">$C$15*60*T19/1000</f>
        <v>0</v>
      </c>
      <c r="Y19" s="658" t="n">
        <f aca="false">$C$16*60*T19/1000</f>
        <v>54.8511161018415</v>
      </c>
      <c r="Z19" s="658" t="n">
        <f aca="false">$C$17*60*T19/1000</f>
        <v>914.185268364025</v>
      </c>
      <c r="AA19" s="658" t="n">
        <f aca="false">V19*$C$8*$C$10/1000</f>
        <v>3191.4613889899</v>
      </c>
      <c r="AB19" s="658" t="n">
        <f aca="false">V19*$C$8*$C$11/1000</f>
        <v>1227.4851496115</v>
      </c>
      <c r="AC19" s="658" t="n">
        <f aca="false">V19*$C$8*$C$12/1000</f>
        <v>27004.673291453</v>
      </c>
      <c r="AD19" s="658" t="n">
        <f aca="false">X19+AA19</f>
        <v>3191.4613889899</v>
      </c>
      <c r="AE19" s="658" t="n">
        <f aca="false">Y19+AB19</f>
        <v>1282.33626571334</v>
      </c>
      <c r="AF19" s="658" t="n">
        <f aca="false">Z19+AC19</f>
        <v>27918.858559817</v>
      </c>
    </row>
    <row r="20" customFormat="false" ht="13.2" hidden="false" customHeight="false" outlineLevel="0" collapsed="false">
      <c r="A20" s="712"/>
      <c r="B20" s="74" t="s">
        <v>88</v>
      </c>
      <c r="C20" s="753" t="n">
        <f aca="false">'Input-Detail'!BV22</f>
        <v>1.275</v>
      </c>
      <c r="D20" s="488"/>
      <c r="G20" s="537" t="n">
        <v>14</v>
      </c>
      <c r="H20" s="658" t="n">
        <f aca="false">AD20</f>
        <v>3509.1243590676</v>
      </c>
      <c r="I20" s="658" t="n">
        <f aca="false">AE20</f>
        <v>1413.80539614491</v>
      </c>
      <c r="J20" s="658" t="n">
        <f aca="false">AF20</f>
        <v>30761.6270825538</v>
      </c>
      <c r="K20" s="748" t="n">
        <f aca="false">H20*$C$20</f>
        <v>4474.13355781119</v>
      </c>
      <c r="L20" s="748" t="n">
        <f aca="false">I20*$C$21</f>
        <v>1802.60188008476</v>
      </c>
      <c r="M20" s="748" t="n">
        <f aca="false">J20*$C$22</f>
        <v>193.798250620089</v>
      </c>
      <c r="N20" s="749" t="n">
        <f aca="false">SUM(K20:M20)</f>
        <v>6470.53368851604</v>
      </c>
      <c r="O20" s="749" t="n">
        <f aca="false">V20*$C$8*$C$23</f>
        <v>156276.7933188</v>
      </c>
      <c r="Q20" s="537" t="n">
        <v>14</v>
      </c>
      <c r="R20" s="595" t="n">
        <f aca="false">'Time Value'!I20</f>
        <v>26704851.9</v>
      </c>
      <c r="S20" s="600" t="n">
        <f aca="false">'Time Value'!J20</f>
        <v>0.75</v>
      </c>
      <c r="T20" s="658" t="n">
        <f aca="false">'Time Value'!K20</f>
        <v>7126.90901321191</v>
      </c>
      <c r="U20" s="658" t="n">
        <f aca="false">'Time Value'!L20</f>
        <v>64577.1873218182</v>
      </c>
      <c r="V20" s="658" t="n">
        <f aca="false">'Time Value'!M20</f>
        <v>64577.1873218182</v>
      </c>
      <c r="W20" s="658" t="n">
        <f aca="false">'Time Value'!N20</f>
        <v>136281.283656848</v>
      </c>
      <c r="X20" s="658" t="n">
        <f aca="false">$C$15*60*T20/1000</f>
        <v>0</v>
      </c>
      <c r="Y20" s="658" t="n">
        <f aca="false">$C$16*60*T20/1000</f>
        <v>64.1421811189072</v>
      </c>
      <c r="Z20" s="658" t="n">
        <f aca="false">$C$17*60*T20/1000</f>
        <v>1069.03635198179</v>
      </c>
      <c r="AA20" s="658" t="n">
        <f aca="false">V20*$C$8*$C$10/1000</f>
        <v>3509.1243590676</v>
      </c>
      <c r="AB20" s="658" t="n">
        <f aca="false">V20*$C$8*$C$11/1000</f>
        <v>1349.663215026</v>
      </c>
      <c r="AC20" s="658" t="n">
        <f aca="false">V20*$C$8*$C$12/1000</f>
        <v>29692.590730572</v>
      </c>
      <c r="AD20" s="658" t="n">
        <f aca="false">X20+AA20</f>
        <v>3509.1243590676</v>
      </c>
      <c r="AE20" s="658" t="n">
        <f aca="false">Y20+AB20</f>
        <v>1413.80539614491</v>
      </c>
      <c r="AF20" s="658" t="n">
        <f aca="false">Z20+AC20</f>
        <v>30761.6270825538</v>
      </c>
    </row>
    <row r="21" customFormat="false" ht="13.2" hidden="false" customHeight="false" outlineLevel="0" collapsed="false">
      <c r="A21" s="712"/>
      <c r="B21" s="74" t="s">
        <v>93</v>
      </c>
      <c r="C21" s="753" t="n">
        <f aca="false">'Input-Detail'!BV23</f>
        <v>1.275</v>
      </c>
      <c r="D21" s="714"/>
      <c r="G21" s="537" t="n">
        <v>15</v>
      </c>
      <c r="H21" s="658" t="n">
        <f aca="false">AD21</f>
        <v>3837.0967491675</v>
      </c>
      <c r="I21" s="658" t="n">
        <f aca="false">AE21</f>
        <v>1548.04590920952</v>
      </c>
      <c r="J21" s="658" t="n">
        <f aca="false">AF21</f>
        <v>33671.732844092</v>
      </c>
      <c r="K21" s="748" t="n">
        <f aca="false">H21*$C$20</f>
        <v>4892.29835518856</v>
      </c>
      <c r="L21" s="748" t="n">
        <f aca="false">I21*$C$21</f>
        <v>1973.75853424214</v>
      </c>
      <c r="M21" s="748" t="n">
        <f aca="false">J21*$C$22</f>
        <v>212.131916917779</v>
      </c>
      <c r="N21" s="749" t="n">
        <f aca="false">SUM(K21:M21)</f>
        <v>7078.18880634848</v>
      </c>
      <c r="O21" s="749" t="n">
        <f aca="false">V21*$C$8*$C$23</f>
        <v>170882.8511775</v>
      </c>
      <c r="Q21" s="537" t="n">
        <v>15</v>
      </c>
      <c r="R21" s="595" t="n">
        <f aca="false">'Time Value'!I21</f>
        <v>27254043.25</v>
      </c>
      <c r="S21" s="600" t="n">
        <f aca="false">'Time Value'!J21</f>
        <v>0.8</v>
      </c>
      <c r="T21" s="658" t="n">
        <f aca="false">'Time Value'!K21</f>
        <v>8026.60746911309</v>
      </c>
      <c r="U21" s="658" t="n">
        <f aca="false">'Time Value'!L21</f>
        <v>70612.7484204546</v>
      </c>
      <c r="V21" s="658" t="n">
        <f aca="false">'Time Value'!M21</f>
        <v>70612.7484204546</v>
      </c>
      <c r="W21" s="658" t="n">
        <f aca="false">'Time Value'!N21</f>
        <v>149252.104310022</v>
      </c>
      <c r="X21" s="658" t="n">
        <f aca="false">$C$15*60*T21/1000</f>
        <v>0</v>
      </c>
      <c r="Y21" s="658" t="n">
        <f aca="false">$C$16*60*T21/1000</f>
        <v>72.2394672220178</v>
      </c>
      <c r="Z21" s="658" t="n">
        <f aca="false">$C$17*60*T21/1000</f>
        <v>1203.99112036696</v>
      </c>
      <c r="AA21" s="658" t="n">
        <f aca="false">V21*$C$8*$C$10/1000</f>
        <v>3837.0967491675</v>
      </c>
      <c r="AB21" s="658" t="n">
        <f aca="false">V21*$C$8*$C$11/1000</f>
        <v>1475.8064419875</v>
      </c>
      <c r="AC21" s="658" t="n">
        <f aca="false">V21*$C$8*$C$12/1000</f>
        <v>32467.741723725</v>
      </c>
      <c r="AD21" s="658" t="n">
        <f aca="false">X21+AA21</f>
        <v>3837.0967491675</v>
      </c>
      <c r="AE21" s="658" t="n">
        <f aca="false">Y21+AB21</f>
        <v>1548.04590920952</v>
      </c>
      <c r="AF21" s="658" t="n">
        <f aca="false">Z21+AC21</f>
        <v>33671.732844092</v>
      </c>
    </row>
    <row r="22" customFormat="false" ht="13.2" hidden="false" customHeight="false" outlineLevel="0" collapsed="false">
      <c r="A22" s="712"/>
      <c r="B22" s="74" t="s">
        <v>101</v>
      </c>
      <c r="C22" s="754" t="n">
        <f aca="false">'Input-Detail'!BV24</f>
        <v>0.0063</v>
      </c>
      <c r="D22" s="710"/>
      <c r="G22" s="537" t="n">
        <v>16</v>
      </c>
      <c r="H22" s="658" t="n">
        <f aca="false">AD22</f>
        <v>4175.3785592896</v>
      </c>
      <c r="I22" s="658" t="n">
        <f aca="false">AE22</f>
        <v>1686.25432675654</v>
      </c>
      <c r="J22" s="658" t="n">
        <f aca="false">AF22</f>
        <v>36669.1178752543</v>
      </c>
      <c r="K22" s="748" t="n">
        <f aca="false">H22*$C$20</f>
        <v>5323.60766309424</v>
      </c>
      <c r="L22" s="748" t="n">
        <f aca="false">I22*$C$21</f>
        <v>2149.97426661458</v>
      </c>
      <c r="M22" s="748" t="n">
        <f aca="false">J22*$C$22</f>
        <v>231.015442614102</v>
      </c>
      <c r="N22" s="749" t="n">
        <f aca="false">SUM(K22:M22)</f>
        <v>7704.59737232293</v>
      </c>
      <c r="O22" s="749" t="n">
        <f aca="false">V22*$C$8*$C$23</f>
        <v>185948.0330048</v>
      </c>
      <c r="Q22" s="537" t="n">
        <v>16</v>
      </c>
      <c r="R22" s="595" t="n">
        <f aca="false">'Time Value'!I22</f>
        <v>27803234.6</v>
      </c>
      <c r="S22" s="600" t="n">
        <f aca="false">'Time Value'!J22</f>
        <v>0.85</v>
      </c>
      <c r="T22" s="658" t="n">
        <f aca="false">'Time Value'!K22</f>
        <v>8926.61069561513</v>
      </c>
      <c r="U22" s="658" t="n">
        <f aca="false">'Time Value'!L22</f>
        <v>76838.0301672727</v>
      </c>
      <c r="V22" s="658" t="n">
        <f aca="false">'Time Value'!M22</f>
        <v>76838.0301672727</v>
      </c>
      <c r="W22" s="658" t="n">
        <f aca="false">'Time Value'!N22</f>
        <v>162602.671030161</v>
      </c>
      <c r="X22" s="658" t="n">
        <f aca="false">$C$15*60*T22/1000</f>
        <v>0</v>
      </c>
      <c r="Y22" s="658" t="n">
        <f aca="false">$C$16*60*T22/1000</f>
        <v>80.3394962605361</v>
      </c>
      <c r="Z22" s="658" t="n">
        <f aca="false">$C$17*60*T22/1000</f>
        <v>1338.99160434227</v>
      </c>
      <c r="AA22" s="658" t="n">
        <f aca="false">V22*$C$8*$C$10/1000</f>
        <v>4175.3785592896</v>
      </c>
      <c r="AB22" s="658" t="n">
        <f aca="false">V22*$C$8*$C$11/1000</f>
        <v>1605.914830496</v>
      </c>
      <c r="AC22" s="658" t="n">
        <f aca="false">V22*$C$8*$C$12/1000</f>
        <v>35330.126270912</v>
      </c>
      <c r="AD22" s="658" t="n">
        <f aca="false">X22+AA22</f>
        <v>4175.3785592896</v>
      </c>
      <c r="AE22" s="658" t="n">
        <f aca="false">Y22+AB22</f>
        <v>1686.25432675654</v>
      </c>
      <c r="AF22" s="658" t="n">
        <f aca="false">Z22+AC22</f>
        <v>36669.1178752543</v>
      </c>
    </row>
    <row r="23" customFormat="false" ht="13.2" hidden="false" customHeight="false" outlineLevel="0" collapsed="false">
      <c r="A23" s="486" t="s">
        <v>488</v>
      </c>
      <c r="B23" s="74"/>
      <c r="C23" s="755" t="n">
        <f aca="false">'Input-Detail'!BV12</f>
        <v>1.1</v>
      </c>
      <c r="D23" s="488"/>
      <c r="G23" s="537" t="n">
        <v>17</v>
      </c>
      <c r="H23" s="658" t="n">
        <f aca="false">AD23</f>
        <v>4523.9697894339</v>
      </c>
      <c r="I23" s="658" t="n">
        <f aca="false">AE23</f>
        <v>1828.90850449478</v>
      </c>
      <c r="J23" s="658" t="n">
        <f aca="false">AF23</f>
        <v>39761.7464378544</v>
      </c>
      <c r="K23" s="748" t="n">
        <f aca="false">H23*$C$20</f>
        <v>5768.06148152822</v>
      </c>
      <c r="L23" s="748" t="n">
        <f aca="false">I23*$C$21</f>
        <v>2331.85834323085</v>
      </c>
      <c r="M23" s="748" t="n">
        <f aca="false">J23*$C$22</f>
        <v>250.499002558482</v>
      </c>
      <c r="N23" s="749" t="n">
        <f aca="false">SUM(K23:M23)</f>
        <v>8350.41882731755</v>
      </c>
      <c r="O23" s="749" t="n">
        <f aca="false">V23*$C$8*$C$23</f>
        <v>201472.3388007</v>
      </c>
      <c r="Q23" s="537" t="n">
        <v>17</v>
      </c>
      <c r="R23" s="595" t="n">
        <f aca="false">'Time Value'!I23</f>
        <v>28352425.95</v>
      </c>
      <c r="S23" s="600" t="n">
        <f aca="false">'Time Value'!J23</f>
        <v>0.9</v>
      </c>
      <c r="T23" s="658" t="n">
        <f aca="false">'Time Value'!K23</f>
        <v>9880.01377147564</v>
      </c>
      <c r="U23" s="658" t="n">
        <f aca="false">'Time Value'!L23</f>
        <v>83253.0325622727</v>
      </c>
      <c r="V23" s="658" t="n">
        <f aca="false">'Time Value'!M23</f>
        <v>83253.0325622727</v>
      </c>
      <c r="W23" s="658" t="n">
        <f aca="false">'Time Value'!N23</f>
        <v>176386.078896021</v>
      </c>
      <c r="X23" s="658" t="n">
        <f aca="false">$C$15*60*T23/1000</f>
        <v>0</v>
      </c>
      <c r="Y23" s="658" t="n">
        <f aca="false">$C$16*60*T23/1000</f>
        <v>88.9201239432808</v>
      </c>
      <c r="Z23" s="658" t="n">
        <f aca="false">$C$17*60*T23/1000</f>
        <v>1482.00206572135</v>
      </c>
      <c r="AA23" s="658" t="n">
        <f aca="false">V23*$C$8*$C$10/1000</f>
        <v>4523.9697894339</v>
      </c>
      <c r="AB23" s="658" t="n">
        <f aca="false">V23*$C$8*$C$11/1000</f>
        <v>1739.9883805515</v>
      </c>
      <c r="AC23" s="658" t="n">
        <f aca="false">V23*$C$8*$C$12/1000</f>
        <v>38279.744372133</v>
      </c>
      <c r="AD23" s="658" t="n">
        <f aca="false">X23+AA23</f>
        <v>4523.9697894339</v>
      </c>
      <c r="AE23" s="658" t="n">
        <f aca="false">Y23+AB23</f>
        <v>1828.90850449478</v>
      </c>
      <c r="AF23" s="658" t="n">
        <f aca="false">Z23+AC23</f>
        <v>39761.7464378544</v>
      </c>
    </row>
    <row r="24" customFormat="false" ht="13.2" hidden="false" customHeight="false" outlineLevel="0" collapsed="false">
      <c r="A24" s="717"/>
      <c r="B24" s="718"/>
      <c r="C24" s="718"/>
      <c r="D24" s="719"/>
      <c r="G24" s="537" t="n">
        <v>18</v>
      </c>
      <c r="H24" s="658" t="n">
        <f aca="false">AD24</f>
        <v>4882.8704396004</v>
      </c>
      <c r="I24" s="658" t="n">
        <f aca="false">AE24</f>
        <v>1976.15066606958</v>
      </c>
      <c r="J24" s="658" t="n">
        <f aca="false">AF24</f>
        <v>42951.9889259811</v>
      </c>
      <c r="K24" s="748" t="n">
        <f aca="false">H24*$C$20</f>
        <v>6225.65981049051</v>
      </c>
      <c r="L24" s="748" t="n">
        <f aca="false">I24*$C$21</f>
        <v>2519.59209923872</v>
      </c>
      <c r="M24" s="748" t="n">
        <f aca="false">J24*$C$22</f>
        <v>270.597530233681</v>
      </c>
      <c r="N24" s="749" t="n">
        <f aca="false">SUM(K24:M24)</f>
        <v>9015.84943996291</v>
      </c>
      <c r="O24" s="749" t="n">
        <f aca="false">V24*$C$8*$C$23</f>
        <v>217455.7685652</v>
      </c>
      <c r="Q24" s="537" t="n">
        <v>18</v>
      </c>
      <c r="R24" s="595" t="n">
        <f aca="false">'Time Value'!I24</f>
        <v>28901617.3</v>
      </c>
      <c r="S24" s="600" t="n">
        <f aca="false">'Time Value'!J24</f>
        <v>0.95</v>
      </c>
      <c r="T24" s="658" t="n">
        <f aca="false">'Time Value'!K24</f>
        <v>10902.6193239537</v>
      </c>
      <c r="U24" s="658" t="n">
        <f aca="false">'Time Value'!L24</f>
        <v>89857.7556054545</v>
      </c>
      <c r="V24" s="658" t="n">
        <f aca="false">'Time Value'!M24</f>
        <v>89857.7556054546</v>
      </c>
      <c r="W24" s="658" t="n">
        <f aca="false">'Time Value'!N24</f>
        <v>190618.130534863</v>
      </c>
      <c r="X24" s="658" t="n">
        <f aca="false">$C$15*60*T24/1000</f>
        <v>0</v>
      </c>
      <c r="Y24" s="658" t="n">
        <f aca="false">$C$16*60*T24/1000</f>
        <v>98.1235739155837</v>
      </c>
      <c r="Z24" s="658" t="n">
        <f aca="false">$C$17*60*T24/1000</f>
        <v>1635.39289859306</v>
      </c>
      <c r="AA24" s="658" t="n">
        <f aca="false">V24*$C$8*$C$10/1000</f>
        <v>4882.8704396004</v>
      </c>
      <c r="AB24" s="658" t="n">
        <f aca="false">V24*$C$8*$C$11/1000</f>
        <v>1878.027092154</v>
      </c>
      <c r="AC24" s="658" t="n">
        <f aca="false">V24*$C$8*$C$12/1000</f>
        <v>41316.596027388</v>
      </c>
      <c r="AD24" s="658" t="n">
        <f aca="false">X24+AA24</f>
        <v>4882.8704396004</v>
      </c>
      <c r="AE24" s="658" t="n">
        <f aca="false">Y24+AB24</f>
        <v>1976.15066606958</v>
      </c>
      <c r="AF24" s="658" t="n">
        <f aca="false">Z24+AC24</f>
        <v>42951.9889259811</v>
      </c>
    </row>
    <row r="25" customFormat="false" ht="13.2" hidden="false" customHeight="false" outlineLevel="0" collapsed="false">
      <c r="G25" s="537" t="n">
        <v>19</v>
      </c>
      <c r="H25" s="658" t="n">
        <f aca="false">AD25</f>
        <v>5252.0805097891</v>
      </c>
      <c r="I25" s="658" t="n">
        <f aca="false">AE25</f>
        <v>2119.90090362473</v>
      </c>
      <c r="J25" s="658" t="n">
        <f aca="false">AF25</f>
        <v>46105.1802086975</v>
      </c>
      <c r="K25" s="748" t="n">
        <f aca="false">H25*$C$20</f>
        <v>6696.4026499811</v>
      </c>
      <c r="L25" s="748" t="n">
        <f aca="false">I25*$C$21</f>
        <v>2702.87365212153</v>
      </c>
      <c r="M25" s="748" t="n">
        <f aca="false">J25*$C$22</f>
        <v>290.462635314795</v>
      </c>
      <c r="N25" s="749" t="n">
        <f aca="false">SUM(K25:M25)</f>
        <v>9689.73893741743</v>
      </c>
      <c r="O25" s="749" t="n">
        <f aca="false">V25*$C$8*$C$23</f>
        <v>233898.3222983</v>
      </c>
      <c r="Q25" s="537" t="n">
        <v>19</v>
      </c>
      <c r="R25" s="595" t="n">
        <f aca="false">'Time Value'!I25</f>
        <v>29450808.65</v>
      </c>
      <c r="S25" s="600" t="n">
        <f aca="false">'Time Value'!J25</f>
        <v>0.95</v>
      </c>
      <c r="T25" s="658" t="n">
        <f aca="false">'Time Value'!K25</f>
        <v>11096.6598134702</v>
      </c>
      <c r="U25" s="658" t="n">
        <f aca="false">'Time Value'!L25</f>
        <v>96652.1992968182</v>
      </c>
      <c r="V25" s="658" t="n">
        <f aca="false">'Time Value'!M25</f>
        <v>96652.1992968182</v>
      </c>
      <c r="W25" s="658" t="n">
        <f aca="false">'Time Value'!N25</f>
        <v>204401.058407107</v>
      </c>
      <c r="X25" s="658" t="n">
        <f aca="false">$C$15*60*T25/1000</f>
        <v>0</v>
      </c>
      <c r="Y25" s="658" t="n">
        <f aca="false">$C$16*60*T25/1000</f>
        <v>99.8699383212317</v>
      </c>
      <c r="Z25" s="658" t="n">
        <f aca="false">$C$17*60*T25/1000</f>
        <v>1664.49897202053</v>
      </c>
      <c r="AA25" s="658" t="n">
        <f aca="false">V25*$C$8*$C$10/1000</f>
        <v>5252.0805097891</v>
      </c>
      <c r="AB25" s="658" t="n">
        <f aca="false">V25*$C$8*$C$11/1000</f>
        <v>2020.0309653035</v>
      </c>
      <c r="AC25" s="658" t="n">
        <f aca="false">V25*$C$8*$C$12/1000</f>
        <v>44440.681236677</v>
      </c>
      <c r="AD25" s="658" t="n">
        <f aca="false">X25+AA25</f>
        <v>5252.0805097891</v>
      </c>
      <c r="AE25" s="658" t="n">
        <f aca="false">Y25+AB25</f>
        <v>2119.90090362473</v>
      </c>
      <c r="AF25" s="658" t="n">
        <f aca="false">Z25+AC25</f>
        <v>46105.1802086975</v>
      </c>
    </row>
    <row r="26" customFormat="false" ht="13.2" hidden="false" customHeight="false" outlineLevel="0" collapsed="false">
      <c r="G26" s="556" t="n">
        <v>20</v>
      </c>
      <c r="H26" s="676" t="n">
        <f aca="false">AD26</f>
        <v>5631.6</v>
      </c>
      <c r="I26" s="676" t="n">
        <f aca="false">AE26</f>
        <v>2267.60203971872</v>
      </c>
      <c r="J26" s="676" t="n">
        <f aca="false">AF26</f>
        <v>49345.3673286453</v>
      </c>
      <c r="K26" s="756" t="n">
        <f aca="false">H26*$C$20</f>
        <v>7180.29</v>
      </c>
      <c r="L26" s="756" t="n">
        <f aca="false">I26*$C$21</f>
        <v>2891.19260064136</v>
      </c>
      <c r="M26" s="756" t="n">
        <f aca="false">J26*$C$22</f>
        <v>310.875814170465</v>
      </c>
      <c r="N26" s="757" t="n">
        <f aca="false">SUM(K26:M26)</f>
        <v>10382.3584148118</v>
      </c>
      <c r="O26" s="757" t="n">
        <f aca="false">V26*$C$8*$C$23</f>
        <v>250800</v>
      </c>
      <c r="Q26" s="556" t="n">
        <v>20</v>
      </c>
      <c r="R26" s="620" t="n">
        <f aca="false">'Time Value'!I26</f>
        <v>30000000</v>
      </c>
      <c r="S26" s="625" t="n">
        <f aca="false">'Time Value'!J26</f>
        <v>0.95</v>
      </c>
      <c r="T26" s="676" t="n">
        <f aca="false">'Time Value'!K26</f>
        <v>11289.1155243017</v>
      </c>
      <c r="U26" s="676" t="n">
        <f aca="false">'Time Value'!L26</f>
        <v>103636.363636364</v>
      </c>
      <c r="V26" s="676" t="n">
        <f aca="false">'Time Value'!M26</f>
        <v>103636.363636364</v>
      </c>
      <c r="W26" s="676" t="n">
        <f aca="false">'Time Value'!N26</f>
        <v>218561.842797029</v>
      </c>
      <c r="X26" s="676" t="n">
        <f aca="false">$C$15*60*T26/1000</f>
        <v>0</v>
      </c>
      <c r="Y26" s="676" t="n">
        <f aca="false">$C$16*60*T26/1000</f>
        <v>101.602039718715</v>
      </c>
      <c r="Z26" s="676" t="n">
        <f aca="false">$C$17*60*T26/1000</f>
        <v>1693.36732864525</v>
      </c>
      <c r="AA26" s="676" t="n">
        <f aca="false">V26*$C$8*$C$10/1000</f>
        <v>5631.6</v>
      </c>
      <c r="AB26" s="676" t="n">
        <f aca="false">V26*$C$8*$C$11/1000</f>
        <v>2166</v>
      </c>
      <c r="AC26" s="676" t="n">
        <f aca="false">V26*$C$8*$C$12/1000</f>
        <v>47652</v>
      </c>
      <c r="AD26" s="676" t="n">
        <f aca="false">X26+AA26</f>
        <v>5631.6</v>
      </c>
      <c r="AE26" s="676" t="n">
        <f aca="false">Y26+AB26</f>
        <v>2267.60203971872</v>
      </c>
      <c r="AF26" s="676" t="n">
        <f aca="false">Z26+AC26</f>
        <v>49345.3673286453</v>
      </c>
    </row>
    <row r="29" customFormat="false" ht="13.8" hidden="false" customHeight="false" outlineLevel="0" collapsed="false">
      <c r="R29" s="297" t="s">
        <v>234</v>
      </c>
      <c r="S29" s="726"/>
      <c r="T29" s="726"/>
      <c r="U29" s="726"/>
      <c r="V29" s="726"/>
      <c r="W29" s="726"/>
      <c r="X29" s="726"/>
      <c r="Y29" s="726"/>
      <c r="Z29" s="726"/>
    </row>
    <row r="30" customFormat="false" ht="13.8" hidden="false" customHeight="false" outlineLevel="0" collapsed="false">
      <c r="Q30" s="727" t="s">
        <v>489</v>
      </c>
      <c r="R30" s="728"/>
      <c r="S30" s="728"/>
      <c r="T30" s="728"/>
      <c r="U30" s="728"/>
      <c r="V30" s="728"/>
      <c r="W30" s="728"/>
      <c r="X30" s="728"/>
      <c r="Y30" s="728"/>
      <c r="Z30" s="728"/>
      <c r="AA30" s="728"/>
      <c r="AB30" s="728"/>
      <c r="AC30" s="728"/>
      <c r="AD30" s="728"/>
      <c r="AE30" s="728"/>
      <c r="AF30" s="729"/>
    </row>
    <row r="31" customFormat="false" ht="15" hidden="false" customHeight="false" outlineLevel="0" collapsed="false">
      <c r="Q31" s="731" t="s">
        <v>490</v>
      </c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732"/>
    </row>
    <row r="32" customFormat="false" ht="14.4" hidden="false" customHeight="false" outlineLevel="0" collapsed="false">
      <c r="Q32" s="758" t="s">
        <v>491</v>
      </c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732"/>
    </row>
    <row r="33" customFormat="false" ht="13.2" hidden="false" customHeight="false" outlineLevel="0" collapsed="false">
      <c r="Q33" s="735" t="s">
        <v>448</v>
      </c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732"/>
    </row>
    <row r="34" customFormat="false" ht="14.4" hidden="false" customHeight="false" outlineLevel="0" collapsed="false">
      <c r="Q34" s="735" t="s">
        <v>492</v>
      </c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732"/>
    </row>
    <row r="35" customFormat="false" ht="14.4" hidden="false" customHeight="false" outlineLevel="0" collapsed="false">
      <c r="Q35" s="735" t="s">
        <v>493</v>
      </c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732"/>
    </row>
    <row r="36" customFormat="false" ht="13.2" hidden="false" customHeight="false" outlineLevel="0" collapsed="false">
      <c r="Q36" s="735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732"/>
    </row>
    <row r="37" customFormat="false" ht="14.4" hidden="false" customHeight="false" outlineLevel="0" collapsed="false">
      <c r="Q37" s="731" t="s">
        <v>494</v>
      </c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732"/>
    </row>
    <row r="38" customFormat="false" ht="14.4" hidden="false" customHeight="false" outlineLevel="0" collapsed="false">
      <c r="Q38" s="758" t="s">
        <v>495</v>
      </c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732"/>
    </row>
    <row r="39" customFormat="false" ht="13.2" hidden="false" customHeight="false" outlineLevel="0" collapsed="false">
      <c r="Q39" s="735" t="s">
        <v>448</v>
      </c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732"/>
    </row>
    <row r="40" customFormat="false" ht="14.4" hidden="false" customHeight="false" outlineLevel="0" collapsed="false">
      <c r="Q40" s="735" t="s">
        <v>496</v>
      </c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732"/>
    </row>
    <row r="41" customFormat="false" ht="14.4" hidden="false" customHeight="false" outlineLevel="0" collapsed="false">
      <c r="Q41" s="735" t="s">
        <v>497</v>
      </c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732"/>
    </row>
    <row r="42" customFormat="false" ht="14.4" hidden="false" customHeight="false" outlineLevel="0" collapsed="false">
      <c r="Q42" s="735" t="s">
        <v>498</v>
      </c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732"/>
    </row>
    <row r="43" customFormat="false" ht="13.8" hidden="false" customHeight="false" outlineLevel="0" collapsed="false">
      <c r="Q43" s="736"/>
      <c r="R43" s="737"/>
      <c r="S43" s="737"/>
      <c r="T43" s="737"/>
      <c r="U43" s="737"/>
      <c r="V43" s="737"/>
      <c r="W43" s="737"/>
      <c r="X43" s="737"/>
      <c r="Y43" s="737"/>
      <c r="Z43" s="737"/>
      <c r="AA43" s="737"/>
      <c r="AB43" s="737"/>
      <c r="AC43" s="737"/>
      <c r="AD43" s="737"/>
      <c r="AE43" s="737"/>
      <c r="AF43" s="738"/>
    </row>
    <row r="44" customFormat="false" ht="13.8" hidden="false" customHeight="false" outlineLevel="0" collapsed="false"/>
  </sheetData>
  <sheetProtection sheet="true" password="ea2e" objects="true" scenarios="true"/>
  <mergeCells count="11">
    <mergeCell ref="G4:G5"/>
    <mergeCell ref="H4:J4"/>
    <mergeCell ref="K4:N4"/>
    <mergeCell ref="O4:O5"/>
    <mergeCell ref="Q4:Q5"/>
    <mergeCell ref="R4:R5"/>
    <mergeCell ref="S4:S5"/>
    <mergeCell ref="T4:W4"/>
    <mergeCell ref="X4:Z4"/>
    <mergeCell ref="AA4:AC4"/>
    <mergeCell ref="AD4:AF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1998-09-10T04:53:53Z</dcterms:created>
  <dc:creator>PC1</dc:creator>
  <dc:description/>
  <dc:language>en-AU</dc:language>
  <cp:lastModifiedBy>PC1</cp:lastModifiedBy>
  <cp:lastPrinted>1998-10-28T10:59:05Z</cp:lastPrinted>
  <cp:revision>0</cp:revision>
  <dc:subject/>
  <dc:title/>
</cp:coreProperties>
</file>